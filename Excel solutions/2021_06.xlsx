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0675CA17-3B81-44B7-AF15-079F1F836F8E}" xr6:coauthVersionLast="47" xr6:coauthVersionMax="47" xr10:uidLastSave="{00000000-0000-0000-0000-000000000000}"/>
  <bookViews>
    <workbookView xWindow="-120" yWindow="-120" windowWidth="29040" windowHeight="15720" activeTab="1" xr2:uid="{D7AA49E1-5B14-4E93-B5C2-E0A3008AEF41}"/>
  </bookViews>
  <sheets>
    <sheet name="6.1.2.3" sheetId="1" r:id="rId1"/>
    <sheet name="6.4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10" i="3"/>
  <c r="I11" i="3"/>
  <c r="I12" i="3"/>
  <c r="I13" i="3"/>
  <c r="I14" i="3"/>
  <c r="I15" i="3"/>
  <c r="I17" i="3"/>
  <c r="I18" i="3"/>
  <c r="I19" i="3"/>
  <c r="I20" i="3"/>
  <c r="I21" i="3"/>
  <c r="I22" i="3"/>
  <c r="I24" i="3"/>
  <c r="I25" i="3"/>
  <c r="I26" i="3"/>
  <c r="I27" i="3"/>
  <c r="I28" i="3"/>
  <c r="I29" i="3"/>
  <c r="I31" i="3"/>
  <c r="I32" i="3"/>
  <c r="I33" i="3"/>
  <c r="I34" i="3"/>
  <c r="I35" i="3"/>
  <c r="I36" i="3"/>
  <c r="I38" i="3"/>
  <c r="I39" i="3"/>
  <c r="I40" i="3"/>
  <c r="I41" i="3"/>
  <c r="I42" i="3"/>
  <c r="I43" i="3"/>
  <c r="I45" i="3"/>
  <c r="I46" i="3"/>
  <c r="I47" i="3"/>
  <c r="I48" i="3"/>
  <c r="I49" i="3"/>
  <c r="I50" i="3"/>
  <c r="I52" i="3"/>
  <c r="I53" i="3"/>
  <c r="I54" i="3"/>
  <c r="I55" i="3"/>
  <c r="I56" i="3"/>
  <c r="I57" i="3"/>
  <c r="I59" i="3"/>
  <c r="I60" i="3"/>
  <c r="I61" i="3"/>
  <c r="I62" i="3"/>
  <c r="I63" i="3"/>
  <c r="I64" i="3"/>
  <c r="I66" i="3"/>
  <c r="I67" i="3"/>
  <c r="I68" i="3"/>
  <c r="I69" i="3"/>
  <c r="I70" i="3"/>
  <c r="I71" i="3"/>
  <c r="I73" i="3"/>
  <c r="I74" i="3"/>
  <c r="I75" i="3"/>
  <c r="I76" i="3"/>
  <c r="I77" i="3"/>
  <c r="I78" i="3"/>
  <c r="I80" i="3"/>
  <c r="I81" i="3"/>
  <c r="I82" i="3"/>
  <c r="I83" i="3"/>
  <c r="I84" i="3"/>
  <c r="I85" i="3"/>
  <c r="I87" i="3"/>
  <c r="I88" i="3"/>
  <c r="I89" i="3"/>
  <c r="I90" i="3"/>
  <c r="I91" i="3"/>
  <c r="I92" i="3"/>
  <c r="I94" i="3"/>
  <c r="I95" i="3"/>
  <c r="I96" i="3"/>
  <c r="I97" i="3"/>
  <c r="I98" i="3"/>
  <c r="I99" i="3"/>
  <c r="I101" i="3"/>
  <c r="I102" i="3"/>
  <c r="I103" i="3"/>
  <c r="I104" i="3"/>
  <c r="I105" i="3"/>
  <c r="I106" i="3"/>
  <c r="I108" i="3"/>
  <c r="I109" i="3"/>
  <c r="I110" i="3"/>
  <c r="I111" i="3"/>
  <c r="I112" i="3"/>
  <c r="I113" i="3"/>
  <c r="I115" i="3"/>
  <c r="I116" i="3"/>
  <c r="I117" i="3"/>
  <c r="I118" i="3"/>
  <c r="I119" i="3"/>
  <c r="I120" i="3"/>
  <c r="I122" i="3"/>
  <c r="I123" i="3"/>
  <c r="I124" i="3"/>
  <c r="I125" i="3"/>
  <c r="I126" i="3"/>
  <c r="I127" i="3"/>
  <c r="I129" i="3"/>
  <c r="I130" i="3"/>
  <c r="I131" i="3"/>
  <c r="I132" i="3"/>
  <c r="I133" i="3"/>
  <c r="I134" i="3"/>
  <c r="I136" i="3"/>
  <c r="I137" i="3"/>
  <c r="I138" i="3"/>
  <c r="I139" i="3"/>
  <c r="I140" i="3"/>
  <c r="I141" i="3"/>
  <c r="I143" i="3"/>
  <c r="I144" i="3"/>
  <c r="I145" i="3"/>
  <c r="I146" i="3"/>
  <c r="I147" i="3"/>
  <c r="I148" i="3"/>
  <c r="I150" i="3"/>
  <c r="I151" i="3"/>
  <c r="I152" i="3"/>
  <c r="I153" i="3"/>
  <c r="I154" i="3"/>
  <c r="I155" i="3"/>
  <c r="I157" i="3"/>
  <c r="I158" i="3"/>
  <c r="I159" i="3"/>
  <c r="I160" i="3"/>
  <c r="I161" i="3"/>
  <c r="I162" i="3"/>
  <c r="I164" i="3"/>
  <c r="I165" i="3"/>
  <c r="I166" i="3"/>
  <c r="I167" i="3"/>
  <c r="I168" i="3"/>
  <c r="I169" i="3"/>
  <c r="I171" i="3"/>
  <c r="I172" i="3"/>
  <c r="I173" i="3"/>
  <c r="I174" i="3"/>
  <c r="I175" i="3"/>
  <c r="I176" i="3"/>
  <c r="I178" i="3"/>
  <c r="I179" i="3"/>
  <c r="I180" i="3"/>
  <c r="I181" i="3"/>
  <c r="I182" i="3"/>
  <c r="I183" i="3"/>
  <c r="I185" i="3"/>
  <c r="I186" i="3"/>
  <c r="I187" i="3"/>
  <c r="I188" i="3"/>
  <c r="I189" i="3"/>
  <c r="I190" i="3"/>
  <c r="I192" i="3"/>
  <c r="I193" i="3"/>
  <c r="I194" i="3"/>
  <c r="I195" i="3"/>
  <c r="I196" i="3"/>
  <c r="I197" i="3"/>
  <c r="I199" i="3"/>
  <c r="I200" i="3"/>
  <c r="I201" i="3"/>
  <c r="I202" i="3"/>
  <c r="I203" i="3"/>
  <c r="I204" i="3"/>
  <c r="I206" i="3"/>
  <c r="I207" i="3"/>
  <c r="I208" i="3"/>
  <c r="I209" i="3"/>
  <c r="I210" i="3"/>
  <c r="I211" i="3"/>
  <c r="I213" i="3"/>
  <c r="I214" i="3"/>
  <c r="I215" i="3"/>
  <c r="I216" i="3"/>
  <c r="I217" i="3"/>
  <c r="I218" i="3"/>
  <c r="I220" i="3"/>
  <c r="I221" i="3"/>
  <c r="I222" i="3"/>
  <c r="I223" i="3"/>
  <c r="I224" i="3"/>
  <c r="I225" i="3"/>
  <c r="I227" i="3"/>
  <c r="I228" i="3"/>
  <c r="I229" i="3"/>
  <c r="I230" i="3"/>
  <c r="I231" i="3"/>
  <c r="I232" i="3"/>
  <c r="I234" i="3"/>
  <c r="I235" i="3"/>
  <c r="I236" i="3"/>
  <c r="I237" i="3"/>
  <c r="I238" i="3"/>
  <c r="I239" i="3"/>
  <c r="I241" i="3"/>
  <c r="I242" i="3"/>
  <c r="I243" i="3"/>
  <c r="I244" i="3"/>
  <c r="I245" i="3"/>
  <c r="I246" i="3"/>
  <c r="I248" i="3"/>
  <c r="I249" i="3"/>
  <c r="I250" i="3"/>
  <c r="I251" i="3"/>
  <c r="I252" i="3"/>
  <c r="I253" i="3"/>
  <c r="I255" i="3"/>
  <c r="I256" i="3"/>
  <c r="I257" i="3"/>
  <c r="I258" i="3"/>
  <c r="I259" i="3"/>
  <c r="I260" i="3"/>
  <c r="I262" i="3"/>
  <c r="I263" i="3"/>
  <c r="I264" i="3"/>
  <c r="I265" i="3"/>
  <c r="I266" i="3"/>
  <c r="I267" i="3"/>
  <c r="I269" i="3"/>
  <c r="I270" i="3"/>
  <c r="I271" i="3"/>
  <c r="I272" i="3"/>
  <c r="I273" i="3"/>
  <c r="I274" i="3"/>
  <c r="I276" i="3"/>
  <c r="I277" i="3"/>
  <c r="I278" i="3"/>
  <c r="I279" i="3"/>
  <c r="I280" i="3"/>
  <c r="I281" i="3"/>
  <c r="I283" i="3"/>
  <c r="I284" i="3"/>
  <c r="I285" i="3"/>
  <c r="I286" i="3"/>
  <c r="I287" i="3"/>
  <c r="I288" i="3"/>
  <c r="I290" i="3"/>
  <c r="I291" i="3"/>
  <c r="I292" i="3"/>
  <c r="I293" i="3"/>
  <c r="I294" i="3"/>
  <c r="I295" i="3"/>
  <c r="I297" i="3"/>
  <c r="I298" i="3"/>
  <c r="I299" i="3"/>
  <c r="I300" i="3"/>
  <c r="I301" i="3"/>
  <c r="I302" i="3"/>
  <c r="I304" i="3"/>
  <c r="I305" i="3"/>
  <c r="I306" i="3"/>
  <c r="I307" i="3"/>
  <c r="I308" i="3"/>
  <c r="I309" i="3"/>
  <c r="I311" i="3"/>
  <c r="I312" i="3"/>
  <c r="I313" i="3"/>
  <c r="I314" i="3"/>
  <c r="I315" i="3"/>
  <c r="I316" i="3"/>
  <c r="I318" i="3"/>
  <c r="I319" i="3"/>
  <c r="I320" i="3"/>
  <c r="I321" i="3"/>
  <c r="I322" i="3"/>
  <c r="I323" i="3"/>
  <c r="I325" i="3"/>
  <c r="I326" i="3"/>
  <c r="I327" i="3"/>
  <c r="I328" i="3"/>
  <c r="I329" i="3"/>
  <c r="I330" i="3"/>
  <c r="I332" i="3"/>
  <c r="I333" i="3"/>
  <c r="I334" i="3"/>
  <c r="I335" i="3"/>
  <c r="I336" i="3"/>
  <c r="I337" i="3"/>
  <c r="I339" i="3"/>
  <c r="I340" i="3"/>
  <c r="I341" i="3"/>
  <c r="I342" i="3"/>
  <c r="I343" i="3"/>
  <c r="I344" i="3"/>
  <c r="I346" i="3"/>
  <c r="I347" i="3"/>
  <c r="I348" i="3"/>
  <c r="I349" i="3"/>
  <c r="I350" i="3"/>
  <c r="I351" i="3"/>
  <c r="I353" i="3"/>
  <c r="I354" i="3"/>
  <c r="I355" i="3"/>
  <c r="I356" i="3"/>
  <c r="I357" i="3"/>
  <c r="I358" i="3"/>
  <c r="I360" i="3"/>
  <c r="I361" i="3"/>
  <c r="I362" i="3"/>
  <c r="I363" i="3"/>
  <c r="I364" i="3"/>
  <c r="I365" i="3"/>
  <c r="I367" i="3"/>
  <c r="I368" i="3"/>
  <c r="I369" i="3"/>
  <c r="I370" i="3"/>
  <c r="I371" i="3"/>
  <c r="I372" i="3"/>
  <c r="I374" i="3"/>
  <c r="I375" i="3"/>
  <c r="I376" i="3"/>
  <c r="I377" i="3"/>
  <c r="I378" i="3"/>
  <c r="I379" i="3"/>
  <c r="I381" i="3"/>
  <c r="I382" i="3"/>
  <c r="I383" i="3"/>
  <c r="I384" i="3"/>
  <c r="I385" i="3"/>
  <c r="I386" i="3"/>
  <c r="I388" i="3"/>
  <c r="I389" i="3"/>
  <c r="I390" i="3"/>
  <c r="I391" i="3"/>
  <c r="I392" i="3"/>
  <c r="I393" i="3"/>
  <c r="I395" i="3"/>
  <c r="I396" i="3"/>
  <c r="I397" i="3"/>
  <c r="I398" i="3"/>
  <c r="I399" i="3"/>
  <c r="I400" i="3"/>
  <c r="I402" i="3"/>
  <c r="I403" i="3"/>
  <c r="I404" i="3"/>
  <c r="I405" i="3"/>
  <c r="I406" i="3"/>
  <c r="I407" i="3"/>
  <c r="I409" i="3"/>
  <c r="I410" i="3"/>
  <c r="I411" i="3"/>
  <c r="I412" i="3"/>
  <c r="I413" i="3"/>
  <c r="I414" i="3"/>
  <c r="I416" i="3"/>
  <c r="I417" i="3"/>
  <c r="I418" i="3"/>
  <c r="I419" i="3"/>
  <c r="I420" i="3"/>
  <c r="I421" i="3"/>
  <c r="I423" i="3"/>
  <c r="I424" i="3"/>
  <c r="I425" i="3"/>
  <c r="I426" i="3"/>
  <c r="I427" i="3"/>
  <c r="I428" i="3"/>
  <c r="I430" i="3"/>
  <c r="I431" i="3"/>
  <c r="I432" i="3"/>
  <c r="I433" i="3"/>
  <c r="I434" i="3"/>
  <c r="I435" i="3"/>
  <c r="I437" i="3"/>
  <c r="I438" i="3"/>
  <c r="I439" i="3"/>
  <c r="I440" i="3"/>
  <c r="I441" i="3"/>
  <c r="I442" i="3"/>
  <c r="I444" i="3"/>
  <c r="I445" i="3"/>
  <c r="I446" i="3"/>
  <c r="I447" i="3"/>
  <c r="I448" i="3"/>
  <c r="I449" i="3"/>
  <c r="I451" i="3"/>
  <c r="I452" i="3"/>
  <c r="I453" i="3"/>
  <c r="I454" i="3"/>
  <c r="I455" i="3"/>
  <c r="I456" i="3"/>
  <c r="I458" i="3"/>
  <c r="I459" i="3"/>
  <c r="I460" i="3"/>
  <c r="I461" i="3"/>
  <c r="I462" i="3"/>
  <c r="I463" i="3"/>
  <c r="I465" i="3"/>
  <c r="I466" i="3"/>
  <c r="I467" i="3"/>
  <c r="I468" i="3"/>
  <c r="I469" i="3"/>
  <c r="I470" i="3"/>
  <c r="I472" i="3"/>
  <c r="I473" i="3"/>
  <c r="I474" i="3"/>
  <c r="I475" i="3"/>
  <c r="I476" i="3"/>
  <c r="I477" i="3"/>
  <c r="I479" i="3"/>
  <c r="I480" i="3"/>
  <c r="I481" i="3"/>
  <c r="I482" i="3"/>
  <c r="I483" i="3"/>
  <c r="I484" i="3"/>
  <c r="I486" i="3"/>
  <c r="I487" i="3"/>
  <c r="I488" i="3"/>
  <c r="I489" i="3"/>
  <c r="I490" i="3"/>
  <c r="I491" i="3"/>
  <c r="I493" i="3"/>
  <c r="I494" i="3"/>
  <c r="I495" i="3"/>
  <c r="I496" i="3"/>
  <c r="I497" i="3"/>
  <c r="I498" i="3"/>
  <c r="I500" i="3"/>
  <c r="I501" i="3"/>
  <c r="I502" i="3"/>
  <c r="I503" i="3"/>
  <c r="I504" i="3"/>
  <c r="I505" i="3"/>
  <c r="I507" i="3"/>
  <c r="I508" i="3"/>
  <c r="I509" i="3"/>
  <c r="I510" i="3"/>
  <c r="I511" i="3"/>
  <c r="I512" i="3"/>
  <c r="I514" i="3"/>
  <c r="I515" i="3"/>
  <c r="I516" i="3"/>
  <c r="I517" i="3"/>
  <c r="I518" i="3"/>
  <c r="I519" i="3"/>
  <c r="I521" i="3"/>
  <c r="I522" i="3"/>
  <c r="I523" i="3"/>
  <c r="I524" i="3"/>
  <c r="I525" i="3"/>
  <c r="I526" i="3"/>
  <c r="I528" i="3"/>
  <c r="I529" i="3"/>
  <c r="I530" i="3"/>
  <c r="I531" i="3"/>
  <c r="I532" i="3"/>
  <c r="I533" i="3"/>
  <c r="I535" i="3"/>
  <c r="I536" i="3"/>
  <c r="I537" i="3"/>
  <c r="I538" i="3"/>
  <c r="I539" i="3"/>
  <c r="I540" i="3"/>
  <c r="I542" i="3"/>
  <c r="I543" i="3"/>
  <c r="I544" i="3"/>
  <c r="I545" i="3"/>
  <c r="I546" i="3"/>
  <c r="I547" i="3"/>
  <c r="I549" i="3"/>
  <c r="I550" i="3"/>
  <c r="I551" i="3"/>
  <c r="I552" i="3"/>
  <c r="I553" i="3"/>
  <c r="I554" i="3"/>
  <c r="I556" i="3"/>
  <c r="I557" i="3"/>
  <c r="I558" i="3"/>
  <c r="I559" i="3"/>
  <c r="I560" i="3"/>
  <c r="I561" i="3"/>
  <c r="I563" i="3"/>
  <c r="I564" i="3"/>
  <c r="I565" i="3"/>
  <c r="I566" i="3"/>
  <c r="I567" i="3"/>
  <c r="I568" i="3"/>
  <c r="I570" i="3"/>
  <c r="I571" i="3"/>
  <c r="I572" i="3"/>
  <c r="I573" i="3"/>
  <c r="I574" i="3"/>
  <c r="I575" i="3"/>
  <c r="I577" i="3"/>
  <c r="I578" i="3"/>
  <c r="I579" i="3"/>
  <c r="I580" i="3"/>
  <c r="I581" i="3"/>
  <c r="I582" i="3"/>
  <c r="I584" i="3"/>
  <c r="I585" i="3"/>
  <c r="I586" i="3"/>
  <c r="I587" i="3"/>
  <c r="I588" i="3"/>
  <c r="I589" i="3"/>
  <c r="I591" i="3"/>
  <c r="I592" i="3"/>
  <c r="I593" i="3"/>
  <c r="I594" i="3"/>
  <c r="I595" i="3"/>
  <c r="I596" i="3"/>
  <c r="I598" i="3"/>
  <c r="I599" i="3"/>
  <c r="I600" i="3"/>
  <c r="I601" i="3"/>
  <c r="I602" i="3"/>
  <c r="I603" i="3"/>
  <c r="I605" i="3"/>
  <c r="I606" i="3"/>
  <c r="I607" i="3"/>
  <c r="I608" i="3"/>
  <c r="I609" i="3"/>
  <c r="I610" i="3"/>
  <c r="I612" i="3"/>
  <c r="I613" i="3"/>
  <c r="I614" i="3"/>
  <c r="I615" i="3"/>
  <c r="I616" i="3"/>
  <c r="I617" i="3"/>
  <c r="I619" i="3"/>
  <c r="I620" i="3"/>
  <c r="I621" i="3"/>
  <c r="I622" i="3"/>
  <c r="I623" i="3"/>
  <c r="I624" i="3"/>
  <c r="I626" i="3"/>
  <c r="I627" i="3"/>
  <c r="I628" i="3"/>
  <c r="I629" i="3"/>
  <c r="I630" i="3"/>
  <c r="I631" i="3"/>
  <c r="I633" i="3"/>
  <c r="I634" i="3"/>
  <c r="I635" i="3"/>
  <c r="I636" i="3"/>
  <c r="I637" i="3"/>
  <c r="I638" i="3"/>
  <c r="I640" i="3"/>
  <c r="I641" i="3"/>
  <c r="I642" i="3"/>
  <c r="I643" i="3"/>
  <c r="I644" i="3"/>
  <c r="I645" i="3"/>
  <c r="I647" i="3"/>
  <c r="I648" i="3"/>
  <c r="I649" i="3"/>
  <c r="I650" i="3"/>
  <c r="I651" i="3"/>
  <c r="I652" i="3"/>
  <c r="I654" i="3"/>
  <c r="I655" i="3"/>
  <c r="I656" i="3"/>
  <c r="I657" i="3"/>
  <c r="I658" i="3"/>
  <c r="I659" i="3"/>
  <c r="I661" i="3"/>
  <c r="I662" i="3"/>
  <c r="I663" i="3"/>
  <c r="I664" i="3"/>
  <c r="I665" i="3"/>
  <c r="I666" i="3"/>
  <c r="I668" i="3"/>
  <c r="I669" i="3"/>
  <c r="I670" i="3"/>
  <c r="I671" i="3"/>
  <c r="I672" i="3"/>
  <c r="I673" i="3"/>
  <c r="I675" i="3"/>
  <c r="I676" i="3"/>
  <c r="I677" i="3"/>
  <c r="I678" i="3"/>
  <c r="I679" i="3"/>
  <c r="I680" i="3"/>
  <c r="I682" i="3"/>
  <c r="I683" i="3"/>
  <c r="I684" i="3"/>
  <c r="I685" i="3"/>
  <c r="I686" i="3"/>
  <c r="I687" i="3"/>
  <c r="I689" i="3"/>
  <c r="I690" i="3"/>
  <c r="I691" i="3"/>
  <c r="I692" i="3"/>
  <c r="I693" i="3"/>
  <c r="I694" i="3"/>
  <c r="I696" i="3"/>
  <c r="I697" i="3"/>
  <c r="I698" i="3"/>
  <c r="I699" i="3"/>
  <c r="I700" i="3"/>
  <c r="I701" i="3"/>
  <c r="I703" i="3"/>
  <c r="I704" i="3"/>
  <c r="I705" i="3"/>
  <c r="I706" i="3"/>
  <c r="I707" i="3"/>
  <c r="I708" i="3"/>
  <c r="I710" i="3"/>
  <c r="I711" i="3"/>
  <c r="I712" i="3"/>
  <c r="I713" i="3"/>
  <c r="I714" i="3"/>
  <c r="I715" i="3"/>
  <c r="I717" i="3"/>
  <c r="I718" i="3"/>
  <c r="I719" i="3"/>
  <c r="I720" i="3"/>
  <c r="I721" i="3"/>
  <c r="I722" i="3"/>
  <c r="I724" i="3"/>
  <c r="I725" i="3"/>
  <c r="I726" i="3"/>
  <c r="I727" i="3"/>
  <c r="I728" i="3"/>
  <c r="I729" i="3"/>
  <c r="I731" i="3"/>
  <c r="I732" i="3"/>
  <c r="I2" i="3"/>
  <c r="N3" i="3"/>
  <c r="F139" i="3"/>
  <c r="N2" i="3"/>
  <c r="H3" i="3"/>
  <c r="H2" i="3"/>
  <c r="M3" i="3"/>
  <c r="M2" i="3"/>
  <c r="L2" i="3"/>
  <c r="C3" i="3" s="1"/>
  <c r="J3" i="3" s="1"/>
  <c r="E3" i="3"/>
  <c r="C2" i="3"/>
  <c r="G173" i="3"/>
  <c r="G334" i="3"/>
  <c r="G478" i="3"/>
  <c r="G610" i="3"/>
  <c r="G679" i="3"/>
  <c r="G682" i="3"/>
  <c r="G714" i="3"/>
  <c r="G715" i="3"/>
  <c r="G718" i="3"/>
  <c r="G719" i="3"/>
  <c r="J2" i="3"/>
  <c r="F732" i="3"/>
  <c r="G732" i="3" s="1"/>
  <c r="D732" i="3"/>
  <c r="F731" i="3"/>
  <c r="D731" i="3"/>
  <c r="F730" i="3"/>
  <c r="D730" i="3"/>
  <c r="F729" i="3"/>
  <c r="D729" i="3"/>
  <c r="F728" i="3"/>
  <c r="D728" i="3"/>
  <c r="F727" i="3"/>
  <c r="D727" i="3"/>
  <c r="F726" i="3"/>
  <c r="D726" i="3"/>
  <c r="F725" i="3"/>
  <c r="D725" i="3"/>
  <c r="F724" i="3"/>
  <c r="D724" i="3"/>
  <c r="F723" i="3"/>
  <c r="D723" i="3"/>
  <c r="F722" i="3"/>
  <c r="D722" i="3"/>
  <c r="F721" i="3"/>
  <c r="D721" i="3"/>
  <c r="F720" i="3"/>
  <c r="G720" i="3" s="1"/>
  <c r="D720" i="3"/>
  <c r="F719" i="3"/>
  <c r="D719" i="3"/>
  <c r="F718" i="3"/>
  <c r="D718" i="3"/>
  <c r="F717" i="3"/>
  <c r="D717" i="3"/>
  <c r="F716" i="3"/>
  <c r="D716" i="3"/>
  <c r="F715" i="3"/>
  <c r="D715" i="3"/>
  <c r="F714" i="3"/>
  <c r="D714" i="3"/>
  <c r="F713" i="3"/>
  <c r="D713" i="3"/>
  <c r="F712" i="3"/>
  <c r="D712" i="3"/>
  <c r="F711" i="3"/>
  <c r="D711" i="3"/>
  <c r="F710" i="3"/>
  <c r="D710" i="3"/>
  <c r="F709" i="3"/>
  <c r="D709" i="3"/>
  <c r="F708" i="3"/>
  <c r="G708" i="3" s="1"/>
  <c r="D708" i="3"/>
  <c r="F707" i="3"/>
  <c r="D707" i="3"/>
  <c r="F706" i="3"/>
  <c r="D706" i="3"/>
  <c r="F705" i="3"/>
  <c r="G705" i="3" s="1"/>
  <c r="D705" i="3"/>
  <c r="F704" i="3"/>
  <c r="D704" i="3"/>
  <c r="F703" i="3"/>
  <c r="D703" i="3"/>
  <c r="F702" i="3"/>
  <c r="G702" i="3" s="1"/>
  <c r="D702" i="3"/>
  <c r="F701" i="3"/>
  <c r="D701" i="3"/>
  <c r="F700" i="3"/>
  <c r="G700" i="3" s="1"/>
  <c r="D700" i="3"/>
  <c r="F699" i="3"/>
  <c r="D699" i="3"/>
  <c r="F698" i="3"/>
  <c r="D698" i="3"/>
  <c r="F697" i="3"/>
  <c r="D697" i="3"/>
  <c r="F696" i="3"/>
  <c r="G696" i="3" s="1"/>
  <c r="D696" i="3"/>
  <c r="F695" i="3"/>
  <c r="D695" i="3"/>
  <c r="F694" i="3"/>
  <c r="D694" i="3"/>
  <c r="F693" i="3"/>
  <c r="D693" i="3"/>
  <c r="F692" i="3"/>
  <c r="D692" i="3"/>
  <c r="F691" i="3"/>
  <c r="D691" i="3"/>
  <c r="F690" i="3"/>
  <c r="D690" i="3"/>
  <c r="F689" i="3"/>
  <c r="D689" i="3"/>
  <c r="F688" i="3"/>
  <c r="G688" i="3" s="1"/>
  <c r="D688" i="3"/>
  <c r="F687" i="3"/>
  <c r="D687" i="3"/>
  <c r="F686" i="3"/>
  <c r="D686" i="3"/>
  <c r="F685" i="3"/>
  <c r="D685" i="3"/>
  <c r="F684" i="3"/>
  <c r="G684" i="3" s="1"/>
  <c r="D684" i="3"/>
  <c r="F683" i="3"/>
  <c r="D683" i="3"/>
  <c r="F682" i="3"/>
  <c r="D682" i="3"/>
  <c r="F681" i="3"/>
  <c r="D681" i="3"/>
  <c r="F680" i="3"/>
  <c r="D680" i="3"/>
  <c r="F679" i="3"/>
  <c r="D679" i="3"/>
  <c r="F678" i="3"/>
  <c r="D678" i="3"/>
  <c r="F677" i="3"/>
  <c r="D677" i="3"/>
  <c r="F676" i="3"/>
  <c r="D676" i="3"/>
  <c r="F675" i="3"/>
  <c r="D675" i="3"/>
  <c r="F674" i="3"/>
  <c r="D674" i="3"/>
  <c r="F673" i="3"/>
  <c r="D673" i="3"/>
  <c r="F672" i="3"/>
  <c r="G672" i="3" s="1"/>
  <c r="D672" i="3"/>
  <c r="F671" i="3"/>
  <c r="D671" i="3"/>
  <c r="F670" i="3"/>
  <c r="D670" i="3"/>
  <c r="F669" i="3"/>
  <c r="D669" i="3"/>
  <c r="F668" i="3"/>
  <c r="D668" i="3"/>
  <c r="F667" i="3"/>
  <c r="D667" i="3"/>
  <c r="F666" i="3"/>
  <c r="G666" i="3" s="1"/>
  <c r="D666" i="3"/>
  <c r="F665" i="3"/>
  <c r="D665" i="3"/>
  <c r="F664" i="3"/>
  <c r="D664" i="3"/>
  <c r="F663" i="3"/>
  <c r="D663" i="3"/>
  <c r="F662" i="3"/>
  <c r="D662" i="3"/>
  <c r="F661" i="3"/>
  <c r="D661" i="3"/>
  <c r="F660" i="3"/>
  <c r="G660" i="3" s="1"/>
  <c r="D660" i="3"/>
  <c r="F659" i="3"/>
  <c r="D659" i="3"/>
  <c r="F658" i="3"/>
  <c r="D658" i="3"/>
  <c r="F657" i="3"/>
  <c r="D657" i="3"/>
  <c r="F656" i="3"/>
  <c r="D656" i="3"/>
  <c r="F655" i="3"/>
  <c r="D655" i="3"/>
  <c r="F654" i="3"/>
  <c r="D654" i="3"/>
  <c r="F653" i="3"/>
  <c r="D653" i="3"/>
  <c r="F652" i="3"/>
  <c r="D652" i="3"/>
  <c r="F651" i="3"/>
  <c r="D651" i="3"/>
  <c r="F650" i="3"/>
  <c r="D650" i="3"/>
  <c r="F649" i="3"/>
  <c r="D649" i="3"/>
  <c r="F648" i="3"/>
  <c r="G648" i="3" s="1"/>
  <c r="D648" i="3"/>
  <c r="F647" i="3"/>
  <c r="D647" i="3"/>
  <c r="F646" i="3"/>
  <c r="D646" i="3"/>
  <c r="F645" i="3"/>
  <c r="D645" i="3"/>
  <c r="F644" i="3"/>
  <c r="D644" i="3"/>
  <c r="F643" i="3"/>
  <c r="D643" i="3"/>
  <c r="F642" i="3"/>
  <c r="G642" i="3" s="1"/>
  <c r="D642" i="3"/>
  <c r="F641" i="3"/>
  <c r="D641" i="3"/>
  <c r="F640" i="3"/>
  <c r="D640" i="3"/>
  <c r="F639" i="3"/>
  <c r="D639" i="3"/>
  <c r="F638" i="3"/>
  <c r="D638" i="3"/>
  <c r="F637" i="3"/>
  <c r="D637" i="3"/>
  <c r="F636" i="3"/>
  <c r="G636" i="3" s="1"/>
  <c r="D636" i="3"/>
  <c r="F635" i="3"/>
  <c r="D635" i="3"/>
  <c r="F634" i="3"/>
  <c r="D634" i="3"/>
  <c r="F633" i="3"/>
  <c r="D633" i="3"/>
  <c r="F632" i="3"/>
  <c r="D632" i="3"/>
  <c r="F631" i="3"/>
  <c r="D631" i="3"/>
  <c r="F630" i="3"/>
  <c r="D630" i="3"/>
  <c r="F629" i="3"/>
  <c r="D629" i="3"/>
  <c r="F628" i="3"/>
  <c r="D628" i="3"/>
  <c r="F627" i="3"/>
  <c r="D627" i="3"/>
  <c r="F626" i="3"/>
  <c r="D626" i="3"/>
  <c r="F625" i="3"/>
  <c r="D625" i="3"/>
  <c r="F624" i="3"/>
  <c r="G624" i="3" s="1"/>
  <c r="D624" i="3"/>
  <c r="F623" i="3"/>
  <c r="D623" i="3"/>
  <c r="F622" i="3"/>
  <c r="D622" i="3"/>
  <c r="F621" i="3"/>
  <c r="D621" i="3"/>
  <c r="F620" i="3"/>
  <c r="D620" i="3"/>
  <c r="F619" i="3"/>
  <c r="D619" i="3"/>
  <c r="F618" i="3"/>
  <c r="G618" i="3" s="1"/>
  <c r="D618" i="3"/>
  <c r="F617" i="3"/>
  <c r="D617" i="3"/>
  <c r="F616" i="3"/>
  <c r="D616" i="3"/>
  <c r="F615" i="3"/>
  <c r="D615" i="3"/>
  <c r="F614" i="3"/>
  <c r="D614" i="3"/>
  <c r="F613" i="3"/>
  <c r="D613" i="3"/>
  <c r="F612" i="3"/>
  <c r="G612" i="3" s="1"/>
  <c r="D612" i="3"/>
  <c r="F611" i="3"/>
  <c r="D611" i="3"/>
  <c r="F610" i="3"/>
  <c r="D610" i="3"/>
  <c r="F609" i="3"/>
  <c r="D609" i="3"/>
  <c r="F608" i="3"/>
  <c r="D608" i="3"/>
  <c r="F607" i="3"/>
  <c r="D607" i="3"/>
  <c r="F606" i="3"/>
  <c r="D606" i="3"/>
  <c r="F605" i="3"/>
  <c r="D605" i="3"/>
  <c r="F604" i="3"/>
  <c r="D604" i="3"/>
  <c r="F603" i="3"/>
  <c r="D603" i="3"/>
  <c r="F602" i="3"/>
  <c r="D602" i="3"/>
  <c r="F601" i="3"/>
  <c r="D601" i="3"/>
  <c r="F600" i="3"/>
  <c r="G600" i="3" s="1"/>
  <c r="D600" i="3"/>
  <c r="F599" i="3"/>
  <c r="D599" i="3"/>
  <c r="F598" i="3"/>
  <c r="D598" i="3"/>
  <c r="F597" i="3"/>
  <c r="D597" i="3"/>
  <c r="F596" i="3"/>
  <c r="D596" i="3"/>
  <c r="F595" i="3"/>
  <c r="D595" i="3"/>
  <c r="F594" i="3"/>
  <c r="G594" i="3" s="1"/>
  <c r="D594" i="3"/>
  <c r="F593" i="3"/>
  <c r="D593" i="3"/>
  <c r="F592" i="3"/>
  <c r="D592" i="3"/>
  <c r="F591" i="3"/>
  <c r="D591" i="3"/>
  <c r="F590" i="3"/>
  <c r="D590" i="3"/>
  <c r="F589" i="3"/>
  <c r="D589" i="3"/>
  <c r="F588" i="3"/>
  <c r="G588" i="3" s="1"/>
  <c r="D588" i="3"/>
  <c r="F587" i="3"/>
  <c r="D587" i="3"/>
  <c r="F586" i="3"/>
  <c r="D586" i="3"/>
  <c r="F585" i="3"/>
  <c r="D585" i="3"/>
  <c r="F584" i="3"/>
  <c r="D584" i="3"/>
  <c r="F583" i="3"/>
  <c r="D583" i="3"/>
  <c r="F582" i="3"/>
  <c r="D582" i="3"/>
  <c r="F581" i="3"/>
  <c r="D581" i="3"/>
  <c r="F580" i="3"/>
  <c r="D580" i="3"/>
  <c r="F579" i="3"/>
  <c r="D579" i="3"/>
  <c r="F578" i="3"/>
  <c r="D578" i="3"/>
  <c r="F577" i="3"/>
  <c r="D577" i="3"/>
  <c r="F576" i="3"/>
  <c r="G576" i="3" s="1"/>
  <c r="D576" i="3"/>
  <c r="F575" i="3"/>
  <c r="D575" i="3"/>
  <c r="F574" i="3"/>
  <c r="D574" i="3"/>
  <c r="F573" i="3"/>
  <c r="D573" i="3"/>
  <c r="F572" i="3"/>
  <c r="D572" i="3"/>
  <c r="F571" i="3"/>
  <c r="D571" i="3"/>
  <c r="F570" i="3"/>
  <c r="G570" i="3" s="1"/>
  <c r="D570" i="3"/>
  <c r="F569" i="3"/>
  <c r="D569" i="3"/>
  <c r="F568" i="3"/>
  <c r="D568" i="3"/>
  <c r="F567" i="3"/>
  <c r="D567" i="3"/>
  <c r="F566" i="3"/>
  <c r="D566" i="3"/>
  <c r="F565" i="3"/>
  <c r="D565" i="3"/>
  <c r="F564" i="3"/>
  <c r="G564" i="3" s="1"/>
  <c r="D564" i="3"/>
  <c r="F563" i="3"/>
  <c r="D563" i="3"/>
  <c r="F562" i="3"/>
  <c r="D562" i="3"/>
  <c r="F561" i="3"/>
  <c r="D561" i="3"/>
  <c r="F560" i="3"/>
  <c r="D560" i="3"/>
  <c r="F559" i="3"/>
  <c r="D559" i="3"/>
  <c r="F558" i="3"/>
  <c r="D558" i="3"/>
  <c r="F557" i="3"/>
  <c r="D557" i="3"/>
  <c r="F556" i="3"/>
  <c r="D556" i="3"/>
  <c r="F555" i="3"/>
  <c r="D555" i="3"/>
  <c r="F554" i="3"/>
  <c r="D554" i="3"/>
  <c r="F553" i="3"/>
  <c r="D553" i="3"/>
  <c r="F552" i="3"/>
  <c r="G552" i="3" s="1"/>
  <c r="D552" i="3"/>
  <c r="F551" i="3"/>
  <c r="D551" i="3"/>
  <c r="F550" i="3"/>
  <c r="D550" i="3"/>
  <c r="F549" i="3"/>
  <c r="D549" i="3"/>
  <c r="F548" i="3"/>
  <c r="D548" i="3"/>
  <c r="F547" i="3"/>
  <c r="D547" i="3"/>
  <c r="F546" i="3"/>
  <c r="D546" i="3"/>
  <c r="F545" i="3"/>
  <c r="D545" i="3"/>
  <c r="F544" i="3"/>
  <c r="D544" i="3"/>
  <c r="F543" i="3"/>
  <c r="D543" i="3"/>
  <c r="F542" i="3"/>
  <c r="D542" i="3"/>
  <c r="F541" i="3"/>
  <c r="D541" i="3"/>
  <c r="F540" i="3"/>
  <c r="G540" i="3" s="1"/>
  <c r="D540" i="3"/>
  <c r="F539" i="3"/>
  <c r="G539" i="3" s="1"/>
  <c r="D539" i="3"/>
  <c r="F538" i="3"/>
  <c r="D538" i="3"/>
  <c r="F537" i="3"/>
  <c r="D537" i="3"/>
  <c r="F536" i="3"/>
  <c r="D536" i="3"/>
  <c r="F535" i="3"/>
  <c r="D535" i="3"/>
  <c r="F534" i="3"/>
  <c r="D534" i="3"/>
  <c r="F533" i="3"/>
  <c r="D533" i="3"/>
  <c r="F532" i="3"/>
  <c r="D532" i="3"/>
  <c r="F531" i="3"/>
  <c r="D531" i="3"/>
  <c r="F530" i="3"/>
  <c r="D530" i="3"/>
  <c r="F529" i="3"/>
  <c r="D529" i="3"/>
  <c r="F528" i="3"/>
  <c r="G528" i="3" s="1"/>
  <c r="D528" i="3"/>
  <c r="F527" i="3"/>
  <c r="D527" i="3"/>
  <c r="F526" i="3"/>
  <c r="D526" i="3"/>
  <c r="F525" i="3"/>
  <c r="D525" i="3"/>
  <c r="F524" i="3"/>
  <c r="D524" i="3"/>
  <c r="F523" i="3"/>
  <c r="D523" i="3"/>
  <c r="F522" i="3"/>
  <c r="D522" i="3"/>
  <c r="F521" i="3"/>
  <c r="D521" i="3"/>
  <c r="F520" i="3"/>
  <c r="D520" i="3"/>
  <c r="F519" i="3"/>
  <c r="D519" i="3"/>
  <c r="F518" i="3"/>
  <c r="D518" i="3"/>
  <c r="F517" i="3"/>
  <c r="D517" i="3"/>
  <c r="F516" i="3"/>
  <c r="G516" i="3" s="1"/>
  <c r="D516" i="3"/>
  <c r="F515" i="3"/>
  <c r="D515" i="3"/>
  <c r="F514" i="3"/>
  <c r="D514" i="3"/>
  <c r="F513" i="3"/>
  <c r="G513" i="3" s="1"/>
  <c r="D513" i="3"/>
  <c r="F512" i="3"/>
  <c r="D512" i="3"/>
  <c r="F511" i="3"/>
  <c r="D511" i="3"/>
  <c r="F510" i="3"/>
  <c r="D510" i="3"/>
  <c r="F509" i="3"/>
  <c r="D509" i="3"/>
  <c r="F508" i="3"/>
  <c r="D508" i="3"/>
  <c r="F507" i="3"/>
  <c r="D507" i="3"/>
  <c r="F506" i="3"/>
  <c r="D506" i="3"/>
  <c r="F505" i="3"/>
  <c r="D505" i="3"/>
  <c r="F504" i="3"/>
  <c r="G504" i="3" s="1"/>
  <c r="D504" i="3"/>
  <c r="F503" i="3"/>
  <c r="D503" i="3"/>
  <c r="F502" i="3"/>
  <c r="D502" i="3"/>
  <c r="F501" i="3"/>
  <c r="D501" i="3"/>
  <c r="F500" i="3"/>
  <c r="D500" i="3"/>
  <c r="F499" i="3"/>
  <c r="D499" i="3"/>
  <c r="F498" i="3"/>
  <c r="D498" i="3"/>
  <c r="F497" i="3"/>
  <c r="D497" i="3"/>
  <c r="F496" i="3"/>
  <c r="D496" i="3"/>
  <c r="F495" i="3"/>
  <c r="D495" i="3"/>
  <c r="F494" i="3"/>
  <c r="D494" i="3"/>
  <c r="F493" i="3"/>
  <c r="D493" i="3"/>
  <c r="F492" i="3"/>
  <c r="G492" i="3" s="1"/>
  <c r="D492" i="3"/>
  <c r="F491" i="3"/>
  <c r="D491" i="3"/>
  <c r="F490" i="3"/>
  <c r="D490" i="3"/>
  <c r="F489" i="3"/>
  <c r="D489" i="3"/>
  <c r="F488" i="3"/>
  <c r="D488" i="3"/>
  <c r="F487" i="3"/>
  <c r="D487" i="3"/>
  <c r="F486" i="3"/>
  <c r="D486" i="3"/>
  <c r="F485" i="3"/>
  <c r="D485" i="3"/>
  <c r="F484" i="3"/>
  <c r="D484" i="3"/>
  <c r="F483" i="3"/>
  <c r="D483" i="3"/>
  <c r="F482" i="3"/>
  <c r="D482" i="3"/>
  <c r="F481" i="3"/>
  <c r="D481" i="3"/>
  <c r="F480" i="3"/>
  <c r="G480" i="3" s="1"/>
  <c r="D480" i="3"/>
  <c r="F479" i="3"/>
  <c r="D479" i="3"/>
  <c r="F478" i="3"/>
  <c r="D478" i="3"/>
  <c r="F477" i="3"/>
  <c r="D477" i="3"/>
  <c r="F476" i="3"/>
  <c r="D476" i="3"/>
  <c r="F475" i="3"/>
  <c r="D475" i="3"/>
  <c r="F474" i="3"/>
  <c r="D474" i="3"/>
  <c r="F473" i="3"/>
  <c r="D473" i="3"/>
  <c r="F472" i="3"/>
  <c r="D472" i="3"/>
  <c r="F471" i="3"/>
  <c r="D471" i="3"/>
  <c r="F470" i="3"/>
  <c r="D470" i="3"/>
  <c r="F469" i="3"/>
  <c r="D469" i="3"/>
  <c r="F468" i="3"/>
  <c r="G468" i="3" s="1"/>
  <c r="D468" i="3"/>
  <c r="F467" i="3"/>
  <c r="D467" i="3"/>
  <c r="F466" i="3"/>
  <c r="D466" i="3"/>
  <c r="F465" i="3"/>
  <c r="D465" i="3"/>
  <c r="F464" i="3"/>
  <c r="D464" i="3"/>
  <c r="F463" i="3"/>
  <c r="D463" i="3"/>
  <c r="F462" i="3"/>
  <c r="D462" i="3"/>
  <c r="F461" i="3"/>
  <c r="D461" i="3"/>
  <c r="F460" i="3"/>
  <c r="D460" i="3"/>
  <c r="F459" i="3"/>
  <c r="D459" i="3"/>
  <c r="F458" i="3"/>
  <c r="D458" i="3"/>
  <c r="F457" i="3"/>
  <c r="D457" i="3"/>
  <c r="F456" i="3"/>
  <c r="D456" i="3"/>
  <c r="F455" i="3"/>
  <c r="D455" i="3"/>
  <c r="F454" i="3"/>
  <c r="G454" i="3" s="1"/>
  <c r="D454" i="3"/>
  <c r="F453" i="3"/>
  <c r="D453" i="3"/>
  <c r="F452" i="3"/>
  <c r="D452" i="3"/>
  <c r="F451" i="3"/>
  <c r="D451" i="3"/>
  <c r="F450" i="3"/>
  <c r="D450" i="3"/>
  <c r="F449" i="3"/>
  <c r="D449" i="3"/>
  <c r="F448" i="3"/>
  <c r="D448" i="3"/>
  <c r="F447" i="3"/>
  <c r="D447" i="3"/>
  <c r="F446" i="3"/>
  <c r="D446" i="3"/>
  <c r="F445" i="3"/>
  <c r="D445" i="3"/>
  <c r="F444" i="3"/>
  <c r="G444" i="3" s="1"/>
  <c r="D444" i="3"/>
  <c r="F443" i="3"/>
  <c r="D443" i="3"/>
  <c r="F442" i="3"/>
  <c r="D442" i="3"/>
  <c r="F441" i="3"/>
  <c r="D441" i="3"/>
  <c r="F440" i="3"/>
  <c r="D440" i="3"/>
  <c r="F439" i="3"/>
  <c r="D439" i="3"/>
  <c r="F438" i="3"/>
  <c r="D438" i="3"/>
  <c r="F437" i="3"/>
  <c r="D437" i="3"/>
  <c r="F436" i="3"/>
  <c r="D436" i="3"/>
  <c r="F435" i="3"/>
  <c r="D435" i="3"/>
  <c r="F434" i="3"/>
  <c r="D434" i="3"/>
  <c r="F433" i="3"/>
  <c r="D433" i="3"/>
  <c r="F432" i="3"/>
  <c r="G432" i="3" s="1"/>
  <c r="D432" i="3"/>
  <c r="F431" i="3"/>
  <c r="D431" i="3"/>
  <c r="F430" i="3"/>
  <c r="D430" i="3"/>
  <c r="F429" i="3"/>
  <c r="G429" i="3" s="1"/>
  <c r="D429" i="3"/>
  <c r="F428" i="3"/>
  <c r="D428" i="3"/>
  <c r="F427" i="3"/>
  <c r="D427" i="3"/>
  <c r="F426" i="3"/>
  <c r="D426" i="3"/>
  <c r="F425" i="3"/>
  <c r="D425" i="3"/>
  <c r="F424" i="3"/>
  <c r="D424" i="3"/>
  <c r="F423" i="3"/>
  <c r="D423" i="3"/>
  <c r="F422" i="3"/>
  <c r="D422" i="3"/>
  <c r="F421" i="3"/>
  <c r="D421" i="3"/>
  <c r="F420" i="3"/>
  <c r="G420" i="3" s="1"/>
  <c r="D420" i="3"/>
  <c r="F419" i="3"/>
  <c r="D419" i="3"/>
  <c r="F418" i="3"/>
  <c r="D418" i="3"/>
  <c r="F417" i="3"/>
  <c r="D417" i="3"/>
  <c r="F416" i="3"/>
  <c r="D416" i="3"/>
  <c r="F415" i="3"/>
  <c r="D415" i="3"/>
  <c r="F414" i="3"/>
  <c r="D414" i="3"/>
  <c r="F413" i="3"/>
  <c r="D413" i="3"/>
  <c r="F412" i="3"/>
  <c r="D412" i="3"/>
  <c r="F411" i="3"/>
  <c r="D411" i="3"/>
  <c r="F410" i="3"/>
  <c r="D410" i="3"/>
  <c r="F409" i="3"/>
  <c r="D409" i="3"/>
  <c r="F408" i="3"/>
  <c r="G408" i="3" s="1"/>
  <c r="D408" i="3"/>
  <c r="F407" i="3"/>
  <c r="D407" i="3"/>
  <c r="F406" i="3"/>
  <c r="D406" i="3"/>
  <c r="F405" i="3"/>
  <c r="D405" i="3"/>
  <c r="F404" i="3"/>
  <c r="D404" i="3"/>
  <c r="F403" i="3"/>
  <c r="D403" i="3"/>
  <c r="F402" i="3"/>
  <c r="D402" i="3"/>
  <c r="F401" i="3"/>
  <c r="D401" i="3"/>
  <c r="F400" i="3"/>
  <c r="D400" i="3"/>
  <c r="F399" i="3"/>
  <c r="D399" i="3"/>
  <c r="F398" i="3"/>
  <c r="D398" i="3"/>
  <c r="F397" i="3"/>
  <c r="D397" i="3"/>
  <c r="F396" i="3"/>
  <c r="G396" i="3" s="1"/>
  <c r="D396" i="3"/>
  <c r="F395" i="3"/>
  <c r="G395" i="3" s="1"/>
  <c r="D395" i="3"/>
  <c r="F394" i="3"/>
  <c r="D394" i="3"/>
  <c r="F393" i="3"/>
  <c r="D393" i="3"/>
  <c r="F392" i="3"/>
  <c r="D392" i="3"/>
  <c r="F391" i="3"/>
  <c r="D391" i="3"/>
  <c r="F390" i="3"/>
  <c r="D390" i="3"/>
  <c r="F389" i="3"/>
  <c r="D389" i="3"/>
  <c r="F388" i="3"/>
  <c r="D388" i="3"/>
  <c r="F387" i="3"/>
  <c r="D387" i="3"/>
  <c r="F386" i="3"/>
  <c r="D386" i="3"/>
  <c r="F385" i="3"/>
  <c r="D385" i="3"/>
  <c r="F384" i="3"/>
  <c r="G384" i="3" s="1"/>
  <c r="D384" i="3"/>
  <c r="F383" i="3"/>
  <c r="D383" i="3"/>
  <c r="F382" i="3"/>
  <c r="D382" i="3"/>
  <c r="F381" i="3"/>
  <c r="D381" i="3"/>
  <c r="F380" i="3"/>
  <c r="D380" i="3"/>
  <c r="F379" i="3"/>
  <c r="D379" i="3"/>
  <c r="F378" i="3"/>
  <c r="D378" i="3"/>
  <c r="F377" i="3"/>
  <c r="D377" i="3"/>
  <c r="F376" i="3"/>
  <c r="D376" i="3"/>
  <c r="F375" i="3"/>
  <c r="D375" i="3"/>
  <c r="F374" i="3"/>
  <c r="D374" i="3"/>
  <c r="F373" i="3"/>
  <c r="D373" i="3"/>
  <c r="F372" i="3"/>
  <c r="G372" i="3" s="1"/>
  <c r="D372" i="3"/>
  <c r="F371" i="3"/>
  <c r="D371" i="3"/>
  <c r="F370" i="3"/>
  <c r="D370" i="3"/>
  <c r="F369" i="3"/>
  <c r="G369" i="3" s="1"/>
  <c r="D369" i="3"/>
  <c r="F368" i="3"/>
  <c r="D368" i="3"/>
  <c r="F367" i="3"/>
  <c r="D367" i="3"/>
  <c r="F366" i="3"/>
  <c r="D366" i="3"/>
  <c r="F365" i="3"/>
  <c r="D365" i="3"/>
  <c r="F364" i="3"/>
  <c r="D364" i="3"/>
  <c r="F363" i="3"/>
  <c r="D363" i="3"/>
  <c r="F362" i="3"/>
  <c r="D362" i="3"/>
  <c r="F361" i="3"/>
  <c r="D361" i="3"/>
  <c r="F360" i="3"/>
  <c r="G360" i="3" s="1"/>
  <c r="D360" i="3"/>
  <c r="F359" i="3"/>
  <c r="D359" i="3"/>
  <c r="F358" i="3"/>
  <c r="D358" i="3"/>
  <c r="F357" i="3"/>
  <c r="D357" i="3"/>
  <c r="F356" i="3"/>
  <c r="D356" i="3"/>
  <c r="F355" i="3"/>
  <c r="D355" i="3"/>
  <c r="F354" i="3"/>
  <c r="D354" i="3"/>
  <c r="F353" i="3"/>
  <c r="D353" i="3"/>
  <c r="F352" i="3"/>
  <c r="D352" i="3"/>
  <c r="F351" i="3"/>
  <c r="D351" i="3"/>
  <c r="F350" i="3"/>
  <c r="D350" i="3"/>
  <c r="F349" i="3"/>
  <c r="D349" i="3"/>
  <c r="F348" i="3"/>
  <c r="G348" i="3" s="1"/>
  <c r="D348" i="3"/>
  <c r="F347" i="3"/>
  <c r="D347" i="3"/>
  <c r="F346" i="3"/>
  <c r="D346" i="3"/>
  <c r="F345" i="3"/>
  <c r="D345" i="3"/>
  <c r="F344" i="3"/>
  <c r="D344" i="3"/>
  <c r="F343" i="3"/>
  <c r="D343" i="3"/>
  <c r="F342" i="3"/>
  <c r="D342" i="3"/>
  <c r="F341" i="3"/>
  <c r="D341" i="3"/>
  <c r="F340" i="3"/>
  <c r="D340" i="3"/>
  <c r="F339" i="3"/>
  <c r="D339" i="3"/>
  <c r="F338" i="3"/>
  <c r="D338" i="3"/>
  <c r="F337" i="3"/>
  <c r="D337" i="3"/>
  <c r="F336" i="3"/>
  <c r="G336" i="3" s="1"/>
  <c r="D336" i="3"/>
  <c r="F335" i="3"/>
  <c r="D335" i="3"/>
  <c r="F334" i="3"/>
  <c r="D334" i="3"/>
  <c r="F333" i="3"/>
  <c r="D333" i="3"/>
  <c r="F332" i="3"/>
  <c r="D332" i="3"/>
  <c r="F331" i="3"/>
  <c r="D331" i="3"/>
  <c r="F330" i="3"/>
  <c r="D330" i="3"/>
  <c r="F329" i="3"/>
  <c r="D329" i="3"/>
  <c r="F328" i="3"/>
  <c r="D328" i="3"/>
  <c r="F327" i="3"/>
  <c r="D327" i="3"/>
  <c r="F326" i="3"/>
  <c r="D326" i="3"/>
  <c r="F325" i="3"/>
  <c r="D325" i="3"/>
  <c r="F324" i="3"/>
  <c r="G324" i="3" s="1"/>
  <c r="D324" i="3"/>
  <c r="F323" i="3"/>
  <c r="D323" i="3"/>
  <c r="F322" i="3"/>
  <c r="D322" i="3"/>
  <c r="F321" i="3"/>
  <c r="D321" i="3"/>
  <c r="F320" i="3"/>
  <c r="D320" i="3"/>
  <c r="F319" i="3"/>
  <c r="D319" i="3"/>
  <c r="F318" i="3"/>
  <c r="D318" i="3"/>
  <c r="F317" i="3"/>
  <c r="D317" i="3"/>
  <c r="F316" i="3"/>
  <c r="D316" i="3"/>
  <c r="F315" i="3"/>
  <c r="D315" i="3"/>
  <c r="F314" i="3"/>
  <c r="D314" i="3"/>
  <c r="F313" i="3"/>
  <c r="D313" i="3"/>
  <c r="F312" i="3"/>
  <c r="D312" i="3"/>
  <c r="F311" i="3"/>
  <c r="D311" i="3"/>
  <c r="F310" i="3"/>
  <c r="D310" i="3"/>
  <c r="F309" i="3"/>
  <c r="D309" i="3"/>
  <c r="F308" i="3"/>
  <c r="D308" i="3"/>
  <c r="F307" i="3"/>
  <c r="D307" i="3"/>
  <c r="F306" i="3"/>
  <c r="D306" i="3"/>
  <c r="F305" i="3"/>
  <c r="D305" i="3"/>
  <c r="F304" i="3"/>
  <c r="D304" i="3"/>
  <c r="F303" i="3"/>
  <c r="D303" i="3"/>
  <c r="F302" i="3"/>
  <c r="D302" i="3"/>
  <c r="F301" i="3"/>
  <c r="D301" i="3"/>
  <c r="F300" i="3"/>
  <c r="G300" i="3" s="1"/>
  <c r="D300" i="3"/>
  <c r="F299" i="3"/>
  <c r="D299" i="3"/>
  <c r="F298" i="3"/>
  <c r="D298" i="3"/>
  <c r="F297" i="3"/>
  <c r="D297" i="3"/>
  <c r="F296" i="3"/>
  <c r="D296" i="3"/>
  <c r="F295" i="3"/>
  <c r="D295" i="3"/>
  <c r="F294" i="3"/>
  <c r="D294" i="3"/>
  <c r="F293" i="3"/>
  <c r="D293" i="3"/>
  <c r="F292" i="3"/>
  <c r="D292" i="3"/>
  <c r="F291" i="3"/>
  <c r="D291" i="3"/>
  <c r="F290" i="3"/>
  <c r="D290" i="3"/>
  <c r="F289" i="3"/>
  <c r="D289" i="3"/>
  <c r="F288" i="3"/>
  <c r="G288" i="3" s="1"/>
  <c r="D288" i="3"/>
  <c r="F287" i="3"/>
  <c r="D287" i="3"/>
  <c r="F286" i="3"/>
  <c r="D286" i="3"/>
  <c r="F285" i="3"/>
  <c r="G285" i="3" s="1"/>
  <c r="D285" i="3"/>
  <c r="F284" i="3"/>
  <c r="D284" i="3"/>
  <c r="F283" i="3"/>
  <c r="D283" i="3"/>
  <c r="F282" i="3"/>
  <c r="D282" i="3"/>
  <c r="F281" i="3"/>
  <c r="D281" i="3"/>
  <c r="F280" i="3"/>
  <c r="D280" i="3"/>
  <c r="F279" i="3"/>
  <c r="D279" i="3"/>
  <c r="F278" i="3"/>
  <c r="D278" i="3"/>
  <c r="F277" i="3"/>
  <c r="D277" i="3"/>
  <c r="F276" i="3"/>
  <c r="G276" i="3" s="1"/>
  <c r="D276" i="3"/>
  <c r="F275" i="3"/>
  <c r="G275" i="3" s="1"/>
  <c r="D275" i="3"/>
  <c r="F274" i="3"/>
  <c r="D274" i="3"/>
  <c r="F273" i="3"/>
  <c r="D273" i="3"/>
  <c r="F272" i="3"/>
  <c r="D272" i="3"/>
  <c r="F271" i="3"/>
  <c r="D271" i="3"/>
  <c r="F270" i="3"/>
  <c r="D270" i="3"/>
  <c r="F269" i="3"/>
  <c r="D269" i="3"/>
  <c r="F268" i="3"/>
  <c r="D268" i="3"/>
  <c r="F267" i="3"/>
  <c r="D267" i="3"/>
  <c r="F266" i="3"/>
  <c r="D266" i="3"/>
  <c r="F265" i="3"/>
  <c r="D265" i="3"/>
  <c r="F264" i="3"/>
  <c r="G264" i="3" s="1"/>
  <c r="D264" i="3"/>
  <c r="F263" i="3"/>
  <c r="G263" i="3" s="1"/>
  <c r="D263" i="3"/>
  <c r="F262" i="3"/>
  <c r="G262" i="3" s="1"/>
  <c r="D262" i="3"/>
  <c r="F261" i="3"/>
  <c r="G261" i="3" s="1"/>
  <c r="D261" i="3"/>
  <c r="F260" i="3"/>
  <c r="D260" i="3"/>
  <c r="F259" i="3"/>
  <c r="D259" i="3"/>
  <c r="F258" i="3"/>
  <c r="D258" i="3"/>
  <c r="F257" i="3"/>
  <c r="D257" i="3"/>
  <c r="F256" i="3"/>
  <c r="D256" i="3"/>
  <c r="F255" i="3"/>
  <c r="D255" i="3"/>
  <c r="F254" i="3"/>
  <c r="D254" i="3"/>
  <c r="F253" i="3"/>
  <c r="D253" i="3"/>
  <c r="F252" i="3"/>
  <c r="G252" i="3" s="1"/>
  <c r="D252" i="3"/>
  <c r="F251" i="3"/>
  <c r="G251" i="3" s="1"/>
  <c r="D251" i="3"/>
  <c r="F250" i="3"/>
  <c r="G250" i="3" s="1"/>
  <c r="D250" i="3"/>
  <c r="F249" i="3"/>
  <c r="G249" i="3" s="1"/>
  <c r="D249" i="3"/>
  <c r="F248" i="3"/>
  <c r="D248" i="3"/>
  <c r="F247" i="3"/>
  <c r="D247" i="3"/>
  <c r="F246" i="3"/>
  <c r="D246" i="3"/>
  <c r="F245" i="3"/>
  <c r="D245" i="3"/>
  <c r="F244" i="3"/>
  <c r="D244" i="3"/>
  <c r="F243" i="3"/>
  <c r="D243" i="3"/>
  <c r="F242" i="3"/>
  <c r="D242" i="3"/>
  <c r="F241" i="3"/>
  <c r="D241" i="3"/>
  <c r="F240" i="3"/>
  <c r="D240" i="3"/>
  <c r="F239" i="3"/>
  <c r="D239" i="3"/>
  <c r="F238" i="3"/>
  <c r="D238" i="3"/>
  <c r="F237" i="3"/>
  <c r="D237" i="3"/>
  <c r="F236" i="3"/>
  <c r="D236" i="3"/>
  <c r="F235" i="3"/>
  <c r="D235" i="3"/>
  <c r="F234" i="3"/>
  <c r="D234" i="3"/>
  <c r="F233" i="3"/>
  <c r="D233" i="3"/>
  <c r="F232" i="3"/>
  <c r="D232" i="3"/>
  <c r="F231" i="3"/>
  <c r="D231" i="3"/>
  <c r="F230" i="3"/>
  <c r="D230" i="3"/>
  <c r="F229" i="3"/>
  <c r="D229" i="3"/>
  <c r="F228" i="3"/>
  <c r="D228" i="3"/>
  <c r="F227" i="3"/>
  <c r="D227" i="3"/>
  <c r="F226" i="3"/>
  <c r="D226" i="3"/>
  <c r="F225" i="3"/>
  <c r="D225" i="3"/>
  <c r="F224" i="3"/>
  <c r="D224" i="3"/>
  <c r="F223" i="3"/>
  <c r="D223" i="3"/>
  <c r="F222" i="3"/>
  <c r="D222" i="3"/>
  <c r="F221" i="3"/>
  <c r="D221" i="3"/>
  <c r="F220" i="3"/>
  <c r="D220" i="3"/>
  <c r="F219" i="3"/>
  <c r="D219" i="3"/>
  <c r="F218" i="3"/>
  <c r="D218" i="3"/>
  <c r="F217" i="3"/>
  <c r="D217" i="3"/>
  <c r="F216" i="3"/>
  <c r="G216" i="3" s="1"/>
  <c r="D216" i="3"/>
  <c r="F215" i="3"/>
  <c r="D215" i="3"/>
  <c r="F214" i="3"/>
  <c r="D214" i="3"/>
  <c r="F213" i="3"/>
  <c r="D213" i="3"/>
  <c r="F212" i="3"/>
  <c r="D212" i="3"/>
  <c r="F211" i="3"/>
  <c r="D211" i="3"/>
  <c r="F210" i="3"/>
  <c r="D210" i="3"/>
  <c r="F209" i="3"/>
  <c r="D209" i="3"/>
  <c r="F208" i="3"/>
  <c r="D208" i="3"/>
  <c r="F207" i="3"/>
  <c r="D207" i="3"/>
  <c r="F206" i="3"/>
  <c r="D206" i="3"/>
  <c r="F205" i="3"/>
  <c r="D205" i="3"/>
  <c r="F204" i="3"/>
  <c r="G204" i="3" s="1"/>
  <c r="D204" i="3"/>
  <c r="F203" i="3"/>
  <c r="G203" i="3" s="1"/>
  <c r="D203" i="3"/>
  <c r="F202" i="3"/>
  <c r="D202" i="3"/>
  <c r="F201" i="3"/>
  <c r="D201" i="3"/>
  <c r="F200" i="3"/>
  <c r="D200" i="3"/>
  <c r="F199" i="3"/>
  <c r="D199" i="3"/>
  <c r="F198" i="3"/>
  <c r="D198" i="3"/>
  <c r="F197" i="3"/>
  <c r="D197" i="3"/>
  <c r="F196" i="3"/>
  <c r="D196" i="3"/>
  <c r="F195" i="3"/>
  <c r="D195" i="3"/>
  <c r="F194" i="3"/>
  <c r="D194" i="3"/>
  <c r="F193" i="3"/>
  <c r="D193" i="3"/>
  <c r="F192" i="3"/>
  <c r="D192" i="3"/>
  <c r="F191" i="3"/>
  <c r="D191" i="3"/>
  <c r="F190" i="3"/>
  <c r="D190" i="3"/>
  <c r="F189" i="3"/>
  <c r="D189" i="3"/>
  <c r="F188" i="3"/>
  <c r="D188" i="3"/>
  <c r="F187" i="3"/>
  <c r="D187" i="3"/>
  <c r="F186" i="3"/>
  <c r="D186" i="3"/>
  <c r="F185" i="3"/>
  <c r="D185" i="3"/>
  <c r="F184" i="3"/>
  <c r="D184" i="3"/>
  <c r="F183" i="3"/>
  <c r="D183" i="3"/>
  <c r="F182" i="3"/>
  <c r="D182" i="3"/>
  <c r="F181" i="3"/>
  <c r="D181" i="3"/>
  <c r="F180" i="3"/>
  <c r="G180" i="3" s="1"/>
  <c r="D180" i="3"/>
  <c r="F179" i="3"/>
  <c r="G179" i="3" s="1"/>
  <c r="D179" i="3"/>
  <c r="F178" i="3"/>
  <c r="D178" i="3"/>
  <c r="F177" i="3"/>
  <c r="G177" i="3" s="1"/>
  <c r="D177" i="3"/>
  <c r="F176" i="3"/>
  <c r="D176" i="3"/>
  <c r="F175" i="3"/>
  <c r="D175" i="3"/>
  <c r="F174" i="3"/>
  <c r="D174" i="3"/>
  <c r="F173" i="3"/>
  <c r="D173" i="3"/>
  <c r="F172" i="3"/>
  <c r="D172" i="3"/>
  <c r="F171" i="3"/>
  <c r="D171" i="3"/>
  <c r="F170" i="3"/>
  <c r="D170" i="3"/>
  <c r="F169" i="3"/>
  <c r="D169" i="3"/>
  <c r="F168" i="3"/>
  <c r="D168" i="3"/>
  <c r="F167" i="3"/>
  <c r="D167" i="3"/>
  <c r="F166" i="3"/>
  <c r="D166" i="3"/>
  <c r="F165" i="3"/>
  <c r="D165" i="3"/>
  <c r="F164" i="3"/>
  <c r="D164" i="3"/>
  <c r="F163" i="3"/>
  <c r="D163" i="3"/>
  <c r="F162" i="3"/>
  <c r="D162" i="3"/>
  <c r="F161" i="3"/>
  <c r="D161" i="3"/>
  <c r="F160" i="3"/>
  <c r="D160" i="3"/>
  <c r="F159" i="3"/>
  <c r="D159" i="3"/>
  <c r="F158" i="3"/>
  <c r="D158" i="3"/>
  <c r="F157" i="3"/>
  <c r="D157" i="3"/>
  <c r="F156" i="3"/>
  <c r="D156" i="3"/>
  <c r="F155" i="3"/>
  <c r="D155" i="3"/>
  <c r="F154" i="3"/>
  <c r="D154" i="3"/>
  <c r="F153" i="3"/>
  <c r="D153" i="3"/>
  <c r="F152" i="3"/>
  <c r="D152" i="3"/>
  <c r="F151" i="3"/>
  <c r="D151" i="3"/>
  <c r="F150" i="3"/>
  <c r="D150" i="3"/>
  <c r="F149" i="3"/>
  <c r="D149" i="3"/>
  <c r="F148" i="3"/>
  <c r="D148" i="3"/>
  <c r="F147" i="3"/>
  <c r="D147" i="3"/>
  <c r="F146" i="3"/>
  <c r="D146" i="3"/>
  <c r="F145" i="3"/>
  <c r="D145" i="3"/>
  <c r="F144" i="3"/>
  <c r="D144" i="3"/>
  <c r="F143" i="3"/>
  <c r="D143" i="3"/>
  <c r="F142" i="3"/>
  <c r="D142" i="3"/>
  <c r="F141" i="3"/>
  <c r="G141" i="3" s="1"/>
  <c r="D141" i="3"/>
  <c r="F140" i="3"/>
  <c r="D140" i="3"/>
  <c r="D139" i="3"/>
  <c r="F138" i="3"/>
  <c r="D138" i="3"/>
  <c r="F137" i="3"/>
  <c r="D137" i="3"/>
  <c r="F136" i="3"/>
  <c r="D136" i="3"/>
  <c r="F135" i="3"/>
  <c r="D135" i="3"/>
  <c r="F134" i="3"/>
  <c r="D134" i="3"/>
  <c r="F133" i="3"/>
  <c r="D133" i="3"/>
  <c r="F132" i="3"/>
  <c r="G132" i="3" s="1"/>
  <c r="D132" i="3"/>
  <c r="F131" i="3"/>
  <c r="D131" i="3"/>
  <c r="F130" i="3"/>
  <c r="D130" i="3"/>
  <c r="F129" i="3"/>
  <c r="D129" i="3"/>
  <c r="F128" i="3"/>
  <c r="D128" i="3"/>
  <c r="F127" i="3"/>
  <c r="D127" i="3"/>
  <c r="F126" i="3"/>
  <c r="D126" i="3"/>
  <c r="F125" i="3"/>
  <c r="D125" i="3"/>
  <c r="F124" i="3"/>
  <c r="D124" i="3"/>
  <c r="F123" i="3"/>
  <c r="D123" i="3"/>
  <c r="F122" i="3"/>
  <c r="D122" i="3"/>
  <c r="F121" i="3"/>
  <c r="D121" i="3"/>
  <c r="F120" i="3"/>
  <c r="G120" i="3" s="1"/>
  <c r="D120" i="3"/>
  <c r="F119" i="3"/>
  <c r="D119" i="3"/>
  <c r="F118" i="3"/>
  <c r="D118" i="3"/>
  <c r="F117" i="3"/>
  <c r="G117" i="3" s="1"/>
  <c r="D117" i="3"/>
  <c r="F116" i="3"/>
  <c r="D116" i="3"/>
  <c r="F115" i="3"/>
  <c r="D115" i="3"/>
  <c r="F114" i="3"/>
  <c r="D114" i="3"/>
  <c r="F113" i="3"/>
  <c r="D113" i="3"/>
  <c r="F112" i="3"/>
  <c r="D112" i="3"/>
  <c r="F111" i="3"/>
  <c r="D111" i="3"/>
  <c r="F110" i="3"/>
  <c r="D110" i="3"/>
  <c r="F109" i="3"/>
  <c r="D109" i="3"/>
  <c r="F108" i="3"/>
  <c r="D108" i="3"/>
  <c r="F107" i="3"/>
  <c r="D107" i="3"/>
  <c r="F106" i="3"/>
  <c r="D106" i="3"/>
  <c r="F105" i="3"/>
  <c r="D105" i="3"/>
  <c r="F104" i="3"/>
  <c r="D104" i="3"/>
  <c r="F103" i="3"/>
  <c r="D103" i="3"/>
  <c r="F102" i="3"/>
  <c r="D102" i="3"/>
  <c r="F101" i="3"/>
  <c r="D101" i="3"/>
  <c r="F100" i="3"/>
  <c r="D100" i="3"/>
  <c r="F99" i="3"/>
  <c r="D99" i="3"/>
  <c r="F98" i="3"/>
  <c r="D98" i="3"/>
  <c r="F97" i="3"/>
  <c r="D97" i="3"/>
  <c r="F96" i="3"/>
  <c r="G96" i="3" s="1"/>
  <c r="D96" i="3"/>
  <c r="F95" i="3"/>
  <c r="D95" i="3"/>
  <c r="F94" i="3"/>
  <c r="D94" i="3"/>
  <c r="F93" i="3"/>
  <c r="G93" i="3" s="1"/>
  <c r="D93" i="3"/>
  <c r="F92" i="3"/>
  <c r="D92" i="3"/>
  <c r="F91" i="3"/>
  <c r="D91" i="3"/>
  <c r="F90" i="3"/>
  <c r="D90" i="3"/>
  <c r="F89" i="3"/>
  <c r="D89" i="3"/>
  <c r="F88" i="3"/>
  <c r="D88" i="3"/>
  <c r="F87" i="3"/>
  <c r="D87" i="3"/>
  <c r="F86" i="3"/>
  <c r="D86" i="3"/>
  <c r="F85" i="3"/>
  <c r="D85" i="3"/>
  <c r="F84" i="3"/>
  <c r="D84" i="3"/>
  <c r="F83" i="3"/>
  <c r="D83" i="3"/>
  <c r="F82" i="3"/>
  <c r="D82" i="3"/>
  <c r="F81" i="3"/>
  <c r="D81" i="3"/>
  <c r="F80" i="3"/>
  <c r="D80" i="3"/>
  <c r="F79" i="3"/>
  <c r="D79" i="3"/>
  <c r="F78" i="3"/>
  <c r="D78" i="3"/>
  <c r="F77" i="3"/>
  <c r="D77" i="3"/>
  <c r="F76" i="3"/>
  <c r="D76" i="3"/>
  <c r="F75" i="3"/>
  <c r="D75" i="3"/>
  <c r="F74" i="3"/>
  <c r="D74" i="3"/>
  <c r="F73" i="3"/>
  <c r="D73" i="3"/>
  <c r="F72" i="3"/>
  <c r="G72" i="3" s="1"/>
  <c r="D72" i="3"/>
  <c r="F71" i="3"/>
  <c r="D71" i="3"/>
  <c r="F70" i="3"/>
  <c r="D70" i="3"/>
  <c r="F69" i="3"/>
  <c r="D69" i="3"/>
  <c r="F68" i="3"/>
  <c r="D68" i="3"/>
  <c r="F67" i="3"/>
  <c r="D67" i="3"/>
  <c r="F66" i="3"/>
  <c r="D66" i="3"/>
  <c r="F65" i="3"/>
  <c r="D65" i="3"/>
  <c r="F64" i="3"/>
  <c r="D64" i="3"/>
  <c r="F63" i="3"/>
  <c r="D63" i="3"/>
  <c r="F62" i="3"/>
  <c r="D62" i="3"/>
  <c r="F61" i="3"/>
  <c r="D61" i="3"/>
  <c r="F60" i="3"/>
  <c r="D60" i="3"/>
  <c r="F59" i="3"/>
  <c r="D59" i="3"/>
  <c r="F58" i="3"/>
  <c r="D58" i="3"/>
  <c r="F57" i="3"/>
  <c r="D57" i="3"/>
  <c r="F56" i="3"/>
  <c r="D56" i="3"/>
  <c r="F55" i="3"/>
  <c r="D55" i="3"/>
  <c r="F54" i="3"/>
  <c r="D54" i="3"/>
  <c r="F53" i="3"/>
  <c r="D53" i="3"/>
  <c r="F52" i="3"/>
  <c r="D52" i="3"/>
  <c r="F51" i="3"/>
  <c r="D51" i="3"/>
  <c r="F50" i="3"/>
  <c r="D50" i="3"/>
  <c r="F49" i="3"/>
  <c r="D49" i="3"/>
  <c r="F48" i="3"/>
  <c r="G48" i="3" s="1"/>
  <c r="D48" i="3"/>
  <c r="F47" i="3"/>
  <c r="D47" i="3"/>
  <c r="F46" i="3"/>
  <c r="D46" i="3"/>
  <c r="F45" i="3"/>
  <c r="G45" i="3" s="1"/>
  <c r="D45" i="3"/>
  <c r="F44" i="3"/>
  <c r="D44" i="3"/>
  <c r="F43" i="3"/>
  <c r="D43" i="3"/>
  <c r="F42" i="3"/>
  <c r="D42" i="3"/>
  <c r="F41" i="3"/>
  <c r="D41" i="3"/>
  <c r="F40" i="3"/>
  <c r="D40" i="3"/>
  <c r="F39" i="3"/>
  <c r="D39" i="3"/>
  <c r="F38" i="3"/>
  <c r="D38" i="3"/>
  <c r="F37" i="3"/>
  <c r="D37" i="3"/>
  <c r="F36" i="3"/>
  <c r="D36" i="3"/>
  <c r="F35" i="3"/>
  <c r="D35" i="3"/>
  <c r="F34" i="3"/>
  <c r="D34" i="3"/>
  <c r="F33" i="3"/>
  <c r="D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G24" i="3" s="1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3" i="3"/>
  <c r="D3" i="3"/>
  <c r="F2" i="3"/>
  <c r="D2" i="3"/>
  <c r="C2" i="1"/>
  <c r="L2" i="1"/>
  <c r="K310" i="1"/>
  <c r="K418" i="1"/>
  <c r="K454" i="1"/>
  <c r="H100" i="1"/>
  <c r="I100" i="1" s="1"/>
  <c r="H103" i="1"/>
  <c r="I103" i="1" s="1"/>
  <c r="H112" i="1"/>
  <c r="I112" i="1" s="1"/>
  <c r="M112" i="1" s="1"/>
  <c r="AG112" i="1" s="1"/>
  <c r="H172" i="1"/>
  <c r="I172" i="1" s="1"/>
  <c r="M172" i="1" s="1"/>
  <c r="AG172" i="1" s="1"/>
  <c r="H175" i="1"/>
  <c r="I175" i="1" s="1"/>
  <c r="H184" i="1"/>
  <c r="I184" i="1" s="1"/>
  <c r="H244" i="1"/>
  <c r="I244" i="1" s="1"/>
  <c r="M244" i="1" s="1"/>
  <c r="AG244" i="1" s="1"/>
  <c r="H247" i="1"/>
  <c r="I247" i="1" s="1"/>
  <c r="H256" i="1"/>
  <c r="I256" i="1" s="1"/>
  <c r="M256" i="1" s="1"/>
  <c r="AG256" i="1" s="1"/>
  <c r="H316" i="1"/>
  <c r="I316" i="1" s="1"/>
  <c r="H319" i="1"/>
  <c r="I319" i="1" s="1"/>
  <c r="H328" i="1"/>
  <c r="I328" i="1" s="1"/>
  <c r="M328" i="1" s="1"/>
  <c r="AG328" i="1" s="1"/>
  <c r="H388" i="1"/>
  <c r="I388" i="1" s="1"/>
  <c r="M388" i="1" s="1"/>
  <c r="AG388" i="1" s="1"/>
  <c r="H391" i="1"/>
  <c r="I391" i="1" s="1"/>
  <c r="H400" i="1"/>
  <c r="I400" i="1" s="1"/>
  <c r="H460" i="1"/>
  <c r="I460" i="1" s="1"/>
  <c r="M460" i="1" s="1"/>
  <c r="AG460" i="1" s="1"/>
  <c r="H463" i="1"/>
  <c r="I463" i="1" s="1"/>
  <c r="H472" i="1"/>
  <c r="I472" i="1" s="1"/>
  <c r="M472" i="1" s="1"/>
  <c r="AG472" i="1" s="1"/>
  <c r="H532" i="1"/>
  <c r="I532" i="1" s="1"/>
  <c r="M532" i="1" s="1"/>
  <c r="AG532" i="1" s="1"/>
  <c r="H535" i="1"/>
  <c r="I535" i="1" s="1"/>
  <c r="H544" i="1"/>
  <c r="I544" i="1" s="1"/>
  <c r="M544" i="1" s="1"/>
  <c r="AG544" i="1" s="1"/>
  <c r="H604" i="1"/>
  <c r="I604" i="1" s="1"/>
  <c r="H607" i="1"/>
  <c r="I607" i="1" s="1"/>
  <c r="H616" i="1"/>
  <c r="I616" i="1" s="1"/>
  <c r="M616" i="1" s="1"/>
  <c r="AG616" i="1" s="1"/>
  <c r="H676" i="1"/>
  <c r="I676" i="1" s="1"/>
  <c r="M676" i="1" s="1"/>
  <c r="AG676" i="1" s="1"/>
  <c r="H679" i="1"/>
  <c r="I679" i="1" s="1"/>
  <c r="H688" i="1"/>
  <c r="I688" i="1" s="1"/>
  <c r="D3" i="1"/>
  <c r="K3" i="1" s="1"/>
  <c r="L3" i="1" s="1"/>
  <c r="D4" i="1"/>
  <c r="K4" i="1" s="1"/>
  <c r="D5" i="1"/>
  <c r="K5" i="1" s="1"/>
  <c r="D6" i="1"/>
  <c r="K6" i="1" s="1"/>
  <c r="D7" i="1"/>
  <c r="K7" i="1" s="1"/>
  <c r="D8" i="1"/>
  <c r="D9" i="1"/>
  <c r="D10" i="1"/>
  <c r="K10" i="1" s="1"/>
  <c r="D11" i="1"/>
  <c r="K11" i="1" s="1"/>
  <c r="D12" i="1"/>
  <c r="K12" i="1" s="1"/>
  <c r="D13" i="1"/>
  <c r="K13" i="1" s="1"/>
  <c r="D14" i="1"/>
  <c r="K14" i="1" s="1"/>
  <c r="D15" i="1"/>
  <c r="D16" i="1"/>
  <c r="D17" i="1"/>
  <c r="K17" i="1" s="1"/>
  <c r="D18" i="1"/>
  <c r="K18" i="1" s="1"/>
  <c r="D19" i="1"/>
  <c r="K19" i="1" s="1"/>
  <c r="D20" i="1"/>
  <c r="K20" i="1" s="1"/>
  <c r="D21" i="1"/>
  <c r="K21" i="1" s="1"/>
  <c r="D22" i="1"/>
  <c r="M22" i="1" s="1"/>
  <c r="D23" i="1"/>
  <c r="D24" i="1"/>
  <c r="K24" i="1" s="1"/>
  <c r="D25" i="1"/>
  <c r="K25" i="1" s="1"/>
  <c r="D26" i="1"/>
  <c r="K26" i="1" s="1"/>
  <c r="D27" i="1"/>
  <c r="K27" i="1" s="1"/>
  <c r="D28" i="1"/>
  <c r="K28" i="1" s="1"/>
  <c r="D29" i="1"/>
  <c r="D30" i="1"/>
  <c r="K30" i="1" s="1"/>
  <c r="D31" i="1"/>
  <c r="K31" i="1" s="1"/>
  <c r="D32" i="1"/>
  <c r="K32" i="1" s="1"/>
  <c r="D33" i="1"/>
  <c r="K33" i="1" s="1"/>
  <c r="D34" i="1"/>
  <c r="K34" i="1" s="1"/>
  <c r="D35" i="1"/>
  <c r="K35" i="1" s="1"/>
  <c r="D36" i="1"/>
  <c r="D37" i="1"/>
  <c r="D38" i="1"/>
  <c r="K38" i="1" s="1"/>
  <c r="D39" i="1"/>
  <c r="K39" i="1" s="1"/>
  <c r="D40" i="1"/>
  <c r="K40" i="1" s="1"/>
  <c r="D41" i="1"/>
  <c r="K41" i="1" s="1"/>
  <c r="D42" i="1"/>
  <c r="K42" i="1" s="1"/>
  <c r="D43" i="1"/>
  <c r="D44" i="1"/>
  <c r="D45" i="1"/>
  <c r="K45" i="1" s="1"/>
  <c r="D46" i="1"/>
  <c r="K46" i="1" s="1"/>
  <c r="D47" i="1"/>
  <c r="K47" i="1" s="1"/>
  <c r="D48" i="1"/>
  <c r="K48" i="1" s="1"/>
  <c r="D49" i="1"/>
  <c r="K49" i="1" s="1"/>
  <c r="D50" i="1"/>
  <c r="D51" i="1"/>
  <c r="D52" i="1"/>
  <c r="K52" i="1" s="1"/>
  <c r="D53" i="1"/>
  <c r="K53" i="1" s="1"/>
  <c r="D54" i="1"/>
  <c r="K54" i="1" s="1"/>
  <c r="D55" i="1"/>
  <c r="K55" i="1" s="1"/>
  <c r="D56" i="1"/>
  <c r="K56" i="1" s="1"/>
  <c r="D57" i="1"/>
  <c r="D58" i="1"/>
  <c r="M58" i="1" s="1"/>
  <c r="D59" i="1"/>
  <c r="K59" i="1" s="1"/>
  <c r="D60" i="1"/>
  <c r="K60" i="1" s="1"/>
  <c r="D61" i="1"/>
  <c r="K61" i="1" s="1"/>
  <c r="D62" i="1"/>
  <c r="K62" i="1" s="1"/>
  <c r="D63" i="1"/>
  <c r="K63" i="1" s="1"/>
  <c r="D64" i="1"/>
  <c r="D65" i="1"/>
  <c r="D66" i="1"/>
  <c r="K66" i="1" s="1"/>
  <c r="D67" i="1"/>
  <c r="K67" i="1" s="1"/>
  <c r="D68" i="1"/>
  <c r="K68" i="1" s="1"/>
  <c r="D69" i="1"/>
  <c r="K69" i="1" s="1"/>
  <c r="D70" i="1"/>
  <c r="K70" i="1" s="1"/>
  <c r="D71" i="1"/>
  <c r="D72" i="1"/>
  <c r="K72" i="1" s="1"/>
  <c r="D73" i="1"/>
  <c r="K73" i="1" s="1"/>
  <c r="D74" i="1"/>
  <c r="K74" i="1" s="1"/>
  <c r="D75" i="1"/>
  <c r="K75" i="1" s="1"/>
  <c r="D76" i="1"/>
  <c r="K76" i="1" s="1"/>
  <c r="D77" i="1"/>
  <c r="K77" i="1" s="1"/>
  <c r="D78" i="1"/>
  <c r="D79" i="1"/>
  <c r="D80" i="1"/>
  <c r="K80" i="1" s="1"/>
  <c r="D81" i="1"/>
  <c r="K81" i="1" s="1"/>
  <c r="D82" i="1"/>
  <c r="K82" i="1" s="1"/>
  <c r="D83" i="1"/>
  <c r="K83" i="1" s="1"/>
  <c r="D84" i="1"/>
  <c r="K84" i="1" s="1"/>
  <c r="D85" i="1"/>
  <c r="D86" i="1"/>
  <c r="D87" i="1"/>
  <c r="K87" i="1" s="1"/>
  <c r="D88" i="1"/>
  <c r="K88" i="1" s="1"/>
  <c r="D89" i="1"/>
  <c r="K89" i="1" s="1"/>
  <c r="D90" i="1"/>
  <c r="K90" i="1" s="1"/>
  <c r="D91" i="1"/>
  <c r="K91" i="1" s="1"/>
  <c r="D92" i="1"/>
  <c r="D93" i="1"/>
  <c r="D94" i="1"/>
  <c r="K94" i="1" s="1"/>
  <c r="D95" i="1"/>
  <c r="K95" i="1" s="1"/>
  <c r="D96" i="1"/>
  <c r="K96" i="1" s="1"/>
  <c r="D97" i="1"/>
  <c r="K97" i="1" s="1"/>
  <c r="D98" i="1"/>
  <c r="K98" i="1" s="1"/>
  <c r="D99" i="1"/>
  <c r="D100" i="1"/>
  <c r="D101" i="1"/>
  <c r="K101" i="1" s="1"/>
  <c r="D102" i="1"/>
  <c r="K102" i="1" s="1"/>
  <c r="D103" i="1"/>
  <c r="K103" i="1" s="1"/>
  <c r="D104" i="1"/>
  <c r="K104" i="1" s="1"/>
  <c r="D105" i="1"/>
  <c r="K105" i="1" s="1"/>
  <c r="D106" i="1"/>
  <c r="M106" i="1" s="1"/>
  <c r="D107" i="1"/>
  <c r="D108" i="1"/>
  <c r="K108" i="1" s="1"/>
  <c r="D109" i="1"/>
  <c r="K109" i="1" s="1"/>
  <c r="D110" i="1"/>
  <c r="K110" i="1" s="1"/>
  <c r="D111" i="1"/>
  <c r="K111" i="1" s="1"/>
  <c r="D112" i="1"/>
  <c r="K112" i="1" s="1"/>
  <c r="D113" i="1"/>
  <c r="D114" i="1"/>
  <c r="K114" i="1" s="1"/>
  <c r="D115" i="1"/>
  <c r="K115" i="1" s="1"/>
  <c r="D116" i="1"/>
  <c r="K116" i="1" s="1"/>
  <c r="D117" i="1"/>
  <c r="K117" i="1" s="1"/>
  <c r="D118" i="1"/>
  <c r="K118" i="1" s="1"/>
  <c r="D119" i="1"/>
  <c r="K119" i="1" s="1"/>
  <c r="D120" i="1"/>
  <c r="D121" i="1"/>
  <c r="D122" i="1"/>
  <c r="K122" i="1" s="1"/>
  <c r="D123" i="1"/>
  <c r="K123" i="1" s="1"/>
  <c r="D124" i="1"/>
  <c r="K124" i="1" s="1"/>
  <c r="D125" i="1"/>
  <c r="K125" i="1" s="1"/>
  <c r="D126" i="1"/>
  <c r="K126" i="1" s="1"/>
  <c r="D127" i="1"/>
  <c r="D128" i="1"/>
  <c r="D129" i="1"/>
  <c r="K129" i="1" s="1"/>
  <c r="D130" i="1"/>
  <c r="K130" i="1" s="1"/>
  <c r="D131" i="1"/>
  <c r="K131" i="1" s="1"/>
  <c r="D132" i="1"/>
  <c r="K132" i="1" s="1"/>
  <c r="D133" i="1"/>
  <c r="K133" i="1" s="1"/>
  <c r="D134" i="1"/>
  <c r="D135" i="1"/>
  <c r="D136" i="1"/>
  <c r="K136" i="1" s="1"/>
  <c r="D137" i="1"/>
  <c r="K137" i="1" s="1"/>
  <c r="D138" i="1"/>
  <c r="K138" i="1" s="1"/>
  <c r="D139" i="1"/>
  <c r="K139" i="1" s="1"/>
  <c r="D140" i="1"/>
  <c r="K140" i="1" s="1"/>
  <c r="D141" i="1"/>
  <c r="D142" i="1"/>
  <c r="M142" i="1" s="1"/>
  <c r="D143" i="1"/>
  <c r="K143" i="1" s="1"/>
  <c r="D144" i="1"/>
  <c r="K144" i="1" s="1"/>
  <c r="D145" i="1"/>
  <c r="K145" i="1" s="1"/>
  <c r="D146" i="1"/>
  <c r="K146" i="1" s="1"/>
  <c r="D147" i="1"/>
  <c r="K147" i="1" s="1"/>
  <c r="D148" i="1"/>
  <c r="D149" i="1"/>
  <c r="D150" i="1"/>
  <c r="K150" i="1" s="1"/>
  <c r="D151" i="1"/>
  <c r="K151" i="1" s="1"/>
  <c r="D152" i="1"/>
  <c r="K152" i="1" s="1"/>
  <c r="D153" i="1"/>
  <c r="K153" i="1" s="1"/>
  <c r="D154" i="1"/>
  <c r="K154" i="1" s="1"/>
  <c r="D155" i="1"/>
  <c r="D156" i="1"/>
  <c r="K156" i="1" s="1"/>
  <c r="D157" i="1"/>
  <c r="K157" i="1" s="1"/>
  <c r="D158" i="1"/>
  <c r="K158" i="1" s="1"/>
  <c r="D159" i="1"/>
  <c r="K159" i="1" s="1"/>
  <c r="D160" i="1"/>
  <c r="K160" i="1" s="1"/>
  <c r="D161" i="1"/>
  <c r="K161" i="1" s="1"/>
  <c r="D162" i="1"/>
  <c r="D163" i="1"/>
  <c r="D164" i="1"/>
  <c r="K164" i="1" s="1"/>
  <c r="D165" i="1"/>
  <c r="K165" i="1" s="1"/>
  <c r="D166" i="1"/>
  <c r="K166" i="1" s="1"/>
  <c r="D167" i="1"/>
  <c r="K167" i="1" s="1"/>
  <c r="D168" i="1"/>
  <c r="K168" i="1" s="1"/>
  <c r="D169" i="1"/>
  <c r="D170" i="1"/>
  <c r="D171" i="1"/>
  <c r="K171" i="1" s="1"/>
  <c r="D172" i="1"/>
  <c r="K172" i="1" s="1"/>
  <c r="D173" i="1"/>
  <c r="K173" i="1" s="1"/>
  <c r="D174" i="1"/>
  <c r="K174" i="1" s="1"/>
  <c r="D175" i="1"/>
  <c r="K175" i="1" s="1"/>
  <c r="D176" i="1"/>
  <c r="D177" i="1"/>
  <c r="D178" i="1"/>
  <c r="K178" i="1" s="1"/>
  <c r="D179" i="1"/>
  <c r="K179" i="1" s="1"/>
  <c r="D180" i="1"/>
  <c r="K180" i="1" s="1"/>
  <c r="D181" i="1"/>
  <c r="K181" i="1" s="1"/>
  <c r="D182" i="1"/>
  <c r="K182" i="1" s="1"/>
  <c r="D183" i="1"/>
  <c r="D184" i="1"/>
  <c r="D185" i="1"/>
  <c r="K185" i="1" s="1"/>
  <c r="D186" i="1"/>
  <c r="K186" i="1" s="1"/>
  <c r="D187" i="1"/>
  <c r="K187" i="1" s="1"/>
  <c r="D188" i="1"/>
  <c r="K188" i="1" s="1"/>
  <c r="D189" i="1"/>
  <c r="K189" i="1" s="1"/>
  <c r="D190" i="1"/>
  <c r="M190" i="1" s="1"/>
  <c r="D191" i="1"/>
  <c r="D192" i="1"/>
  <c r="K192" i="1" s="1"/>
  <c r="D193" i="1"/>
  <c r="K193" i="1" s="1"/>
  <c r="D194" i="1"/>
  <c r="K194" i="1" s="1"/>
  <c r="D195" i="1"/>
  <c r="K195" i="1" s="1"/>
  <c r="D196" i="1"/>
  <c r="K196" i="1" s="1"/>
  <c r="D197" i="1"/>
  <c r="D198" i="1"/>
  <c r="K198" i="1" s="1"/>
  <c r="D199" i="1"/>
  <c r="K199" i="1" s="1"/>
  <c r="D200" i="1"/>
  <c r="K200" i="1" s="1"/>
  <c r="D201" i="1"/>
  <c r="K201" i="1" s="1"/>
  <c r="D202" i="1"/>
  <c r="K202" i="1" s="1"/>
  <c r="D203" i="1"/>
  <c r="K203" i="1" s="1"/>
  <c r="D204" i="1"/>
  <c r="D205" i="1"/>
  <c r="D206" i="1"/>
  <c r="K206" i="1" s="1"/>
  <c r="D207" i="1"/>
  <c r="K207" i="1" s="1"/>
  <c r="D208" i="1"/>
  <c r="K208" i="1" s="1"/>
  <c r="D209" i="1"/>
  <c r="K209" i="1" s="1"/>
  <c r="D210" i="1"/>
  <c r="K210" i="1" s="1"/>
  <c r="D211" i="1"/>
  <c r="D212" i="1"/>
  <c r="D213" i="1"/>
  <c r="K213" i="1" s="1"/>
  <c r="D214" i="1"/>
  <c r="K214" i="1" s="1"/>
  <c r="D215" i="1"/>
  <c r="K215" i="1" s="1"/>
  <c r="D216" i="1"/>
  <c r="K216" i="1" s="1"/>
  <c r="D217" i="1"/>
  <c r="K217" i="1" s="1"/>
  <c r="D218" i="1"/>
  <c r="D219" i="1"/>
  <c r="D220" i="1"/>
  <c r="K220" i="1" s="1"/>
  <c r="D221" i="1"/>
  <c r="K221" i="1" s="1"/>
  <c r="D222" i="1"/>
  <c r="K222" i="1" s="1"/>
  <c r="D223" i="1"/>
  <c r="K223" i="1" s="1"/>
  <c r="D224" i="1"/>
  <c r="K224" i="1" s="1"/>
  <c r="D225" i="1"/>
  <c r="D226" i="1"/>
  <c r="M226" i="1" s="1"/>
  <c r="D227" i="1"/>
  <c r="K227" i="1" s="1"/>
  <c r="D228" i="1"/>
  <c r="K228" i="1" s="1"/>
  <c r="D229" i="1"/>
  <c r="K229" i="1" s="1"/>
  <c r="D230" i="1"/>
  <c r="K230" i="1" s="1"/>
  <c r="D231" i="1"/>
  <c r="K231" i="1" s="1"/>
  <c r="D232" i="1"/>
  <c r="D233" i="1"/>
  <c r="D234" i="1"/>
  <c r="K234" i="1" s="1"/>
  <c r="D235" i="1"/>
  <c r="K235" i="1" s="1"/>
  <c r="D236" i="1"/>
  <c r="K236" i="1" s="1"/>
  <c r="D237" i="1"/>
  <c r="K237" i="1" s="1"/>
  <c r="D238" i="1"/>
  <c r="K238" i="1" s="1"/>
  <c r="D239" i="1"/>
  <c r="D240" i="1"/>
  <c r="K240" i="1" s="1"/>
  <c r="D241" i="1"/>
  <c r="K241" i="1" s="1"/>
  <c r="D242" i="1"/>
  <c r="K242" i="1" s="1"/>
  <c r="D243" i="1"/>
  <c r="K243" i="1" s="1"/>
  <c r="D244" i="1"/>
  <c r="K244" i="1" s="1"/>
  <c r="D245" i="1"/>
  <c r="K245" i="1" s="1"/>
  <c r="D246" i="1"/>
  <c r="D247" i="1"/>
  <c r="D248" i="1"/>
  <c r="K248" i="1" s="1"/>
  <c r="D249" i="1"/>
  <c r="K249" i="1" s="1"/>
  <c r="D250" i="1"/>
  <c r="K250" i="1" s="1"/>
  <c r="D251" i="1"/>
  <c r="K251" i="1" s="1"/>
  <c r="D252" i="1"/>
  <c r="K252" i="1" s="1"/>
  <c r="D253" i="1"/>
  <c r="D254" i="1"/>
  <c r="D255" i="1"/>
  <c r="K255" i="1" s="1"/>
  <c r="D256" i="1"/>
  <c r="K256" i="1" s="1"/>
  <c r="D257" i="1"/>
  <c r="K257" i="1" s="1"/>
  <c r="D258" i="1"/>
  <c r="K258" i="1" s="1"/>
  <c r="D259" i="1"/>
  <c r="K259" i="1" s="1"/>
  <c r="D260" i="1"/>
  <c r="D261" i="1"/>
  <c r="D262" i="1"/>
  <c r="K262" i="1" s="1"/>
  <c r="D263" i="1"/>
  <c r="K263" i="1" s="1"/>
  <c r="D264" i="1"/>
  <c r="K264" i="1" s="1"/>
  <c r="D265" i="1"/>
  <c r="K265" i="1" s="1"/>
  <c r="D266" i="1"/>
  <c r="K266" i="1" s="1"/>
  <c r="D267" i="1"/>
  <c r="D268" i="1"/>
  <c r="D269" i="1"/>
  <c r="K269" i="1" s="1"/>
  <c r="D270" i="1"/>
  <c r="K270" i="1" s="1"/>
  <c r="D271" i="1"/>
  <c r="K271" i="1" s="1"/>
  <c r="D272" i="1"/>
  <c r="K272" i="1" s="1"/>
  <c r="D273" i="1"/>
  <c r="K273" i="1" s="1"/>
  <c r="D274" i="1"/>
  <c r="M274" i="1" s="1"/>
  <c r="D275" i="1"/>
  <c r="D276" i="1"/>
  <c r="K276" i="1" s="1"/>
  <c r="D277" i="1"/>
  <c r="K277" i="1" s="1"/>
  <c r="D278" i="1"/>
  <c r="K278" i="1" s="1"/>
  <c r="D279" i="1"/>
  <c r="K279" i="1" s="1"/>
  <c r="D280" i="1"/>
  <c r="K280" i="1" s="1"/>
  <c r="D281" i="1"/>
  <c r="D282" i="1"/>
  <c r="K282" i="1" s="1"/>
  <c r="D283" i="1"/>
  <c r="K283" i="1" s="1"/>
  <c r="D284" i="1"/>
  <c r="K284" i="1" s="1"/>
  <c r="D285" i="1"/>
  <c r="K285" i="1" s="1"/>
  <c r="D286" i="1"/>
  <c r="K286" i="1" s="1"/>
  <c r="D287" i="1"/>
  <c r="K287" i="1" s="1"/>
  <c r="D288" i="1"/>
  <c r="D289" i="1"/>
  <c r="D290" i="1"/>
  <c r="K290" i="1" s="1"/>
  <c r="D291" i="1"/>
  <c r="K291" i="1" s="1"/>
  <c r="D292" i="1"/>
  <c r="K292" i="1" s="1"/>
  <c r="D293" i="1"/>
  <c r="K293" i="1" s="1"/>
  <c r="D294" i="1"/>
  <c r="K294" i="1" s="1"/>
  <c r="D295" i="1"/>
  <c r="D296" i="1"/>
  <c r="D297" i="1"/>
  <c r="K297" i="1" s="1"/>
  <c r="D298" i="1"/>
  <c r="K298" i="1" s="1"/>
  <c r="D299" i="1"/>
  <c r="K299" i="1" s="1"/>
  <c r="D300" i="1"/>
  <c r="K300" i="1" s="1"/>
  <c r="D301" i="1"/>
  <c r="K301" i="1" s="1"/>
  <c r="D302" i="1"/>
  <c r="D303" i="1"/>
  <c r="D304" i="1"/>
  <c r="K304" i="1" s="1"/>
  <c r="D305" i="1"/>
  <c r="K305" i="1" s="1"/>
  <c r="D306" i="1"/>
  <c r="K306" i="1" s="1"/>
  <c r="D307" i="1"/>
  <c r="K307" i="1" s="1"/>
  <c r="D308" i="1"/>
  <c r="K308" i="1" s="1"/>
  <c r="D309" i="1"/>
  <c r="D310" i="1"/>
  <c r="M310" i="1" s="1"/>
  <c r="D311" i="1"/>
  <c r="K311" i="1" s="1"/>
  <c r="D312" i="1"/>
  <c r="K312" i="1" s="1"/>
  <c r="D313" i="1"/>
  <c r="K313" i="1" s="1"/>
  <c r="D314" i="1"/>
  <c r="K314" i="1" s="1"/>
  <c r="D315" i="1"/>
  <c r="K315" i="1" s="1"/>
  <c r="D316" i="1"/>
  <c r="D317" i="1"/>
  <c r="D318" i="1"/>
  <c r="K318" i="1" s="1"/>
  <c r="D319" i="1"/>
  <c r="K319" i="1" s="1"/>
  <c r="D320" i="1"/>
  <c r="K320" i="1" s="1"/>
  <c r="D321" i="1"/>
  <c r="K321" i="1" s="1"/>
  <c r="D322" i="1"/>
  <c r="K322" i="1" s="1"/>
  <c r="D323" i="1"/>
  <c r="D324" i="1"/>
  <c r="K324" i="1" s="1"/>
  <c r="D325" i="1"/>
  <c r="K325" i="1" s="1"/>
  <c r="D326" i="1"/>
  <c r="K326" i="1" s="1"/>
  <c r="D327" i="1"/>
  <c r="K327" i="1" s="1"/>
  <c r="D328" i="1"/>
  <c r="K328" i="1" s="1"/>
  <c r="D329" i="1"/>
  <c r="K329" i="1" s="1"/>
  <c r="D330" i="1"/>
  <c r="D331" i="1"/>
  <c r="D332" i="1"/>
  <c r="K332" i="1" s="1"/>
  <c r="D333" i="1"/>
  <c r="K333" i="1" s="1"/>
  <c r="D334" i="1"/>
  <c r="K334" i="1" s="1"/>
  <c r="D335" i="1"/>
  <c r="K335" i="1" s="1"/>
  <c r="D336" i="1"/>
  <c r="K336" i="1" s="1"/>
  <c r="D337" i="1"/>
  <c r="D338" i="1"/>
  <c r="D339" i="1"/>
  <c r="K339" i="1" s="1"/>
  <c r="D340" i="1"/>
  <c r="K340" i="1" s="1"/>
  <c r="D341" i="1"/>
  <c r="K341" i="1" s="1"/>
  <c r="D342" i="1"/>
  <c r="K342" i="1" s="1"/>
  <c r="D343" i="1"/>
  <c r="K343" i="1" s="1"/>
  <c r="D344" i="1"/>
  <c r="D345" i="1"/>
  <c r="D346" i="1"/>
  <c r="K346" i="1" s="1"/>
  <c r="D347" i="1"/>
  <c r="K347" i="1" s="1"/>
  <c r="D348" i="1"/>
  <c r="K348" i="1" s="1"/>
  <c r="D349" i="1"/>
  <c r="K349" i="1" s="1"/>
  <c r="D350" i="1"/>
  <c r="K350" i="1" s="1"/>
  <c r="D351" i="1"/>
  <c r="D352" i="1"/>
  <c r="D353" i="1"/>
  <c r="K353" i="1" s="1"/>
  <c r="D354" i="1"/>
  <c r="K354" i="1" s="1"/>
  <c r="D355" i="1"/>
  <c r="K355" i="1" s="1"/>
  <c r="D356" i="1"/>
  <c r="K356" i="1" s="1"/>
  <c r="D357" i="1"/>
  <c r="K357" i="1" s="1"/>
  <c r="D358" i="1"/>
  <c r="M358" i="1" s="1"/>
  <c r="D359" i="1"/>
  <c r="D360" i="1"/>
  <c r="K360" i="1" s="1"/>
  <c r="D361" i="1"/>
  <c r="K361" i="1" s="1"/>
  <c r="D362" i="1"/>
  <c r="K362" i="1" s="1"/>
  <c r="D363" i="1"/>
  <c r="K363" i="1" s="1"/>
  <c r="D364" i="1"/>
  <c r="K364" i="1" s="1"/>
  <c r="D365" i="1"/>
  <c r="D366" i="1"/>
  <c r="K366" i="1" s="1"/>
  <c r="D367" i="1"/>
  <c r="K367" i="1" s="1"/>
  <c r="D368" i="1"/>
  <c r="K368" i="1" s="1"/>
  <c r="D369" i="1"/>
  <c r="K369" i="1" s="1"/>
  <c r="D370" i="1"/>
  <c r="K370" i="1" s="1"/>
  <c r="D371" i="1"/>
  <c r="K371" i="1" s="1"/>
  <c r="D372" i="1"/>
  <c r="D373" i="1"/>
  <c r="D374" i="1"/>
  <c r="K374" i="1" s="1"/>
  <c r="D375" i="1"/>
  <c r="K375" i="1" s="1"/>
  <c r="D376" i="1"/>
  <c r="K376" i="1" s="1"/>
  <c r="D377" i="1"/>
  <c r="K377" i="1" s="1"/>
  <c r="D378" i="1"/>
  <c r="K378" i="1" s="1"/>
  <c r="D379" i="1"/>
  <c r="D380" i="1"/>
  <c r="D381" i="1"/>
  <c r="K381" i="1" s="1"/>
  <c r="D382" i="1"/>
  <c r="K382" i="1" s="1"/>
  <c r="D383" i="1"/>
  <c r="K383" i="1" s="1"/>
  <c r="D384" i="1"/>
  <c r="K384" i="1" s="1"/>
  <c r="D385" i="1"/>
  <c r="K385" i="1" s="1"/>
  <c r="D386" i="1"/>
  <c r="D387" i="1"/>
  <c r="D388" i="1"/>
  <c r="K388" i="1" s="1"/>
  <c r="D389" i="1"/>
  <c r="K389" i="1" s="1"/>
  <c r="D390" i="1"/>
  <c r="K390" i="1" s="1"/>
  <c r="D391" i="1"/>
  <c r="K391" i="1" s="1"/>
  <c r="D392" i="1"/>
  <c r="K392" i="1" s="1"/>
  <c r="D393" i="1"/>
  <c r="D394" i="1"/>
  <c r="M394" i="1" s="1"/>
  <c r="D395" i="1"/>
  <c r="K395" i="1" s="1"/>
  <c r="D396" i="1"/>
  <c r="K396" i="1" s="1"/>
  <c r="D397" i="1"/>
  <c r="K397" i="1" s="1"/>
  <c r="D398" i="1"/>
  <c r="K398" i="1" s="1"/>
  <c r="D399" i="1"/>
  <c r="K399" i="1" s="1"/>
  <c r="D400" i="1"/>
  <c r="D401" i="1"/>
  <c r="D402" i="1"/>
  <c r="K402" i="1" s="1"/>
  <c r="D403" i="1"/>
  <c r="K403" i="1" s="1"/>
  <c r="D404" i="1"/>
  <c r="K404" i="1" s="1"/>
  <c r="D405" i="1"/>
  <c r="K405" i="1" s="1"/>
  <c r="D406" i="1"/>
  <c r="K406" i="1" s="1"/>
  <c r="D407" i="1"/>
  <c r="D408" i="1"/>
  <c r="K408" i="1" s="1"/>
  <c r="D409" i="1"/>
  <c r="K409" i="1" s="1"/>
  <c r="D410" i="1"/>
  <c r="K410" i="1" s="1"/>
  <c r="D411" i="1"/>
  <c r="K411" i="1" s="1"/>
  <c r="D412" i="1"/>
  <c r="K412" i="1" s="1"/>
  <c r="D413" i="1"/>
  <c r="K413" i="1" s="1"/>
  <c r="D414" i="1"/>
  <c r="D415" i="1"/>
  <c r="D416" i="1"/>
  <c r="K416" i="1" s="1"/>
  <c r="D417" i="1"/>
  <c r="K417" i="1" s="1"/>
  <c r="D418" i="1"/>
  <c r="D419" i="1"/>
  <c r="K419" i="1" s="1"/>
  <c r="D420" i="1"/>
  <c r="K420" i="1" s="1"/>
  <c r="D421" i="1"/>
  <c r="D422" i="1"/>
  <c r="D423" i="1"/>
  <c r="K423" i="1" s="1"/>
  <c r="D424" i="1"/>
  <c r="K424" i="1" s="1"/>
  <c r="D425" i="1"/>
  <c r="K425" i="1" s="1"/>
  <c r="D426" i="1"/>
  <c r="K426" i="1" s="1"/>
  <c r="D427" i="1"/>
  <c r="K427" i="1" s="1"/>
  <c r="D428" i="1"/>
  <c r="D429" i="1"/>
  <c r="D430" i="1"/>
  <c r="K430" i="1" s="1"/>
  <c r="D431" i="1"/>
  <c r="K431" i="1" s="1"/>
  <c r="D432" i="1"/>
  <c r="K432" i="1" s="1"/>
  <c r="D433" i="1"/>
  <c r="K433" i="1" s="1"/>
  <c r="D434" i="1"/>
  <c r="K434" i="1" s="1"/>
  <c r="D435" i="1"/>
  <c r="D436" i="1"/>
  <c r="D437" i="1"/>
  <c r="K437" i="1" s="1"/>
  <c r="D438" i="1"/>
  <c r="K438" i="1" s="1"/>
  <c r="D439" i="1"/>
  <c r="K439" i="1" s="1"/>
  <c r="D440" i="1"/>
  <c r="K440" i="1" s="1"/>
  <c r="D441" i="1"/>
  <c r="K441" i="1" s="1"/>
  <c r="D442" i="1"/>
  <c r="M442" i="1" s="1"/>
  <c r="D443" i="1"/>
  <c r="D444" i="1"/>
  <c r="K444" i="1" s="1"/>
  <c r="D445" i="1"/>
  <c r="K445" i="1" s="1"/>
  <c r="D446" i="1"/>
  <c r="K446" i="1" s="1"/>
  <c r="D447" i="1"/>
  <c r="K447" i="1" s="1"/>
  <c r="D448" i="1"/>
  <c r="K448" i="1" s="1"/>
  <c r="D449" i="1"/>
  <c r="D450" i="1"/>
  <c r="K450" i="1" s="1"/>
  <c r="D451" i="1"/>
  <c r="K451" i="1" s="1"/>
  <c r="D452" i="1"/>
  <c r="K452" i="1" s="1"/>
  <c r="D453" i="1"/>
  <c r="K453" i="1" s="1"/>
  <c r="D454" i="1"/>
  <c r="D455" i="1"/>
  <c r="K455" i="1" s="1"/>
  <c r="D456" i="1"/>
  <c r="D457" i="1"/>
  <c r="D458" i="1"/>
  <c r="K458" i="1" s="1"/>
  <c r="D459" i="1"/>
  <c r="K459" i="1" s="1"/>
  <c r="D460" i="1"/>
  <c r="K460" i="1" s="1"/>
  <c r="D461" i="1"/>
  <c r="K461" i="1" s="1"/>
  <c r="D462" i="1"/>
  <c r="K462" i="1" s="1"/>
  <c r="D463" i="1"/>
  <c r="D464" i="1"/>
  <c r="D465" i="1"/>
  <c r="K465" i="1" s="1"/>
  <c r="D466" i="1"/>
  <c r="K466" i="1" s="1"/>
  <c r="D467" i="1"/>
  <c r="K467" i="1" s="1"/>
  <c r="D468" i="1"/>
  <c r="K468" i="1" s="1"/>
  <c r="D469" i="1"/>
  <c r="K469" i="1" s="1"/>
  <c r="D470" i="1"/>
  <c r="D471" i="1"/>
  <c r="D472" i="1"/>
  <c r="K472" i="1" s="1"/>
  <c r="D473" i="1"/>
  <c r="K473" i="1" s="1"/>
  <c r="D474" i="1"/>
  <c r="K474" i="1" s="1"/>
  <c r="D475" i="1"/>
  <c r="K475" i="1" s="1"/>
  <c r="D476" i="1"/>
  <c r="K476" i="1" s="1"/>
  <c r="D477" i="1"/>
  <c r="D478" i="1"/>
  <c r="M478" i="1" s="1"/>
  <c r="D479" i="1"/>
  <c r="K479" i="1" s="1"/>
  <c r="D480" i="1"/>
  <c r="K480" i="1" s="1"/>
  <c r="D481" i="1"/>
  <c r="K481" i="1" s="1"/>
  <c r="D482" i="1"/>
  <c r="K482" i="1" s="1"/>
  <c r="D483" i="1"/>
  <c r="K483" i="1" s="1"/>
  <c r="D484" i="1"/>
  <c r="D485" i="1"/>
  <c r="D486" i="1"/>
  <c r="K486" i="1" s="1"/>
  <c r="D487" i="1"/>
  <c r="K487" i="1" s="1"/>
  <c r="D488" i="1"/>
  <c r="K488" i="1" s="1"/>
  <c r="D489" i="1"/>
  <c r="K489" i="1" s="1"/>
  <c r="D490" i="1"/>
  <c r="K490" i="1" s="1"/>
  <c r="D491" i="1"/>
  <c r="D492" i="1"/>
  <c r="K492" i="1" s="1"/>
  <c r="D493" i="1"/>
  <c r="K493" i="1" s="1"/>
  <c r="D494" i="1"/>
  <c r="K494" i="1" s="1"/>
  <c r="D495" i="1"/>
  <c r="K495" i="1" s="1"/>
  <c r="D496" i="1"/>
  <c r="K496" i="1" s="1"/>
  <c r="D497" i="1"/>
  <c r="K497" i="1" s="1"/>
  <c r="D498" i="1"/>
  <c r="D499" i="1"/>
  <c r="D500" i="1"/>
  <c r="K500" i="1" s="1"/>
  <c r="D501" i="1"/>
  <c r="K501" i="1" s="1"/>
  <c r="D502" i="1"/>
  <c r="K502" i="1" s="1"/>
  <c r="D503" i="1"/>
  <c r="K503" i="1" s="1"/>
  <c r="D504" i="1"/>
  <c r="K504" i="1" s="1"/>
  <c r="D505" i="1"/>
  <c r="D506" i="1"/>
  <c r="D507" i="1"/>
  <c r="K507" i="1" s="1"/>
  <c r="D508" i="1"/>
  <c r="K508" i="1" s="1"/>
  <c r="D509" i="1"/>
  <c r="K509" i="1" s="1"/>
  <c r="D510" i="1"/>
  <c r="K510" i="1" s="1"/>
  <c r="D511" i="1"/>
  <c r="K511" i="1" s="1"/>
  <c r="D512" i="1"/>
  <c r="D513" i="1"/>
  <c r="D514" i="1"/>
  <c r="K514" i="1" s="1"/>
  <c r="D515" i="1"/>
  <c r="K515" i="1" s="1"/>
  <c r="D516" i="1"/>
  <c r="K516" i="1" s="1"/>
  <c r="D517" i="1"/>
  <c r="K517" i="1" s="1"/>
  <c r="D518" i="1"/>
  <c r="K518" i="1" s="1"/>
  <c r="D519" i="1"/>
  <c r="D520" i="1"/>
  <c r="D521" i="1"/>
  <c r="K521" i="1" s="1"/>
  <c r="D522" i="1"/>
  <c r="K522" i="1" s="1"/>
  <c r="D523" i="1"/>
  <c r="K523" i="1" s="1"/>
  <c r="D524" i="1"/>
  <c r="K524" i="1" s="1"/>
  <c r="D525" i="1"/>
  <c r="K525" i="1" s="1"/>
  <c r="D526" i="1"/>
  <c r="M526" i="1" s="1"/>
  <c r="D527" i="1"/>
  <c r="D528" i="1"/>
  <c r="K528" i="1" s="1"/>
  <c r="D529" i="1"/>
  <c r="K529" i="1" s="1"/>
  <c r="D530" i="1"/>
  <c r="K530" i="1" s="1"/>
  <c r="D531" i="1"/>
  <c r="K531" i="1" s="1"/>
  <c r="D532" i="1"/>
  <c r="K532" i="1" s="1"/>
  <c r="D533" i="1"/>
  <c r="D534" i="1"/>
  <c r="K534" i="1" s="1"/>
  <c r="D535" i="1"/>
  <c r="K535" i="1" s="1"/>
  <c r="D536" i="1"/>
  <c r="K536" i="1" s="1"/>
  <c r="D537" i="1"/>
  <c r="K537" i="1" s="1"/>
  <c r="D538" i="1"/>
  <c r="K538" i="1" s="1"/>
  <c r="D539" i="1"/>
  <c r="K539" i="1" s="1"/>
  <c r="D540" i="1"/>
  <c r="D541" i="1"/>
  <c r="D542" i="1"/>
  <c r="K542" i="1" s="1"/>
  <c r="D543" i="1"/>
  <c r="K543" i="1" s="1"/>
  <c r="D544" i="1"/>
  <c r="K544" i="1" s="1"/>
  <c r="D545" i="1"/>
  <c r="K545" i="1" s="1"/>
  <c r="D546" i="1"/>
  <c r="K546" i="1" s="1"/>
  <c r="D547" i="1"/>
  <c r="D548" i="1"/>
  <c r="D549" i="1"/>
  <c r="K549" i="1" s="1"/>
  <c r="D550" i="1"/>
  <c r="K550" i="1" s="1"/>
  <c r="D551" i="1"/>
  <c r="K551" i="1" s="1"/>
  <c r="D552" i="1"/>
  <c r="K552" i="1" s="1"/>
  <c r="D553" i="1"/>
  <c r="K553" i="1" s="1"/>
  <c r="D554" i="1"/>
  <c r="D555" i="1"/>
  <c r="D556" i="1"/>
  <c r="K556" i="1" s="1"/>
  <c r="D557" i="1"/>
  <c r="K557" i="1" s="1"/>
  <c r="D558" i="1"/>
  <c r="K558" i="1" s="1"/>
  <c r="D559" i="1"/>
  <c r="K559" i="1" s="1"/>
  <c r="D560" i="1"/>
  <c r="K560" i="1" s="1"/>
  <c r="D561" i="1"/>
  <c r="D562" i="1"/>
  <c r="M562" i="1" s="1"/>
  <c r="D563" i="1"/>
  <c r="K563" i="1" s="1"/>
  <c r="D564" i="1"/>
  <c r="K564" i="1" s="1"/>
  <c r="D565" i="1"/>
  <c r="K565" i="1" s="1"/>
  <c r="D566" i="1"/>
  <c r="K566" i="1" s="1"/>
  <c r="D567" i="1"/>
  <c r="K567" i="1" s="1"/>
  <c r="D568" i="1"/>
  <c r="D569" i="1"/>
  <c r="D570" i="1"/>
  <c r="K570" i="1" s="1"/>
  <c r="D571" i="1"/>
  <c r="K571" i="1" s="1"/>
  <c r="D572" i="1"/>
  <c r="K572" i="1" s="1"/>
  <c r="D573" i="1"/>
  <c r="K573" i="1" s="1"/>
  <c r="D574" i="1"/>
  <c r="K574" i="1" s="1"/>
  <c r="D575" i="1"/>
  <c r="D576" i="1"/>
  <c r="K576" i="1" s="1"/>
  <c r="D577" i="1"/>
  <c r="K577" i="1" s="1"/>
  <c r="D578" i="1"/>
  <c r="K578" i="1" s="1"/>
  <c r="D579" i="1"/>
  <c r="K579" i="1" s="1"/>
  <c r="D580" i="1"/>
  <c r="K580" i="1" s="1"/>
  <c r="D581" i="1"/>
  <c r="K581" i="1" s="1"/>
  <c r="D582" i="1"/>
  <c r="D583" i="1"/>
  <c r="D584" i="1"/>
  <c r="K584" i="1" s="1"/>
  <c r="D585" i="1"/>
  <c r="K585" i="1" s="1"/>
  <c r="D586" i="1"/>
  <c r="K586" i="1" s="1"/>
  <c r="D587" i="1"/>
  <c r="K587" i="1" s="1"/>
  <c r="D588" i="1"/>
  <c r="K588" i="1" s="1"/>
  <c r="D589" i="1"/>
  <c r="D590" i="1"/>
  <c r="D591" i="1"/>
  <c r="K591" i="1" s="1"/>
  <c r="D592" i="1"/>
  <c r="K592" i="1" s="1"/>
  <c r="D593" i="1"/>
  <c r="K593" i="1" s="1"/>
  <c r="D594" i="1"/>
  <c r="K594" i="1" s="1"/>
  <c r="D595" i="1"/>
  <c r="K595" i="1" s="1"/>
  <c r="D596" i="1"/>
  <c r="D597" i="1"/>
  <c r="D598" i="1"/>
  <c r="K598" i="1" s="1"/>
  <c r="D599" i="1"/>
  <c r="K599" i="1" s="1"/>
  <c r="D600" i="1"/>
  <c r="K600" i="1" s="1"/>
  <c r="D601" i="1"/>
  <c r="K601" i="1" s="1"/>
  <c r="D602" i="1"/>
  <c r="K602" i="1" s="1"/>
  <c r="D603" i="1"/>
  <c r="D604" i="1"/>
  <c r="D605" i="1"/>
  <c r="K605" i="1" s="1"/>
  <c r="D606" i="1"/>
  <c r="K606" i="1" s="1"/>
  <c r="D607" i="1"/>
  <c r="K607" i="1" s="1"/>
  <c r="D608" i="1"/>
  <c r="K608" i="1" s="1"/>
  <c r="D609" i="1"/>
  <c r="K609" i="1" s="1"/>
  <c r="D610" i="1"/>
  <c r="M610" i="1" s="1"/>
  <c r="D611" i="1"/>
  <c r="D612" i="1"/>
  <c r="K612" i="1" s="1"/>
  <c r="D613" i="1"/>
  <c r="K613" i="1" s="1"/>
  <c r="D614" i="1"/>
  <c r="K614" i="1" s="1"/>
  <c r="D615" i="1"/>
  <c r="K615" i="1" s="1"/>
  <c r="D616" i="1"/>
  <c r="K616" i="1" s="1"/>
  <c r="D617" i="1"/>
  <c r="D618" i="1"/>
  <c r="K618" i="1" s="1"/>
  <c r="D619" i="1"/>
  <c r="K619" i="1" s="1"/>
  <c r="D620" i="1"/>
  <c r="K620" i="1" s="1"/>
  <c r="D621" i="1"/>
  <c r="K621" i="1" s="1"/>
  <c r="D622" i="1"/>
  <c r="K622" i="1" s="1"/>
  <c r="D623" i="1"/>
  <c r="K623" i="1" s="1"/>
  <c r="D624" i="1"/>
  <c r="D625" i="1"/>
  <c r="D626" i="1"/>
  <c r="K626" i="1" s="1"/>
  <c r="D627" i="1"/>
  <c r="K627" i="1" s="1"/>
  <c r="D628" i="1"/>
  <c r="K628" i="1" s="1"/>
  <c r="D629" i="1"/>
  <c r="K629" i="1" s="1"/>
  <c r="D630" i="1"/>
  <c r="K630" i="1" s="1"/>
  <c r="D631" i="1"/>
  <c r="D632" i="1"/>
  <c r="D633" i="1"/>
  <c r="K633" i="1" s="1"/>
  <c r="D634" i="1"/>
  <c r="K634" i="1" s="1"/>
  <c r="D635" i="1"/>
  <c r="K635" i="1" s="1"/>
  <c r="D636" i="1"/>
  <c r="K636" i="1" s="1"/>
  <c r="D637" i="1"/>
  <c r="K637" i="1" s="1"/>
  <c r="D638" i="1"/>
  <c r="D639" i="1"/>
  <c r="D640" i="1"/>
  <c r="K640" i="1" s="1"/>
  <c r="D641" i="1"/>
  <c r="K641" i="1" s="1"/>
  <c r="D642" i="1"/>
  <c r="K642" i="1" s="1"/>
  <c r="D643" i="1"/>
  <c r="K643" i="1" s="1"/>
  <c r="D644" i="1"/>
  <c r="K644" i="1" s="1"/>
  <c r="D645" i="1"/>
  <c r="D646" i="1"/>
  <c r="M646" i="1" s="1"/>
  <c r="D647" i="1"/>
  <c r="K647" i="1" s="1"/>
  <c r="D648" i="1"/>
  <c r="K648" i="1" s="1"/>
  <c r="D649" i="1"/>
  <c r="K649" i="1" s="1"/>
  <c r="D650" i="1"/>
  <c r="K650" i="1" s="1"/>
  <c r="D651" i="1"/>
  <c r="K651" i="1" s="1"/>
  <c r="D652" i="1"/>
  <c r="D653" i="1"/>
  <c r="D654" i="1"/>
  <c r="K654" i="1" s="1"/>
  <c r="D655" i="1"/>
  <c r="K655" i="1" s="1"/>
  <c r="D656" i="1"/>
  <c r="K656" i="1" s="1"/>
  <c r="D657" i="1"/>
  <c r="K657" i="1" s="1"/>
  <c r="D658" i="1"/>
  <c r="K658" i="1" s="1"/>
  <c r="D659" i="1"/>
  <c r="D660" i="1"/>
  <c r="K660" i="1" s="1"/>
  <c r="D661" i="1"/>
  <c r="K661" i="1" s="1"/>
  <c r="D662" i="1"/>
  <c r="K662" i="1" s="1"/>
  <c r="D663" i="1"/>
  <c r="K663" i="1" s="1"/>
  <c r="D664" i="1"/>
  <c r="K664" i="1" s="1"/>
  <c r="D665" i="1"/>
  <c r="K665" i="1" s="1"/>
  <c r="D666" i="1"/>
  <c r="D667" i="1"/>
  <c r="D668" i="1"/>
  <c r="K668" i="1" s="1"/>
  <c r="D669" i="1"/>
  <c r="K669" i="1" s="1"/>
  <c r="D670" i="1"/>
  <c r="K670" i="1" s="1"/>
  <c r="D671" i="1"/>
  <c r="K671" i="1" s="1"/>
  <c r="D672" i="1"/>
  <c r="K672" i="1" s="1"/>
  <c r="D673" i="1"/>
  <c r="D674" i="1"/>
  <c r="D675" i="1"/>
  <c r="K675" i="1" s="1"/>
  <c r="D676" i="1"/>
  <c r="K676" i="1" s="1"/>
  <c r="D677" i="1"/>
  <c r="K677" i="1" s="1"/>
  <c r="D678" i="1"/>
  <c r="K678" i="1" s="1"/>
  <c r="D679" i="1"/>
  <c r="K679" i="1" s="1"/>
  <c r="D680" i="1"/>
  <c r="D681" i="1"/>
  <c r="D682" i="1"/>
  <c r="K682" i="1" s="1"/>
  <c r="D683" i="1"/>
  <c r="K683" i="1" s="1"/>
  <c r="D684" i="1"/>
  <c r="K684" i="1" s="1"/>
  <c r="D685" i="1"/>
  <c r="K685" i="1" s="1"/>
  <c r="D686" i="1"/>
  <c r="K686" i="1" s="1"/>
  <c r="D687" i="1"/>
  <c r="D688" i="1"/>
  <c r="D689" i="1"/>
  <c r="K689" i="1" s="1"/>
  <c r="D690" i="1"/>
  <c r="K690" i="1" s="1"/>
  <c r="D691" i="1"/>
  <c r="K691" i="1" s="1"/>
  <c r="D692" i="1"/>
  <c r="K692" i="1" s="1"/>
  <c r="D693" i="1"/>
  <c r="K693" i="1" s="1"/>
  <c r="D694" i="1"/>
  <c r="M694" i="1" s="1"/>
  <c r="D695" i="1"/>
  <c r="D696" i="1"/>
  <c r="K696" i="1" s="1"/>
  <c r="D697" i="1"/>
  <c r="K697" i="1" s="1"/>
  <c r="D698" i="1"/>
  <c r="K698" i="1" s="1"/>
  <c r="D699" i="1"/>
  <c r="K699" i="1" s="1"/>
  <c r="D700" i="1"/>
  <c r="K700" i="1" s="1"/>
  <c r="D701" i="1"/>
  <c r="D702" i="1"/>
  <c r="K702" i="1" s="1"/>
  <c r="D703" i="1"/>
  <c r="K703" i="1" s="1"/>
  <c r="D704" i="1"/>
  <c r="K704" i="1" s="1"/>
  <c r="D705" i="1"/>
  <c r="K705" i="1" s="1"/>
  <c r="D706" i="1"/>
  <c r="K706" i="1" s="1"/>
  <c r="D707" i="1"/>
  <c r="K707" i="1" s="1"/>
  <c r="D708" i="1"/>
  <c r="D709" i="1"/>
  <c r="D710" i="1"/>
  <c r="K710" i="1" s="1"/>
  <c r="D711" i="1"/>
  <c r="K711" i="1" s="1"/>
  <c r="D712" i="1"/>
  <c r="K712" i="1" s="1"/>
  <c r="D713" i="1"/>
  <c r="K713" i="1" s="1"/>
  <c r="D714" i="1"/>
  <c r="K714" i="1" s="1"/>
  <c r="D715" i="1"/>
  <c r="D716" i="1"/>
  <c r="D717" i="1"/>
  <c r="K717" i="1" s="1"/>
  <c r="D718" i="1"/>
  <c r="K718" i="1" s="1"/>
  <c r="D719" i="1"/>
  <c r="K719" i="1" s="1"/>
  <c r="D720" i="1"/>
  <c r="K720" i="1" s="1"/>
  <c r="D721" i="1"/>
  <c r="K721" i="1" s="1"/>
  <c r="D722" i="1"/>
  <c r="D723" i="1"/>
  <c r="D724" i="1"/>
  <c r="K724" i="1" s="1"/>
  <c r="D725" i="1"/>
  <c r="K725" i="1" s="1"/>
  <c r="D726" i="1"/>
  <c r="K726" i="1" s="1"/>
  <c r="D727" i="1"/>
  <c r="K727" i="1" s="1"/>
  <c r="D728" i="1"/>
  <c r="K728" i="1" s="1"/>
  <c r="D729" i="1"/>
  <c r="D730" i="1"/>
  <c r="M730" i="1" s="1"/>
  <c r="D731" i="1"/>
  <c r="K731" i="1" s="1"/>
  <c r="D732" i="1"/>
  <c r="K732" i="1" s="1"/>
  <c r="C4" i="1"/>
  <c r="H4" i="1" s="1"/>
  <c r="I4" i="1" s="1"/>
  <c r="M4" i="1" s="1"/>
  <c r="AG4" i="1" s="1"/>
  <c r="C5" i="1"/>
  <c r="H5" i="1" s="1"/>
  <c r="I5" i="1" s="1"/>
  <c r="C6" i="1"/>
  <c r="H6" i="1" s="1"/>
  <c r="I6" i="1" s="1"/>
  <c r="C7" i="1"/>
  <c r="H7" i="1" s="1"/>
  <c r="I7" i="1" s="1"/>
  <c r="C8" i="1"/>
  <c r="H8" i="1" s="1"/>
  <c r="I8" i="1" s="1"/>
  <c r="C9" i="1"/>
  <c r="H9" i="1" s="1"/>
  <c r="I9" i="1" s="1"/>
  <c r="C10" i="1"/>
  <c r="H10" i="1" s="1"/>
  <c r="I10" i="1" s="1"/>
  <c r="M10" i="1" s="1"/>
  <c r="C11" i="1"/>
  <c r="H11" i="1" s="1"/>
  <c r="I11" i="1" s="1"/>
  <c r="M11" i="1" s="1"/>
  <c r="AG11" i="1" s="1"/>
  <c r="C12" i="1"/>
  <c r="H12" i="1" s="1"/>
  <c r="I12" i="1" s="1"/>
  <c r="M12" i="1" s="1"/>
  <c r="AG12" i="1" s="1"/>
  <c r="C13" i="1"/>
  <c r="H13" i="1" s="1"/>
  <c r="I13" i="1" s="1"/>
  <c r="M13" i="1" s="1"/>
  <c r="AG13" i="1" s="1"/>
  <c r="C14" i="1"/>
  <c r="H14" i="1" s="1"/>
  <c r="I14" i="1" s="1"/>
  <c r="M14" i="1" s="1"/>
  <c r="AG14" i="1" s="1"/>
  <c r="C15" i="1"/>
  <c r="H15" i="1" s="1"/>
  <c r="I15" i="1" s="1"/>
  <c r="C16" i="1"/>
  <c r="H16" i="1" s="1"/>
  <c r="I16" i="1" s="1"/>
  <c r="C17" i="1"/>
  <c r="H17" i="1" s="1"/>
  <c r="I17" i="1" s="1"/>
  <c r="C18" i="1"/>
  <c r="H18" i="1" s="1"/>
  <c r="I18" i="1" s="1"/>
  <c r="C19" i="1"/>
  <c r="H19" i="1" s="1"/>
  <c r="I19" i="1" s="1"/>
  <c r="C20" i="1"/>
  <c r="H20" i="1" s="1"/>
  <c r="I20" i="1" s="1"/>
  <c r="M20" i="1" s="1"/>
  <c r="AG20" i="1" s="1"/>
  <c r="C21" i="1"/>
  <c r="H21" i="1" s="1"/>
  <c r="I21" i="1" s="1"/>
  <c r="M21" i="1" s="1"/>
  <c r="AG21" i="1" s="1"/>
  <c r="C22" i="1"/>
  <c r="H22" i="1" s="1"/>
  <c r="I22" i="1" s="1"/>
  <c r="C23" i="1"/>
  <c r="H23" i="1" s="1"/>
  <c r="I23" i="1" s="1"/>
  <c r="C24" i="1"/>
  <c r="H24" i="1" s="1"/>
  <c r="I24" i="1" s="1"/>
  <c r="M24" i="1" s="1"/>
  <c r="AG24" i="1" s="1"/>
  <c r="C25" i="1"/>
  <c r="H25" i="1" s="1"/>
  <c r="I25" i="1" s="1"/>
  <c r="M25" i="1" s="1"/>
  <c r="AG25" i="1" s="1"/>
  <c r="C26" i="1"/>
  <c r="H26" i="1" s="1"/>
  <c r="I26" i="1" s="1"/>
  <c r="M26" i="1" s="1"/>
  <c r="AG26" i="1" s="1"/>
  <c r="C27" i="1"/>
  <c r="H27" i="1" s="1"/>
  <c r="I27" i="1" s="1"/>
  <c r="C28" i="1"/>
  <c r="H28" i="1" s="1"/>
  <c r="I28" i="1" s="1"/>
  <c r="M28" i="1" s="1"/>
  <c r="AG28" i="1" s="1"/>
  <c r="C29" i="1"/>
  <c r="H29" i="1" s="1"/>
  <c r="I29" i="1" s="1"/>
  <c r="C30" i="1"/>
  <c r="H30" i="1" s="1"/>
  <c r="I30" i="1" s="1"/>
  <c r="C31" i="1"/>
  <c r="H31" i="1" s="1"/>
  <c r="I31" i="1" s="1"/>
  <c r="C32" i="1"/>
  <c r="H32" i="1" s="1"/>
  <c r="I32" i="1" s="1"/>
  <c r="M32" i="1" s="1"/>
  <c r="AG32" i="1" s="1"/>
  <c r="C33" i="1"/>
  <c r="H33" i="1" s="1"/>
  <c r="I33" i="1" s="1"/>
  <c r="M33" i="1" s="1"/>
  <c r="AG33" i="1" s="1"/>
  <c r="C34" i="1"/>
  <c r="H34" i="1" s="1"/>
  <c r="I34" i="1" s="1"/>
  <c r="M34" i="1" s="1"/>
  <c r="C35" i="1"/>
  <c r="H35" i="1" s="1"/>
  <c r="I35" i="1" s="1"/>
  <c r="M35" i="1" s="1"/>
  <c r="AG35" i="1" s="1"/>
  <c r="C36" i="1"/>
  <c r="H36" i="1" s="1"/>
  <c r="I36" i="1" s="1"/>
  <c r="C37" i="1"/>
  <c r="H37" i="1" s="1"/>
  <c r="I37" i="1" s="1"/>
  <c r="C38" i="1"/>
  <c r="H38" i="1" s="1"/>
  <c r="I38" i="1" s="1"/>
  <c r="M38" i="1" s="1"/>
  <c r="AG38" i="1" s="1"/>
  <c r="C39" i="1"/>
  <c r="H39" i="1" s="1"/>
  <c r="I39" i="1" s="1"/>
  <c r="M39" i="1" s="1"/>
  <c r="AG39" i="1" s="1"/>
  <c r="C40" i="1"/>
  <c r="H40" i="1" s="1"/>
  <c r="I40" i="1" s="1"/>
  <c r="M40" i="1" s="1"/>
  <c r="AG40" i="1" s="1"/>
  <c r="C41" i="1"/>
  <c r="H41" i="1" s="1"/>
  <c r="I41" i="1" s="1"/>
  <c r="C42" i="1"/>
  <c r="H42" i="1" s="1"/>
  <c r="I42" i="1" s="1"/>
  <c r="C43" i="1"/>
  <c r="H43" i="1" s="1"/>
  <c r="I43" i="1" s="1"/>
  <c r="C44" i="1"/>
  <c r="H44" i="1" s="1"/>
  <c r="I44" i="1" s="1"/>
  <c r="C45" i="1"/>
  <c r="H45" i="1" s="1"/>
  <c r="I45" i="1" s="1"/>
  <c r="M45" i="1" s="1"/>
  <c r="AG45" i="1" s="1"/>
  <c r="C46" i="1"/>
  <c r="H46" i="1" s="1"/>
  <c r="I46" i="1" s="1"/>
  <c r="M46" i="1" s="1"/>
  <c r="C47" i="1"/>
  <c r="H47" i="1" s="1"/>
  <c r="I47" i="1" s="1"/>
  <c r="M47" i="1" s="1"/>
  <c r="AG47" i="1" s="1"/>
  <c r="C48" i="1"/>
  <c r="H48" i="1" s="1"/>
  <c r="I48" i="1" s="1"/>
  <c r="M48" i="1" s="1"/>
  <c r="AG48" i="1" s="1"/>
  <c r="C49" i="1"/>
  <c r="H49" i="1" s="1"/>
  <c r="I49" i="1" s="1"/>
  <c r="M49" i="1" s="1"/>
  <c r="AG49" i="1" s="1"/>
  <c r="C50" i="1"/>
  <c r="H50" i="1" s="1"/>
  <c r="I50" i="1" s="1"/>
  <c r="C51" i="1"/>
  <c r="H51" i="1" s="1"/>
  <c r="I51" i="1" s="1"/>
  <c r="C52" i="1"/>
  <c r="H52" i="1" s="1"/>
  <c r="I52" i="1" s="1"/>
  <c r="M52" i="1" s="1"/>
  <c r="AG52" i="1" s="1"/>
  <c r="C53" i="1"/>
  <c r="H53" i="1" s="1"/>
  <c r="I53" i="1" s="1"/>
  <c r="C54" i="1"/>
  <c r="H54" i="1" s="1"/>
  <c r="I54" i="1" s="1"/>
  <c r="C55" i="1"/>
  <c r="H55" i="1" s="1"/>
  <c r="I55" i="1" s="1"/>
  <c r="C56" i="1"/>
  <c r="H56" i="1" s="1"/>
  <c r="I56" i="1" s="1"/>
  <c r="M56" i="1" s="1"/>
  <c r="AG56" i="1" s="1"/>
  <c r="C57" i="1"/>
  <c r="H57" i="1" s="1"/>
  <c r="I57" i="1" s="1"/>
  <c r="C58" i="1"/>
  <c r="H58" i="1" s="1"/>
  <c r="I58" i="1" s="1"/>
  <c r="C59" i="1"/>
  <c r="H59" i="1" s="1"/>
  <c r="I59" i="1" s="1"/>
  <c r="M59" i="1" s="1"/>
  <c r="AG59" i="1" s="1"/>
  <c r="C60" i="1"/>
  <c r="H60" i="1" s="1"/>
  <c r="I60" i="1" s="1"/>
  <c r="M60" i="1" s="1"/>
  <c r="AG60" i="1" s="1"/>
  <c r="C61" i="1"/>
  <c r="H61" i="1" s="1"/>
  <c r="I61" i="1" s="1"/>
  <c r="M61" i="1" s="1"/>
  <c r="AG61" i="1" s="1"/>
  <c r="C62" i="1"/>
  <c r="H62" i="1" s="1"/>
  <c r="I62" i="1" s="1"/>
  <c r="M62" i="1" s="1"/>
  <c r="AG62" i="1" s="1"/>
  <c r="C63" i="1"/>
  <c r="H63" i="1" s="1"/>
  <c r="I63" i="1" s="1"/>
  <c r="M63" i="1" s="1"/>
  <c r="AG63" i="1" s="1"/>
  <c r="C64" i="1"/>
  <c r="H64" i="1" s="1"/>
  <c r="I64" i="1" s="1"/>
  <c r="C65" i="1"/>
  <c r="H65" i="1" s="1"/>
  <c r="I65" i="1" s="1"/>
  <c r="C66" i="1"/>
  <c r="H66" i="1" s="1"/>
  <c r="I66" i="1" s="1"/>
  <c r="C67" i="1"/>
  <c r="H67" i="1" s="1"/>
  <c r="I67" i="1" s="1"/>
  <c r="C68" i="1"/>
  <c r="H68" i="1" s="1"/>
  <c r="I68" i="1" s="1"/>
  <c r="M68" i="1" s="1"/>
  <c r="AG68" i="1" s="1"/>
  <c r="C69" i="1"/>
  <c r="H69" i="1" s="1"/>
  <c r="C70" i="1"/>
  <c r="H70" i="1" s="1"/>
  <c r="C71" i="1"/>
  <c r="H71" i="1" s="1"/>
  <c r="I71" i="1" s="1"/>
  <c r="C72" i="1"/>
  <c r="H72" i="1" s="1"/>
  <c r="I72" i="1" s="1"/>
  <c r="C73" i="1"/>
  <c r="H73" i="1" s="1"/>
  <c r="I73" i="1" s="1"/>
  <c r="M73" i="1" s="1"/>
  <c r="AG73" i="1" s="1"/>
  <c r="C74" i="1"/>
  <c r="H74" i="1" s="1"/>
  <c r="I74" i="1" s="1"/>
  <c r="M74" i="1" s="1"/>
  <c r="AG74" i="1" s="1"/>
  <c r="C75" i="1"/>
  <c r="H75" i="1" s="1"/>
  <c r="I75" i="1" s="1"/>
  <c r="C76" i="1"/>
  <c r="H76" i="1" s="1"/>
  <c r="I76" i="1" s="1"/>
  <c r="M76" i="1" s="1"/>
  <c r="AG76" i="1" s="1"/>
  <c r="C77" i="1"/>
  <c r="H77" i="1" s="1"/>
  <c r="I77" i="1" s="1"/>
  <c r="C78" i="1"/>
  <c r="H78" i="1" s="1"/>
  <c r="I78" i="1" s="1"/>
  <c r="C79" i="1"/>
  <c r="H79" i="1" s="1"/>
  <c r="I79" i="1" s="1"/>
  <c r="C80" i="1"/>
  <c r="H80" i="1" s="1"/>
  <c r="I80" i="1" s="1"/>
  <c r="M80" i="1" s="1"/>
  <c r="AG80" i="1" s="1"/>
  <c r="C81" i="1"/>
  <c r="H81" i="1" s="1"/>
  <c r="I81" i="1" s="1"/>
  <c r="M81" i="1" s="1"/>
  <c r="AG81" i="1" s="1"/>
  <c r="C82" i="1"/>
  <c r="H82" i="1" s="1"/>
  <c r="I82" i="1" s="1"/>
  <c r="M82" i="1" s="1"/>
  <c r="AG82" i="1" s="1"/>
  <c r="C83" i="1"/>
  <c r="H83" i="1" s="1"/>
  <c r="I83" i="1" s="1"/>
  <c r="M83" i="1" s="1"/>
  <c r="AG83" i="1" s="1"/>
  <c r="C84" i="1"/>
  <c r="H84" i="1" s="1"/>
  <c r="I84" i="1" s="1"/>
  <c r="M84" i="1" s="1"/>
  <c r="AG84" i="1" s="1"/>
  <c r="C85" i="1"/>
  <c r="H85" i="1" s="1"/>
  <c r="I85" i="1" s="1"/>
  <c r="C86" i="1"/>
  <c r="H86" i="1" s="1"/>
  <c r="I86" i="1" s="1"/>
  <c r="C87" i="1"/>
  <c r="H87" i="1" s="1"/>
  <c r="I87" i="1" s="1"/>
  <c r="M87" i="1" s="1"/>
  <c r="AG87" i="1" s="1"/>
  <c r="C88" i="1"/>
  <c r="H88" i="1" s="1"/>
  <c r="I88" i="1" s="1"/>
  <c r="M88" i="1" s="1"/>
  <c r="AG88" i="1" s="1"/>
  <c r="C89" i="1"/>
  <c r="H89" i="1" s="1"/>
  <c r="I89" i="1" s="1"/>
  <c r="C90" i="1"/>
  <c r="H90" i="1" s="1"/>
  <c r="I90" i="1" s="1"/>
  <c r="C91" i="1"/>
  <c r="H91" i="1" s="1"/>
  <c r="I91" i="1" s="1"/>
  <c r="M91" i="1" s="1"/>
  <c r="AG91" i="1" s="1"/>
  <c r="C92" i="1"/>
  <c r="H92" i="1" s="1"/>
  <c r="I92" i="1" s="1"/>
  <c r="C93" i="1"/>
  <c r="H93" i="1" s="1"/>
  <c r="I93" i="1" s="1"/>
  <c r="C94" i="1"/>
  <c r="H94" i="1" s="1"/>
  <c r="I94" i="1" s="1"/>
  <c r="M94" i="1" s="1"/>
  <c r="AG94" i="1" s="1"/>
  <c r="C95" i="1"/>
  <c r="H95" i="1" s="1"/>
  <c r="I95" i="1" s="1"/>
  <c r="M95" i="1" s="1"/>
  <c r="AG95" i="1" s="1"/>
  <c r="C96" i="1"/>
  <c r="H96" i="1" s="1"/>
  <c r="I96" i="1" s="1"/>
  <c r="M96" i="1" s="1"/>
  <c r="AG96" i="1" s="1"/>
  <c r="C97" i="1"/>
  <c r="H97" i="1" s="1"/>
  <c r="I97" i="1" s="1"/>
  <c r="M97" i="1" s="1"/>
  <c r="AG97" i="1" s="1"/>
  <c r="C98" i="1"/>
  <c r="H98" i="1" s="1"/>
  <c r="I98" i="1" s="1"/>
  <c r="M98" i="1" s="1"/>
  <c r="AG98" i="1" s="1"/>
  <c r="C99" i="1"/>
  <c r="H99" i="1" s="1"/>
  <c r="I99" i="1" s="1"/>
  <c r="C100" i="1"/>
  <c r="C101" i="1"/>
  <c r="H101" i="1" s="1"/>
  <c r="I101" i="1" s="1"/>
  <c r="C102" i="1"/>
  <c r="H102" i="1" s="1"/>
  <c r="I102" i="1" s="1"/>
  <c r="C103" i="1"/>
  <c r="C104" i="1"/>
  <c r="H104" i="1" s="1"/>
  <c r="I104" i="1" s="1"/>
  <c r="M104" i="1" s="1"/>
  <c r="AG104" i="1" s="1"/>
  <c r="C105" i="1"/>
  <c r="H105" i="1" s="1"/>
  <c r="I105" i="1" s="1"/>
  <c r="M105" i="1" s="1"/>
  <c r="AG105" i="1" s="1"/>
  <c r="C106" i="1"/>
  <c r="H106" i="1" s="1"/>
  <c r="I106" i="1" s="1"/>
  <c r="C107" i="1"/>
  <c r="H107" i="1" s="1"/>
  <c r="I107" i="1" s="1"/>
  <c r="C108" i="1"/>
  <c r="H108" i="1" s="1"/>
  <c r="I108" i="1" s="1"/>
  <c r="M108" i="1" s="1"/>
  <c r="AG108" i="1" s="1"/>
  <c r="C109" i="1"/>
  <c r="H109" i="1" s="1"/>
  <c r="I109" i="1" s="1"/>
  <c r="M109" i="1" s="1"/>
  <c r="AG109" i="1" s="1"/>
  <c r="C110" i="1"/>
  <c r="H110" i="1" s="1"/>
  <c r="I110" i="1" s="1"/>
  <c r="M110" i="1" s="1"/>
  <c r="AG110" i="1" s="1"/>
  <c r="C111" i="1"/>
  <c r="H111" i="1" s="1"/>
  <c r="I111" i="1" s="1"/>
  <c r="M111" i="1" s="1"/>
  <c r="AG111" i="1" s="1"/>
  <c r="C112" i="1"/>
  <c r="C113" i="1"/>
  <c r="H113" i="1" s="1"/>
  <c r="I113" i="1" s="1"/>
  <c r="C114" i="1"/>
  <c r="H114" i="1" s="1"/>
  <c r="I114" i="1" s="1"/>
  <c r="C115" i="1"/>
  <c r="H115" i="1" s="1"/>
  <c r="I115" i="1" s="1"/>
  <c r="M115" i="1" s="1"/>
  <c r="AG115" i="1" s="1"/>
  <c r="C116" i="1"/>
  <c r="H116" i="1" s="1"/>
  <c r="I116" i="1" s="1"/>
  <c r="M116" i="1" s="1"/>
  <c r="AG116" i="1" s="1"/>
  <c r="C117" i="1"/>
  <c r="H117" i="1" s="1"/>
  <c r="I117" i="1" s="1"/>
  <c r="M117" i="1" s="1"/>
  <c r="AG117" i="1" s="1"/>
  <c r="C118" i="1"/>
  <c r="H118" i="1" s="1"/>
  <c r="I118" i="1" s="1"/>
  <c r="M118" i="1" s="1"/>
  <c r="AG118" i="1" s="1"/>
  <c r="C119" i="1"/>
  <c r="H119" i="1" s="1"/>
  <c r="I119" i="1" s="1"/>
  <c r="M119" i="1" s="1"/>
  <c r="AG119" i="1" s="1"/>
  <c r="C120" i="1"/>
  <c r="H120" i="1" s="1"/>
  <c r="I120" i="1" s="1"/>
  <c r="C121" i="1"/>
  <c r="H121" i="1" s="1"/>
  <c r="I121" i="1" s="1"/>
  <c r="C122" i="1"/>
  <c r="H122" i="1" s="1"/>
  <c r="I122" i="1" s="1"/>
  <c r="M122" i="1" s="1"/>
  <c r="AG122" i="1" s="1"/>
  <c r="C123" i="1"/>
  <c r="H123" i="1" s="1"/>
  <c r="I123" i="1" s="1"/>
  <c r="M123" i="1" s="1"/>
  <c r="AG123" i="1" s="1"/>
  <c r="C124" i="1"/>
  <c r="H124" i="1" s="1"/>
  <c r="I124" i="1" s="1"/>
  <c r="M124" i="1" s="1"/>
  <c r="AG124" i="1" s="1"/>
  <c r="C125" i="1"/>
  <c r="H125" i="1" s="1"/>
  <c r="I125" i="1" s="1"/>
  <c r="C126" i="1"/>
  <c r="H126" i="1" s="1"/>
  <c r="I126" i="1" s="1"/>
  <c r="C127" i="1"/>
  <c r="H127" i="1" s="1"/>
  <c r="I127" i="1" s="1"/>
  <c r="C128" i="1"/>
  <c r="H128" i="1" s="1"/>
  <c r="I128" i="1" s="1"/>
  <c r="C129" i="1"/>
  <c r="H129" i="1" s="1"/>
  <c r="I129" i="1" s="1"/>
  <c r="M129" i="1" s="1"/>
  <c r="AG129" i="1" s="1"/>
  <c r="C130" i="1"/>
  <c r="H130" i="1" s="1"/>
  <c r="I130" i="1" s="1"/>
  <c r="M130" i="1" s="1"/>
  <c r="C131" i="1"/>
  <c r="H131" i="1" s="1"/>
  <c r="I131" i="1" s="1"/>
  <c r="M131" i="1" s="1"/>
  <c r="AG131" i="1" s="1"/>
  <c r="C132" i="1"/>
  <c r="H132" i="1" s="1"/>
  <c r="I132" i="1" s="1"/>
  <c r="M132" i="1" s="1"/>
  <c r="AG132" i="1" s="1"/>
  <c r="C133" i="1"/>
  <c r="H133" i="1" s="1"/>
  <c r="I133" i="1" s="1"/>
  <c r="M133" i="1" s="1"/>
  <c r="AG133" i="1" s="1"/>
  <c r="C134" i="1"/>
  <c r="H134" i="1" s="1"/>
  <c r="I134" i="1" s="1"/>
  <c r="C135" i="1"/>
  <c r="H135" i="1" s="1"/>
  <c r="I135" i="1" s="1"/>
  <c r="C136" i="1"/>
  <c r="H136" i="1" s="1"/>
  <c r="I136" i="1" s="1"/>
  <c r="M136" i="1" s="1"/>
  <c r="AG136" i="1" s="1"/>
  <c r="C137" i="1"/>
  <c r="H137" i="1" s="1"/>
  <c r="I137" i="1" s="1"/>
  <c r="C138" i="1"/>
  <c r="H138" i="1" s="1"/>
  <c r="I138" i="1" s="1"/>
  <c r="C139" i="1"/>
  <c r="H139" i="1" s="1"/>
  <c r="I139" i="1" s="1"/>
  <c r="M139" i="1" s="1"/>
  <c r="AG139" i="1" s="1"/>
  <c r="C140" i="1"/>
  <c r="H140" i="1" s="1"/>
  <c r="I140" i="1" s="1"/>
  <c r="M140" i="1" s="1"/>
  <c r="AG140" i="1" s="1"/>
  <c r="C141" i="1"/>
  <c r="H141" i="1" s="1"/>
  <c r="I141" i="1" s="1"/>
  <c r="C142" i="1"/>
  <c r="H142" i="1" s="1"/>
  <c r="I142" i="1" s="1"/>
  <c r="C143" i="1"/>
  <c r="H143" i="1" s="1"/>
  <c r="I143" i="1" s="1"/>
  <c r="M143" i="1" s="1"/>
  <c r="AG143" i="1" s="1"/>
  <c r="C144" i="1"/>
  <c r="H144" i="1" s="1"/>
  <c r="I144" i="1" s="1"/>
  <c r="M144" i="1" s="1"/>
  <c r="AG144" i="1" s="1"/>
  <c r="C145" i="1"/>
  <c r="H145" i="1" s="1"/>
  <c r="I145" i="1" s="1"/>
  <c r="M145" i="1" s="1"/>
  <c r="AG145" i="1" s="1"/>
  <c r="C146" i="1"/>
  <c r="H146" i="1" s="1"/>
  <c r="I146" i="1" s="1"/>
  <c r="M146" i="1" s="1"/>
  <c r="AG146" i="1" s="1"/>
  <c r="C147" i="1"/>
  <c r="H147" i="1" s="1"/>
  <c r="I147" i="1" s="1"/>
  <c r="M147" i="1" s="1"/>
  <c r="AG147" i="1" s="1"/>
  <c r="C148" i="1"/>
  <c r="H148" i="1" s="1"/>
  <c r="I148" i="1" s="1"/>
  <c r="C149" i="1"/>
  <c r="H149" i="1" s="1"/>
  <c r="I149" i="1" s="1"/>
  <c r="C150" i="1"/>
  <c r="H150" i="1" s="1"/>
  <c r="I150" i="1" s="1"/>
  <c r="C151" i="1"/>
  <c r="H151" i="1" s="1"/>
  <c r="I151" i="1" s="1"/>
  <c r="M151" i="1" s="1"/>
  <c r="AG151" i="1" s="1"/>
  <c r="C152" i="1"/>
  <c r="H152" i="1" s="1"/>
  <c r="I152" i="1" s="1"/>
  <c r="M152" i="1" s="1"/>
  <c r="AG152" i="1" s="1"/>
  <c r="C153" i="1"/>
  <c r="H153" i="1" s="1"/>
  <c r="C154" i="1"/>
  <c r="H154" i="1" s="1"/>
  <c r="I154" i="1" s="1"/>
  <c r="M154" i="1" s="1"/>
  <c r="AG154" i="1" s="1"/>
  <c r="C155" i="1"/>
  <c r="H155" i="1" s="1"/>
  <c r="I155" i="1" s="1"/>
  <c r="C156" i="1"/>
  <c r="H156" i="1" s="1"/>
  <c r="I156" i="1" s="1"/>
  <c r="C157" i="1"/>
  <c r="H157" i="1" s="1"/>
  <c r="I157" i="1" s="1"/>
  <c r="M157" i="1" s="1"/>
  <c r="AG157" i="1" s="1"/>
  <c r="C158" i="1"/>
  <c r="H158" i="1" s="1"/>
  <c r="I158" i="1" s="1"/>
  <c r="M158" i="1" s="1"/>
  <c r="AG158" i="1" s="1"/>
  <c r="C159" i="1"/>
  <c r="H159" i="1" s="1"/>
  <c r="I159" i="1" s="1"/>
  <c r="M159" i="1" s="1"/>
  <c r="AG159" i="1" s="1"/>
  <c r="C160" i="1"/>
  <c r="H160" i="1" s="1"/>
  <c r="I160" i="1" s="1"/>
  <c r="M160" i="1" s="1"/>
  <c r="AG160" i="1" s="1"/>
  <c r="C161" i="1"/>
  <c r="H161" i="1" s="1"/>
  <c r="I161" i="1" s="1"/>
  <c r="C162" i="1"/>
  <c r="H162" i="1" s="1"/>
  <c r="I162" i="1" s="1"/>
  <c r="C163" i="1"/>
  <c r="H163" i="1" s="1"/>
  <c r="I163" i="1" s="1"/>
  <c r="C164" i="1"/>
  <c r="H164" i="1" s="1"/>
  <c r="I164" i="1" s="1"/>
  <c r="M164" i="1" s="1"/>
  <c r="AG164" i="1" s="1"/>
  <c r="C165" i="1"/>
  <c r="H165" i="1" s="1"/>
  <c r="I165" i="1" s="1"/>
  <c r="M165" i="1" s="1"/>
  <c r="AG165" i="1" s="1"/>
  <c r="C166" i="1"/>
  <c r="H166" i="1" s="1"/>
  <c r="I166" i="1" s="1"/>
  <c r="M166" i="1" s="1"/>
  <c r="C167" i="1"/>
  <c r="H167" i="1" s="1"/>
  <c r="I167" i="1" s="1"/>
  <c r="M167" i="1" s="1"/>
  <c r="AG167" i="1" s="1"/>
  <c r="C168" i="1"/>
  <c r="H168" i="1" s="1"/>
  <c r="I168" i="1" s="1"/>
  <c r="M168" i="1" s="1"/>
  <c r="AG168" i="1" s="1"/>
  <c r="C169" i="1"/>
  <c r="H169" i="1" s="1"/>
  <c r="I169" i="1" s="1"/>
  <c r="C170" i="1"/>
  <c r="H170" i="1" s="1"/>
  <c r="I170" i="1" s="1"/>
  <c r="C171" i="1"/>
  <c r="H171" i="1" s="1"/>
  <c r="I171" i="1" s="1"/>
  <c r="M171" i="1" s="1"/>
  <c r="AG171" i="1" s="1"/>
  <c r="C172" i="1"/>
  <c r="C173" i="1"/>
  <c r="H173" i="1" s="1"/>
  <c r="I173" i="1" s="1"/>
  <c r="C174" i="1"/>
  <c r="H174" i="1" s="1"/>
  <c r="I174" i="1" s="1"/>
  <c r="C175" i="1"/>
  <c r="C176" i="1"/>
  <c r="H176" i="1" s="1"/>
  <c r="I176" i="1" s="1"/>
  <c r="C177" i="1"/>
  <c r="H177" i="1" s="1"/>
  <c r="I177" i="1" s="1"/>
  <c r="C178" i="1"/>
  <c r="H178" i="1" s="1"/>
  <c r="I178" i="1" s="1"/>
  <c r="M178" i="1" s="1"/>
  <c r="AG178" i="1" s="1"/>
  <c r="C179" i="1"/>
  <c r="H179" i="1" s="1"/>
  <c r="I179" i="1" s="1"/>
  <c r="M179" i="1" s="1"/>
  <c r="AG179" i="1" s="1"/>
  <c r="C180" i="1"/>
  <c r="H180" i="1" s="1"/>
  <c r="I180" i="1" s="1"/>
  <c r="M180" i="1" s="1"/>
  <c r="AG180" i="1" s="1"/>
  <c r="C181" i="1"/>
  <c r="H181" i="1" s="1"/>
  <c r="I181" i="1" s="1"/>
  <c r="M181" i="1" s="1"/>
  <c r="AG181" i="1" s="1"/>
  <c r="C182" i="1"/>
  <c r="H182" i="1" s="1"/>
  <c r="I182" i="1" s="1"/>
  <c r="M182" i="1" s="1"/>
  <c r="AG182" i="1" s="1"/>
  <c r="C183" i="1"/>
  <c r="H183" i="1" s="1"/>
  <c r="I183" i="1" s="1"/>
  <c r="C184" i="1"/>
  <c r="C185" i="1"/>
  <c r="H185" i="1" s="1"/>
  <c r="I185" i="1" s="1"/>
  <c r="C186" i="1"/>
  <c r="H186" i="1" s="1"/>
  <c r="I186" i="1" s="1"/>
  <c r="C187" i="1"/>
  <c r="H187" i="1" s="1"/>
  <c r="I187" i="1" s="1"/>
  <c r="M187" i="1" s="1"/>
  <c r="AG187" i="1" s="1"/>
  <c r="C188" i="1"/>
  <c r="H188" i="1" s="1"/>
  <c r="I188" i="1" s="1"/>
  <c r="M188" i="1" s="1"/>
  <c r="AG188" i="1" s="1"/>
  <c r="C189" i="1"/>
  <c r="H189" i="1" s="1"/>
  <c r="I189" i="1" s="1"/>
  <c r="M189" i="1" s="1"/>
  <c r="AG189" i="1" s="1"/>
  <c r="C190" i="1"/>
  <c r="H190" i="1" s="1"/>
  <c r="I190" i="1" s="1"/>
  <c r="C191" i="1"/>
  <c r="H191" i="1" s="1"/>
  <c r="I191" i="1" s="1"/>
  <c r="C192" i="1"/>
  <c r="H192" i="1" s="1"/>
  <c r="I192" i="1" s="1"/>
  <c r="M192" i="1" s="1"/>
  <c r="AG192" i="1" s="1"/>
  <c r="C193" i="1"/>
  <c r="H193" i="1" s="1"/>
  <c r="I193" i="1" s="1"/>
  <c r="M193" i="1" s="1"/>
  <c r="AG193" i="1" s="1"/>
  <c r="C194" i="1"/>
  <c r="H194" i="1" s="1"/>
  <c r="I194" i="1" s="1"/>
  <c r="M194" i="1" s="1"/>
  <c r="AG194" i="1" s="1"/>
  <c r="C195" i="1"/>
  <c r="H195" i="1" s="1"/>
  <c r="I195" i="1" s="1"/>
  <c r="M195" i="1" s="1"/>
  <c r="AG195" i="1" s="1"/>
  <c r="C196" i="1"/>
  <c r="H196" i="1" s="1"/>
  <c r="I196" i="1" s="1"/>
  <c r="M196" i="1" s="1"/>
  <c r="AG196" i="1" s="1"/>
  <c r="C197" i="1"/>
  <c r="H197" i="1" s="1"/>
  <c r="I197" i="1" s="1"/>
  <c r="C198" i="1"/>
  <c r="H198" i="1" s="1"/>
  <c r="I198" i="1" s="1"/>
  <c r="C199" i="1"/>
  <c r="H199" i="1" s="1"/>
  <c r="I199" i="1" s="1"/>
  <c r="M199" i="1" s="1"/>
  <c r="AG199" i="1" s="1"/>
  <c r="C200" i="1"/>
  <c r="H200" i="1" s="1"/>
  <c r="I200" i="1" s="1"/>
  <c r="M200" i="1" s="1"/>
  <c r="AG200" i="1" s="1"/>
  <c r="C201" i="1"/>
  <c r="H201" i="1" s="1"/>
  <c r="I201" i="1" s="1"/>
  <c r="M201" i="1" s="1"/>
  <c r="AG201" i="1" s="1"/>
  <c r="C202" i="1"/>
  <c r="H202" i="1" s="1"/>
  <c r="I202" i="1" s="1"/>
  <c r="M202" i="1" s="1"/>
  <c r="AG202" i="1" s="1"/>
  <c r="C203" i="1"/>
  <c r="H203" i="1" s="1"/>
  <c r="I203" i="1" s="1"/>
  <c r="M203" i="1" s="1"/>
  <c r="AG203" i="1" s="1"/>
  <c r="C204" i="1"/>
  <c r="H204" i="1" s="1"/>
  <c r="I204" i="1" s="1"/>
  <c r="C205" i="1"/>
  <c r="H205" i="1" s="1"/>
  <c r="I205" i="1" s="1"/>
  <c r="C206" i="1"/>
  <c r="H206" i="1" s="1"/>
  <c r="I206" i="1" s="1"/>
  <c r="M206" i="1" s="1"/>
  <c r="AG206" i="1" s="1"/>
  <c r="C207" i="1"/>
  <c r="H207" i="1" s="1"/>
  <c r="I207" i="1" s="1"/>
  <c r="M207" i="1" s="1"/>
  <c r="AG207" i="1" s="1"/>
  <c r="C208" i="1"/>
  <c r="H208" i="1" s="1"/>
  <c r="I208" i="1" s="1"/>
  <c r="M208" i="1" s="1"/>
  <c r="AG208" i="1" s="1"/>
  <c r="C209" i="1"/>
  <c r="H209" i="1" s="1"/>
  <c r="I209" i="1" s="1"/>
  <c r="C210" i="1"/>
  <c r="H210" i="1" s="1"/>
  <c r="I210" i="1" s="1"/>
  <c r="C211" i="1"/>
  <c r="H211" i="1" s="1"/>
  <c r="I211" i="1" s="1"/>
  <c r="C212" i="1"/>
  <c r="H212" i="1" s="1"/>
  <c r="I212" i="1" s="1"/>
  <c r="C213" i="1"/>
  <c r="H213" i="1" s="1"/>
  <c r="C214" i="1"/>
  <c r="H214" i="1" s="1"/>
  <c r="C215" i="1"/>
  <c r="H215" i="1" s="1"/>
  <c r="I215" i="1" s="1"/>
  <c r="M215" i="1" s="1"/>
  <c r="AG215" i="1" s="1"/>
  <c r="C216" i="1"/>
  <c r="H216" i="1" s="1"/>
  <c r="I216" i="1" s="1"/>
  <c r="M216" i="1" s="1"/>
  <c r="AG216" i="1" s="1"/>
  <c r="C217" i="1"/>
  <c r="H217" i="1" s="1"/>
  <c r="I217" i="1" s="1"/>
  <c r="M217" i="1" s="1"/>
  <c r="AG217" i="1" s="1"/>
  <c r="C218" i="1"/>
  <c r="H218" i="1" s="1"/>
  <c r="I218" i="1" s="1"/>
  <c r="C219" i="1"/>
  <c r="H219" i="1" s="1"/>
  <c r="I219" i="1" s="1"/>
  <c r="C220" i="1"/>
  <c r="H220" i="1" s="1"/>
  <c r="I220" i="1" s="1"/>
  <c r="M220" i="1" s="1"/>
  <c r="AG220" i="1" s="1"/>
  <c r="C221" i="1"/>
  <c r="H221" i="1" s="1"/>
  <c r="I221" i="1" s="1"/>
  <c r="C222" i="1"/>
  <c r="H222" i="1" s="1"/>
  <c r="I222" i="1" s="1"/>
  <c r="C223" i="1"/>
  <c r="H223" i="1" s="1"/>
  <c r="I223" i="1" s="1"/>
  <c r="M223" i="1" s="1"/>
  <c r="AG223" i="1" s="1"/>
  <c r="C224" i="1"/>
  <c r="H224" i="1" s="1"/>
  <c r="I224" i="1" s="1"/>
  <c r="M224" i="1" s="1"/>
  <c r="AG224" i="1" s="1"/>
  <c r="C225" i="1"/>
  <c r="H225" i="1" s="1"/>
  <c r="I225" i="1" s="1"/>
  <c r="C226" i="1"/>
  <c r="H226" i="1" s="1"/>
  <c r="I226" i="1" s="1"/>
  <c r="C227" i="1"/>
  <c r="H227" i="1" s="1"/>
  <c r="I227" i="1" s="1"/>
  <c r="M227" i="1" s="1"/>
  <c r="AG227" i="1" s="1"/>
  <c r="C228" i="1"/>
  <c r="H228" i="1" s="1"/>
  <c r="I228" i="1" s="1"/>
  <c r="M228" i="1" s="1"/>
  <c r="AG228" i="1" s="1"/>
  <c r="C229" i="1"/>
  <c r="H229" i="1" s="1"/>
  <c r="I229" i="1" s="1"/>
  <c r="M229" i="1" s="1"/>
  <c r="AG229" i="1" s="1"/>
  <c r="C230" i="1"/>
  <c r="H230" i="1" s="1"/>
  <c r="I230" i="1" s="1"/>
  <c r="M230" i="1" s="1"/>
  <c r="AG230" i="1" s="1"/>
  <c r="C231" i="1"/>
  <c r="H231" i="1" s="1"/>
  <c r="I231" i="1" s="1"/>
  <c r="M231" i="1" s="1"/>
  <c r="AG231" i="1" s="1"/>
  <c r="C232" i="1"/>
  <c r="H232" i="1" s="1"/>
  <c r="I232" i="1" s="1"/>
  <c r="C233" i="1"/>
  <c r="H233" i="1" s="1"/>
  <c r="I233" i="1" s="1"/>
  <c r="C234" i="1"/>
  <c r="H234" i="1" s="1"/>
  <c r="I234" i="1" s="1"/>
  <c r="C235" i="1"/>
  <c r="H235" i="1" s="1"/>
  <c r="I235" i="1" s="1"/>
  <c r="M235" i="1" s="1"/>
  <c r="AG235" i="1" s="1"/>
  <c r="C236" i="1"/>
  <c r="H236" i="1" s="1"/>
  <c r="I236" i="1" s="1"/>
  <c r="M236" i="1" s="1"/>
  <c r="AG236" i="1" s="1"/>
  <c r="C237" i="1"/>
  <c r="H237" i="1" s="1"/>
  <c r="I237" i="1" s="1"/>
  <c r="M237" i="1" s="1"/>
  <c r="AG237" i="1" s="1"/>
  <c r="C238" i="1"/>
  <c r="H238" i="1" s="1"/>
  <c r="I238" i="1" s="1"/>
  <c r="M238" i="1" s="1"/>
  <c r="AG238" i="1" s="1"/>
  <c r="C239" i="1"/>
  <c r="H239" i="1" s="1"/>
  <c r="I239" i="1" s="1"/>
  <c r="C240" i="1"/>
  <c r="H240" i="1" s="1"/>
  <c r="I240" i="1" s="1"/>
  <c r="C241" i="1"/>
  <c r="H241" i="1" s="1"/>
  <c r="I241" i="1" s="1"/>
  <c r="M241" i="1" s="1"/>
  <c r="AG241" i="1" s="1"/>
  <c r="C242" i="1"/>
  <c r="H242" i="1" s="1"/>
  <c r="I242" i="1" s="1"/>
  <c r="M242" i="1" s="1"/>
  <c r="AG242" i="1" s="1"/>
  <c r="C243" i="1"/>
  <c r="H243" i="1" s="1"/>
  <c r="I243" i="1" s="1"/>
  <c r="M243" i="1" s="1"/>
  <c r="AG243" i="1" s="1"/>
  <c r="C244" i="1"/>
  <c r="C245" i="1"/>
  <c r="H245" i="1" s="1"/>
  <c r="I245" i="1" s="1"/>
  <c r="C246" i="1"/>
  <c r="H246" i="1" s="1"/>
  <c r="I246" i="1" s="1"/>
  <c r="C247" i="1"/>
  <c r="C248" i="1"/>
  <c r="H248" i="1" s="1"/>
  <c r="I248" i="1" s="1"/>
  <c r="M248" i="1" s="1"/>
  <c r="AG248" i="1" s="1"/>
  <c r="C249" i="1"/>
  <c r="H249" i="1" s="1"/>
  <c r="I249" i="1" s="1"/>
  <c r="M249" i="1" s="1"/>
  <c r="AG249" i="1" s="1"/>
  <c r="C250" i="1"/>
  <c r="H250" i="1" s="1"/>
  <c r="I250" i="1" s="1"/>
  <c r="M250" i="1" s="1"/>
  <c r="AG250" i="1" s="1"/>
  <c r="C251" i="1"/>
  <c r="H251" i="1" s="1"/>
  <c r="I251" i="1" s="1"/>
  <c r="M251" i="1" s="1"/>
  <c r="AG251" i="1" s="1"/>
  <c r="C252" i="1"/>
  <c r="H252" i="1" s="1"/>
  <c r="I252" i="1" s="1"/>
  <c r="M252" i="1" s="1"/>
  <c r="AG252" i="1" s="1"/>
  <c r="C253" i="1"/>
  <c r="H253" i="1" s="1"/>
  <c r="I253" i="1" s="1"/>
  <c r="C254" i="1"/>
  <c r="H254" i="1" s="1"/>
  <c r="I254" i="1" s="1"/>
  <c r="C255" i="1"/>
  <c r="H255" i="1" s="1"/>
  <c r="I255" i="1" s="1"/>
  <c r="M255" i="1" s="1"/>
  <c r="AG255" i="1" s="1"/>
  <c r="C256" i="1"/>
  <c r="C257" i="1"/>
  <c r="H257" i="1" s="1"/>
  <c r="I257" i="1" s="1"/>
  <c r="C258" i="1"/>
  <c r="H258" i="1" s="1"/>
  <c r="I258" i="1" s="1"/>
  <c r="C259" i="1"/>
  <c r="H259" i="1" s="1"/>
  <c r="I259" i="1" s="1"/>
  <c r="M259" i="1" s="1"/>
  <c r="AG259" i="1" s="1"/>
  <c r="C260" i="1"/>
  <c r="H260" i="1" s="1"/>
  <c r="I260" i="1" s="1"/>
  <c r="C261" i="1"/>
  <c r="H261" i="1" s="1"/>
  <c r="I261" i="1" s="1"/>
  <c r="C262" i="1"/>
  <c r="H262" i="1" s="1"/>
  <c r="I262" i="1" s="1"/>
  <c r="M262" i="1" s="1"/>
  <c r="AG262" i="1" s="1"/>
  <c r="C263" i="1"/>
  <c r="H263" i="1" s="1"/>
  <c r="I263" i="1" s="1"/>
  <c r="M263" i="1" s="1"/>
  <c r="AG263" i="1" s="1"/>
  <c r="C264" i="1"/>
  <c r="H264" i="1" s="1"/>
  <c r="I264" i="1" s="1"/>
  <c r="M264" i="1" s="1"/>
  <c r="AG264" i="1" s="1"/>
  <c r="C265" i="1"/>
  <c r="H265" i="1" s="1"/>
  <c r="I265" i="1" s="1"/>
  <c r="M265" i="1" s="1"/>
  <c r="AG265" i="1" s="1"/>
  <c r="C266" i="1"/>
  <c r="H266" i="1" s="1"/>
  <c r="I266" i="1" s="1"/>
  <c r="M266" i="1" s="1"/>
  <c r="AG266" i="1" s="1"/>
  <c r="C267" i="1"/>
  <c r="H267" i="1" s="1"/>
  <c r="I267" i="1" s="1"/>
  <c r="C268" i="1"/>
  <c r="H268" i="1" s="1"/>
  <c r="I268" i="1" s="1"/>
  <c r="C269" i="1"/>
  <c r="H269" i="1" s="1"/>
  <c r="I269" i="1" s="1"/>
  <c r="C270" i="1"/>
  <c r="H270" i="1" s="1"/>
  <c r="I270" i="1" s="1"/>
  <c r="C271" i="1"/>
  <c r="H271" i="1" s="1"/>
  <c r="I271" i="1" s="1"/>
  <c r="M271" i="1" s="1"/>
  <c r="AG271" i="1" s="1"/>
  <c r="C272" i="1"/>
  <c r="H272" i="1" s="1"/>
  <c r="I272" i="1" s="1"/>
  <c r="M272" i="1" s="1"/>
  <c r="AG272" i="1" s="1"/>
  <c r="C273" i="1"/>
  <c r="H273" i="1" s="1"/>
  <c r="I273" i="1" s="1"/>
  <c r="M273" i="1" s="1"/>
  <c r="AG273" i="1" s="1"/>
  <c r="C274" i="1"/>
  <c r="H274" i="1" s="1"/>
  <c r="I274" i="1" s="1"/>
  <c r="C275" i="1"/>
  <c r="H275" i="1" s="1"/>
  <c r="I275" i="1" s="1"/>
  <c r="C276" i="1"/>
  <c r="H276" i="1" s="1"/>
  <c r="I276" i="1" s="1"/>
  <c r="M276" i="1" s="1"/>
  <c r="AG276" i="1" s="1"/>
  <c r="C277" i="1"/>
  <c r="H277" i="1" s="1"/>
  <c r="I277" i="1" s="1"/>
  <c r="M277" i="1" s="1"/>
  <c r="AG277" i="1" s="1"/>
  <c r="C278" i="1"/>
  <c r="H278" i="1" s="1"/>
  <c r="I278" i="1" s="1"/>
  <c r="M278" i="1" s="1"/>
  <c r="AG278" i="1" s="1"/>
  <c r="C279" i="1"/>
  <c r="H279" i="1" s="1"/>
  <c r="I279" i="1" s="1"/>
  <c r="M279" i="1" s="1"/>
  <c r="AG279" i="1" s="1"/>
  <c r="C280" i="1"/>
  <c r="H280" i="1" s="1"/>
  <c r="I280" i="1" s="1"/>
  <c r="M280" i="1" s="1"/>
  <c r="AG280" i="1" s="1"/>
  <c r="C281" i="1"/>
  <c r="H281" i="1" s="1"/>
  <c r="I281" i="1" s="1"/>
  <c r="C282" i="1"/>
  <c r="H282" i="1" s="1"/>
  <c r="I282" i="1" s="1"/>
  <c r="C283" i="1"/>
  <c r="H283" i="1" s="1"/>
  <c r="I283" i="1" s="1"/>
  <c r="M283" i="1" s="1"/>
  <c r="AG283" i="1" s="1"/>
  <c r="C284" i="1"/>
  <c r="H284" i="1" s="1"/>
  <c r="I284" i="1" s="1"/>
  <c r="M284" i="1" s="1"/>
  <c r="AG284" i="1" s="1"/>
  <c r="C285" i="1"/>
  <c r="H285" i="1" s="1"/>
  <c r="C286" i="1"/>
  <c r="H286" i="1" s="1"/>
  <c r="C287" i="1"/>
  <c r="H287" i="1" s="1"/>
  <c r="I287" i="1" s="1"/>
  <c r="M287" i="1" s="1"/>
  <c r="AG287" i="1" s="1"/>
  <c r="C288" i="1"/>
  <c r="H288" i="1" s="1"/>
  <c r="I288" i="1" s="1"/>
  <c r="C289" i="1"/>
  <c r="H289" i="1" s="1"/>
  <c r="I289" i="1" s="1"/>
  <c r="C290" i="1"/>
  <c r="H290" i="1" s="1"/>
  <c r="I290" i="1" s="1"/>
  <c r="M290" i="1" s="1"/>
  <c r="AG290" i="1" s="1"/>
  <c r="C291" i="1"/>
  <c r="H291" i="1" s="1"/>
  <c r="I291" i="1" s="1"/>
  <c r="M291" i="1" s="1"/>
  <c r="AG291" i="1" s="1"/>
  <c r="C292" i="1"/>
  <c r="H292" i="1" s="1"/>
  <c r="I292" i="1" s="1"/>
  <c r="M292" i="1" s="1"/>
  <c r="AG292" i="1" s="1"/>
  <c r="C293" i="1"/>
  <c r="H293" i="1" s="1"/>
  <c r="I293" i="1" s="1"/>
  <c r="C294" i="1"/>
  <c r="H294" i="1" s="1"/>
  <c r="I294" i="1" s="1"/>
  <c r="C295" i="1"/>
  <c r="H295" i="1" s="1"/>
  <c r="I295" i="1" s="1"/>
  <c r="C296" i="1"/>
  <c r="H296" i="1" s="1"/>
  <c r="I296" i="1" s="1"/>
  <c r="C297" i="1"/>
  <c r="H297" i="1" s="1"/>
  <c r="C298" i="1"/>
  <c r="H298" i="1" s="1"/>
  <c r="I298" i="1" s="1"/>
  <c r="M298" i="1" s="1"/>
  <c r="AG298" i="1" s="1"/>
  <c r="C299" i="1"/>
  <c r="H299" i="1" s="1"/>
  <c r="I299" i="1" s="1"/>
  <c r="M299" i="1" s="1"/>
  <c r="AG299" i="1" s="1"/>
  <c r="C300" i="1"/>
  <c r="H300" i="1" s="1"/>
  <c r="I300" i="1" s="1"/>
  <c r="M300" i="1" s="1"/>
  <c r="AG300" i="1" s="1"/>
  <c r="C301" i="1"/>
  <c r="H301" i="1" s="1"/>
  <c r="I301" i="1" s="1"/>
  <c r="M301" i="1" s="1"/>
  <c r="AG301" i="1" s="1"/>
  <c r="C302" i="1"/>
  <c r="H302" i="1" s="1"/>
  <c r="I302" i="1" s="1"/>
  <c r="C303" i="1"/>
  <c r="H303" i="1" s="1"/>
  <c r="I303" i="1" s="1"/>
  <c r="C304" i="1"/>
  <c r="H304" i="1" s="1"/>
  <c r="I304" i="1" s="1"/>
  <c r="M304" i="1" s="1"/>
  <c r="AG304" i="1" s="1"/>
  <c r="C305" i="1"/>
  <c r="H305" i="1" s="1"/>
  <c r="I305" i="1" s="1"/>
  <c r="C306" i="1"/>
  <c r="H306" i="1" s="1"/>
  <c r="I306" i="1" s="1"/>
  <c r="C307" i="1"/>
  <c r="H307" i="1" s="1"/>
  <c r="I307" i="1" s="1"/>
  <c r="M307" i="1" s="1"/>
  <c r="AG307" i="1" s="1"/>
  <c r="C308" i="1"/>
  <c r="H308" i="1" s="1"/>
  <c r="I308" i="1" s="1"/>
  <c r="M308" i="1" s="1"/>
  <c r="AG308" i="1" s="1"/>
  <c r="C309" i="1"/>
  <c r="H309" i="1" s="1"/>
  <c r="I309" i="1" s="1"/>
  <c r="C310" i="1"/>
  <c r="H310" i="1" s="1"/>
  <c r="I310" i="1" s="1"/>
  <c r="C311" i="1"/>
  <c r="H311" i="1" s="1"/>
  <c r="I311" i="1" s="1"/>
  <c r="M311" i="1" s="1"/>
  <c r="AG311" i="1" s="1"/>
  <c r="C312" i="1"/>
  <c r="H312" i="1" s="1"/>
  <c r="I312" i="1" s="1"/>
  <c r="M312" i="1" s="1"/>
  <c r="AG312" i="1" s="1"/>
  <c r="C313" i="1"/>
  <c r="H313" i="1" s="1"/>
  <c r="I313" i="1" s="1"/>
  <c r="M313" i="1" s="1"/>
  <c r="AG313" i="1" s="1"/>
  <c r="C314" i="1"/>
  <c r="H314" i="1" s="1"/>
  <c r="I314" i="1" s="1"/>
  <c r="M314" i="1" s="1"/>
  <c r="AG314" i="1" s="1"/>
  <c r="C315" i="1"/>
  <c r="H315" i="1" s="1"/>
  <c r="I315" i="1" s="1"/>
  <c r="M315" i="1" s="1"/>
  <c r="AG315" i="1" s="1"/>
  <c r="C316" i="1"/>
  <c r="C317" i="1"/>
  <c r="H317" i="1" s="1"/>
  <c r="I317" i="1" s="1"/>
  <c r="C318" i="1"/>
  <c r="H318" i="1" s="1"/>
  <c r="I318" i="1" s="1"/>
  <c r="C319" i="1"/>
  <c r="C320" i="1"/>
  <c r="H320" i="1" s="1"/>
  <c r="I320" i="1" s="1"/>
  <c r="M320" i="1" s="1"/>
  <c r="AG320" i="1" s="1"/>
  <c r="C321" i="1"/>
  <c r="H321" i="1" s="1"/>
  <c r="C322" i="1"/>
  <c r="H322" i="1" s="1"/>
  <c r="I322" i="1" s="1"/>
  <c r="M322" i="1" s="1"/>
  <c r="AG322" i="1" s="1"/>
  <c r="C323" i="1"/>
  <c r="H323" i="1" s="1"/>
  <c r="I323" i="1" s="1"/>
  <c r="C324" i="1"/>
  <c r="H324" i="1" s="1"/>
  <c r="I324" i="1" s="1"/>
  <c r="C325" i="1"/>
  <c r="H325" i="1" s="1"/>
  <c r="I325" i="1" s="1"/>
  <c r="M325" i="1" s="1"/>
  <c r="AG325" i="1" s="1"/>
  <c r="C326" i="1"/>
  <c r="H326" i="1" s="1"/>
  <c r="I326" i="1" s="1"/>
  <c r="M326" i="1" s="1"/>
  <c r="AG326" i="1" s="1"/>
  <c r="C327" i="1"/>
  <c r="H327" i="1" s="1"/>
  <c r="I327" i="1" s="1"/>
  <c r="M327" i="1" s="1"/>
  <c r="AG327" i="1" s="1"/>
  <c r="C328" i="1"/>
  <c r="C329" i="1"/>
  <c r="H329" i="1" s="1"/>
  <c r="I329" i="1" s="1"/>
  <c r="C330" i="1"/>
  <c r="H330" i="1" s="1"/>
  <c r="I330" i="1" s="1"/>
  <c r="C331" i="1"/>
  <c r="H331" i="1" s="1"/>
  <c r="I331" i="1" s="1"/>
  <c r="C332" i="1"/>
  <c r="H332" i="1" s="1"/>
  <c r="I332" i="1" s="1"/>
  <c r="M332" i="1" s="1"/>
  <c r="AG332" i="1" s="1"/>
  <c r="C333" i="1"/>
  <c r="H333" i="1" s="1"/>
  <c r="I333" i="1" s="1"/>
  <c r="M333" i="1" s="1"/>
  <c r="AG333" i="1" s="1"/>
  <c r="C334" i="1"/>
  <c r="H334" i="1" s="1"/>
  <c r="I334" i="1" s="1"/>
  <c r="M334" i="1" s="1"/>
  <c r="AG334" i="1" s="1"/>
  <c r="C335" i="1"/>
  <c r="H335" i="1" s="1"/>
  <c r="I335" i="1" s="1"/>
  <c r="M335" i="1" s="1"/>
  <c r="AG335" i="1" s="1"/>
  <c r="C336" i="1"/>
  <c r="H336" i="1" s="1"/>
  <c r="I336" i="1" s="1"/>
  <c r="M336" i="1" s="1"/>
  <c r="AG336" i="1" s="1"/>
  <c r="C337" i="1"/>
  <c r="H337" i="1" s="1"/>
  <c r="I337" i="1" s="1"/>
  <c r="C338" i="1"/>
  <c r="H338" i="1" s="1"/>
  <c r="I338" i="1" s="1"/>
  <c r="C339" i="1"/>
  <c r="H339" i="1" s="1"/>
  <c r="I339" i="1" s="1"/>
  <c r="M339" i="1" s="1"/>
  <c r="AG339" i="1" s="1"/>
  <c r="C340" i="1"/>
  <c r="H340" i="1" s="1"/>
  <c r="I340" i="1" s="1"/>
  <c r="M340" i="1" s="1"/>
  <c r="AG340" i="1" s="1"/>
  <c r="C341" i="1"/>
  <c r="H341" i="1" s="1"/>
  <c r="I341" i="1" s="1"/>
  <c r="C342" i="1"/>
  <c r="H342" i="1" s="1"/>
  <c r="I342" i="1" s="1"/>
  <c r="C343" i="1"/>
  <c r="H343" i="1" s="1"/>
  <c r="I343" i="1" s="1"/>
  <c r="M343" i="1" s="1"/>
  <c r="AG343" i="1" s="1"/>
  <c r="C344" i="1"/>
  <c r="H344" i="1" s="1"/>
  <c r="I344" i="1" s="1"/>
  <c r="C345" i="1"/>
  <c r="H345" i="1" s="1"/>
  <c r="I345" i="1" s="1"/>
  <c r="C346" i="1"/>
  <c r="H346" i="1" s="1"/>
  <c r="I346" i="1" s="1"/>
  <c r="M346" i="1" s="1"/>
  <c r="AG346" i="1" s="1"/>
  <c r="C347" i="1"/>
  <c r="H347" i="1" s="1"/>
  <c r="I347" i="1" s="1"/>
  <c r="M347" i="1" s="1"/>
  <c r="AG347" i="1" s="1"/>
  <c r="C348" i="1"/>
  <c r="H348" i="1" s="1"/>
  <c r="I348" i="1" s="1"/>
  <c r="M348" i="1" s="1"/>
  <c r="AG348" i="1" s="1"/>
  <c r="C349" i="1"/>
  <c r="H349" i="1" s="1"/>
  <c r="I349" i="1" s="1"/>
  <c r="M349" i="1" s="1"/>
  <c r="AG349" i="1" s="1"/>
  <c r="C350" i="1"/>
  <c r="H350" i="1" s="1"/>
  <c r="I350" i="1" s="1"/>
  <c r="M350" i="1" s="1"/>
  <c r="AG350" i="1" s="1"/>
  <c r="C351" i="1"/>
  <c r="H351" i="1" s="1"/>
  <c r="I351" i="1" s="1"/>
  <c r="C352" i="1"/>
  <c r="H352" i="1" s="1"/>
  <c r="I352" i="1" s="1"/>
  <c r="C353" i="1"/>
  <c r="H353" i="1" s="1"/>
  <c r="I353" i="1" s="1"/>
  <c r="C354" i="1"/>
  <c r="H354" i="1" s="1"/>
  <c r="I354" i="1" s="1"/>
  <c r="C355" i="1"/>
  <c r="H355" i="1" s="1"/>
  <c r="I355" i="1" s="1"/>
  <c r="M355" i="1" s="1"/>
  <c r="AG355" i="1" s="1"/>
  <c r="C356" i="1"/>
  <c r="H356" i="1" s="1"/>
  <c r="I356" i="1" s="1"/>
  <c r="M356" i="1" s="1"/>
  <c r="AG356" i="1" s="1"/>
  <c r="C357" i="1"/>
  <c r="H357" i="1" s="1"/>
  <c r="C358" i="1"/>
  <c r="H358" i="1" s="1"/>
  <c r="I358" i="1" s="1"/>
  <c r="C359" i="1"/>
  <c r="H359" i="1" s="1"/>
  <c r="I359" i="1" s="1"/>
  <c r="C360" i="1"/>
  <c r="H360" i="1" s="1"/>
  <c r="I360" i="1" s="1"/>
  <c r="M360" i="1" s="1"/>
  <c r="AG360" i="1" s="1"/>
  <c r="C361" i="1"/>
  <c r="H361" i="1" s="1"/>
  <c r="I361" i="1" s="1"/>
  <c r="M361" i="1" s="1"/>
  <c r="AG361" i="1" s="1"/>
  <c r="C362" i="1"/>
  <c r="H362" i="1" s="1"/>
  <c r="I362" i="1" s="1"/>
  <c r="M362" i="1" s="1"/>
  <c r="AG362" i="1" s="1"/>
  <c r="C363" i="1"/>
  <c r="H363" i="1" s="1"/>
  <c r="I363" i="1" s="1"/>
  <c r="M363" i="1" s="1"/>
  <c r="AG363" i="1" s="1"/>
  <c r="C364" i="1"/>
  <c r="H364" i="1" s="1"/>
  <c r="I364" i="1" s="1"/>
  <c r="M364" i="1" s="1"/>
  <c r="AG364" i="1" s="1"/>
  <c r="C365" i="1"/>
  <c r="H365" i="1" s="1"/>
  <c r="I365" i="1" s="1"/>
  <c r="C366" i="1"/>
  <c r="H366" i="1" s="1"/>
  <c r="I366" i="1" s="1"/>
  <c r="C367" i="1"/>
  <c r="H367" i="1" s="1"/>
  <c r="I367" i="1" s="1"/>
  <c r="M367" i="1" s="1"/>
  <c r="AG367" i="1" s="1"/>
  <c r="C368" i="1"/>
  <c r="H368" i="1" s="1"/>
  <c r="I368" i="1" s="1"/>
  <c r="M368" i="1" s="1"/>
  <c r="AG368" i="1" s="1"/>
  <c r="C369" i="1"/>
  <c r="H369" i="1" s="1"/>
  <c r="C370" i="1"/>
  <c r="H370" i="1" s="1"/>
  <c r="I370" i="1" s="1"/>
  <c r="M370" i="1" s="1"/>
  <c r="AG370" i="1" s="1"/>
  <c r="C371" i="1"/>
  <c r="H371" i="1" s="1"/>
  <c r="I371" i="1" s="1"/>
  <c r="M371" i="1" s="1"/>
  <c r="AG371" i="1" s="1"/>
  <c r="C372" i="1"/>
  <c r="H372" i="1" s="1"/>
  <c r="I372" i="1" s="1"/>
  <c r="C373" i="1"/>
  <c r="H373" i="1" s="1"/>
  <c r="I373" i="1" s="1"/>
  <c r="C374" i="1"/>
  <c r="H374" i="1" s="1"/>
  <c r="I374" i="1" s="1"/>
  <c r="M374" i="1" s="1"/>
  <c r="AG374" i="1" s="1"/>
  <c r="C375" i="1"/>
  <c r="H375" i="1" s="1"/>
  <c r="I375" i="1" s="1"/>
  <c r="M375" i="1" s="1"/>
  <c r="AG375" i="1" s="1"/>
  <c r="C376" i="1"/>
  <c r="H376" i="1" s="1"/>
  <c r="I376" i="1" s="1"/>
  <c r="M376" i="1" s="1"/>
  <c r="AG376" i="1" s="1"/>
  <c r="C377" i="1"/>
  <c r="H377" i="1" s="1"/>
  <c r="I377" i="1" s="1"/>
  <c r="C378" i="1"/>
  <c r="H378" i="1" s="1"/>
  <c r="I378" i="1" s="1"/>
  <c r="C379" i="1"/>
  <c r="H379" i="1" s="1"/>
  <c r="I379" i="1" s="1"/>
  <c r="C380" i="1"/>
  <c r="H380" i="1" s="1"/>
  <c r="I380" i="1" s="1"/>
  <c r="C381" i="1"/>
  <c r="H381" i="1" s="1"/>
  <c r="I381" i="1" s="1"/>
  <c r="M381" i="1" s="1"/>
  <c r="AG381" i="1" s="1"/>
  <c r="C382" i="1"/>
  <c r="H382" i="1" s="1"/>
  <c r="I382" i="1" s="1"/>
  <c r="M382" i="1" s="1"/>
  <c r="AG382" i="1" s="1"/>
  <c r="C383" i="1"/>
  <c r="H383" i="1" s="1"/>
  <c r="I383" i="1" s="1"/>
  <c r="M383" i="1" s="1"/>
  <c r="AG383" i="1" s="1"/>
  <c r="C384" i="1"/>
  <c r="H384" i="1" s="1"/>
  <c r="I384" i="1" s="1"/>
  <c r="M384" i="1" s="1"/>
  <c r="AG384" i="1" s="1"/>
  <c r="C385" i="1"/>
  <c r="H385" i="1" s="1"/>
  <c r="I385" i="1" s="1"/>
  <c r="M385" i="1" s="1"/>
  <c r="AG385" i="1" s="1"/>
  <c r="C386" i="1"/>
  <c r="H386" i="1" s="1"/>
  <c r="I386" i="1" s="1"/>
  <c r="C387" i="1"/>
  <c r="H387" i="1" s="1"/>
  <c r="I387" i="1" s="1"/>
  <c r="C388" i="1"/>
  <c r="C389" i="1"/>
  <c r="H389" i="1" s="1"/>
  <c r="I389" i="1" s="1"/>
  <c r="C390" i="1"/>
  <c r="H390" i="1" s="1"/>
  <c r="I390" i="1" s="1"/>
  <c r="C391" i="1"/>
  <c r="C392" i="1"/>
  <c r="H392" i="1" s="1"/>
  <c r="I392" i="1" s="1"/>
  <c r="M392" i="1" s="1"/>
  <c r="AG392" i="1" s="1"/>
  <c r="C393" i="1"/>
  <c r="H393" i="1" s="1"/>
  <c r="I393" i="1" s="1"/>
  <c r="C394" i="1"/>
  <c r="H394" i="1" s="1"/>
  <c r="I394" i="1" s="1"/>
  <c r="C395" i="1"/>
  <c r="H395" i="1" s="1"/>
  <c r="I395" i="1" s="1"/>
  <c r="M395" i="1" s="1"/>
  <c r="AG395" i="1" s="1"/>
  <c r="C396" i="1"/>
  <c r="H396" i="1" s="1"/>
  <c r="I396" i="1" s="1"/>
  <c r="M396" i="1" s="1"/>
  <c r="AG396" i="1" s="1"/>
  <c r="C397" i="1"/>
  <c r="H397" i="1" s="1"/>
  <c r="I397" i="1" s="1"/>
  <c r="M397" i="1" s="1"/>
  <c r="AG397" i="1" s="1"/>
  <c r="C398" i="1"/>
  <c r="H398" i="1" s="1"/>
  <c r="I398" i="1" s="1"/>
  <c r="M398" i="1" s="1"/>
  <c r="AG398" i="1" s="1"/>
  <c r="C399" i="1"/>
  <c r="H399" i="1" s="1"/>
  <c r="I399" i="1" s="1"/>
  <c r="M399" i="1" s="1"/>
  <c r="AG399" i="1" s="1"/>
  <c r="C400" i="1"/>
  <c r="C401" i="1"/>
  <c r="H401" i="1" s="1"/>
  <c r="I401" i="1" s="1"/>
  <c r="C402" i="1"/>
  <c r="H402" i="1" s="1"/>
  <c r="I402" i="1" s="1"/>
  <c r="C403" i="1"/>
  <c r="H403" i="1" s="1"/>
  <c r="I403" i="1" s="1"/>
  <c r="M403" i="1" s="1"/>
  <c r="AG403" i="1" s="1"/>
  <c r="C404" i="1"/>
  <c r="H404" i="1" s="1"/>
  <c r="I404" i="1" s="1"/>
  <c r="M404" i="1" s="1"/>
  <c r="AG404" i="1" s="1"/>
  <c r="C405" i="1"/>
  <c r="H405" i="1" s="1"/>
  <c r="I405" i="1" s="1"/>
  <c r="M405" i="1" s="1"/>
  <c r="AG405" i="1" s="1"/>
  <c r="C406" i="1"/>
  <c r="H406" i="1" s="1"/>
  <c r="I406" i="1" s="1"/>
  <c r="M406" i="1" s="1"/>
  <c r="AG406" i="1" s="1"/>
  <c r="C407" i="1"/>
  <c r="H407" i="1" s="1"/>
  <c r="I407" i="1" s="1"/>
  <c r="C408" i="1"/>
  <c r="H408" i="1" s="1"/>
  <c r="I408" i="1" s="1"/>
  <c r="C409" i="1"/>
  <c r="H409" i="1" s="1"/>
  <c r="I409" i="1" s="1"/>
  <c r="M409" i="1" s="1"/>
  <c r="AG409" i="1" s="1"/>
  <c r="C410" i="1"/>
  <c r="H410" i="1" s="1"/>
  <c r="I410" i="1" s="1"/>
  <c r="M410" i="1" s="1"/>
  <c r="AG410" i="1" s="1"/>
  <c r="C411" i="1"/>
  <c r="H411" i="1" s="1"/>
  <c r="I411" i="1" s="1"/>
  <c r="M411" i="1" s="1"/>
  <c r="AG411" i="1" s="1"/>
  <c r="C412" i="1"/>
  <c r="H412" i="1" s="1"/>
  <c r="I412" i="1" s="1"/>
  <c r="M412" i="1" s="1"/>
  <c r="AG412" i="1" s="1"/>
  <c r="C413" i="1"/>
  <c r="H413" i="1" s="1"/>
  <c r="I413" i="1" s="1"/>
  <c r="C414" i="1"/>
  <c r="H414" i="1" s="1"/>
  <c r="I414" i="1" s="1"/>
  <c r="C415" i="1"/>
  <c r="H415" i="1" s="1"/>
  <c r="I415" i="1" s="1"/>
  <c r="C416" i="1"/>
  <c r="H416" i="1" s="1"/>
  <c r="I416" i="1" s="1"/>
  <c r="M416" i="1" s="1"/>
  <c r="AG416" i="1" s="1"/>
  <c r="C417" i="1"/>
  <c r="H417" i="1" s="1"/>
  <c r="I417" i="1" s="1"/>
  <c r="M417" i="1" s="1"/>
  <c r="AG417" i="1" s="1"/>
  <c r="C418" i="1"/>
  <c r="H418" i="1" s="1"/>
  <c r="I418" i="1" s="1"/>
  <c r="M418" i="1" s="1"/>
  <c r="AG418" i="1" s="1"/>
  <c r="C419" i="1"/>
  <c r="H419" i="1" s="1"/>
  <c r="I419" i="1" s="1"/>
  <c r="M419" i="1" s="1"/>
  <c r="AG419" i="1" s="1"/>
  <c r="C420" i="1"/>
  <c r="H420" i="1" s="1"/>
  <c r="I420" i="1" s="1"/>
  <c r="M420" i="1" s="1"/>
  <c r="AG420" i="1" s="1"/>
  <c r="C421" i="1"/>
  <c r="H421" i="1" s="1"/>
  <c r="I421" i="1" s="1"/>
  <c r="C422" i="1"/>
  <c r="H422" i="1" s="1"/>
  <c r="I422" i="1" s="1"/>
  <c r="C423" i="1"/>
  <c r="H423" i="1" s="1"/>
  <c r="I423" i="1" s="1"/>
  <c r="M423" i="1" s="1"/>
  <c r="AG423" i="1" s="1"/>
  <c r="C424" i="1"/>
  <c r="H424" i="1" s="1"/>
  <c r="I424" i="1" s="1"/>
  <c r="M424" i="1" s="1"/>
  <c r="AG424" i="1" s="1"/>
  <c r="C425" i="1"/>
  <c r="H425" i="1" s="1"/>
  <c r="I425" i="1" s="1"/>
  <c r="C426" i="1"/>
  <c r="H426" i="1" s="1"/>
  <c r="I426" i="1" s="1"/>
  <c r="C427" i="1"/>
  <c r="H427" i="1" s="1"/>
  <c r="I427" i="1" s="1"/>
  <c r="M427" i="1" s="1"/>
  <c r="AG427" i="1" s="1"/>
  <c r="C428" i="1"/>
  <c r="H428" i="1" s="1"/>
  <c r="I428" i="1" s="1"/>
  <c r="C429" i="1"/>
  <c r="H429" i="1" s="1"/>
  <c r="I429" i="1" s="1"/>
  <c r="C430" i="1"/>
  <c r="H430" i="1" s="1"/>
  <c r="C431" i="1"/>
  <c r="H431" i="1" s="1"/>
  <c r="I431" i="1" s="1"/>
  <c r="M431" i="1" s="1"/>
  <c r="AG431" i="1" s="1"/>
  <c r="C432" i="1"/>
  <c r="H432" i="1" s="1"/>
  <c r="I432" i="1" s="1"/>
  <c r="M432" i="1" s="1"/>
  <c r="AG432" i="1" s="1"/>
  <c r="C433" i="1"/>
  <c r="H433" i="1" s="1"/>
  <c r="I433" i="1" s="1"/>
  <c r="M433" i="1" s="1"/>
  <c r="AG433" i="1" s="1"/>
  <c r="C434" i="1"/>
  <c r="H434" i="1" s="1"/>
  <c r="I434" i="1" s="1"/>
  <c r="M434" i="1" s="1"/>
  <c r="AG434" i="1" s="1"/>
  <c r="C435" i="1"/>
  <c r="H435" i="1" s="1"/>
  <c r="I435" i="1" s="1"/>
  <c r="C436" i="1"/>
  <c r="H436" i="1" s="1"/>
  <c r="I436" i="1" s="1"/>
  <c r="C437" i="1"/>
  <c r="H437" i="1" s="1"/>
  <c r="I437" i="1" s="1"/>
  <c r="C438" i="1"/>
  <c r="H438" i="1" s="1"/>
  <c r="I438" i="1" s="1"/>
  <c r="C439" i="1"/>
  <c r="H439" i="1" s="1"/>
  <c r="I439" i="1" s="1"/>
  <c r="M439" i="1" s="1"/>
  <c r="AG439" i="1" s="1"/>
  <c r="C440" i="1"/>
  <c r="H440" i="1" s="1"/>
  <c r="I440" i="1" s="1"/>
  <c r="M440" i="1" s="1"/>
  <c r="AG440" i="1" s="1"/>
  <c r="C441" i="1"/>
  <c r="H441" i="1" s="1"/>
  <c r="C442" i="1"/>
  <c r="H442" i="1" s="1"/>
  <c r="I442" i="1" s="1"/>
  <c r="C443" i="1"/>
  <c r="H443" i="1" s="1"/>
  <c r="I443" i="1" s="1"/>
  <c r="C444" i="1"/>
  <c r="H444" i="1" s="1"/>
  <c r="I444" i="1" s="1"/>
  <c r="M444" i="1" s="1"/>
  <c r="AG444" i="1" s="1"/>
  <c r="C445" i="1"/>
  <c r="H445" i="1" s="1"/>
  <c r="I445" i="1" s="1"/>
  <c r="M445" i="1" s="1"/>
  <c r="AG445" i="1" s="1"/>
  <c r="C446" i="1"/>
  <c r="H446" i="1" s="1"/>
  <c r="I446" i="1" s="1"/>
  <c r="M446" i="1" s="1"/>
  <c r="AG446" i="1" s="1"/>
  <c r="C447" i="1"/>
  <c r="H447" i="1" s="1"/>
  <c r="I447" i="1" s="1"/>
  <c r="M447" i="1" s="1"/>
  <c r="AG447" i="1" s="1"/>
  <c r="C448" i="1"/>
  <c r="H448" i="1" s="1"/>
  <c r="I448" i="1" s="1"/>
  <c r="M448" i="1" s="1"/>
  <c r="AG448" i="1" s="1"/>
  <c r="C449" i="1"/>
  <c r="H449" i="1" s="1"/>
  <c r="I449" i="1" s="1"/>
  <c r="C450" i="1"/>
  <c r="H450" i="1" s="1"/>
  <c r="I450" i="1" s="1"/>
  <c r="C451" i="1"/>
  <c r="H451" i="1" s="1"/>
  <c r="I451" i="1" s="1"/>
  <c r="M451" i="1" s="1"/>
  <c r="AG451" i="1" s="1"/>
  <c r="C452" i="1"/>
  <c r="H452" i="1" s="1"/>
  <c r="I452" i="1" s="1"/>
  <c r="M452" i="1" s="1"/>
  <c r="AG452" i="1" s="1"/>
  <c r="C453" i="1"/>
  <c r="H453" i="1" s="1"/>
  <c r="I453" i="1" s="1"/>
  <c r="M453" i="1" s="1"/>
  <c r="AG453" i="1" s="1"/>
  <c r="C454" i="1"/>
  <c r="H454" i="1" s="1"/>
  <c r="I454" i="1" s="1"/>
  <c r="M454" i="1" s="1"/>
  <c r="AG454" i="1" s="1"/>
  <c r="C455" i="1"/>
  <c r="H455" i="1" s="1"/>
  <c r="I455" i="1" s="1"/>
  <c r="M455" i="1" s="1"/>
  <c r="AG455" i="1" s="1"/>
  <c r="C456" i="1"/>
  <c r="H456" i="1" s="1"/>
  <c r="I456" i="1" s="1"/>
  <c r="C457" i="1"/>
  <c r="H457" i="1" s="1"/>
  <c r="I457" i="1" s="1"/>
  <c r="C458" i="1"/>
  <c r="H458" i="1" s="1"/>
  <c r="I458" i="1" s="1"/>
  <c r="M458" i="1" s="1"/>
  <c r="AG458" i="1" s="1"/>
  <c r="C459" i="1"/>
  <c r="H459" i="1" s="1"/>
  <c r="I459" i="1" s="1"/>
  <c r="M459" i="1" s="1"/>
  <c r="AG459" i="1" s="1"/>
  <c r="C460" i="1"/>
  <c r="C461" i="1"/>
  <c r="H461" i="1" s="1"/>
  <c r="I461" i="1" s="1"/>
  <c r="C462" i="1"/>
  <c r="H462" i="1" s="1"/>
  <c r="I462" i="1" s="1"/>
  <c r="C463" i="1"/>
  <c r="C464" i="1"/>
  <c r="H464" i="1" s="1"/>
  <c r="I464" i="1" s="1"/>
  <c r="C465" i="1"/>
  <c r="H465" i="1" s="1"/>
  <c r="C466" i="1"/>
  <c r="H466" i="1" s="1"/>
  <c r="I466" i="1" s="1"/>
  <c r="M466" i="1" s="1"/>
  <c r="AG466" i="1" s="1"/>
  <c r="C467" i="1"/>
  <c r="H467" i="1" s="1"/>
  <c r="I467" i="1" s="1"/>
  <c r="M467" i="1" s="1"/>
  <c r="AG467" i="1" s="1"/>
  <c r="C468" i="1"/>
  <c r="H468" i="1" s="1"/>
  <c r="I468" i="1" s="1"/>
  <c r="M468" i="1" s="1"/>
  <c r="AG468" i="1" s="1"/>
  <c r="C469" i="1"/>
  <c r="H469" i="1" s="1"/>
  <c r="I469" i="1" s="1"/>
  <c r="M469" i="1" s="1"/>
  <c r="AG469" i="1" s="1"/>
  <c r="C470" i="1"/>
  <c r="H470" i="1" s="1"/>
  <c r="I470" i="1" s="1"/>
  <c r="C471" i="1"/>
  <c r="H471" i="1" s="1"/>
  <c r="I471" i="1" s="1"/>
  <c r="C472" i="1"/>
  <c r="C473" i="1"/>
  <c r="H473" i="1" s="1"/>
  <c r="I473" i="1" s="1"/>
  <c r="C474" i="1"/>
  <c r="H474" i="1" s="1"/>
  <c r="I474" i="1" s="1"/>
  <c r="C475" i="1"/>
  <c r="H475" i="1" s="1"/>
  <c r="I475" i="1" s="1"/>
  <c r="M475" i="1" s="1"/>
  <c r="AG475" i="1" s="1"/>
  <c r="C476" i="1"/>
  <c r="H476" i="1" s="1"/>
  <c r="I476" i="1" s="1"/>
  <c r="M476" i="1" s="1"/>
  <c r="AG476" i="1" s="1"/>
  <c r="C477" i="1"/>
  <c r="H477" i="1" s="1"/>
  <c r="I477" i="1" s="1"/>
  <c r="C478" i="1"/>
  <c r="H478" i="1" s="1"/>
  <c r="I478" i="1" s="1"/>
  <c r="C479" i="1"/>
  <c r="H479" i="1" s="1"/>
  <c r="I479" i="1" s="1"/>
  <c r="M479" i="1" s="1"/>
  <c r="AG479" i="1" s="1"/>
  <c r="C480" i="1"/>
  <c r="H480" i="1" s="1"/>
  <c r="I480" i="1" s="1"/>
  <c r="M480" i="1" s="1"/>
  <c r="AG480" i="1" s="1"/>
  <c r="C481" i="1"/>
  <c r="H481" i="1" s="1"/>
  <c r="I481" i="1" s="1"/>
  <c r="M481" i="1" s="1"/>
  <c r="AG481" i="1" s="1"/>
  <c r="C482" i="1"/>
  <c r="H482" i="1" s="1"/>
  <c r="I482" i="1" s="1"/>
  <c r="M482" i="1" s="1"/>
  <c r="AG482" i="1" s="1"/>
  <c r="C483" i="1"/>
  <c r="H483" i="1" s="1"/>
  <c r="I483" i="1" s="1"/>
  <c r="M483" i="1" s="1"/>
  <c r="AG483" i="1" s="1"/>
  <c r="C484" i="1"/>
  <c r="H484" i="1" s="1"/>
  <c r="I484" i="1" s="1"/>
  <c r="C485" i="1"/>
  <c r="H485" i="1" s="1"/>
  <c r="I485" i="1" s="1"/>
  <c r="C486" i="1"/>
  <c r="H486" i="1" s="1"/>
  <c r="I486" i="1" s="1"/>
  <c r="C487" i="1"/>
  <c r="H487" i="1" s="1"/>
  <c r="I487" i="1" s="1"/>
  <c r="M487" i="1" s="1"/>
  <c r="AG487" i="1" s="1"/>
  <c r="C488" i="1"/>
  <c r="H488" i="1" s="1"/>
  <c r="I488" i="1" s="1"/>
  <c r="M488" i="1" s="1"/>
  <c r="AG488" i="1" s="1"/>
  <c r="C489" i="1"/>
  <c r="H489" i="1" s="1"/>
  <c r="I489" i="1" s="1"/>
  <c r="M489" i="1" s="1"/>
  <c r="AG489" i="1" s="1"/>
  <c r="C490" i="1"/>
  <c r="H490" i="1" s="1"/>
  <c r="I490" i="1" s="1"/>
  <c r="M490" i="1" s="1"/>
  <c r="AG490" i="1" s="1"/>
  <c r="C491" i="1"/>
  <c r="H491" i="1" s="1"/>
  <c r="I491" i="1" s="1"/>
  <c r="C492" i="1"/>
  <c r="H492" i="1" s="1"/>
  <c r="I492" i="1" s="1"/>
  <c r="C493" i="1"/>
  <c r="H493" i="1" s="1"/>
  <c r="I493" i="1" s="1"/>
  <c r="M493" i="1" s="1"/>
  <c r="AG493" i="1" s="1"/>
  <c r="C494" i="1"/>
  <c r="H494" i="1" s="1"/>
  <c r="I494" i="1" s="1"/>
  <c r="M494" i="1" s="1"/>
  <c r="AG494" i="1" s="1"/>
  <c r="C495" i="1"/>
  <c r="H495" i="1" s="1"/>
  <c r="I495" i="1" s="1"/>
  <c r="M495" i="1" s="1"/>
  <c r="AG495" i="1" s="1"/>
  <c r="C496" i="1"/>
  <c r="H496" i="1" s="1"/>
  <c r="I496" i="1" s="1"/>
  <c r="M496" i="1" s="1"/>
  <c r="AG496" i="1" s="1"/>
  <c r="C497" i="1"/>
  <c r="H497" i="1" s="1"/>
  <c r="I497" i="1" s="1"/>
  <c r="C498" i="1"/>
  <c r="H498" i="1" s="1"/>
  <c r="I498" i="1" s="1"/>
  <c r="C499" i="1"/>
  <c r="H499" i="1" s="1"/>
  <c r="I499" i="1" s="1"/>
  <c r="C500" i="1"/>
  <c r="H500" i="1" s="1"/>
  <c r="I500" i="1" s="1"/>
  <c r="M500" i="1" s="1"/>
  <c r="AG500" i="1" s="1"/>
  <c r="C501" i="1"/>
  <c r="H501" i="1" s="1"/>
  <c r="C502" i="1"/>
  <c r="H502" i="1" s="1"/>
  <c r="C503" i="1"/>
  <c r="H503" i="1" s="1"/>
  <c r="I503" i="1" s="1"/>
  <c r="M503" i="1" s="1"/>
  <c r="AG503" i="1" s="1"/>
  <c r="C504" i="1"/>
  <c r="H504" i="1" s="1"/>
  <c r="I504" i="1" s="1"/>
  <c r="M504" i="1" s="1"/>
  <c r="AG504" i="1" s="1"/>
  <c r="C505" i="1"/>
  <c r="H505" i="1" s="1"/>
  <c r="I505" i="1" s="1"/>
  <c r="C506" i="1"/>
  <c r="H506" i="1" s="1"/>
  <c r="I506" i="1" s="1"/>
  <c r="C507" i="1"/>
  <c r="H507" i="1" s="1"/>
  <c r="I507" i="1" s="1"/>
  <c r="M507" i="1" s="1"/>
  <c r="AG507" i="1" s="1"/>
  <c r="C508" i="1"/>
  <c r="H508" i="1" s="1"/>
  <c r="I508" i="1" s="1"/>
  <c r="M508" i="1" s="1"/>
  <c r="AG508" i="1" s="1"/>
  <c r="C509" i="1"/>
  <c r="H509" i="1" s="1"/>
  <c r="I509" i="1" s="1"/>
  <c r="C510" i="1"/>
  <c r="H510" i="1" s="1"/>
  <c r="I510" i="1" s="1"/>
  <c r="C511" i="1"/>
  <c r="H511" i="1" s="1"/>
  <c r="I511" i="1" s="1"/>
  <c r="M511" i="1" s="1"/>
  <c r="AG511" i="1" s="1"/>
  <c r="C512" i="1"/>
  <c r="H512" i="1" s="1"/>
  <c r="I512" i="1" s="1"/>
  <c r="C513" i="1"/>
  <c r="H513" i="1" s="1"/>
  <c r="I513" i="1" s="1"/>
  <c r="C514" i="1"/>
  <c r="H514" i="1" s="1"/>
  <c r="I514" i="1" s="1"/>
  <c r="M514" i="1" s="1"/>
  <c r="AG514" i="1" s="1"/>
  <c r="C515" i="1"/>
  <c r="H515" i="1" s="1"/>
  <c r="I515" i="1" s="1"/>
  <c r="M515" i="1" s="1"/>
  <c r="AG515" i="1" s="1"/>
  <c r="C516" i="1"/>
  <c r="H516" i="1" s="1"/>
  <c r="I516" i="1" s="1"/>
  <c r="M516" i="1" s="1"/>
  <c r="AG516" i="1" s="1"/>
  <c r="C517" i="1"/>
  <c r="H517" i="1" s="1"/>
  <c r="I517" i="1" s="1"/>
  <c r="M517" i="1" s="1"/>
  <c r="AG517" i="1" s="1"/>
  <c r="C518" i="1"/>
  <c r="H518" i="1" s="1"/>
  <c r="I518" i="1" s="1"/>
  <c r="M518" i="1" s="1"/>
  <c r="AG518" i="1" s="1"/>
  <c r="C519" i="1"/>
  <c r="H519" i="1" s="1"/>
  <c r="I519" i="1" s="1"/>
  <c r="C520" i="1"/>
  <c r="H520" i="1" s="1"/>
  <c r="I520" i="1" s="1"/>
  <c r="C521" i="1"/>
  <c r="H521" i="1" s="1"/>
  <c r="I521" i="1" s="1"/>
  <c r="C522" i="1"/>
  <c r="H522" i="1" s="1"/>
  <c r="I522" i="1" s="1"/>
  <c r="C523" i="1"/>
  <c r="H523" i="1" s="1"/>
  <c r="I523" i="1" s="1"/>
  <c r="M523" i="1" s="1"/>
  <c r="AG523" i="1" s="1"/>
  <c r="C524" i="1"/>
  <c r="H524" i="1" s="1"/>
  <c r="I524" i="1" s="1"/>
  <c r="M524" i="1" s="1"/>
  <c r="AG524" i="1" s="1"/>
  <c r="C525" i="1"/>
  <c r="H525" i="1" s="1"/>
  <c r="C526" i="1"/>
  <c r="H526" i="1" s="1"/>
  <c r="I526" i="1" s="1"/>
  <c r="C527" i="1"/>
  <c r="H527" i="1" s="1"/>
  <c r="I527" i="1" s="1"/>
  <c r="C528" i="1"/>
  <c r="H528" i="1" s="1"/>
  <c r="I528" i="1" s="1"/>
  <c r="M528" i="1" s="1"/>
  <c r="AG528" i="1" s="1"/>
  <c r="C529" i="1"/>
  <c r="H529" i="1" s="1"/>
  <c r="I529" i="1" s="1"/>
  <c r="M529" i="1" s="1"/>
  <c r="AG529" i="1" s="1"/>
  <c r="C530" i="1"/>
  <c r="H530" i="1" s="1"/>
  <c r="I530" i="1" s="1"/>
  <c r="M530" i="1" s="1"/>
  <c r="AG530" i="1" s="1"/>
  <c r="C531" i="1"/>
  <c r="H531" i="1" s="1"/>
  <c r="I531" i="1" s="1"/>
  <c r="M531" i="1" s="1"/>
  <c r="AG531" i="1" s="1"/>
  <c r="C532" i="1"/>
  <c r="C533" i="1"/>
  <c r="H533" i="1" s="1"/>
  <c r="I533" i="1" s="1"/>
  <c r="C534" i="1"/>
  <c r="H534" i="1" s="1"/>
  <c r="I534" i="1" s="1"/>
  <c r="C535" i="1"/>
  <c r="C536" i="1"/>
  <c r="H536" i="1" s="1"/>
  <c r="I536" i="1" s="1"/>
  <c r="M536" i="1" s="1"/>
  <c r="AG536" i="1" s="1"/>
  <c r="C537" i="1"/>
  <c r="H537" i="1" s="1"/>
  <c r="C538" i="1"/>
  <c r="H538" i="1" s="1"/>
  <c r="I538" i="1" s="1"/>
  <c r="M538" i="1" s="1"/>
  <c r="AG538" i="1" s="1"/>
  <c r="C539" i="1"/>
  <c r="H539" i="1" s="1"/>
  <c r="I539" i="1" s="1"/>
  <c r="M539" i="1" s="1"/>
  <c r="AG539" i="1" s="1"/>
  <c r="C540" i="1"/>
  <c r="H540" i="1" s="1"/>
  <c r="I540" i="1" s="1"/>
  <c r="C541" i="1"/>
  <c r="H541" i="1" s="1"/>
  <c r="I541" i="1" s="1"/>
  <c r="C542" i="1"/>
  <c r="H542" i="1" s="1"/>
  <c r="I542" i="1" s="1"/>
  <c r="M542" i="1" s="1"/>
  <c r="AG542" i="1" s="1"/>
  <c r="C543" i="1"/>
  <c r="H543" i="1" s="1"/>
  <c r="I543" i="1" s="1"/>
  <c r="M543" i="1" s="1"/>
  <c r="AG543" i="1" s="1"/>
  <c r="C544" i="1"/>
  <c r="C545" i="1"/>
  <c r="H545" i="1" s="1"/>
  <c r="I545" i="1" s="1"/>
  <c r="C546" i="1"/>
  <c r="H546" i="1" s="1"/>
  <c r="I546" i="1" s="1"/>
  <c r="C547" i="1"/>
  <c r="H547" i="1" s="1"/>
  <c r="I547" i="1" s="1"/>
  <c r="C548" i="1"/>
  <c r="H548" i="1" s="1"/>
  <c r="I548" i="1" s="1"/>
  <c r="C549" i="1"/>
  <c r="H549" i="1" s="1"/>
  <c r="I549" i="1" s="1"/>
  <c r="M549" i="1" s="1"/>
  <c r="AG549" i="1" s="1"/>
  <c r="C550" i="1"/>
  <c r="H550" i="1" s="1"/>
  <c r="I550" i="1" s="1"/>
  <c r="M550" i="1" s="1"/>
  <c r="AG550" i="1" s="1"/>
  <c r="C551" i="1"/>
  <c r="H551" i="1" s="1"/>
  <c r="I551" i="1" s="1"/>
  <c r="M551" i="1" s="1"/>
  <c r="AG551" i="1" s="1"/>
  <c r="C552" i="1"/>
  <c r="H552" i="1" s="1"/>
  <c r="I552" i="1" s="1"/>
  <c r="M552" i="1" s="1"/>
  <c r="AG552" i="1" s="1"/>
  <c r="C553" i="1"/>
  <c r="H553" i="1" s="1"/>
  <c r="I553" i="1" s="1"/>
  <c r="M553" i="1" s="1"/>
  <c r="AG553" i="1" s="1"/>
  <c r="C554" i="1"/>
  <c r="H554" i="1" s="1"/>
  <c r="I554" i="1" s="1"/>
  <c r="C555" i="1"/>
  <c r="H555" i="1" s="1"/>
  <c r="I555" i="1" s="1"/>
  <c r="C556" i="1"/>
  <c r="H556" i="1" s="1"/>
  <c r="I556" i="1" s="1"/>
  <c r="M556" i="1" s="1"/>
  <c r="AG556" i="1" s="1"/>
  <c r="C557" i="1"/>
  <c r="H557" i="1" s="1"/>
  <c r="I557" i="1" s="1"/>
  <c r="C558" i="1"/>
  <c r="H558" i="1" s="1"/>
  <c r="I558" i="1" s="1"/>
  <c r="C559" i="1"/>
  <c r="H559" i="1" s="1"/>
  <c r="I559" i="1" s="1"/>
  <c r="M559" i="1" s="1"/>
  <c r="AG559" i="1" s="1"/>
  <c r="C560" i="1"/>
  <c r="H560" i="1" s="1"/>
  <c r="I560" i="1" s="1"/>
  <c r="M560" i="1" s="1"/>
  <c r="AG560" i="1" s="1"/>
  <c r="C561" i="1"/>
  <c r="H561" i="1" s="1"/>
  <c r="I561" i="1" s="1"/>
  <c r="C562" i="1"/>
  <c r="H562" i="1" s="1"/>
  <c r="I562" i="1" s="1"/>
  <c r="C563" i="1"/>
  <c r="H563" i="1" s="1"/>
  <c r="I563" i="1" s="1"/>
  <c r="M563" i="1" s="1"/>
  <c r="AG563" i="1" s="1"/>
  <c r="C564" i="1"/>
  <c r="H564" i="1" s="1"/>
  <c r="I564" i="1" s="1"/>
  <c r="M564" i="1" s="1"/>
  <c r="AG564" i="1" s="1"/>
  <c r="C565" i="1"/>
  <c r="H565" i="1" s="1"/>
  <c r="I565" i="1" s="1"/>
  <c r="M565" i="1" s="1"/>
  <c r="AG565" i="1" s="1"/>
  <c r="C566" i="1"/>
  <c r="H566" i="1" s="1"/>
  <c r="I566" i="1" s="1"/>
  <c r="M566" i="1" s="1"/>
  <c r="AG566" i="1" s="1"/>
  <c r="C567" i="1"/>
  <c r="H567" i="1" s="1"/>
  <c r="I567" i="1" s="1"/>
  <c r="M567" i="1" s="1"/>
  <c r="AG567" i="1" s="1"/>
  <c r="C568" i="1"/>
  <c r="H568" i="1" s="1"/>
  <c r="I568" i="1" s="1"/>
  <c r="C569" i="1"/>
  <c r="H569" i="1" s="1"/>
  <c r="I569" i="1" s="1"/>
  <c r="C570" i="1"/>
  <c r="H570" i="1" s="1"/>
  <c r="I570" i="1" s="1"/>
  <c r="C571" i="1"/>
  <c r="H571" i="1" s="1"/>
  <c r="I571" i="1" s="1"/>
  <c r="M571" i="1" s="1"/>
  <c r="AG571" i="1" s="1"/>
  <c r="C572" i="1"/>
  <c r="H572" i="1" s="1"/>
  <c r="I572" i="1" s="1"/>
  <c r="M572" i="1" s="1"/>
  <c r="AG572" i="1" s="1"/>
  <c r="C573" i="1"/>
  <c r="H573" i="1" s="1"/>
  <c r="C574" i="1"/>
  <c r="H574" i="1" s="1"/>
  <c r="C575" i="1"/>
  <c r="H575" i="1" s="1"/>
  <c r="I575" i="1" s="1"/>
  <c r="C576" i="1"/>
  <c r="H576" i="1" s="1"/>
  <c r="I576" i="1" s="1"/>
  <c r="C577" i="1"/>
  <c r="H577" i="1" s="1"/>
  <c r="I577" i="1" s="1"/>
  <c r="M577" i="1" s="1"/>
  <c r="AG577" i="1" s="1"/>
  <c r="C578" i="1"/>
  <c r="H578" i="1" s="1"/>
  <c r="I578" i="1" s="1"/>
  <c r="M578" i="1" s="1"/>
  <c r="AG578" i="1" s="1"/>
  <c r="C579" i="1"/>
  <c r="H579" i="1" s="1"/>
  <c r="I579" i="1" s="1"/>
  <c r="M579" i="1" s="1"/>
  <c r="AG579" i="1" s="1"/>
  <c r="C580" i="1"/>
  <c r="H580" i="1" s="1"/>
  <c r="I580" i="1" s="1"/>
  <c r="M580" i="1" s="1"/>
  <c r="AG580" i="1" s="1"/>
  <c r="C581" i="1"/>
  <c r="H581" i="1" s="1"/>
  <c r="I581" i="1" s="1"/>
  <c r="C582" i="1"/>
  <c r="H582" i="1" s="1"/>
  <c r="I582" i="1" s="1"/>
  <c r="C583" i="1"/>
  <c r="H583" i="1" s="1"/>
  <c r="I583" i="1" s="1"/>
  <c r="C584" i="1"/>
  <c r="H584" i="1" s="1"/>
  <c r="I584" i="1" s="1"/>
  <c r="M584" i="1" s="1"/>
  <c r="AG584" i="1" s="1"/>
  <c r="C585" i="1"/>
  <c r="H585" i="1" s="1"/>
  <c r="C586" i="1"/>
  <c r="H586" i="1" s="1"/>
  <c r="C587" i="1"/>
  <c r="H587" i="1" s="1"/>
  <c r="I587" i="1" s="1"/>
  <c r="M587" i="1" s="1"/>
  <c r="AG587" i="1" s="1"/>
  <c r="C588" i="1"/>
  <c r="H588" i="1" s="1"/>
  <c r="I588" i="1" s="1"/>
  <c r="M588" i="1" s="1"/>
  <c r="AG588" i="1" s="1"/>
  <c r="C589" i="1"/>
  <c r="H589" i="1" s="1"/>
  <c r="I589" i="1" s="1"/>
  <c r="C590" i="1"/>
  <c r="H590" i="1" s="1"/>
  <c r="I590" i="1" s="1"/>
  <c r="C591" i="1"/>
  <c r="H591" i="1" s="1"/>
  <c r="I591" i="1" s="1"/>
  <c r="M591" i="1" s="1"/>
  <c r="AG591" i="1" s="1"/>
  <c r="C592" i="1"/>
  <c r="H592" i="1" s="1"/>
  <c r="I592" i="1" s="1"/>
  <c r="M592" i="1" s="1"/>
  <c r="AG592" i="1" s="1"/>
  <c r="C593" i="1"/>
  <c r="H593" i="1" s="1"/>
  <c r="I593" i="1" s="1"/>
  <c r="C594" i="1"/>
  <c r="H594" i="1" s="1"/>
  <c r="I594" i="1" s="1"/>
  <c r="C595" i="1"/>
  <c r="H595" i="1" s="1"/>
  <c r="I595" i="1" s="1"/>
  <c r="M595" i="1" s="1"/>
  <c r="AG595" i="1" s="1"/>
  <c r="C596" i="1"/>
  <c r="H596" i="1" s="1"/>
  <c r="I596" i="1" s="1"/>
  <c r="C597" i="1"/>
  <c r="H597" i="1" s="1"/>
  <c r="I597" i="1" s="1"/>
  <c r="C598" i="1"/>
  <c r="H598" i="1" s="1"/>
  <c r="I598" i="1" s="1"/>
  <c r="M598" i="1" s="1"/>
  <c r="C599" i="1"/>
  <c r="H599" i="1" s="1"/>
  <c r="I599" i="1" s="1"/>
  <c r="M599" i="1" s="1"/>
  <c r="AG599" i="1" s="1"/>
  <c r="C600" i="1"/>
  <c r="H600" i="1" s="1"/>
  <c r="I600" i="1" s="1"/>
  <c r="M600" i="1" s="1"/>
  <c r="AG600" i="1" s="1"/>
  <c r="C601" i="1"/>
  <c r="H601" i="1" s="1"/>
  <c r="I601" i="1" s="1"/>
  <c r="M601" i="1" s="1"/>
  <c r="AG601" i="1" s="1"/>
  <c r="C602" i="1"/>
  <c r="H602" i="1" s="1"/>
  <c r="I602" i="1" s="1"/>
  <c r="M602" i="1" s="1"/>
  <c r="AG602" i="1" s="1"/>
  <c r="C603" i="1"/>
  <c r="H603" i="1" s="1"/>
  <c r="I603" i="1" s="1"/>
  <c r="C604" i="1"/>
  <c r="C605" i="1"/>
  <c r="H605" i="1" s="1"/>
  <c r="I605" i="1" s="1"/>
  <c r="C606" i="1"/>
  <c r="H606" i="1" s="1"/>
  <c r="I606" i="1" s="1"/>
  <c r="C607" i="1"/>
  <c r="C608" i="1"/>
  <c r="H608" i="1" s="1"/>
  <c r="I608" i="1" s="1"/>
  <c r="M608" i="1" s="1"/>
  <c r="AG608" i="1" s="1"/>
  <c r="C609" i="1"/>
  <c r="H609" i="1" s="1"/>
  <c r="C610" i="1"/>
  <c r="H610" i="1" s="1"/>
  <c r="I610" i="1" s="1"/>
  <c r="C611" i="1"/>
  <c r="H611" i="1" s="1"/>
  <c r="I611" i="1" s="1"/>
  <c r="C612" i="1"/>
  <c r="H612" i="1" s="1"/>
  <c r="I612" i="1" s="1"/>
  <c r="M612" i="1" s="1"/>
  <c r="AG612" i="1" s="1"/>
  <c r="C613" i="1"/>
  <c r="H613" i="1" s="1"/>
  <c r="I613" i="1" s="1"/>
  <c r="M613" i="1" s="1"/>
  <c r="AG613" i="1" s="1"/>
  <c r="C614" i="1"/>
  <c r="H614" i="1" s="1"/>
  <c r="I614" i="1" s="1"/>
  <c r="M614" i="1" s="1"/>
  <c r="AG614" i="1" s="1"/>
  <c r="C615" i="1"/>
  <c r="H615" i="1" s="1"/>
  <c r="I615" i="1" s="1"/>
  <c r="M615" i="1" s="1"/>
  <c r="AG615" i="1" s="1"/>
  <c r="C616" i="1"/>
  <c r="C617" i="1"/>
  <c r="H617" i="1" s="1"/>
  <c r="I617" i="1" s="1"/>
  <c r="C618" i="1"/>
  <c r="H618" i="1" s="1"/>
  <c r="I618" i="1" s="1"/>
  <c r="C619" i="1"/>
  <c r="H619" i="1" s="1"/>
  <c r="I619" i="1" s="1"/>
  <c r="M619" i="1" s="1"/>
  <c r="AG619" i="1" s="1"/>
  <c r="C620" i="1"/>
  <c r="H620" i="1" s="1"/>
  <c r="I620" i="1" s="1"/>
  <c r="M620" i="1" s="1"/>
  <c r="AG620" i="1" s="1"/>
  <c r="C621" i="1"/>
  <c r="H621" i="1" s="1"/>
  <c r="I621" i="1" s="1"/>
  <c r="M621" i="1" s="1"/>
  <c r="AG621" i="1" s="1"/>
  <c r="C622" i="1"/>
  <c r="H622" i="1" s="1"/>
  <c r="I622" i="1" s="1"/>
  <c r="M622" i="1" s="1"/>
  <c r="AG622" i="1" s="1"/>
  <c r="C623" i="1"/>
  <c r="H623" i="1" s="1"/>
  <c r="I623" i="1" s="1"/>
  <c r="M623" i="1" s="1"/>
  <c r="AG623" i="1" s="1"/>
  <c r="C624" i="1"/>
  <c r="H624" i="1" s="1"/>
  <c r="I624" i="1" s="1"/>
  <c r="C625" i="1"/>
  <c r="H625" i="1" s="1"/>
  <c r="I625" i="1" s="1"/>
  <c r="C626" i="1"/>
  <c r="H626" i="1" s="1"/>
  <c r="I626" i="1" s="1"/>
  <c r="M626" i="1" s="1"/>
  <c r="AG626" i="1" s="1"/>
  <c r="C627" i="1"/>
  <c r="H627" i="1" s="1"/>
  <c r="I627" i="1" s="1"/>
  <c r="M627" i="1" s="1"/>
  <c r="AG627" i="1" s="1"/>
  <c r="C628" i="1"/>
  <c r="H628" i="1" s="1"/>
  <c r="I628" i="1" s="1"/>
  <c r="M628" i="1" s="1"/>
  <c r="AG628" i="1" s="1"/>
  <c r="C629" i="1"/>
  <c r="H629" i="1" s="1"/>
  <c r="I629" i="1" s="1"/>
  <c r="C630" i="1"/>
  <c r="H630" i="1" s="1"/>
  <c r="I630" i="1" s="1"/>
  <c r="C631" i="1"/>
  <c r="H631" i="1" s="1"/>
  <c r="I631" i="1" s="1"/>
  <c r="C632" i="1"/>
  <c r="H632" i="1" s="1"/>
  <c r="I632" i="1" s="1"/>
  <c r="C633" i="1"/>
  <c r="H633" i="1" s="1"/>
  <c r="I633" i="1" s="1"/>
  <c r="M633" i="1" s="1"/>
  <c r="AG633" i="1" s="1"/>
  <c r="C634" i="1"/>
  <c r="H634" i="1" s="1"/>
  <c r="I634" i="1" s="1"/>
  <c r="M634" i="1" s="1"/>
  <c r="AG634" i="1" s="1"/>
  <c r="C635" i="1"/>
  <c r="H635" i="1" s="1"/>
  <c r="I635" i="1" s="1"/>
  <c r="M635" i="1" s="1"/>
  <c r="AG635" i="1" s="1"/>
  <c r="C636" i="1"/>
  <c r="H636" i="1" s="1"/>
  <c r="I636" i="1" s="1"/>
  <c r="M636" i="1" s="1"/>
  <c r="AG636" i="1" s="1"/>
  <c r="C637" i="1"/>
  <c r="H637" i="1" s="1"/>
  <c r="I637" i="1" s="1"/>
  <c r="M637" i="1" s="1"/>
  <c r="AG637" i="1" s="1"/>
  <c r="C638" i="1"/>
  <c r="H638" i="1" s="1"/>
  <c r="I638" i="1" s="1"/>
  <c r="C639" i="1"/>
  <c r="H639" i="1" s="1"/>
  <c r="I639" i="1" s="1"/>
  <c r="C640" i="1"/>
  <c r="H640" i="1" s="1"/>
  <c r="I640" i="1" s="1"/>
  <c r="M640" i="1" s="1"/>
  <c r="AG640" i="1" s="1"/>
  <c r="C641" i="1"/>
  <c r="H641" i="1" s="1"/>
  <c r="I641" i="1" s="1"/>
  <c r="C642" i="1"/>
  <c r="H642" i="1" s="1"/>
  <c r="I642" i="1" s="1"/>
  <c r="C643" i="1"/>
  <c r="H643" i="1" s="1"/>
  <c r="I643" i="1" s="1"/>
  <c r="M643" i="1" s="1"/>
  <c r="AG643" i="1" s="1"/>
  <c r="C644" i="1"/>
  <c r="H644" i="1" s="1"/>
  <c r="I644" i="1" s="1"/>
  <c r="M644" i="1" s="1"/>
  <c r="AG644" i="1" s="1"/>
  <c r="C645" i="1"/>
  <c r="H645" i="1" s="1"/>
  <c r="I645" i="1" s="1"/>
  <c r="C646" i="1"/>
  <c r="H646" i="1" s="1"/>
  <c r="I646" i="1" s="1"/>
  <c r="C647" i="1"/>
  <c r="H647" i="1" s="1"/>
  <c r="I647" i="1" s="1"/>
  <c r="M647" i="1" s="1"/>
  <c r="AG647" i="1" s="1"/>
  <c r="C648" i="1"/>
  <c r="H648" i="1" s="1"/>
  <c r="I648" i="1" s="1"/>
  <c r="M648" i="1" s="1"/>
  <c r="AG648" i="1" s="1"/>
  <c r="C649" i="1"/>
  <c r="H649" i="1" s="1"/>
  <c r="I649" i="1" s="1"/>
  <c r="M649" i="1" s="1"/>
  <c r="AG649" i="1" s="1"/>
  <c r="C650" i="1"/>
  <c r="H650" i="1" s="1"/>
  <c r="I650" i="1" s="1"/>
  <c r="M650" i="1" s="1"/>
  <c r="AG650" i="1" s="1"/>
  <c r="C651" i="1"/>
  <c r="H651" i="1" s="1"/>
  <c r="I651" i="1" s="1"/>
  <c r="M651" i="1" s="1"/>
  <c r="AG651" i="1" s="1"/>
  <c r="C652" i="1"/>
  <c r="H652" i="1" s="1"/>
  <c r="I652" i="1" s="1"/>
  <c r="C653" i="1"/>
  <c r="H653" i="1" s="1"/>
  <c r="I653" i="1" s="1"/>
  <c r="C654" i="1"/>
  <c r="H654" i="1" s="1"/>
  <c r="I654" i="1" s="1"/>
  <c r="C655" i="1"/>
  <c r="H655" i="1" s="1"/>
  <c r="I655" i="1" s="1"/>
  <c r="M655" i="1" s="1"/>
  <c r="AG655" i="1" s="1"/>
  <c r="C656" i="1"/>
  <c r="H656" i="1" s="1"/>
  <c r="I656" i="1" s="1"/>
  <c r="M656" i="1" s="1"/>
  <c r="AG656" i="1" s="1"/>
  <c r="C657" i="1"/>
  <c r="H657" i="1" s="1"/>
  <c r="C658" i="1"/>
  <c r="H658" i="1" s="1"/>
  <c r="C659" i="1"/>
  <c r="H659" i="1" s="1"/>
  <c r="I659" i="1" s="1"/>
  <c r="C660" i="1"/>
  <c r="H660" i="1" s="1"/>
  <c r="I660" i="1" s="1"/>
  <c r="C661" i="1"/>
  <c r="H661" i="1" s="1"/>
  <c r="I661" i="1" s="1"/>
  <c r="M661" i="1" s="1"/>
  <c r="AG661" i="1" s="1"/>
  <c r="C662" i="1"/>
  <c r="H662" i="1" s="1"/>
  <c r="I662" i="1" s="1"/>
  <c r="M662" i="1" s="1"/>
  <c r="AG662" i="1" s="1"/>
  <c r="C663" i="1"/>
  <c r="H663" i="1" s="1"/>
  <c r="I663" i="1" s="1"/>
  <c r="M663" i="1" s="1"/>
  <c r="AG663" i="1" s="1"/>
  <c r="C664" i="1"/>
  <c r="H664" i="1" s="1"/>
  <c r="I664" i="1" s="1"/>
  <c r="M664" i="1" s="1"/>
  <c r="AG664" i="1" s="1"/>
  <c r="C665" i="1"/>
  <c r="H665" i="1" s="1"/>
  <c r="I665" i="1" s="1"/>
  <c r="C666" i="1"/>
  <c r="H666" i="1" s="1"/>
  <c r="I666" i="1" s="1"/>
  <c r="C667" i="1"/>
  <c r="H667" i="1" s="1"/>
  <c r="I667" i="1" s="1"/>
  <c r="C668" i="1"/>
  <c r="H668" i="1" s="1"/>
  <c r="I668" i="1" s="1"/>
  <c r="M668" i="1" s="1"/>
  <c r="AG668" i="1" s="1"/>
  <c r="C669" i="1"/>
  <c r="H669" i="1" s="1"/>
  <c r="C670" i="1"/>
  <c r="H670" i="1" s="1"/>
  <c r="I670" i="1" s="1"/>
  <c r="M670" i="1" s="1"/>
  <c r="AG670" i="1" s="1"/>
  <c r="C671" i="1"/>
  <c r="H671" i="1" s="1"/>
  <c r="I671" i="1" s="1"/>
  <c r="M671" i="1" s="1"/>
  <c r="AG671" i="1" s="1"/>
  <c r="C672" i="1"/>
  <c r="H672" i="1" s="1"/>
  <c r="I672" i="1" s="1"/>
  <c r="M672" i="1" s="1"/>
  <c r="AG672" i="1" s="1"/>
  <c r="C673" i="1"/>
  <c r="H673" i="1" s="1"/>
  <c r="I673" i="1" s="1"/>
  <c r="C674" i="1"/>
  <c r="H674" i="1" s="1"/>
  <c r="I674" i="1" s="1"/>
  <c r="C675" i="1"/>
  <c r="H675" i="1" s="1"/>
  <c r="I675" i="1" s="1"/>
  <c r="M675" i="1" s="1"/>
  <c r="AG675" i="1" s="1"/>
  <c r="C676" i="1"/>
  <c r="C677" i="1"/>
  <c r="H677" i="1" s="1"/>
  <c r="I677" i="1" s="1"/>
  <c r="C678" i="1"/>
  <c r="H678" i="1" s="1"/>
  <c r="I678" i="1" s="1"/>
  <c r="C679" i="1"/>
  <c r="C680" i="1"/>
  <c r="H680" i="1" s="1"/>
  <c r="I680" i="1" s="1"/>
  <c r="C681" i="1"/>
  <c r="H681" i="1" s="1"/>
  <c r="I681" i="1" s="1"/>
  <c r="C682" i="1"/>
  <c r="H682" i="1" s="1"/>
  <c r="I682" i="1" s="1"/>
  <c r="M682" i="1" s="1"/>
  <c r="AG682" i="1" s="1"/>
  <c r="C683" i="1"/>
  <c r="H683" i="1" s="1"/>
  <c r="I683" i="1" s="1"/>
  <c r="M683" i="1" s="1"/>
  <c r="AG683" i="1" s="1"/>
  <c r="C684" i="1"/>
  <c r="H684" i="1" s="1"/>
  <c r="I684" i="1" s="1"/>
  <c r="M684" i="1" s="1"/>
  <c r="AG684" i="1" s="1"/>
  <c r="C685" i="1"/>
  <c r="H685" i="1" s="1"/>
  <c r="I685" i="1" s="1"/>
  <c r="M685" i="1" s="1"/>
  <c r="AG685" i="1" s="1"/>
  <c r="C686" i="1"/>
  <c r="H686" i="1" s="1"/>
  <c r="I686" i="1" s="1"/>
  <c r="M686" i="1" s="1"/>
  <c r="AG686" i="1" s="1"/>
  <c r="C687" i="1"/>
  <c r="H687" i="1" s="1"/>
  <c r="I687" i="1" s="1"/>
  <c r="C688" i="1"/>
  <c r="C689" i="1"/>
  <c r="H689" i="1" s="1"/>
  <c r="I689" i="1" s="1"/>
  <c r="C690" i="1"/>
  <c r="H690" i="1" s="1"/>
  <c r="I690" i="1" s="1"/>
  <c r="C691" i="1"/>
  <c r="H691" i="1" s="1"/>
  <c r="I691" i="1" s="1"/>
  <c r="M691" i="1" s="1"/>
  <c r="AG691" i="1" s="1"/>
  <c r="C692" i="1"/>
  <c r="H692" i="1" s="1"/>
  <c r="I692" i="1" s="1"/>
  <c r="M692" i="1" s="1"/>
  <c r="AG692" i="1" s="1"/>
  <c r="C693" i="1"/>
  <c r="H693" i="1" s="1"/>
  <c r="I693" i="1" s="1"/>
  <c r="M693" i="1" s="1"/>
  <c r="AG693" i="1" s="1"/>
  <c r="C694" i="1"/>
  <c r="H694" i="1" s="1"/>
  <c r="I694" i="1" s="1"/>
  <c r="C695" i="1"/>
  <c r="H695" i="1" s="1"/>
  <c r="I695" i="1" s="1"/>
  <c r="C696" i="1"/>
  <c r="H696" i="1" s="1"/>
  <c r="I696" i="1" s="1"/>
  <c r="M696" i="1" s="1"/>
  <c r="AG696" i="1" s="1"/>
  <c r="C697" i="1"/>
  <c r="H697" i="1" s="1"/>
  <c r="I697" i="1" s="1"/>
  <c r="M697" i="1" s="1"/>
  <c r="AG697" i="1" s="1"/>
  <c r="C698" i="1"/>
  <c r="H698" i="1" s="1"/>
  <c r="I698" i="1" s="1"/>
  <c r="M698" i="1" s="1"/>
  <c r="AG698" i="1" s="1"/>
  <c r="C699" i="1"/>
  <c r="H699" i="1" s="1"/>
  <c r="I699" i="1" s="1"/>
  <c r="M699" i="1" s="1"/>
  <c r="AG699" i="1" s="1"/>
  <c r="C700" i="1"/>
  <c r="H700" i="1" s="1"/>
  <c r="I700" i="1" s="1"/>
  <c r="M700" i="1" s="1"/>
  <c r="AG700" i="1" s="1"/>
  <c r="C701" i="1"/>
  <c r="H701" i="1" s="1"/>
  <c r="I701" i="1" s="1"/>
  <c r="C702" i="1"/>
  <c r="H702" i="1" s="1"/>
  <c r="I702" i="1" s="1"/>
  <c r="C703" i="1"/>
  <c r="H703" i="1" s="1"/>
  <c r="I703" i="1" s="1"/>
  <c r="M703" i="1" s="1"/>
  <c r="AG703" i="1" s="1"/>
  <c r="C704" i="1"/>
  <c r="H704" i="1" s="1"/>
  <c r="I704" i="1" s="1"/>
  <c r="M704" i="1" s="1"/>
  <c r="AG704" i="1" s="1"/>
  <c r="C705" i="1"/>
  <c r="H705" i="1" s="1"/>
  <c r="I705" i="1" s="1"/>
  <c r="M705" i="1" s="1"/>
  <c r="AG705" i="1" s="1"/>
  <c r="C706" i="1"/>
  <c r="H706" i="1" s="1"/>
  <c r="I706" i="1" s="1"/>
  <c r="M706" i="1" s="1"/>
  <c r="C707" i="1"/>
  <c r="H707" i="1" s="1"/>
  <c r="I707" i="1" s="1"/>
  <c r="M707" i="1" s="1"/>
  <c r="AG707" i="1" s="1"/>
  <c r="C708" i="1"/>
  <c r="H708" i="1" s="1"/>
  <c r="I708" i="1" s="1"/>
  <c r="C709" i="1"/>
  <c r="H709" i="1" s="1"/>
  <c r="I709" i="1" s="1"/>
  <c r="C710" i="1"/>
  <c r="H710" i="1" s="1"/>
  <c r="I710" i="1" s="1"/>
  <c r="M710" i="1" s="1"/>
  <c r="AG710" i="1" s="1"/>
  <c r="C711" i="1"/>
  <c r="H711" i="1" s="1"/>
  <c r="I711" i="1" s="1"/>
  <c r="M711" i="1" s="1"/>
  <c r="AG711" i="1" s="1"/>
  <c r="C712" i="1"/>
  <c r="H712" i="1" s="1"/>
  <c r="I712" i="1" s="1"/>
  <c r="M712" i="1" s="1"/>
  <c r="AG712" i="1" s="1"/>
  <c r="C713" i="1"/>
  <c r="H713" i="1" s="1"/>
  <c r="I713" i="1" s="1"/>
  <c r="C714" i="1"/>
  <c r="H714" i="1" s="1"/>
  <c r="I714" i="1" s="1"/>
  <c r="C715" i="1"/>
  <c r="H715" i="1" s="1"/>
  <c r="I715" i="1" s="1"/>
  <c r="C716" i="1"/>
  <c r="H716" i="1" s="1"/>
  <c r="I716" i="1" s="1"/>
  <c r="C717" i="1"/>
  <c r="H717" i="1" s="1"/>
  <c r="C718" i="1"/>
  <c r="H718" i="1" s="1"/>
  <c r="C719" i="1"/>
  <c r="H719" i="1" s="1"/>
  <c r="I719" i="1" s="1"/>
  <c r="M719" i="1" s="1"/>
  <c r="AG719" i="1" s="1"/>
  <c r="C720" i="1"/>
  <c r="H720" i="1" s="1"/>
  <c r="I720" i="1" s="1"/>
  <c r="M720" i="1" s="1"/>
  <c r="AG720" i="1" s="1"/>
  <c r="C721" i="1"/>
  <c r="H721" i="1" s="1"/>
  <c r="I721" i="1" s="1"/>
  <c r="M721" i="1" s="1"/>
  <c r="AG721" i="1" s="1"/>
  <c r="C722" i="1"/>
  <c r="H722" i="1" s="1"/>
  <c r="I722" i="1" s="1"/>
  <c r="C723" i="1"/>
  <c r="H723" i="1" s="1"/>
  <c r="I723" i="1" s="1"/>
  <c r="C724" i="1"/>
  <c r="H724" i="1" s="1"/>
  <c r="I724" i="1" s="1"/>
  <c r="M724" i="1" s="1"/>
  <c r="AG724" i="1" s="1"/>
  <c r="C725" i="1"/>
  <c r="H725" i="1" s="1"/>
  <c r="I725" i="1" s="1"/>
  <c r="C726" i="1"/>
  <c r="H726" i="1" s="1"/>
  <c r="I726" i="1" s="1"/>
  <c r="C727" i="1"/>
  <c r="H727" i="1" s="1"/>
  <c r="I727" i="1" s="1"/>
  <c r="M727" i="1" s="1"/>
  <c r="AG727" i="1" s="1"/>
  <c r="C728" i="1"/>
  <c r="H728" i="1" s="1"/>
  <c r="I728" i="1" s="1"/>
  <c r="M728" i="1" s="1"/>
  <c r="AG728" i="1" s="1"/>
  <c r="C729" i="1"/>
  <c r="H729" i="1" s="1"/>
  <c r="I729" i="1" s="1"/>
  <c r="C730" i="1"/>
  <c r="H730" i="1" s="1"/>
  <c r="I730" i="1" s="1"/>
  <c r="C731" i="1"/>
  <c r="H731" i="1" s="1"/>
  <c r="I731" i="1" s="1"/>
  <c r="M731" i="1" s="1"/>
  <c r="AG731" i="1" s="1"/>
  <c r="C732" i="1"/>
  <c r="H732" i="1" s="1"/>
  <c r="I732" i="1" s="1"/>
  <c r="M732" i="1" s="1"/>
  <c r="AG732" i="1" s="1"/>
  <c r="G2" i="1"/>
  <c r="D2" i="1"/>
  <c r="C3" i="1"/>
  <c r="H3" i="1" s="1"/>
  <c r="I3" i="1" s="1"/>
  <c r="M3" i="1" s="1"/>
  <c r="N3" i="1" s="1"/>
  <c r="H2" i="1"/>
  <c r="I2" i="1" s="1"/>
  <c r="L3" i="3" l="1"/>
  <c r="C4" i="3" s="1"/>
  <c r="J4" i="3" s="1"/>
  <c r="N4" i="3" s="1"/>
  <c r="K3" i="3"/>
  <c r="G683" i="3"/>
  <c r="G619" i="3"/>
  <c r="G490" i="3"/>
  <c r="G346" i="3"/>
  <c r="G187" i="3"/>
  <c r="G6" i="3"/>
  <c r="G607" i="3"/>
  <c r="G466" i="3"/>
  <c r="G322" i="3"/>
  <c r="G157" i="3"/>
  <c r="G670" i="3"/>
  <c r="G598" i="3"/>
  <c r="G310" i="3"/>
  <c r="G143" i="3"/>
  <c r="G707" i="3"/>
  <c r="G667" i="3"/>
  <c r="G586" i="3"/>
  <c r="G442" i="3"/>
  <c r="G298" i="3"/>
  <c r="G129" i="3"/>
  <c r="G706" i="3"/>
  <c r="G658" i="3"/>
  <c r="G574" i="3"/>
  <c r="G430" i="3"/>
  <c r="G286" i="3"/>
  <c r="G115" i="3"/>
  <c r="G703" i="3"/>
  <c r="G655" i="3"/>
  <c r="G562" i="3"/>
  <c r="G418" i="3"/>
  <c r="G273" i="3"/>
  <c r="G101" i="3"/>
  <c r="G646" i="3"/>
  <c r="G550" i="3"/>
  <c r="G406" i="3"/>
  <c r="G259" i="3"/>
  <c r="G84" i="3"/>
  <c r="G731" i="3"/>
  <c r="G695" i="3"/>
  <c r="G643" i="3"/>
  <c r="G538" i="3"/>
  <c r="G394" i="3"/>
  <c r="G245" i="3"/>
  <c r="G69" i="3"/>
  <c r="G730" i="3"/>
  <c r="G694" i="3"/>
  <c r="G634" i="3"/>
  <c r="G526" i="3"/>
  <c r="G382" i="3"/>
  <c r="G229" i="3"/>
  <c r="G54" i="3"/>
  <c r="G727" i="3"/>
  <c r="G691" i="3"/>
  <c r="G631" i="3"/>
  <c r="G514" i="3"/>
  <c r="G370" i="3"/>
  <c r="G215" i="3"/>
  <c r="G36" i="3"/>
  <c r="G726" i="3"/>
  <c r="G690" i="3"/>
  <c r="G622" i="3"/>
  <c r="G502" i="3"/>
  <c r="G358" i="3"/>
  <c r="G201" i="3"/>
  <c r="G21" i="3"/>
  <c r="G14" i="3"/>
  <c r="G80" i="3"/>
  <c r="G140" i="3"/>
  <c r="G188" i="3"/>
  <c r="G224" i="3"/>
  <c r="G230" i="3"/>
  <c r="G236" i="3"/>
  <c r="G242" i="3"/>
  <c r="G248" i="3"/>
  <c r="G254" i="3"/>
  <c r="G272" i="3"/>
  <c r="G296" i="3"/>
  <c r="G332" i="3"/>
  <c r="G338" i="3"/>
  <c r="G344" i="3"/>
  <c r="G350" i="3"/>
  <c r="G356" i="3"/>
  <c r="G362" i="3"/>
  <c r="G368" i="3"/>
  <c r="G374" i="3"/>
  <c r="G380" i="3"/>
  <c r="G386" i="3"/>
  <c r="G392" i="3"/>
  <c r="G398" i="3"/>
  <c r="G404" i="3"/>
  <c r="G410" i="3"/>
  <c r="G416" i="3"/>
  <c r="G422" i="3"/>
  <c r="G428" i="3"/>
  <c r="G434" i="3"/>
  <c r="G440" i="3"/>
  <c r="G446" i="3"/>
  <c r="G452" i="3"/>
  <c r="G458" i="3"/>
  <c r="G464" i="3"/>
  <c r="G470" i="3"/>
  <c r="G476" i="3"/>
  <c r="G482" i="3"/>
  <c r="G488" i="3"/>
  <c r="G494" i="3"/>
  <c r="G500" i="3"/>
  <c r="G506" i="3"/>
  <c r="G512" i="3"/>
  <c r="G518" i="3"/>
  <c r="G524" i="3"/>
  <c r="G530" i="3"/>
  <c r="G536" i="3"/>
  <c r="G542" i="3"/>
  <c r="G548" i="3"/>
  <c r="G554" i="3"/>
  <c r="G560" i="3"/>
  <c r="G566" i="3"/>
  <c r="G572" i="3"/>
  <c r="G578" i="3"/>
  <c r="G584" i="3"/>
  <c r="G590" i="3"/>
  <c r="G596" i="3"/>
  <c r="G602" i="3"/>
  <c r="G608" i="3"/>
  <c r="G614" i="3"/>
  <c r="G620" i="3"/>
  <c r="G626" i="3"/>
  <c r="G632" i="3"/>
  <c r="G638" i="3"/>
  <c r="G644" i="3"/>
  <c r="G650" i="3"/>
  <c r="G656" i="3"/>
  <c r="G662" i="3"/>
  <c r="G668" i="3"/>
  <c r="G674" i="3"/>
  <c r="G680" i="3"/>
  <c r="G686" i="3"/>
  <c r="G692" i="3"/>
  <c r="G698" i="3"/>
  <c r="G704" i="3"/>
  <c r="G710" i="3"/>
  <c r="G716" i="3"/>
  <c r="G722" i="3"/>
  <c r="G728" i="3"/>
  <c r="G38" i="3"/>
  <c r="G92" i="3"/>
  <c r="G146" i="3"/>
  <c r="G206" i="3"/>
  <c r="G302" i="3"/>
  <c r="G62" i="3"/>
  <c r="G128" i="3"/>
  <c r="G194" i="3"/>
  <c r="G290" i="3"/>
  <c r="G44" i="3"/>
  <c r="G110" i="3"/>
  <c r="G176" i="3"/>
  <c r="G308" i="3"/>
  <c r="G20" i="3"/>
  <c r="G86" i="3"/>
  <c r="G152" i="3"/>
  <c r="G218" i="3"/>
  <c r="G326" i="3"/>
  <c r="G56" i="3"/>
  <c r="G122" i="3"/>
  <c r="G182" i="3"/>
  <c r="G278" i="3"/>
  <c r="G32" i="3"/>
  <c r="G98" i="3"/>
  <c r="G158" i="3"/>
  <c r="G212" i="3"/>
  <c r="G284" i="3"/>
  <c r="G74" i="3"/>
  <c r="G260" i="3"/>
  <c r="G26" i="3"/>
  <c r="G104" i="3"/>
  <c r="G170" i="3"/>
  <c r="G314" i="3"/>
  <c r="G8" i="3"/>
  <c r="G68" i="3"/>
  <c r="G134" i="3"/>
  <c r="G200" i="3"/>
  <c r="G320" i="3"/>
  <c r="G50" i="3"/>
  <c r="G116" i="3"/>
  <c r="G164" i="3"/>
  <c r="G266" i="3"/>
  <c r="G671" i="3"/>
  <c r="G659" i="3"/>
  <c r="G647" i="3"/>
  <c r="G635" i="3"/>
  <c r="G623" i="3"/>
  <c r="G611" i="3"/>
  <c r="G599" i="3"/>
  <c r="G587" i="3"/>
  <c r="G575" i="3"/>
  <c r="G563" i="3"/>
  <c r="G551" i="3"/>
  <c r="G527" i="3"/>
  <c r="G515" i="3"/>
  <c r="G503" i="3"/>
  <c r="G491" i="3"/>
  <c r="G479" i="3"/>
  <c r="G467" i="3"/>
  <c r="G455" i="3"/>
  <c r="G443" i="3"/>
  <c r="G431" i="3"/>
  <c r="G419" i="3"/>
  <c r="G407" i="3"/>
  <c r="G383" i="3"/>
  <c r="G371" i="3"/>
  <c r="G359" i="3"/>
  <c r="G347" i="3"/>
  <c r="G335" i="3"/>
  <c r="G323" i="3"/>
  <c r="G311" i="3"/>
  <c r="G299" i="3"/>
  <c r="G287" i="3"/>
  <c r="G274" i="3"/>
  <c r="G246" i="3"/>
  <c r="G231" i="3"/>
  <c r="G202" i="3"/>
  <c r="G174" i="3"/>
  <c r="G159" i="3"/>
  <c r="G144" i="3"/>
  <c r="G130" i="3"/>
  <c r="G102" i="3"/>
  <c r="G85" i="3"/>
  <c r="G70" i="3"/>
  <c r="G55" i="3"/>
  <c r="G37" i="3"/>
  <c r="G22" i="3"/>
  <c r="G7" i="3"/>
  <c r="G729" i="3"/>
  <c r="G717" i="3"/>
  <c r="G693" i="3"/>
  <c r="G681" i="3"/>
  <c r="G669" i="3"/>
  <c r="G657" i="3"/>
  <c r="G645" i="3"/>
  <c r="G633" i="3"/>
  <c r="G621" i="3"/>
  <c r="G609" i="3"/>
  <c r="G597" i="3"/>
  <c r="G585" i="3"/>
  <c r="G573" i="3"/>
  <c r="G561" i="3"/>
  <c r="G549" i="3"/>
  <c r="G537" i="3"/>
  <c r="G525" i="3"/>
  <c r="G501" i="3"/>
  <c r="G489" i="3"/>
  <c r="G477" i="3"/>
  <c r="G465" i="3"/>
  <c r="G453" i="3"/>
  <c r="G441" i="3"/>
  <c r="G417" i="3"/>
  <c r="G405" i="3"/>
  <c r="G393" i="3"/>
  <c r="G381" i="3"/>
  <c r="G357" i="3"/>
  <c r="G345" i="3"/>
  <c r="G333" i="3"/>
  <c r="G321" i="3"/>
  <c r="G309" i="3"/>
  <c r="G297" i="3"/>
  <c r="G258" i="3"/>
  <c r="G243" i="3"/>
  <c r="G228" i="3"/>
  <c r="G214" i="3"/>
  <c r="G186" i="3"/>
  <c r="G171" i="3"/>
  <c r="G156" i="3"/>
  <c r="G142" i="3"/>
  <c r="G114" i="3"/>
  <c r="G99" i="3"/>
  <c r="G83" i="3"/>
  <c r="G53" i="3"/>
  <c r="G35" i="3"/>
  <c r="G5" i="3"/>
  <c r="G3" i="3"/>
  <c r="G15" i="3"/>
  <c r="G27" i="3"/>
  <c r="G39" i="3"/>
  <c r="G51" i="3"/>
  <c r="G271" i="3"/>
  <c r="G257" i="3"/>
  <c r="G241" i="3"/>
  <c r="G227" i="3"/>
  <c r="G213" i="3"/>
  <c r="G199" i="3"/>
  <c r="G185" i="3"/>
  <c r="G169" i="3"/>
  <c r="G155" i="3"/>
  <c r="G127" i="3"/>
  <c r="G113" i="3"/>
  <c r="G97" i="3"/>
  <c r="G82" i="3"/>
  <c r="G67" i="3"/>
  <c r="G49" i="3"/>
  <c r="G34" i="3"/>
  <c r="G19" i="3"/>
  <c r="G63" i="3"/>
  <c r="G75" i="3"/>
  <c r="G87" i="3"/>
  <c r="G595" i="3"/>
  <c r="G583" i="3"/>
  <c r="G571" i="3"/>
  <c r="G559" i="3"/>
  <c r="G547" i="3"/>
  <c r="G535" i="3"/>
  <c r="G523" i="3"/>
  <c r="G511" i="3"/>
  <c r="G499" i="3"/>
  <c r="G487" i="3"/>
  <c r="G475" i="3"/>
  <c r="G463" i="3"/>
  <c r="G451" i="3"/>
  <c r="G439" i="3"/>
  <c r="G427" i="3"/>
  <c r="G415" i="3"/>
  <c r="G403" i="3"/>
  <c r="G391" i="3"/>
  <c r="G379" i="3"/>
  <c r="G367" i="3"/>
  <c r="G355" i="3"/>
  <c r="G343" i="3"/>
  <c r="G331" i="3"/>
  <c r="G319" i="3"/>
  <c r="G307" i="3"/>
  <c r="G295" i="3"/>
  <c r="G283" i="3"/>
  <c r="G270" i="3"/>
  <c r="G255" i="3"/>
  <c r="G240" i="3"/>
  <c r="G226" i="3"/>
  <c r="G198" i="3"/>
  <c r="G183" i="3"/>
  <c r="G168" i="3"/>
  <c r="G154" i="3"/>
  <c r="G126" i="3"/>
  <c r="G111" i="3"/>
  <c r="G81" i="3"/>
  <c r="G66" i="3"/>
  <c r="G33" i="3"/>
  <c r="G18" i="3"/>
  <c r="G52" i="3"/>
  <c r="G64" i="3"/>
  <c r="G76" i="3"/>
  <c r="G88" i="3"/>
  <c r="G100" i="3"/>
  <c r="G112" i="3"/>
  <c r="G124" i="3"/>
  <c r="G136" i="3"/>
  <c r="G148" i="3"/>
  <c r="G160" i="3"/>
  <c r="G172" i="3"/>
  <c r="G184" i="3"/>
  <c r="G196" i="3"/>
  <c r="G208" i="3"/>
  <c r="G220" i="3"/>
  <c r="G232" i="3"/>
  <c r="G244" i="3"/>
  <c r="G256" i="3"/>
  <c r="G268" i="3"/>
  <c r="G280" i="3"/>
  <c r="G678" i="3"/>
  <c r="G654" i="3"/>
  <c r="G630" i="3"/>
  <c r="G606" i="3"/>
  <c r="G582" i="3"/>
  <c r="G558" i="3"/>
  <c r="G546" i="3"/>
  <c r="G534" i="3"/>
  <c r="G522" i="3"/>
  <c r="G510" i="3"/>
  <c r="G498" i="3"/>
  <c r="G486" i="3"/>
  <c r="G474" i="3"/>
  <c r="G462" i="3"/>
  <c r="G450" i="3"/>
  <c r="G438" i="3"/>
  <c r="G426" i="3"/>
  <c r="G414" i="3"/>
  <c r="G402" i="3"/>
  <c r="G390" i="3"/>
  <c r="G378" i="3"/>
  <c r="G366" i="3"/>
  <c r="G354" i="3"/>
  <c r="G342" i="3"/>
  <c r="G330" i="3"/>
  <c r="G318" i="3"/>
  <c r="G306" i="3"/>
  <c r="G294" i="3"/>
  <c r="G282" i="3"/>
  <c r="G269" i="3"/>
  <c r="G253" i="3"/>
  <c r="G239" i="3"/>
  <c r="G225" i="3"/>
  <c r="G211" i="3"/>
  <c r="G197" i="3"/>
  <c r="G181" i="3"/>
  <c r="G167" i="3"/>
  <c r="G153" i="3"/>
  <c r="G139" i="3"/>
  <c r="G125" i="3"/>
  <c r="G109" i="3"/>
  <c r="G95" i="3"/>
  <c r="G65" i="3"/>
  <c r="G47" i="3"/>
  <c r="G17" i="3"/>
  <c r="G4" i="3"/>
  <c r="G16" i="3"/>
  <c r="G28" i="3"/>
  <c r="G40" i="3"/>
  <c r="G725" i="3"/>
  <c r="G713" i="3"/>
  <c r="G701" i="3"/>
  <c r="G689" i="3"/>
  <c r="G677" i="3"/>
  <c r="G665" i="3"/>
  <c r="G653" i="3"/>
  <c r="G641" i="3"/>
  <c r="G629" i="3"/>
  <c r="G617" i="3"/>
  <c r="G605" i="3"/>
  <c r="G593" i="3"/>
  <c r="G581" i="3"/>
  <c r="G569" i="3"/>
  <c r="G557" i="3"/>
  <c r="G545" i="3"/>
  <c r="G533" i="3"/>
  <c r="G521" i="3"/>
  <c r="G509" i="3"/>
  <c r="G497" i="3"/>
  <c r="G485" i="3"/>
  <c r="G473" i="3"/>
  <c r="G461" i="3"/>
  <c r="G449" i="3"/>
  <c r="G437" i="3"/>
  <c r="G425" i="3"/>
  <c r="G413" i="3"/>
  <c r="G401" i="3"/>
  <c r="G389" i="3"/>
  <c r="G377" i="3"/>
  <c r="G365" i="3"/>
  <c r="G353" i="3"/>
  <c r="G341" i="3"/>
  <c r="G329" i="3"/>
  <c r="G317" i="3"/>
  <c r="G305" i="3"/>
  <c r="G293" i="3"/>
  <c r="G281" i="3"/>
  <c r="G267" i="3"/>
  <c r="G238" i="3"/>
  <c r="G210" i="3"/>
  <c r="G195" i="3"/>
  <c r="G166" i="3"/>
  <c r="G138" i="3"/>
  <c r="G123" i="3"/>
  <c r="G108" i="3"/>
  <c r="G94" i="3"/>
  <c r="G79" i="3"/>
  <c r="G61" i="3"/>
  <c r="G46" i="3"/>
  <c r="G31" i="3"/>
  <c r="G13" i="3"/>
  <c r="G724" i="3"/>
  <c r="G712" i="3"/>
  <c r="G676" i="3"/>
  <c r="G664" i="3"/>
  <c r="G652" i="3"/>
  <c r="G640" i="3"/>
  <c r="G628" i="3"/>
  <c r="G616" i="3"/>
  <c r="G604" i="3"/>
  <c r="G592" i="3"/>
  <c r="G580" i="3"/>
  <c r="G568" i="3"/>
  <c r="G556" i="3"/>
  <c r="G544" i="3"/>
  <c r="G532" i="3"/>
  <c r="G520" i="3"/>
  <c r="G508" i="3"/>
  <c r="G496" i="3"/>
  <c r="G484" i="3"/>
  <c r="G472" i="3"/>
  <c r="G460" i="3"/>
  <c r="G448" i="3"/>
  <c r="G436" i="3"/>
  <c r="G424" i="3"/>
  <c r="G412" i="3"/>
  <c r="G400" i="3"/>
  <c r="G388" i="3"/>
  <c r="G376" i="3"/>
  <c r="G364" i="3"/>
  <c r="G352" i="3"/>
  <c r="G340" i="3"/>
  <c r="G328" i="3"/>
  <c r="G316" i="3"/>
  <c r="G304" i="3"/>
  <c r="G292" i="3"/>
  <c r="G279" i="3"/>
  <c r="G265" i="3"/>
  <c r="G237" i="3"/>
  <c r="G223" i="3"/>
  <c r="G209" i="3"/>
  <c r="G193" i="3"/>
  <c r="G165" i="3"/>
  <c r="G151" i="3"/>
  <c r="G137" i="3"/>
  <c r="G121" i="3"/>
  <c r="G107" i="3"/>
  <c r="G78" i="3"/>
  <c r="G60" i="3"/>
  <c r="G30" i="3"/>
  <c r="G12" i="3"/>
  <c r="G723" i="3"/>
  <c r="G711" i="3"/>
  <c r="G699" i="3"/>
  <c r="G687" i="3"/>
  <c r="G675" i="3"/>
  <c r="G663" i="3"/>
  <c r="G651" i="3"/>
  <c r="G639" i="3"/>
  <c r="G627" i="3"/>
  <c r="G615" i="3"/>
  <c r="G603" i="3"/>
  <c r="G591" i="3"/>
  <c r="G579" i="3"/>
  <c r="G567" i="3"/>
  <c r="G555" i="3"/>
  <c r="G543" i="3"/>
  <c r="G531" i="3"/>
  <c r="G519" i="3"/>
  <c r="G507" i="3"/>
  <c r="G495" i="3"/>
  <c r="G483" i="3"/>
  <c r="G471" i="3"/>
  <c r="G459" i="3"/>
  <c r="G447" i="3"/>
  <c r="G435" i="3"/>
  <c r="G423" i="3"/>
  <c r="G411" i="3"/>
  <c r="G399" i="3"/>
  <c r="G387" i="3"/>
  <c r="G375" i="3"/>
  <c r="G363" i="3"/>
  <c r="G351" i="3"/>
  <c r="G339" i="3"/>
  <c r="G327" i="3"/>
  <c r="G315" i="3"/>
  <c r="G303" i="3"/>
  <c r="G291" i="3"/>
  <c r="G222" i="3"/>
  <c r="G207" i="3"/>
  <c r="G192" i="3"/>
  <c r="G178" i="3"/>
  <c r="G150" i="3"/>
  <c r="G135" i="3"/>
  <c r="G106" i="3"/>
  <c r="G77" i="3"/>
  <c r="G59" i="3"/>
  <c r="G29" i="3"/>
  <c r="G11" i="3"/>
  <c r="G277" i="3"/>
  <c r="G235" i="3"/>
  <c r="G221" i="3"/>
  <c r="G205" i="3"/>
  <c r="G191" i="3"/>
  <c r="G163" i="3"/>
  <c r="G149" i="3"/>
  <c r="G133" i="3"/>
  <c r="G119" i="3"/>
  <c r="G105" i="3"/>
  <c r="G91" i="3"/>
  <c r="G73" i="3"/>
  <c r="G58" i="3"/>
  <c r="G43" i="3"/>
  <c r="G25" i="3"/>
  <c r="G10" i="3"/>
  <c r="G721" i="3"/>
  <c r="G709" i="3"/>
  <c r="G697" i="3"/>
  <c r="G685" i="3"/>
  <c r="G673" i="3"/>
  <c r="G661" i="3"/>
  <c r="G649" i="3"/>
  <c r="G637" i="3"/>
  <c r="G625" i="3"/>
  <c r="G613" i="3"/>
  <c r="G601" i="3"/>
  <c r="G589" i="3"/>
  <c r="G577" i="3"/>
  <c r="G565" i="3"/>
  <c r="G553" i="3"/>
  <c r="G541" i="3"/>
  <c r="G529" i="3"/>
  <c r="G517" i="3"/>
  <c r="G505" i="3"/>
  <c r="G493" i="3"/>
  <c r="G481" i="3"/>
  <c r="G469" i="3"/>
  <c r="G457" i="3"/>
  <c r="G445" i="3"/>
  <c r="G433" i="3"/>
  <c r="G421" i="3"/>
  <c r="G409" i="3"/>
  <c r="G397" i="3"/>
  <c r="G385" i="3"/>
  <c r="G373" i="3"/>
  <c r="G361" i="3"/>
  <c r="G349" i="3"/>
  <c r="G337" i="3"/>
  <c r="G325" i="3"/>
  <c r="G313" i="3"/>
  <c r="G301" i="3"/>
  <c r="G289" i="3"/>
  <c r="G234" i="3"/>
  <c r="G219" i="3"/>
  <c r="G190" i="3"/>
  <c r="G162" i="3"/>
  <c r="G147" i="3"/>
  <c r="G118" i="3"/>
  <c r="G90" i="3"/>
  <c r="G57" i="3"/>
  <c r="G42" i="3"/>
  <c r="G9" i="3"/>
  <c r="G456" i="3"/>
  <c r="G312" i="3"/>
  <c r="G247" i="3"/>
  <c r="G233" i="3"/>
  <c r="G217" i="3"/>
  <c r="G189" i="3"/>
  <c r="G175" i="3"/>
  <c r="G161" i="3"/>
  <c r="G145" i="3"/>
  <c r="G131" i="3"/>
  <c r="G103" i="3"/>
  <c r="G89" i="3"/>
  <c r="G71" i="3"/>
  <c r="G41" i="3"/>
  <c r="G23" i="3"/>
  <c r="K2" i="3"/>
  <c r="G2" i="3"/>
  <c r="M103" i="1"/>
  <c r="AG103" i="1" s="1"/>
  <c r="M67" i="1"/>
  <c r="AG67" i="1" s="1"/>
  <c r="M55" i="1"/>
  <c r="AG55" i="1" s="1"/>
  <c r="M31" i="1"/>
  <c r="AG31" i="1" s="1"/>
  <c r="M19" i="1"/>
  <c r="AG19" i="1" s="1"/>
  <c r="M7" i="1"/>
  <c r="AG7" i="1" s="1"/>
  <c r="K274" i="1"/>
  <c r="AG598" i="1"/>
  <c r="M391" i="1"/>
  <c r="AG391" i="1" s="1"/>
  <c r="M630" i="1"/>
  <c r="AG630" i="1" s="1"/>
  <c r="M594" i="1"/>
  <c r="AG594" i="1" s="1"/>
  <c r="M546" i="1"/>
  <c r="AG546" i="1" s="1"/>
  <c r="M522" i="1"/>
  <c r="AG522" i="1" s="1"/>
  <c r="M510" i="1"/>
  <c r="AG510" i="1" s="1"/>
  <c r="M486" i="1"/>
  <c r="AG486" i="1" s="1"/>
  <c r="M474" i="1"/>
  <c r="AG474" i="1" s="1"/>
  <c r="M462" i="1"/>
  <c r="AG462" i="1" s="1"/>
  <c r="M438" i="1"/>
  <c r="AG438" i="1" s="1"/>
  <c r="M426" i="1"/>
  <c r="AG426" i="1" s="1"/>
  <c r="M402" i="1"/>
  <c r="AG402" i="1" s="1"/>
  <c r="M390" i="1"/>
  <c r="AG390" i="1" s="1"/>
  <c r="M378" i="1"/>
  <c r="AG378" i="1" s="1"/>
  <c r="M354" i="1"/>
  <c r="AG354" i="1" s="1"/>
  <c r="M342" i="1"/>
  <c r="AG342" i="1" s="1"/>
  <c r="M318" i="1"/>
  <c r="AG318" i="1" s="1"/>
  <c r="M306" i="1"/>
  <c r="AG306" i="1" s="1"/>
  <c r="M294" i="1"/>
  <c r="AG294" i="1" s="1"/>
  <c r="M270" i="1"/>
  <c r="AG270" i="1" s="1"/>
  <c r="M258" i="1"/>
  <c r="AG258" i="1" s="1"/>
  <c r="M234" i="1"/>
  <c r="AG234" i="1" s="1"/>
  <c r="M222" i="1"/>
  <c r="AG222" i="1" s="1"/>
  <c r="M210" i="1"/>
  <c r="AG210" i="1" s="1"/>
  <c r="M186" i="1"/>
  <c r="AG186" i="1" s="1"/>
  <c r="M174" i="1"/>
  <c r="AG174" i="1" s="1"/>
  <c r="M150" i="1"/>
  <c r="AG150" i="1" s="1"/>
  <c r="M138" i="1"/>
  <c r="AG138" i="1" s="1"/>
  <c r="M126" i="1"/>
  <c r="AG126" i="1" s="1"/>
  <c r="M102" i="1"/>
  <c r="AG102" i="1" s="1"/>
  <c r="M90" i="1"/>
  <c r="AG90" i="1" s="1"/>
  <c r="AG130" i="1"/>
  <c r="M607" i="1"/>
  <c r="AG607" i="1" s="1"/>
  <c r="M726" i="1"/>
  <c r="AG726" i="1" s="1"/>
  <c r="M690" i="1"/>
  <c r="AG690" i="1" s="1"/>
  <c r="M642" i="1"/>
  <c r="AG642" i="1" s="1"/>
  <c r="M606" i="1"/>
  <c r="AG606" i="1" s="1"/>
  <c r="M558" i="1"/>
  <c r="AG558" i="1" s="1"/>
  <c r="M713" i="1"/>
  <c r="AG713" i="1" s="1"/>
  <c r="M689" i="1"/>
  <c r="AG689" i="1" s="1"/>
  <c r="M665" i="1"/>
  <c r="AG665" i="1" s="1"/>
  <c r="M641" i="1"/>
  <c r="AG641" i="1" s="1"/>
  <c r="M593" i="1"/>
  <c r="AG593" i="1" s="1"/>
  <c r="M545" i="1"/>
  <c r="AG545" i="1" s="1"/>
  <c r="M509" i="1"/>
  <c r="AG509" i="1" s="1"/>
  <c r="M461" i="1"/>
  <c r="AG461" i="1" s="1"/>
  <c r="M437" i="1"/>
  <c r="AG437" i="1" s="1"/>
  <c r="M413" i="1"/>
  <c r="AG413" i="1" s="1"/>
  <c r="M389" i="1"/>
  <c r="AG389" i="1" s="1"/>
  <c r="M341" i="1"/>
  <c r="AG341" i="1" s="1"/>
  <c r="M329" i="1"/>
  <c r="AG329" i="1" s="1"/>
  <c r="M305" i="1"/>
  <c r="AG305" i="1" s="1"/>
  <c r="M293" i="1"/>
  <c r="AG293" i="1" s="1"/>
  <c r="M269" i="1"/>
  <c r="AG269" i="1" s="1"/>
  <c r="M257" i="1"/>
  <c r="AG257" i="1" s="1"/>
  <c r="M245" i="1"/>
  <c r="AG245" i="1" s="1"/>
  <c r="M221" i="1"/>
  <c r="AG221" i="1" s="1"/>
  <c r="M209" i="1"/>
  <c r="AG209" i="1" s="1"/>
  <c r="M185" i="1"/>
  <c r="AG185" i="1" s="1"/>
  <c r="M173" i="1"/>
  <c r="AG173" i="1" s="1"/>
  <c r="M161" i="1"/>
  <c r="AG161" i="1" s="1"/>
  <c r="M137" i="1"/>
  <c r="AG137" i="1" s="1"/>
  <c r="M125" i="1"/>
  <c r="AG125" i="1" s="1"/>
  <c r="M101" i="1"/>
  <c r="AG101" i="1" s="1"/>
  <c r="M89" i="1"/>
  <c r="AG89" i="1" s="1"/>
  <c r="M77" i="1"/>
  <c r="AG77" i="1" s="1"/>
  <c r="M53" i="1"/>
  <c r="AG53" i="1" s="1"/>
  <c r="M41" i="1"/>
  <c r="AG41" i="1" s="1"/>
  <c r="M17" i="1"/>
  <c r="AG17" i="1" s="1"/>
  <c r="M5" i="1"/>
  <c r="AG5" i="1" s="1"/>
  <c r="AG166" i="1"/>
  <c r="M714" i="1"/>
  <c r="AG714" i="1" s="1"/>
  <c r="M678" i="1"/>
  <c r="AG678" i="1" s="1"/>
  <c r="M654" i="1"/>
  <c r="AG654" i="1" s="1"/>
  <c r="M570" i="1"/>
  <c r="AG570" i="1" s="1"/>
  <c r="M725" i="1"/>
  <c r="AG725" i="1" s="1"/>
  <c r="M677" i="1"/>
  <c r="AG677" i="1" s="1"/>
  <c r="M629" i="1"/>
  <c r="AG629" i="1" s="1"/>
  <c r="M605" i="1"/>
  <c r="AG605" i="1" s="1"/>
  <c r="M581" i="1"/>
  <c r="AG581" i="1" s="1"/>
  <c r="M557" i="1"/>
  <c r="AG557" i="1" s="1"/>
  <c r="M521" i="1"/>
  <c r="AG521" i="1" s="1"/>
  <c r="M497" i="1"/>
  <c r="AG497" i="1" s="1"/>
  <c r="M473" i="1"/>
  <c r="AG473" i="1" s="1"/>
  <c r="M425" i="1"/>
  <c r="AG425" i="1" s="1"/>
  <c r="M377" i="1"/>
  <c r="AG377" i="1" s="1"/>
  <c r="M353" i="1"/>
  <c r="AG353" i="1" s="1"/>
  <c r="K22" i="1"/>
  <c r="M535" i="1"/>
  <c r="AG535" i="1" s="1"/>
  <c r="M240" i="1"/>
  <c r="AG240" i="1" s="1"/>
  <c r="M319" i="1"/>
  <c r="AG319" i="1" s="1"/>
  <c r="AG706" i="1"/>
  <c r="M175" i="1"/>
  <c r="AG175" i="1" s="1"/>
  <c r="M679" i="1"/>
  <c r="AG679" i="1" s="1"/>
  <c r="K562" i="1"/>
  <c r="K666" i="1"/>
  <c r="M666" i="1"/>
  <c r="AG666" i="1" s="1"/>
  <c r="K701" i="1"/>
  <c r="M701" i="1"/>
  <c r="AG701" i="1" s="1"/>
  <c r="K653" i="1"/>
  <c r="M653" i="1"/>
  <c r="K617" i="1"/>
  <c r="M617" i="1"/>
  <c r="K569" i="1"/>
  <c r="M569" i="1"/>
  <c r="K533" i="1"/>
  <c r="M533" i="1"/>
  <c r="AG533" i="1" s="1"/>
  <c r="K485" i="1"/>
  <c r="M485" i="1"/>
  <c r="AG485" i="1" s="1"/>
  <c r="K449" i="1"/>
  <c r="M449" i="1"/>
  <c r="AG449" i="1" s="1"/>
  <c r="K401" i="1"/>
  <c r="M401" i="1"/>
  <c r="K365" i="1"/>
  <c r="M365" i="1"/>
  <c r="K317" i="1"/>
  <c r="M317" i="1"/>
  <c r="K281" i="1"/>
  <c r="M281" i="1"/>
  <c r="AG281" i="1" s="1"/>
  <c r="K233" i="1"/>
  <c r="M233" i="1"/>
  <c r="AG233" i="1" s="1"/>
  <c r="K197" i="1"/>
  <c r="M197" i="1"/>
  <c r="AG197" i="1" s="1"/>
  <c r="K149" i="1"/>
  <c r="M149" i="1"/>
  <c r="K113" i="1"/>
  <c r="M113" i="1"/>
  <c r="K65" i="1"/>
  <c r="M65" i="1"/>
  <c r="K29" i="1"/>
  <c r="M29" i="1"/>
  <c r="AG29" i="1" s="1"/>
  <c r="K730" i="1"/>
  <c r="K442" i="1"/>
  <c r="AG442" i="1" s="1"/>
  <c r="M324" i="1"/>
  <c r="AG324" i="1" s="1"/>
  <c r="K330" i="1"/>
  <c r="M330" i="1"/>
  <c r="K246" i="1"/>
  <c r="M246" i="1"/>
  <c r="M366" i="1"/>
  <c r="AG366" i="1" s="1"/>
  <c r="K688" i="1"/>
  <c r="M688" i="1"/>
  <c r="AG688" i="1" s="1"/>
  <c r="K652" i="1"/>
  <c r="M652" i="1"/>
  <c r="K604" i="1"/>
  <c r="M604" i="1"/>
  <c r="K568" i="1"/>
  <c r="M568" i="1"/>
  <c r="AG568" i="1" s="1"/>
  <c r="K520" i="1"/>
  <c r="M520" i="1"/>
  <c r="K484" i="1"/>
  <c r="M484" i="1"/>
  <c r="AG484" i="1" s="1"/>
  <c r="K436" i="1"/>
  <c r="M436" i="1"/>
  <c r="AG436" i="1" s="1"/>
  <c r="K400" i="1"/>
  <c r="M400" i="1"/>
  <c r="K352" i="1"/>
  <c r="M352" i="1"/>
  <c r="K316" i="1"/>
  <c r="M316" i="1"/>
  <c r="AG316" i="1" s="1"/>
  <c r="K268" i="1"/>
  <c r="M268" i="1"/>
  <c r="K232" i="1"/>
  <c r="M232" i="1"/>
  <c r="AG232" i="1" s="1"/>
  <c r="K184" i="1"/>
  <c r="M184" i="1"/>
  <c r="AG184" i="1" s="1"/>
  <c r="K148" i="1"/>
  <c r="M148" i="1"/>
  <c r="K100" i="1"/>
  <c r="M100" i="1"/>
  <c r="K64" i="1"/>
  <c r="M64" i="1"/>
  <c r="AG64" i="1" s="1"/>
  <c r="K16" i="1"/>
  <c r="M16" i="1"/>
  <c r="L4" i="1"/>
  <c r="L5" i="1" s="1"/>
  <c r="L6" i="1" s="1"/>
  <c r="L7" i="1" s="1"/>
  <c r="K142" i="1"/>
  <c r="AG142" i="1" s="1"/>
  <c r="M282" i="1"/>
  <c r="AG282" i="1" s="1"/>
  <c r="K162" i="1"/>
  <c r="M162" i="1"/>
  <c r="M54" i="1"/>
  <c r="AG54" i="1" s="1"/>
  <c r="K687" i="1"/>
  <c r="M687" i="1"/>
  <c r="K99" i="1"/>
  <c r="M99" i="1"/>
  <c r="AG99" i="1" s="1"/>
  <c r="M75" i="1"/>
  <c r="AG75" i="1" s="1"/>
  <c r="K555" i="1"/>
  <c r="M555" i="1"/>
  <c r="K722" i="1"/>
  <c r="M722" i="1"/>
  <c r="M674" i="1"/>
  <c r="K674" i="1"/>
  <c r="K638" i="1"/>
  <c r="M638" i="1"/>
  <c r="M590" i="1"/>
  <c r="K590" i="1"/>
  <c r="K554" i="1"/>
  <c r="M554" i="1"/>
  <c r="M506" i="1"/>
  <c r="AG506" i="1" s="1"/>
  <c r="K506" i="1"/>
  <c r="K470" i="1"/>
  <c r="M470" i="1"/>
  <c r="M422" i="1"/>
  <c r="K422" i="1"/>
  <c r="K386" i="1"/>
  <c r="M386" i="1"/>
  <c r="AG386" i="1" s="1"/>
  <c r="M338" i="1"/>
  <c r="K338" i="1"/>
  <c r="K302" i="1"/>
  <c r="M302" i="1"/>
  <c r="M254" i="1"/>
  <c r="AG254" i="1" s="1"/>
  <c r="K254" i="1"/>
  <c r="K218" i="1"/>
  <c r="M218" i="1"/>
  <c r="M170" i="1"/>
  <c r="K170" i="1"/>
  <c r="K134" i="1"/>
  <c r="M134" i="1"/>
  <c r="AG134" i="1" s="1"/>
  <c r="M86" i="1"/>
  <c r="K86" i="1"/>
  <c r="K50" i="1"/>
  <c r="M50" i="1"/>
  <c r="K694" i="1"/>
  <c r="M702" i="1"/>
  <c r="AG702" i="1" s="1"/>
  <c r="M198" i="1"/>
  <c r="AG198" i="1" s="1"/>
  <c r="K582" i="1"/>
  <c r="M582" i="1"/>
  <c r="AG582" i="1" s="1"/>
  <c r="M66" i="1"/>
  <c r="AG66" i="1" s="1"/>
  <c r="K351" i="1"/>
  <c r="M351" i="1"/>
  <c r="AG351" i="1" s="1"/>
  <c r="M709" i="1"/>
  <c r="K709" i="1"/>
  <c r="M673" i="1"/>
  <c r="AG673" i="1" s="1"/>
  <c r="K673" i="1"/>
  <c r="M625" i="1"/>
  <c r="AG625" i="1" s="1"/>
  <c r="K625" i="1"/>
  <c r="M589" i="1"/>
  <c r="K589" i="1"/>
  <c r="M541" i="1"/>
  <c r="K541" i="1"/>
  <c r="M505" i="1"/>
  <c r="K505" i="1"/>
  <c r="M457" i="1"/>
  <c r="AG457" i="1" s="1"/>
  <c r="K457" i="1"/>
  <c r="M421" i="1"/>
  <c r="AG421" i="1" s="1"/>
  <c r="K421" i="1"/>
  <c r="M373" i="1"/>
  <c r="AG373" i="1" s="1"/>
  <c r="K373" i="1"/>
  <c r="M337" i="1"/>
  <c r="K337" i="1"/>
  <c r="M289" i="1"/>
  <c r="K289" i="1"/>
  <c r="M253" i="1"/>
  <c r="K253" i="1"/>
  <c r="M205" i="1"/>
  <c r="AG205" i="1" s="1"/>
  <c r="K205" i="1"/>
  <c r="M169" i="1"/>
  <c r="AG169" i="1" s="1"/>
  <c r="K169" i="1"/>
  <c r="M121" i="1"/>
  <c r="AG121" i="1" s="1"/>
  <c r="K121" i="1"/>
  <c r="M85" i="1"/>
  <c r="K85" i="1"/>
  <c r="M37" i="1"/>
  <c r="K37" i="1"/>
  <c r="K394" i="1"/>
  <c r="K106" i="1"/>
  <c r="AG106" i="1" s="1"/>
  <c r="M660" i="1"/>
  <c r="AG660" i="1" s="1"/>
  <c r="M156" i="1"/>
  <c r="AG156" i="1" s="1"/>
  <c r="K414" i="1"/>
  <c r="M414" i="1"/>
  <c r="M18" i="1"/>
  <c r="AG18" i="1" s="1"/>
  <c r="K519" i="1"/>
  <c r="M519" i="1"/>
  <c r="AG519" i="1" s="1"/>
  <c r="K435" i="1"/>
  <c r="M435" i="1"/>
  <c r="AG435" i="1" s="1"/>
  <c r="K267" i="1"/>
  <c r="M267" i="1"/>
  <c r="K183" i="1"/>
  <c r="M183" i="1"/>
  <c r="AG183" i="1" s="1"/>
  <c r="K15" i="1"/>
  <c r="M15" i="1"/>
  <c r="AG15" i="1" s="1"/>
  <c r="M27" i="1"/>
  <c r="AG27" i="1" s="1"/>
  <c r="K708" i="1"/>
  <c r="M708" i="1"/>
  <c r="K624" i="1"/>
  <c r="M624" i="1"/>
  <c r="K540" i="1"/>
  <c r="M540" i="1"/>
  <c r="K456" i="1"/>
  <c r="M456" i="1"/>
  <c r="AG456" i="1" s="1"/>
  <c r="K372" i="1"/>
  <c r="M372" i="1"/>
  <c r="K288" i="1"/>
  <c r="M288" i="1"/>
  <c r="K204" i="1"/>
  <c r="M204" i="1"/>
  <c r="K120" i="1"/>
  <c r="M120" i="1"/>
  <c r="K36" i="1"/>
  <c r="M36" i="1"/>
  <c r="K526" i="1"/>
  <c r="AG526" i="1" s="1"/>
  <c r="M618" i="1"/>
  <c r="AG618" i="1" s="1"/>
  <c r="M114" i="1"/>
  <c r="AG114" i="1" s="1"/>
  <c r="K723" i="1"/>
  <c r="M723" i="1"/>
  <c r="AG723" i="1" s="1"/>
  <c r="K303" i="1"/>
  <c r="M303" i="1"/>
  <c r="K219" i="1"/>
  <c r="M219" i="1"/>
  <c r="AG219" i="1" s="1"/>
  <c r="K135" i="1"/>
  <c r="M135" i="1"/>
  <c r="AG135" i="1" s="1"/>
  <c r="K2" i="1"/>
  <c r="M2" i="1"/>
  <c r="J2" i="1"/>
  <c r="F3" i="1" s="1"/>
  <c r="G3" i="1" s="1"/>
  <c r="J3" i="1" s="1"/>
  <c r="F4" i="1" s="1"/>
  <c r="G4" i="1" s="1"/>
  <c r="J4" i="1" s="1"/>
  <c r="F5" i="1" s="1"/>
  <c r="G5" i="1" s="1"/>
  <c r="M695" i="1"/>
  <c r="AG695" i="1" s="1"/>
  <c r="K695" i="1"/>
  <c r="M659" i="1"/>
  <c r="AG659" i="1" s="1"/>
  <c r="K659" i="1"/>
  <c r="M611" i="1"/>
  <c r="AG611" i="1" s="1"/>
  <c r="K611" i="1"/>
  <c r="M575" i="1"/>
  <c r="K575" i="1"/>
  <c r="M527" i="1"/>
  <c r="K527" i="1"/>
  <c r="M491" i="1"/>
  <c r="K491" i="1"/>
  <c r="M443" i="1"/>
  <c r="AG443" i="1" s="1"/>
  <c r="K443" i="1"/>
  <c r="M407" i="1"/>
  <c r="AG407" i="1" s="1"/>
  <c r="K407" i="1"/>
  <c r="M359" i="1"/>
  <c r="AG359" i="1" s="1"/>
  <c r="K359" i="1"/>
  <c r="M323" i="1"/>
  <c r="K323" i="1"/>
  <c r="M275" i="1"/>
  <c r="K275" i="1"/>
  <c r="M239" i="1"/>
  <c r="K239" i="1"/>
  <c r="M191" i="1"/>
  <c r="AG191" i="1" s="1"/>
  <c r="K191" i="1"/>
  <c r="M155" i="1"/>
  <c r="AG155" i="1" s="1"/>
  <c r="K155" i="1"/>
  <c r="M107" i="1"/>
  <c r="AG107" i="1" s="1"/>
  <c r="K107" i="1"/>
  <c r="M71" i="1"/>
  <c r="K71" i="1"/>
  <c r="M23" i="1"/>
  <c r="K23" i="1"/>
  <c r="K226" i="1"/>
  <c r="M576" i="1"/>
  <c r="AG576" i="1" s="1"/>
  <c r="M72" i="1"/>
  <c r="AG72" i="1" s="1"/>
  <c r="K603" i="1"/>
  <c r="M603" i="1"/>
  <c r="AG603" i="1" s="1"/>
  <c r="AG730" i="1"/>
  <c r="AG694" i="1"/>
  <c r="AG562" i="1"/>
  <c r="AG394" i="1"/>
  <c r="AG358" i="1"/>
  <c r="AG310" i="1"/>
  <c r="AG274" i="1"/>
  <c r="AG226" i="1"/>
  <c r="AG22" i="1"/>
  <c r="K646" i="1"/>
  <c r="AG646" i="1" s="1"/>
  <c r="K358" i="1"/>
  <c r="M534" i="1"/>
  <c r="AG534" i="1" s="1"/>
  <c r="M30" i="1"/>
  <c r="AG30" i="1" s="1"/>
  <c r="K498" i="1"/>
  <c r="M498" i="1"/>
  <c r="AG498" i="1" s="1"/>
  <c r="M6" i="1"/>
  <c r="AG6" i="1" s="1"/>
  <c r="K639" i="1"/>
  <c r="M639" i="1"/>
  <c r="K471" i="1"/>
  <c r="M471" i="1"/>
  <c r="K51" i="1"/>
  <c r="M51" i="1"/>
  <c r="AG51" i="1" s="1"/>
  <c r="M729" i="1"/>
  <c r="K729" i="1"/>
  <c r="M681" i="1"/>
  <c r="K681" i="1"/>
  <c r="M645" i="1"/>
  <c r="AG645" i="1" s="1"/>
  <c r="K645" i="1"/>
  <c r="M597" i="1"/>
  <c r="AG597" i="1" s="1"/>
  <c r="K597" i="1"/>
  <c r="M561" i="1"/>
  <c r="AG561" i="1" s="1"/>
  <c r="K561" i="1"/>
  <c r="M513" i="1"/>
  <c r="K513" i="1"/>
  <c r="M477" i="1"/>
  <c r="K477" i="1"/>
  <c r="M429" i="1"/>
  <c r="K429" i="1"/>
  <c r="M393" i="1"/>
  <c r="AG393" i="1" s="1"/>
  <c r="K393" i="1"/>
  <c r="M345" i="1"/>
  <c r="AG345" i="1" s="1"/>
  <c r="K345" i="1"/>
  <c r="M309" i="1"/>
  <c r="AG309" i="1" s="1"/>
  <c r="K309" i="1"/>
  <c r="M261" i="1"/>
  <c r="K261" i="1"/>
  <c r="M225" i="1"/>
  <c r="K225" i="1"/>
  <c r="M177" i="1"/>
  <c r="K177" i="1"/>
  <c r="M141" i="1"/>
  <c r="AG141" i="1" s="1"/>
  <c r="K141" i="1"/>
  <c r="M93" i="1"/>
  <c r="AG93" i="1" s="1"/>
  <c r="K93" i="1"/>
  <c r="M57" i="1"/>
  <c r="AG57" i="1" s="1"/>
  <c r="K57" i="1"/>
  <c r="M9" i="1"/>
  <c r="K9" i="1"/>
  <c r="K58" i="1"/>
  <c r="AG58" i="1" s="1"/>
  <c r="M492" i="1"/>
  <c r="AG492" i="1" s="1"/>
  <c r="K78" i="1"/>
  <c r="M78" i="1"/>
  <c r="K387" i="1"/>
  <c r="M387" i="1"/>
  <c r="M716" i="1"/>
  <c r="AG716" i="1" s="1"/>
  <c r="K716" i="1"/>
  <c r="M680" i="1"/>
  <c r="AG680" i="1" s="1"/>
  <c r="K680" i="1"/>
  <c r="M632" i="1"/>
  <c r="K632" i="1"/>
  <c r="M596" i="1"/>
  <c r="K596" i="1"/>
  <c r="M548" i="1"/>
  <c r="K548" i="1"/>
  <c r="M512" i="1"/>
  <c r="AG512" i="1" s="1"/>
  <c r="K512" i="1"/>
  <c r="M464" i="1"/>
  <c r="AG464" i="1" s="1"/>
  <c r="K464" i="1"/>
  <c r="M428" i="1"/>
  <c r="AG428" i="1" s="1"/>
  <c r="K428" i="1"/>
  <c r="M380" i="1"/>
  <c r="K380" i="1"/>
  <c r="M344" i="1"/>
  <c r="K344" i="1"/>
  <c r="M296" i="1"/>
  <c r="K296" i="1"/>
  <c r="M260" i="1"/>
  <c r="AG260" i="1" s="1"/>
  <c r="K260" i="1"/>
  <c r="M212" i="1"/>
  <c r="AG212" i="1" s="1"/>
  <c r="K212" i="1"/>
  <c r="M176" i="1"/>
  <c r="AG176" i="1" s="1"/>
  <c r="K176" i="1"/>
  <c r="M128" i="1"/>
  <c r="K128" i="1"/>
  <c r="M92" i="1"/>
  <c r="K92" i="1"/>
  <c r="M44" i="1"/>
  <c r="K44" i="1"/>
  <c r="M8" i="1"/>
  <c r="AG8" i="1" s="1"/>
  <c r="K8" i="1"/>
  <c r="K478" i="1"/>
  <c r="AG478" i="1" s="1"/>
  <c r="K190" i="1"/>
  <c r="AG190" i="1" s="1"/>
  <c r="M450" i="1"/>
  <c r="AG450" i="1" s="1"/>
  <c r="M42" i="1"/>
  <c r="AG42" i="1" s="1"/>
  <c r="AG46" i="1"/>
  <c r="AG34" i="1"/>
  <c r="AG10" i="1"/>
  <c r="M715" i="1"/>
  <c r="K715" i="1"/>
  <c r="M667" i="1"/>
  <c r="K667" i="1"/>
  <c r="M631" i="1"/>
  <c r="K631" i="1"/>
  <c r="M583" i="1"/>
  <c r="K583" i="1"/>
  <c r="M547" i="1"/>
  <c r="K547" i="1"/>
  <c r="M499" i="1"/>
  <c r="K499" i="1"/>
  <c r="M463" i="1"/>
  <c r="K463" i="1"/>
  <c r="M415" i="1"/>
  <c r="K415" i="1"/>
  <c r="M379" i="1"/>
  <c r="K379" i="1"/>
  <c r="M331" i="1"/>
  <c r="K331" i="1"/>
  <c r="M295" i="1"/>
  <c r="K295" i="1"/>
  <c r="M247" i="1"/>
  <c r="K247" i="1"/>
  <c r="M211" i="1"/>
  <c r="K211" i="1"/>
  <c r="M163" i="1"/>
  <c r="K163" i="1"/>
  <c r="M127" i="1"/>
  <c r="K127" i="1"/>
  <c r="M79" i="1"/>
  <c r="K79" i="1"/>
  <c r="M43" i="1"/>
  <c r="K43" i="1"/>
  <c r="K610" i="1"/>
  <c r="AG610" i="1" s="1"/>
  <c r="M408" i="1"/>
  <c r="AG408" i="1" s="1"/>
  <c r="N4" i="1"/>
  <c r="N5" i="1" s="1"/>
  <c r="N6" i="1" s="1"/>
  <c r="N7" i="1" s="1"/>
  <c r="AG3" i="1"/>
  <c r="I609" i="1"/>
  <c r="M609" i="1" s="1"/>
  <c r="AG609" i="1" s="1"/>
  <c r="I537" i="1"/>
  <c r="M537" i="1" s="1"/>
  <c r="AG537" i="1" s="1"/>
  <c r="I465" i="1"/>
  <c r="M465" i="1" s="1"/>
  <c r="AG465" i="1" s="1"/>
  <c r="I321" i="1"/>
  <c r="M321" i="1" s="1"/>
  <c r="AG321" i="1" s="1"/>
  <c r="I669" i="1"/>
  <c r="M669" i="1" s="1"/>
  <c r="AG669" i="1" s="1"/>
  <c r="I525" i="1"/>
  <c r="M525" i="1" s="1"/>
  <c r="AG525" i="1" s="1"/>
  <c r="I658" i="1"/>
  <c r="M658" i="1" s="1"/>
  <c r="AG658" i="1" s="1"/>
  <c r="I586" i="1"/>
  <c r="M586" i="1" s="1"/>
  <c r="AG586" i="1" s="1"/>
  <c r="I657" i="1"/>
  <c r="M657" i="1" s="1"/>
  <c r="AG657" i="1" s="1"/>
  <c r="I585" i="1"/>
  <c r="M585" i="1" s="1"/>
  <c r="AG585" i="1" s="1"/>
  <c r="I441" i="1"/>
  <c r="M441" i="1" s="1"/>
  <c r="AG441" i="1" s="1"/>
  <c r="I369" i="1"/>
  <c r="M369" i="1" s="1"/>
  <c r="AG369" i="1" s="1"/>
  <c r="I297" i="1"/>
  <c r="M297" i="1" s="1"/>
  <c r="AG297" i="1" s="1"/>
  <c r="I153" i="1"/>
  <c r="M153" i="1" s="1"/>
  <c r="AG153" i="1" s="1"/>
  <c r="I718" i="1"/>
  <c r="M718" i="1" s="1"/>
  <c r="AG718" i="1" s="1"/>
  <c r="I574" i="1"/>
  <c r="M574" i="1" s="1"/>
  <c r="AG574" i="1" s="1"/>
  <c r="I502" i="1"/>
  <c r="M502" i="1" s="1"/>
  <c r="AG502" i="1" s="1"/>
  <c r="I430" i="1"/>
  <c r="M430" i="1" s="1"/>
  <c r="AG430" i="1" s="1"/>
  <c r="I286" i="1"/>
  <c r="M286" i="1" s="1"/>
  <c r="AG286" i="1" s="1"/>
  <c r="I214" i="1"/>
  <c r="M214" i="1" s="1"/>
  <c r="AG214" i="1" s="1"/>
  <c r="I70" i="1"/>
  <c r="M70" i="1" s="1"/>
  <c r="AG70" i="1" s="1"/>
  <c r="I717" i="1"/>
  <c r="M717" i="1" s="1"/>
  <c r="AG717" i="1" s="1"/>
  <c r="I573" i="1"/>
  <c r="M573" i="1" s="1"/>
  <c r="AG573" i="1" s="1"/>
  <c r="I501" i="1"/>
  <c r="M501" i="1" s="1"/>
  <c r="AG501" i="1" s="1"/>
  <c r="I357" i="1"/>
  <c r="M357" i="1" s="1"/>
  <c r="AG357" i="1" s="1"/>
  <c r="I285" i="1"/>
  <c r="M285" i="1" s="1"/>
  <c r="AG285" i="1" s="1"/>
  <c r="I213" i="1"/>
  <c r="M213" i="1" s="1"/>
  <c r="AG213" i="1" s="1"/>
  <c r="I69" i="1"/>
  <c r="M69" i="1" s="1"/>
  <c r="AG69" i="1" s="1"/>
  <c r="AG330" i="1" l="1"/>
  <c r="AG638" i="1"/>
  <c r="AG44" i="1"/>
  <c r="AG177" i="1"/>
  <c r="AG681" i="1"/>
  <c r="AG296" i="1"/>
  <c r="AG429" i="1"/>
  <c r="AG36" i="1"/>
  <c r="AG540" i="1"/>
  <c r="AG162" i="1"/>
  <c r="AG499" i="1"/>
  <c r="AG71" i="1"/>
  <c r="AG323" i="1"/>
  <c r="AG575" i="1"/>
  <c r="AG85" i="1"/>
  <c r="AG337" i="1"/>
  <c r="AG589" i="1"/>
  <c r="AG247" i="1"/>
  <c r="AG43" i="1"/>
  <c r="AG295" i="1"/>
  <c r="AG547" i="1"/>
  <c r="L8" i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AG246" i="1"/>
  <c r="AG548" i="1"/>
  <c r="AG303" i="1"/>
  <c r="AG16" i="1"/>
  <c r="AG268" i="1"/>
  <c r="AG520" i="1"/>
  <c r="AG149" i="1"/>
  <c r="AG401" i="1"/>
  <c r="AG653" i="1"/>
  <c r="AG128" i="1"/>
  <c r="AG380" i="1"/>
  <c r="AG632" i="1"/>
  <c r="AG9" i="1"/>
  <c r="AG261" i="1"/>
  <c r="AG513" i="1"/>
  <c r="AG23" i="1"/>
  <c r="AG275" i="1"/>
  <c r="AG527" i="1"/>
  <c r="AG37" i="1"/>
  <c r="AG289" i="1"/>
  <c r="AG541" i="1"/>
  <c r="AG170" i="1"/>
  <c r="AG422" i="1"/>
  <c r="AG674" i="1"/>
  <c r="AG471" i="1"/>
  <c r="AG120" i="1"/>
  <c r="AG624" i="1"/>
  <c r="AG218" i="1"/>
  <c r="AG470" i="1"/>
  <c r="AG722" i="1"/>
  <c r="AG65" i="1"/>
  <c r="AG317" i="1"/>
  <c r="AG569" i="1"/>
  <c r="AG79" i="1"/>
  <c r="AG331" i="1"/>
  <c r="AG583" i="1"/>
  <c r="AG639" i="1"/>
  <c r="AG204" i="1"/>
  <c r="AG708" i="1"/>
  <c r="AG555" i="1"/>
  <c r="AG113" i="1"/>
  <c r="AG365" i="1"/>
  <c r="AG617" i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AG127" i="1"/>
  <c r="AG379" i="1"/>
  <c r="AG631" i="1"/>
  <c r="AG387" i="1"/>
  <c r="AG288" i="1"/>
  <c r="AG414" i="1"/>
  <c r="AG50" i="1"/>
  <c r="AG302" i="1"/>
  <c r="AG554" i="1"/>
  <c r="AG163" i="1"/>
  <c r="AG415" i="1"/>
  <c r="AG667" i="1"/>
  <c r="AG78" i="1"/>
  <c r="AG372" i="1"/>
  <c r="AG709" i="1"/>
  <c r="AG86" i="1"/>
  <c r="AG338" i="1"/>
  <c r="AG590" i="1"/>
  <c r="AG687" i="1"/>
  <c r="AG100" i="1"/>
  <c r="AG352" i="1"/>
  <c r="AG604" i="1"/>
  <c r="AG211" i="1"/>
  <c r="AG463" i="1"/>
  <c r="AG715" i="1"/>
  <c r="AG92" i="1"/>
  <c r="AG344" i="1"/>
  <c r="AG596" i="1"/>
  <c r="AG225" i="1"/>
  <c r="AG477" i="1"/>
  <c r="AG729" i="1"/>
  <c r="AG239" i="1"/>
  <c r="AG491" i="1"/>
  <c r="AG267" i="1"/>
  <c r="AG253" i="1"/>
  <c r="AG505" i="1"/>
  <c r="AG148" i="1"/>
  <c r="AG400" i="1"/>
  <c r="AG652" i="1"/>
  <c r="J5" i="1"/>
  <c r="F6" i="1" s="1"/>
  <c r="G6" i="1" s="1"/>
  <c r="E4" i="3" l="1"/>
  <c r="J6" i="1"/>
  <c r="F7" i="1" s="1"/>
  <c r="G7" i="1" s="1"/>
  <c r="H4" i="3" l="1"/>
  <c r="M4" i="3" s="1"/>
  <c r="J7" i="1"/>
  <c r="F8" i="1" s="1"/>
  <c r="G8" i="1" s="1"/>
  <c r="L4" i="3" l="1"/>
  <c r="C5" i="3" s="1"/>
  <c r="J5" i="3" s="1"/>
  <c r="N5" i="3" s="1"/>
  <c r="K4" i="3"/>
  <c r="E5" i="3" s="1"/>
  <c r="H5" i="3" s="1"/>
  <c r="J8" i="1"/>
  <c r="F9" i="1" s="1"/>
  <c r="G9" i="1" s="1"/>
  <c r="M5" i="3" l="1"/>
  <c r="L5" i="3"/>
  <c r="C6" i="3" s="1"/>
  <c r="J6" i="3" s="1"/>
  <c r="N6" i="3" s="1"/>
  <c r="K5" i="3"/>
  <c r="E6" i="3"/>
  <c r="J9" i="1"/>
  <c r="F10" i="1" s="1"/>
  <c r="G10" i="1" s="1"/>
  <c r="H6" i="3" l="1"/>
  <c r="J10" i="1"/>
  <c r="F11" i="1" s="1"/>
  <c r="G11" i="1" s="1"/>
  <c r="K6" i="3" l="1"/>
  <c r="E7" i="3" s="1"/>
  <c r="L6" i="3"/>
  <c r="C7" i="3" s="1"/>
  <c r="J7" i="3" s="1"/>
  <c r="N7" i="3" s="1"/>
  <c r="H7" i="3"/>
  <c r="M7" i="3" s="1"/>
  <c r="M6" i="3"/>
  <c r="J11" i="1"/>
  <c r="F12" i="1" s="1"/>
  <c r="G12" i="1" s="1"/>
  <c r="J12" i="1" l="1"/>
  <c r="F13" i="1" s="1"/>
  <c r="G13" i="1" s="1"/>
  <c r="L7" i="3" l="1"/>
  <c r="C8" i="3" s="1"/>
  <c r="K7" i="3"/>
  <c r="E8" i="3" s="1"/>
  <c r="H8" i="3" s="1"/>
  <c r="M8" i="3" s="1"/>
  <c r="J13" i="1"/>
  <c r="F14" i="1" s="1"/>
  <c r="G14" i="1" s="1"/>
  <c r="J8" i="3" l="1"/>
  <c r="N8" i="3" s="1"/>
  <c r="J14" i="1"/>
  <c r="F15" i="1" s="1"/>
  <c r="G15" i="1" s="1"/>
  <c r="K8" i="3" l="1"/>
  <c r="E9" i="3" s="1"/>
  <c r="L8" i="3"/>
  <c r="C9" i="3" s="1"/>
  <c r="J9" i="3" s="1"/>
  <c r="J15" i="1"/>
  <c r="F16" i="1" s="1"/>
  <c r="G16" i="1" s="1"/>
  <c r="H9" i="3" l="1"/>
  <c r="M9" i="3" s="1"/>
  <c r="I9" i="3"/>
  <c r="K9" i="3"/>
  <c r="J16" i="1"/>
  <c r="F17" i="1" s="1"/>
  <c r="G17" i="1" s="1"/>
  <c r="E10" i="3" l="1"/>
  <c r="N9" i="3"/>
  <c r="H10" i="3"/>
  <c r="M10" i="3" s="1"/>
  <c r="J17" i="1"/>
  <c r="F18" i="1" s="1"/>
  <c r="G18" i="1" s="1"/>
  <c r="L9" i="3" l="1"/>
  <c r="C10" i="3" s="1"/>
  <c r="J18" i="1"/>
  <c r="F19" i="1" s="1"/>
  <c r="G19" i="1" s="1"/>
  <c r="J10" i="3" l="1"/>
  <c r="N10" i="3" s="1"/>
  <c r="L10" i="3"/>
  <c r="C11" i="3" s="1"/>
  <c r="J11" i="3" s="1"/>
  <c r="N11" i="3" s="1"/>
  <c r="J19" i="1"/>
  <c r="F20" i="1" s="1"/>
  <c r="G20" i="1" s="1"/>
  <c r="K10" i="3" l="1"/>
  <c r="E11" i="3" s="1"/>
  <c r="J20" i="1"/>
  <c r="F21" i="1" s="1"/>
  <c r="G21" i="1" s="1"/>
  <c r="H11" i="3" l="1"/>
  <c r="K11" i="3"/>
  <c r="E12" i="3" s="1"/>
  <c r="H12" i="3" s="1"/>
  <c r="M12" i="3" s="1"/>
  <c r="J21" i="1"/>
  <c r="F22" i="1" s="1"/>
  <c r="G22" i="1" s="1"/>
  <c r="M11" i="3" l="1"/>
  <c r="L11" i="3"/>
  <c r="C12" i="3" s="1"/>
  <c r="J22" i="1"/>
  <c r="F23" i="1" s="1"/>
  <c r="G23" i="1" s="1"/>
  <c r="J12" i="3" l="1"/>
  <c r="N12" i="3" s="1"/>
  <c r="J23" i="1"/>
  <c r="F24" i="1" s="1"/>
  <c r="G24" i="1" s="1"/>
  <c r="L12" i="3" l="1"/>
  <c r="C13" i="3" s="1"/>
  <c r="J13" i="3" s="1"/>
  <c r="N13" i="3" s="1"/>
  <c r="K12" i="3"/>
  <c r="E13" i="3" s="1"/>
  <c r="H13" i="3" s="1"/>
  <c r="J24" i="1"/>
  <c r="F25" i="1" s="1"/>
  <c r="G25" i="1" s="1"/>
  <c r="M13" i="3" l="1"/>
  <c r="L13" i="3"/>
  <c r="C14" i="3" s="1"/>
  <c r="J14" i="3" s="1"/>
  <c r="N14" i="3" s="1"/>
  <c r="K13" i="3"/>
  <c r="E14" i="3" s="1"/>
  <c r="H14" i="3" s="1"/>
  <c r="M14" i="3" s="1"/>
  <c r="J25" i="1"/>
  <c r="F26" i="1" s="1"/>
  <c r="G26" i="1" s="1"/>
  <c r="L14" i="3" l="1"/>
  <c r="C15" i="3" s="1"/>
  <c r="J15" i="3" s="1"/>
  <c r="N15" i="3" s="1"/>
  <c r="K14" i="3"/>
  <c r="E15" i="3" s="1"/>
  <c r="H15" i="3"/>
  <c r="M15" i="3" s="1"/>
  <c r="J26" i="1"/>
  <c r="F27" i="1" s="1"/>
  <c r="G27" i="1" s="1"/>
  <c r="K15" i="3" l="1"/>
  <c r="L15" i="3"/>
  <c r="C16" i="3" s="1"/>
  <c r="J16" i="3" s="1"/>
  <c r="E16" i="3"/>
  <c r="I16" i="3" s="1"/>
  <c r="J27" i="1"/>
  <c r="F28" i="1" s="1"/>
  <c r="G28" i="1" s="1"/>
  <c r="H16" i="3" l="1"/>
  <c r="M16" i="3" s="1"/>
  <c r="J28" i="1"/>
  <c r="F29" i="1" s="1"/>
  <c r="G29" i="1" s="1"/>
  <c r="K16" i="3" l="1"/>
  <c r="J29" i="1"/>
  <c r="F30" i="1" s="1"/>
  <c r="G30" i="1" s="1"/>
  <c r="E17" i="3" l="1"/>
  <c r="N16" i="3"/>
  <c r="H17" i="3"/>
  <c r="M17" i="3" s="1"/>
  <c r="J30" i="1"/>
  <c r="F31" i="1" s="1"/>
  <c r="G31" i="1" s="1"/>
  <c r="L16" i="3" l="1"/>
  <c r="C17" i="3" s="1"/>
  <c r="J17" i="3" s="1"/>
  <c r="N17" i="3" s="1"/>
  <c r="K17" i="3"/>
  <c r="E18" i="3" s="1"/>
  <c r="L17" i="3"/>
  <c r="C18" i="3" s="1"/>
  <c r="J18" i="3" s="1"/>
  <c r="N18" i="3" s="1"/>
  <c r="J31" i="1"/>
  <c r="F32" i="1" s="1"/>
  <c r="G32" i="1" s="1"/>
  <c r="H18" i="3" l="1"/>
  <c r="M18" i="3" s="1"/>
  <c r="J32" i="1"/>
  <c r="F33" i="1" s="1"/>
  <c r="G33" i="1" s="1"/>
  <c r="K18" i="3" l="1"/>
  <c r="L18" i="3"/>
  <c r="C19" i="3" s="1"/>
  <c r="J19" i="3" s="1"/>
  <c r="N19" i="3" s="1"/>
  <c r="E19" i="3"/>
  <c r="J33" i="1"/>
  <c r="F34" i="1" s="1"/>
  <c r="G34" i="1" s="1"/>
  <c r="H19" i="3" l="1"/>
  <c r="M19" i="3" s="1"/>
  <c r="J34" i="1"/>
  <c r="F35" i="1" s="1"/>
  <c r="G35" i="1" s="1"/>
  <c r="K19" i="3" l="1"/>
  <c r="L19" i="3"/>
  <c r="C20" i="3" s="1"/>
  <c r="J20" i="3" s="1"/>
  <c r="N20" i="3" s="1"/>
  <c r="E20" i="3"/>
  <c r="J35" i="1"/>
  <c r="F36" i="1" s="1"/>
  <c r="G36" i="1" s="1"/>
  <c r="H20" i="3" l="1"/>
  <c r="M20" i="3" s="1"/>
  <c r="J36" i="1"/>
  <c r="F37" i="1" s="1"/>
  <c r="G37" i="1" s="1"/>
  <c r="K20" i="3" l="1"/>
  <c r="L20" i="3"/>
  <c r="C21" i="3" s="1"/>
  <c r="J21" i="3" s="1"/>
  <c r="N21" i="3" s="1"/>
  <c r="E21" i="3"/>
  <c r="J37" i="1"/>
  <c r="F38" i="1" s="1"/>
  <c r="G38" i="1" s="1"/>
  <c r="H21" i="3" l="1"/>
  <c r="M21" i="3" s="1"/>
  <c r="J38" i="1"/>
  <c r="F39" i="1" s="1"/>
  <c r="G39" i="1" s="1"/>
  <c r="K21" i="3" l="1"/>
  <c r="E22" i="3" s="1"/>
  <c r="L21" i="3"/>
  <c r="C22" i="3" s="1"/>
  <c r="J22" i="3" s="1"/>
  <c r="N22" i="3" s="1"/>
  <c r="J39" i="1"/>
  <c r="F40" i="1" s="1"/>
  <c r="G40" i="1" s="1"/>
  <c r="H22" i="3" l="1"/>
  <c r="M22" i="3" s="1"/>
  <c r="J40" i="1"/>
  <c r="F41" i="1" s="1"/>
  <c r="G41" i="1" s="1"/>
  <c r="K22" i="3" l="1"/>
  <c r="L22" i="3"/>
  <c r="C23" i="3" s="1"/>
  <c r="J23" i="3" s="1"/>
  <c r="E23" i="3"/>
  <c r="I23" i="3" s="1"/>
  <c r="J41" i="1"/>
  <c r="F42" i="1" s="1"/>
  <c r="G42" i="1" s="1"/>
  <c r="H23" i="3" l="1"/>
  <c r="M23" i="3" s="1"/>
  <c r="J42" i="1"/>
  <c r="F43" i="1" s="1"/>
  <c r="G43" i="1" s="1"/>
  <c r="K23" i="3" l="1"/>
  <c r="N23" i="3" s="1"/>
  <c r="E24" i="3"/>
  <c r="J43" i="1"/>
  <c r="F44" i="1" s="1"/>
  <c r="G44" i="1" s="1"/>
  <c r="L23" i="3" l="1"/>
  <c r="C24" i="3" s="1"/>
  <c r="J24" i="3" s="1"/>
  <c r="N24" i="3" s="1"/>
  <c r="H24" i="3"/>
  <c r="M24" i="3" s="1"/>
  <c r="J44" i="1"/>
  <c r="F45" i="1" s="1"/>
  <c r="G45" i="1" s="1"/>
  <c r="K24" i="3" l="1"/>
  <c r="L24" i="3"/>
  <c r="C25" i="3" s="1"/>
  <c r="J25" i="3" s="1"/>
  <c r="N25" i="3" s="1"/>
  <c r="E25" i="3"/>
  <c r="J45" i="1"/>
  <c r="F46" i="1" s="1"/>
  <c r="G46" i="1" s="1"/>
  <c r="H25" i="3" l="1"/>
  <c r="M25" i="3" s="1"/>
  <c r="J46" i="1"/>
  <c r="F47" i="1" s="1"/>
  <c r="G47" i="1" s="1"/>
  <c r="K25" i="3" l="1"/>
  <c r="L25" i="3"/>
  <c r="C26" i="3" s="1"/>
  <c r="J26" i="3" s="1"/>
  <c r="N26" i="3" s="1"/>
  <c r="E26" i="3"/>
  <c r="J47" i="1"/>
  <c r="F48" i="1" s="1"/>
  <c r="G48" i="1" s="1"/>
  <c r="H26" i="3" l="1"/>
  <c r="M26" i="3" s="1"/>
  <c r="J48" i="1"/>
  <c r="F49" i="1" s="1"/>
  <c r="G49" i="1" s="1"/>
  <c r="K26" i="3" l="1"/>
  <c r="L26" i="3"/>
  <c r="C27" i="3" s="1"/>
  <c r="J27" i="3" s="1"/>
  <c r="N27" i="3" s="1"/>
  <c r="E27" i="3"/>
  <c r="J49" i="1"/>
  <c r="F50" i="1" s="1"/>
  <c r="G50" i="1" s="1"/>
  <c r="H27" i="3" l="1"/>
  <c r="M27" i="3" s="1"/>
  <c r="J50" i="1"/>
  <c r="F51" i="1" s="1"/>
  <c r="G51" i="1" s="1"/>
  <c r="K27" i="3" l="1"/>
  <c r="L27" i="3"/>
  <c r="C28" i="3" s="1"/>
  <c r="J28" i="3" s="1"/>
  <c r="N28" i="3" s="1"/>
  <c r="E28" i="3"/>
  <c r="J51" i="1"/>
  <c r="F52" i="1" s="1"/>
  <c r="G52" i="1" s="1"/>
  <c r="H28" i="3" l="1"/>
  <c r="M28" i="3" s="1"/>
  <c r="J52" i="1"/>
  <c r="F53" i="1" s="1"/>
  <c r="G53" i="1" s="1"/>
  <c r="K28" i="3" l="1"/>
  <c r="L28" i="3"/>
  <c r="C29" i="3" s="1"/>
  <c r="J29" i="3" s="1"/>
  <c r="N29" i="3" s="1"/>
  <c r="E29" i="3"/>
  <c r="J53" i="1"/>
  <c r="F54" i="1" s="1"/>
  <c r="G54" i="1" s="1"/>
  <c r="H29" i="3" l="1"/>
  <c r="M29" i="3" s="1"/>
  <c r="J54" i="1"/>
  <c r="F55" i="1" s="1"/>
  <c r="G55" i="1" s="1"/>
  <c r="K29" i="3" l="1"/>
  <c r="L29" i="3"/>
  <c r="C30" i="3" s="1"/>
  <c r="J30" i="3" s="1"/>
  <c r="E30" i="3"/>
  <c r="I30" i="3" s="1"/>
  <c r="J55" i="1"/>
  <c r="F56" i="1" s="1"/>
  <c r="G56" i="1" s="1"/>
  <c r="H30" i="3" l="1"/>
  <c r="M30" i="3" s="1"/>
  <c r="J56" i="1"/>
  <c r="F57" i="1" s="1"/>
  <c r="G57" i="1" s="1"/>
  <c r="K30" i="3" l="1"/>
  <c r="N30" i="3" s="1"/>
  <c r="E31" i="3"/>
  <c r="J57" i="1"/>
  <c r="F58" i="1" s="1"/>
  <c r="G58" i="1" s="1"/>
  <c r="L30" i="3" l="1"/>
  <c r="C31" i="3" s="1"/>
  <c r="J31" i="3" s="1"/>
  <c r="N31" i="3" s="1"/>
  <c r="H31" i="3"/>
  <c r="M31" i="3" s="1"/>
  <c r="J58" i="1"/>
  <c r="F59" i="1" s="1"/>
  <c r="G59" i="1" s="1"/>
  <c r="K31" i="3" l="1"/>
  <c r="L31" i="3"/>
  <c r="C32" i="3" s="1"/>
  <c r="J32" i="3" s="1"/>
  <c r="N32" i="3" s="1"/>
  <c r="E32" i="3"/>
  <c r="J59" i="1"/>
  <c r="F60" i="1" s="1"/>
  <c r="G60" i="1" s="1"/>
  <c r="H32" i="3" l="1"/>
  <c r="M32" i="3" s="1"/>
  <c r="J60" i="1"/>
  <c r="F61" i="1" s="1"/>
  <c r="G61" i="1" s="1"/>
  <c r="K32" i="3" l="1"/>
  <c r="L32" i="3"/>
  <c r="C33" i="3" s="1"/>
  <c r="J33" i="3" s="1"/>
  <c r="N33" i="3" s="1"/>
  <c r="E33" i="3"/>
  <c r="J61" i="1"/>
  <c r="F62" i="1" s="1"/>
  <c r="G62" i="1" s="1"/>
  <c r="H33" i="3" l="1"/>
  <c r="M33" i="3" s="1"/>
  <c r="J62" i="1"/>
  <c r="F63" i="1" s="1"/>
  <c r="G63" i="1" s="1"/>
  <c r="K33" i="3" l="1"/>
  <c r="L33" i="3"/>
  <c r="C34" i="3" s="1"/>
  <c r="J34" i="3" s="1"/>
  <c r="N34" i="3" s="1"/>
  <c r="E34" i="3"/>
  <c r="J63" i="1"/>
  <c r="F64" i="1" s="1"/>
  <c r="G64" i="1" s="1"/>
  <c r="H34" i="3" l="1"/>
  <c r="M34" i="3" s="1"/>
  <c r="J64" i="1"/>
  <c r="F65" i="1" s="1"/>
  <c r="G65" i="1" s="1"/>
  <c r="K34" i="3" l="1"/>
  <c r="L34" i="3"/>
  <c r="C35" i="3" s="1"/>
  <c r="J35" i="3" s="1"/>
  <c r="N35" i="3" s="1"/>
  <c r="E35" i="3"/>
  <c r="J65" i="1"/>
  <c r="F66" i="1" s="1"/>
  <c r="G66" i="1" s="1"/>
  <c r="H35" i="3" l="1"/>
  <c r="M35" i="3" s="1"/>
  <c r="J66" i="1"/>
  <c r="F67" i="1" s="1"/>
  <c r="G67" i="1" s="1"/>
  <c r="K35" i="3" l="1"/>
  <c r="L35" i="3"/>
  <c r="C36" i="3" s="1"/>
  <c r="J36" i="3" s="1"/>
  <c r="N36" i="3" s="1"/>
  <c r="E36" i="3"/>
  <c r="J67" i="1"/>
  <c r="F68" i="1" s="1"/>
  <c r="G68" i="1" s="1"/>
  <c r="H36" i="3" l="1"/>
  <c r="M36" i="3" s="1"/>
  <c r="J68" i="1"/>
  <c r="F69" i="1" s="1"/>
  <c r="G69" i="1" s="1"/>
  <c r="K36" i="3" l="1"/>
  <c r="L36" i="3"/>
  <c r="C37" i="3" s="1"/>
  <c r="J37" i="3" s="1"/>
  <c r="E37" i="3"/>
  <c r="I37" i="3" s="1"/>
  <c r="J69" i="1"/>
  <c r="F70" i="1" s="1"/>
  <c r="G70" i="1" s="1"/>
  <c r="H37" i="3" l="1"/>
  <c r="M37" i="3" s="1"/>
  <c r="J70" i="1"/>
  <c r="F71" i="1" s="1"/>
  <c r="G71" i="1" s="1"/>
  <c r="K37" i="3" l="1"/>
  <c r="N37" i="3" s="1"/>
  <c r="E38" i="3"/>
  <c r="J71" i="1"/>
  <c r="F72" i="1" s="1"/>
  <c r="G72" i="1" s="1"/>
  <c r="L37" i="3" l="1"/>
  <c r="C38" i="3" s="1"/>
  <c r="J38" i="3" s="1"/>
  <c r="N38" i="3" s="1"/>
  <c r="H38" i="3"/>
  <c r="M38" i="3" s="1"/>
  <c r="J72" i="1"/>
  <c r="F73" i="1" s="1"/>
  <c r="G73" i="1" s="1"/>
  <c r="K38" i="3" l="1"/>
  <c r="L38" i="3"/>
  <c r="C39" i="3" s="1"/>
  <c r="J39" i="3" s="1"/>
  <c r="N39" i="3" s="1"/>
  <c r="E39" i="3"/>
  <c r="J73" i="1"/>
  <c r="F74" i="1" s="1"/>
  <c r="G74" i="1" s="1"/>
  <c r="H39" i="3" l="1"/>
  <c r="M39" i="3" s="1"/>
  <c r="J74" i="1"/>
  <c r="F75" i="1" s="1"/>
  <c r="G75" i="1" s="1"/>
  <c r="K39" i="3" l="1"/>
  <c r="L39" i="3"/>
  <c r="C40" i="3" s="1"/>
  <c r="J40" i="3" s="1"/>
  <c r="N40" i="3" s="1"/>
  <c r="E40" i="3"/>
  <c r="J75" i="1"/>
  <c r="F76" i="1" s="1"/>
  <c r="G76" i="1" s="1"/>
  <c r="H40" i="3" l="1"/>
  <c r="M40" i="3" s="1"/>
  <c r="J76" i="1"/>
  <c r="F77" i="1" s="1"/>
  <c r="G77" i="1" s="1"/>
  <c r="K40" i="3" l="1"/>
  <c r="L40" i="3"/>
  <c r="C41" i="3" s="1"/>
  <c r="J41" i="3" s="1"/>
  <c r="N41" i="3" s="1"/>
  <c r="E41" i="3"/>
  <c r="J77" i="1"/>
  <c r="F78" i="1" s="1"/>
  <c r="G78" i="1" s="1"/>
  <c r="H41" i="3" l="1"/>
  <c r="M41" i="3" s="1"/>
  <c r="J78" i="1"/>
  <c r="F79" i="1" s="1"/>
  <c r="G79" i="1" s="1"/>
  <c r="K41" i="3" l="1"/>
  <c r="L41" i="3"/>
  <c r="C42" i="3" s="1"/>
  <c r="J42" i="3" s="1"/>
  <c r="N42" i="3" s="1"/>
  <c r="E42" i="3"/>
  <c r="J79" i="1"/>
  <c r="F80" i="1" s="1"/>
  <c r="G80" i="1" s="1"/>
  <c r="H42" i="3" l="1"/>
  <c r="M42" i="3" s="1"/>
  <c r="J80" i="1"/>
  <c r="F81" i="1" s="1"/>
  <c r="G81" i="1" s="1"/>
  <c r="K42" i="3" l="1"/>
  <c r="L42" i="3"/>
  <c r="C43" i="3" s="1"/>
  <c r="J43" i="3" s="1"/>
  <c r="N43" i="3" s="1"/>
  <c r="E43" i="3"/>
  <c r="J81" i="1"/>
  <c r="F82" i="1" s="1"/>
  <c r="G82" i="1" s="1"/>
  <c r="H43" i="3" l="1"/>
  <c r="M43" i="3" s="1"/>
  <c r="J82" i="1"/>
  <c r="F83" i="1" s="1"/>
  <c r="G83" i="1" s="1"/>
  <c r="K43" i="3" l="1"/>
  <c r="L43" i="3"/>
  <c r="C44" i="3" s="1"/>
  <c r="J44" i="3" s="1"/>
  <c r="E44" i="3"/>
  <c r="I44" i="3" s="1"/>
  <c r="J83" i="1"/>
  <c r="F84" i="1" s="1"/>
  <c r="G84" i="1" s="1"/>
  <c r="H44" i="3" l="1"/>
  <c r="M44" i="3" s="1"/>
  <c r="J84" i="1"/>
  <c r="F85" i="1" s="1"/>
  <c r="G85" i="1" s="1"/>
  <c r="K44" i="3" l="1"/>
  <c r="J85" i="1"/>
  <c r="F86" i="1" s="1"/>
  <c r="G86" i="1" s="1"/>
  <c r="E45" i="3" l="1"/>
  <c r="N44" i="3"/>
  <c r="L44" i="3"/>
  <c r="C45" i="3" s="1"/>
  <c r="J45" i="3" s="1"/>
  <c r="N45" i="3" s="1"/>
  <c r="H45" i="3"/>
  <c r="M45" i="3" s="1"/>
  <c r="J86" i="1"/>
  <c r="F87" i="1" s="1"/>
  <c r="G87" i="1" s="1"/>
  <c r="K45" i="3" l="1"/>
  <c r="L45" i="3"/>
  <c r="C46" i="3" s="1"/>
  <c r="J46" i="3" s="1"/>
  <c r="N46" i="3" s="1"/>
  <c r="E46" i="3"/>
  <c r="J87" i="1"/>
  <c r="F88" i="1" s="1"/>
  <c r="G88" i="1" s="1"/>
  <c r="H46" i="3" l="1"/>
  <c r="M46" i="3" s="1"/>
  <c r="J88" i="1"/>
  <c r="F89" i="1" s="1"/>
  <c r="G89" i="1" s="1"/>
  <c r="K46" i="3" l="1"/>
  <c r="L46" i="3"/>
  <c r="C47" i="3" s="1"/>
  <c r="J47" i="3" s="1"/>
  <c r="N47" i="3" s="1"/>
  <c r="E47" i="3"/>
  <c r="J89" i="1"/>
  <c r="F90" i="1" s="1"/>
  <c r="G90" i="1" s="1"/>
  <c r="H47" i="3" l="1"/>
  <c r="M47" i="3" s="1"/>
  <c r="J90" i="1"/>
  <c r="F91" i="1" s="1"/>
  <c r="G91" i="1" s="1"/>
  <c r="K47" i="3" l="1"/>
  <c r="L47" i="3"/>
  <c r="C48" i="3" s="1"/>
  <c r="J48" i="3" s="1"/>
  <c r="N48" i="3" s="1"/>
  <c r="E48" i="3"/>
  <c r="J91" i="1"/>
  <c r="F92" i="1" s="1"/>
  <c r="G92" i="1" s="1"/>
  <c r="H48" i="3" l="1"/>
  <c r="M48" i="3" s="1"/>
  <c r="J92" i="1"/>
  <c r="F93" i="1" s="1"/>
  <c r="G93" i="1" s="1"/>
  <c r="K48" i="3" l="1"/>
  <c r="L48" i="3"/>
  <c r="C49" i="3" s="1"/>
  <c r="J49" i="3" s="1"/>
  <c r="N49" i="3" s="1"/>
  <c r="E49" i="3"/>
  <c r="J93" i="1"/>
  <c r="F94" i="1" s="1"/>
  <c r="G94" i="1" s="1"/>
  <c r="H49" i="3" l="1"/>
  <c r="M49" i="3" s="1"/>
  <c r="J94" i="1"/>
  <c r="F95" i="1" s="1"/>
  <c r="G95" i="1" s="1"/>
  <c r="K49" i="3" l="1"/>
  <c r="L49" i="3"/>
  <c r="C50" i="3" s="1"/>
  <c r="J50" i="3" s="1"/>
  <c r="N50" i="3" s="1"/>
  <c r="E50" i="3"/>
  <c r="J95" i="1"/>
  <c r="F96" i="1" s="1"/>
  <c r="G96" i="1" s="1"/>
  <c r="H50" i="3" l="1"/>
  <c r="M50" i="3" s="1"/>
  <c r="J96" i="1"/>
  <c r="F97" i="1" s="1"/>
  <c r="G97" i="1" s="1"/>
  <c r="K50" i="3" l="1"/>
  <c r="L50" i="3"/>
  <c r="C51" i="3" s="1"/>
  <c r="J51" i="3" s="1"/>
  <c r="E51" i="3"/>
  <c r="I51" i="3" s="1"/>
  <c r="J97" i="1"/>
  <c r="F98" i="1" s="1"/>
  <c r="G98" i="1" s="1"/>
  <c r="H51" i="3" l="1"/>
  <c r="M51" i="3" s="1"/>
  <c r="J98" i="1"/>
  <c r="F99" i="1" s="1"/>
  <c r="G99" i="1" s="1"/>
  <c r="K51" i="3" l="1"/>
  <c r="N51" i="3" s="1"/>
  <c r="E52" i="3"/>
  <c r="J99" i="1"/>
  <c r="F100" i="1" s="1"/>
  <c r="G100" i="1" s="1"/>
  <c r="L51" i="3" l="1"/>
  <c r="C52" i="3" s="1"/>
  <c r="J52" i="3" s="1"/>
  <c r="N52" i="3" s="1"/>
  <c r="H52" i="3"/>
  <c r="M52" i="3" s="1"/>
  <c r="J100" i="1"/>
  <c r="F101" i="1" s="1"/>
  <c r="G101" i="1" s="1"/>
  <c r="K52" i="3" l="1"/>
  <c r="L52" i="3"/>
  <c r="C53" i="3" s="1"/>
  <c r="J53" i="3" s="1"/>
  <c r="N53" i="3" s="1"/>
  <c r="E53" i="3"/>
  <c r="J101" i="1"/>
  <c r="F102" i="1" s="1"/>
  <c r="G102" i="1" s="1"/>
  <c r="H53" i="3" l="1"/>
  <c r="M53" i="3" s="1"/>
  <c r="J102" i="1"/>
  <c r="F103" i="1" s="1"/>
  <c r="G103" i="1" s="1"/>
  <c r="K53" i="3" l="1"/>
  <c r="L53" i="3"/>
  <c r="C54" i="3" s="1"/>
  <c r="J54" i="3" s="1"/>
  <c r="N54" i="3" s="1"/>
  <c r="E54" i="3"/>
  <c r="J103" i="1"/>
  <c r="F104" i="1" s="1"/>
  <c r="G104" i="1" s="1"/>
  <c r="H54" i="3" l="1"/>
  <c r="M54" i="3" s="1"/>
  <c r="J104" i="1"/>
  <c r="F105" i="1" s="1"/>
  <c r="G105" i="1" s="1"/>
  <c r="K54" i="3" l="1"/>
  <c r="L54" i="3"/>
  <c r="C55" i="3" s="1"/>
  <c r="J55" i="3" s="1"/>
  <c r="N55" i="3" s="1"/>
  <c r="E55" i="3"/>
  <c r="J105" i="1"/>
  <c r="F106" i="1" s="1"/>
  <c r="G106" i="1" s="1"/>
  <c r="H55" i="3" l="1"/>
  <c r="M55" i="3" s="1"/>
  <c r="J106" i="1"/>
  <c r="F107" i="1" s="1"/>
  <c r="G107" i="1" s="1"/>
  <c r="K55" i="3" l="1"/>
  <c r="L55" i="3"/>
  <c r="C56" i="3" s="1"/>
  <c r="J56" i="3" s="1"/>
  <c r="N56" i="3" s="1"/>
  <c r="E56" i="3"/>
  <c r="J107" i="1"/>
  <c r="F108" i="1" s="1"/>
  <c r="G108" i="1" s="1"/>
  <c r="H56" i="3" l="1"/>
  <c r="M56" i="3" s="1"/>
  <c r="J108" i="1"/>
  <c r="F109" i="1" s="1"/>
  <c r="G109" i="1" s="1"/>
  <c r="K56" i="3" l="1"/>
  <c r="L56" i="3"/>
  <c r="C57" i="3" s="1"/>
  <c r="J57" i="3" s="1"/>
  <c r="N57" i="3" s="1"/>
  <c r="E57" i="3"/>
  <c r="J109" i="1"/>
  <c r="F110" i="1" s="1"/>
  <c r="G110" i="1" s="1"/>
  <c r="H57" i="3" l="1"/>
  <c r="M57" i="3" s="1"/>
  <c r="J110" i="1"/>
  <c r="F111" i="1" s="1"/>
  <c r="G111" i="1" s="1"/>
  <c r="K57" i="3" l="1"/>
  <c r="L57" i="3"/>
  <c r="C58" i="3" s="1"/>
  <c r="J58" i="3" s="1"/>
  <c r="E58" i="3"/>
  <c r="I58" i="3" s="1"/>
  <c r="J111" i="1"/>
  <c r="F112" i="1" s="1"/>
  <c r="G112" i="1" s="1"/>
  <c r="H58" i="3" l="1"/>
  <c r="M58" i="3" s="1"/>
  <c r="J112" i="1"/>
  <c r="F113" i="1" s="1"/>
  <c r="G113" i="1" s="1"/>
  <c r="K58" i="3" l="1"/>
  <c r="J113" i="1"/>
  <c r="F114" i="1" s="1"/>
  <c r="G114" i="1" s="1"/>
  <c r="E59" i="3" l="1"/>
  <c r="N58" i="3"/>
  <c r="L58" i="3"/>
  <c r="C59" i="3" s="1"/>
  <c r="J59" i="3" s="1"/>
  <c r="N59" i="3" s="1"/>
  <c r="H59" i="3"/>
  <c r="M59" i="3" s="1"/>
  <c r="J114" i="1"/>
  <c r="F115" i="1" s="1"/>
  <c r="G115" i="1" s="1"/>
  <c r="K59" i="3" l="1"/>
  <c r="L59" i="3"/>
  <c r="C60" i="3" s="1"/>
  <c r="J60" i="3" s="1"/>
  <c r="N60" i="3" s="1"/>
  <c r="E60" i="3"/>
  <c r="J115" i="1"/>
  <c r="F116" i="1" s="1"/>
  <c r="G116" i="1" s="1"/>
  <c r="H60" i="3" l="1"/>
  <c r="M60" i="3" s="1"/>
  <c r="J116" i="1"/>
  <c r="F117" i="1" s="1"/>
  <c r="G117" i="1" s="1"/>
  <c r="K60" i="3" l="1"/>
  <c r="L60" i="3"/>
  <c r="C61" i="3" s="1"/>
  <c r="J61" i="3" s="1"/>
  <c r="N61" i="3" s="1"/>
  <c r="E61" i="3"/>
  <c r="J117" i="1"/>
  <c r="F118" i="1" s="1"/>
  <c r="G118" i="1" s="1"/>
  <c r="H61" i="3" l="1"/>
  <c r="M61" i="3" s="1"/>
  <c r="J118" i="1"/>
  <c r="F119" i="1" s="1"/>
  <c r="G119" i="1" s="1"/>
  <c r="K61" i="3" l="1"/>
  <c r="L61" i="3"/>
  <c r="C62" i="3" s="1"/>
  <c r="J62" i="3" s="1"/>
  <c r="N62" i="3" s="1"/>
  <c r="E62" i="3"/>
  <c r="J119" i="1"/>
  <c r="F120" i="1" s="1"/>
  <c r="G120" i="1" s="1"/>
  <c r="H62" i="3" l="1"/>
  <c r="M62" i="3" s="1"/>
  <c r="J120" i="1"/>
  <c r="F121" i="1" s="1"/>
  <c r="G121" i="1" s="1"/>
  <c r="K62" i="3" l="1"/>
  <c r="L62" i="3"/>
  <c r="C63" i="3" s="1"/>
  <c r="J63" i="3" s="1"/>
  <c r="N63" i="3" s="1"/>
  <c r="E63" i="3"/>
  <c r="J121" i="1"/>
  <c r="F122" i="1" s="1"/>
  <c r="G122" i="1" s="1"/>
  <c r="H63" i="3" l="1"/>
  <c r="M63" i="3" s="1"/>
  <c r="J122" i="1"/>
  <c r="F123" i="1" s="1"/>
  <c r="G123" i="1" s="1"/>
  <c r="K63" i="3" l="1"/>
  <c r="L63" i="3"/>
  <c r="C64" i="3" s="1"/>
  <c r="J64" i="3" s="1"/>
  <c r="N64" i="3" s="1"/>
  <c r="E64" i="3"/>
  <c r="J123" i="1"/>
  <c r="F124" i="1" s="1"/>
  <c r="G124" i="1" s="1"/>
  <c r="H64" i="3" l="1"/>
  <c r="M64" i="3" s="1"/>
  <c r="J124" i="1"/>
  <c r="F125" i="1" s="1"/>
  <c r="G125" i="1" s="1"/>
  <c r="K64" i="3" l="1"/>
  <c r="L64" i="3"/>
  <c r="C65" i="3" s="1"/>
  <c r="J65" i="3" s="1"/>
  <c r="E65" i="3"/>
  <c r="I65" i="3" s="1"/>
  <c r="J125" i="1"/>
  <c r="F126" i="1" s="1"/>
  <c r="G126" i="1" s="1"/>
  <c r="H65" i="3" l="1"/>
  <c r="M65" i="3" s="1"/>
  <c r="J126" i="1"/>
  <c r="F127" i="1" s="1"/>
  <c r="G127" i="1" s="1"/>
  <c r="K65" i="3" l="1"/>
  <c r="J127" i="1"/>
  <c r="F128" i="1" s="1"/>
  <c r="G128" i="1" s="1"/>
  <c r="E66" i="3" l="1"/>
  <c r="N65" i="3"/>
  <c r="L65" i="3"/>
  <c r="C66" i="3" s="1"/>
  <c r="J66" i="3" s="1"/>
  <c r="N66" i="3" s="1"/>
  <c r="H66" i="3"/>
  <c r="M66" i="3" s="1"/>
  <c r="J128" i="1"/>
  <c r="F129" i="1" s="1"/>
  <c r="G129" i="1" s="1"/>
  <c r="K66" i="3" l="1"/>
  <c r="L66" i="3"/>
  <c r="C67" i="3" s="1"/>
  <c r="J67" i="3" s="1"/>
  <c r="N67" i="3" s="1"/>
  <c r="E67" i="3"/>
  <c r="J129" i="1"/>
  <c r="F130" i="1" s="1"/>
  <c r="G130" i="1" s="1"/>
  <c r="H67" i="3" l="1"/>
  <c r="M67" i="3" s="1"/>
  <c r="J130" i="1"/>
  <c r="F131" i="1" s="1"/>
  <c r="G131" i="1" s="1"/>
  <c r="K67" i="3" l="1"/>
  <c r="L67" i="3"/>
  <c r="C68" i="3" s="1"/>
  <c r="J68" i="3" s="1"/>
  <c r="N68" i="3" s="1"/>
  <c r="E68" i="3"/>
  <c r="J131" i="1"/>
  <c r="F132" i="1" s="1"/>
  <c r="G132" i="1" s="1"/>
  <c r="H68" i="3" l="1"/>
  <c r="M68" i="3" s="1"/>
  <c r="J132" i="1"/>
  <c r="F133" i="1" s="1"/>
  <c r="G133" i="1" s="1"/>
  <c r="K68" i="3" l="1"/>
  <c r="L68" i="3"/>
  <c r="C69" i="3" s="1"/>
  <c r="J69" i="3" s="1"/>
  <c r="N69" i="3" s="1"/>
  <c r="E69" i="3"/>
  <c r="J133" i="1"/>
  <c r="F134" i="1" s="1"/>
  <c r="G134" i="1" s="1"/>
  <c r="H69" i="3" l="1"/>
  <c r="M69" i="3" s="1"/>
  <c r="J134" i="1"/>
  <c r="F135" i="1" s="1"/>
  <c r="G135" i="1" s="1"/>
  <c r="K69" i="3" l="1"/>
  <c r="L69" i="3"/>
  <c r="C70" i="3" s="1"/>
  <c r="J70" i="3" s="1"/>
  <c r="N70" i="3" s="1"/>
  <c r="E70" i="3"/>
  <c r="J135" i="1"/>
  <c r="F136" i="1" s="1"/>
  <c r="G136" i="1" s="1"/>
  <c r="H70" i="3" l="1"/>
  <c r="M70" i="3" s="1"/>
  <c r="J136" i="1"/>
  <c r="F137" i="1" s="1"/>
  <c r="G137" i="1" s="1"/>
  <c r="K70" i="3" l="1"/>
  <c r="L70" i="3"/>
  <c r="C71" i="3" s="1"/>
  <c r="J71" i="3" s="1"/>
  <c r="N71" i="3" s="1"/>
  <c r="E71" i="3"/>
  <c r="J137" i="1"/>
  <c r="F138" i="1" s="1"/>
  <c r="G138" i="1" s="1"/>
  <c r="H71" i="3" l="1"/>
  <c r="M71" i="3" s="1"/>
  <c r="J138" i="1"/>
  <c r="F139" i="1" s="1"/>
  <c r="G139" i="1" s="1"/>
  <c r="K71" i="3" l="1"/>
  <c r="L71" i="3"/>
  <c r="C72" i="3" s="1"/>
  <c r="J72" i="3" s="1"/>
  <c r="E72" i="3"/>
  <c r="I72" i="3" s="1"/>
  <c r="J139" i="1"/>
  <c r="F140" i="1" s="1"/>
  <c r="G140" i="1" s="1"/>
  <c r="H72" i="3" l="1"/>
  <c r="M72" i="3" s="1"/>
  <c r="J140" i="1"/>
  <c r="F141" i="1" s="1"/>
  <c r="G141" i="1" s="1"/>
  <c r="K72" i="3" l="1"/>
  <c r="J141" i="1"/>
  <c r="F142" i="1" s="1"/>
  <c r="G142" i="1" s="1"/>
  <c r="E73" i="3" l="1"/>
  <c r="H73" i="3" s="1"/>
  <c r="M73" i="3" s="1"/>
  <c r="N72" i="3"/>
  <c r="J142" i="1"/>
  <c r="F143" i="1" s="1"/>
  <c r="G143" i="1" s="1"/>
  <c r="L72" i="3" l="1"/>
  <c r="C73" i="3" s="1"/>
  <c r="J73" i="3" s="1"/>
  <c r="N73" i="3" s="1"/>
  <c r="L73" i="3"/>
  <c r="C74" i="3" s="1"/>
  <c r="J74" i="3" s="1"/>
  <c r="N74" i="3" s="1"/>
  <c r="J143" i="1"/>
  <c r="F144" i="1" s="1"/>
  <c r="G144" i="1" s="1"/>
  <c r="K73" i="3" l="1"/>
  <c r="E74" i="3" s="1"/>
  <c r="H74" i="3"/>
  <c r="M74" i="3" s="1"/>
  <c r="J144" i="1"/>
  <c r="F145" i="1" s="1"/>
  <c r="G145" i="1" s="1"/>
  <c r="K74" i="3" l="1"/>
  <c r="E75" i="3" s="1"/>
  <c r="L74" i="3"/>
  <c r="C75" i="3" s="1"/>
  <c r="J75" i="3" s="1"/>
  <c r="N75" i="3" s="1"/>
  <c r="J145" i="1"/>
  <c r="F146" i="1" s="1"/>
  <c r="G146" i="1" s="1"/>
  <c r="H75" i="3" l="1"/>
  <c r="M75" i="3" s="1"/>
  <c r="J146" i="1"/>
  <c r="F147" i="1" s="1"/>
  <c r="G147" i="1" s="1"/>
  <c r="K75" i="3" l="1"/>
  <c r="L75" i="3"/>
  <c r="C76" i="3" s="1"/>
  <c r="J76" i="3" s="1"/>
  <c r="N76" i="3" s="1"/>
  <c r="E76" i="3"/>
  <c r="J147" i="1"/>
  <c r="F148" i="1" s="1"/>
  <c r="G148" i="1" s="1"/>
  <c r="H76" i="3" l="1"/>
  <c r="M76" i="3" s="1"/>
  <c r="J148" i="1"/>
  <c r="F149" i="1" s="1"/>
  <c r="G149" i="1" s="1"/>
  <c r="K76" i="3" l="1"/>
  <c r="L76" i="3"/>
  <c r="C77" i="3" s="1"/>
  <c r="J77" i="3" s="1"/>
  <c r="N77" i="3" s="1"/>
  <c r="E77" i="3"/>
  <c r="J149" i="1"/>
  <c r="F150" i="1" s="1"/>
  <c r="G150" i="1" s="1"/>
  <c r="H77" i="3" l="1"/>
  <c r="M77" i="3" s="1"/>
  <c r="J150" i="1"/>
  <c r="F151" i="1" s="1"/>
  <c r="G151" i="1" s="1"/>
  <c r="K77" i="3" l="1"/>
  <c r="L77" i="3"/>
  <c r="C78" i="3" s="1"/>
  <c r="J78" i="3" s="1"/>
  <c r="N78" i="3" s="1"/>
  <c r="E78" i="3"/>
  <c r="J151" i="1"/>
  <c r="F152" i="1" s="1"/>
  <c r="G152" i="1" s="1"/>
  <c r="H78" i="3" l="1"/>
  <c r="M78" i="3" s="1"/>
  <c r="J152" i="1"/>
  <c r="F153" i="1" s="1"/>
  <c r="G153" i="1" s="1"/>
  <c r="K78" i="3" l="1"/>
  <c r="E79" i="3" s="1"/>
  <c r="I79" i="3" s="1"/>
  <c r="L78" i="3"/>
  <c r="C79" i="3" s="1"/>
  <c r="J79" i="3" s="1"/>
  <c r="J153" i="1"/>
  <c r="F154" i="1" s="1"/>
  <c r="G154" i="1" s="1"/>
  <c r="H79" i="3" l="1"/>
  <c r="M79" i="3" s="1"/>
  <c r="J154" i="1"/>
  <c r="F155" i="1" s="1"/>
  <c r="G155" i="1" s="1"/>
  <c r="K79" i="3" l="1"/>
  <c r="N79" i="3" s="1"/>
  <c r="E80" i="3"/>
  <c r="J155" i="1"/>
  <c r="F156" i="1" s="1"/>
  <c r="G156" i="1" s="1"/>
  <c r="L79" i="3" l="1"/>
  <c r="C80" i="3" s="1"/>
  <c r="J80" i="3" s="1"/>
  <c r="N80" i="3" s="1"/>
  <c r="H80" i="3"/>
  <c r="M80" i="3" s="1"/>
  <c r="J156" i="1"/>
  <c r="F157" i="1" s="1"/>
  <c r="G157" i="1" s="1"/>
  <c r="K80" i="3" l="1"/>
  <c r="L80" i="3"/>
  <c r="C81" i="3" s="1"/>
  <c r="J81" i="3" s="1"/>
  <c r="N81" i="3" s="1"/>
  <c r="E81" i="3"/>
  <c r="J157" i="1"/>
  <c r="F158" i="1" s="1"/>
  <c r="G158" i="1" s="1"/>
  <c r="H81" i="3" l="1"/>
  <c r="M81" i="3" s="1"/>
  <c r="J158" i="1"/>
  <c r="F159" i="1" s="1"/>
  <c r="G159" i="1" s="1"/>
  <c r="K81" i="3" l="1"/>
  <c r="L81" i="3"/>
  <c r="C82" i="3" s="1"/>
  <c r="J82" i="3" s="1"/>
  <c r="N82" i="3" s="1"/>
  <c r="E82" i="3"/>
  <c r="J159" i="1"/>
  <c r="F160" i="1" s="1"/>
  <c r="G160" i="1" s="1"/>
  <c r="H82" i="3" l="1"/>
  <c r="M82" i="3" s="1"/>
  <c r="J160" i="1"/>
  <c r="F161" i="1" s="1"/>
  <c r="G161" i="1" s="1"/>
  <c r="K82" i="3" l="1"/>
  <c r="L82" i="3"/>
  <c r="C83" i="3" s="1"/>
  <c r="J83" i="3" s="1"/>
  <c r="N83" i="3" s="1"/>
  <c r="E83" i="3"/>
  <c r="J161" i="1"/>
  <c r="F162" i="1" s="1"/>
  <c r="G162" i="1" s="1"/>
  <c r="H83" i="3" l="1"/>
  <c r="M83" i="3" s="1"/>
  <c r="J162" i="1"/>
  <c r="F163" i="1" s="1"/>
  <c r="G163" i="1" s="1"/>
  <c r="K83" i="3" l="1"/>
  <c r="L83" i="3"/>
  <c r="C84" i="3" s="1"/>
  <c r="J84" i="3" s="1"/>
  <c r="N84" i="3" s="1"/>
  <c r="E84" i="3"/>
  <c r="J163" i="1"/>
  <c r="F164" i="1" s="1"/>
  <c r="G164" i="1" s="1"/>
  <c r="H84" i="3" l="1"/>
  <c r="M84" i="3" s="1"/>
  <c r="J164" i="1"/>
  <c r="F165" i="1" s="1"/>
  <c r="G165" i="1" s="1"/>
  <c r="K84" i="3" l="1"/>
  <c r="L84" i="3"/>
  <c r="C85" i="3" s="1"/>
  <c r="J85" i="3" s="1"/>
  <c r="N85" i="3" s="1"/>
  <c r="E85" i="3"/>
  <c r="J165" i="1"/>
  <c r="F166" i="1" s="1"/>
  <c r="G166" i="1" s="1"/>
  <c r="H85" i="3" l="1"/>
  <c r="M85" i="3" s="1"/>
  <c r="J166" i="1"/>
  <c r="F167" i="1" s="1"/>
  <c r="G167" i="1" s="1"/>
  <c r="K85" i="3" l="1"/>
  <c r="L85" i="3"/>
  <c r="C86" i="3" s="1"/>
  <c r="J86" i="3" s="1"/>
  <c r="E86" i="3"/>
  <c r="I86" i="3" s="1"/>
  <c r="J167" i="1"/>
  <c r="F168" i="1" s="1"/>
  <c r="G168" i="1" s="1"/>
  <c r="H86" i="3" l="1"/>
  <c r="M86" i="3" s="1"/>
  <c r="J168" i="1"/>
  <c r="F169" i="1" s="1"/>
  <c r="G169" i="1" s="1"/>
  <c r="K86" i="3" l="1"/>
  <c r="N86" i="3" s="1"/>
  <c r="E87" i="3"/>
  <c r="J169" i="1"/>
  <c r="F170" i="1" s="1"/>
  <c r="G170" i="1" s="1"/>
  <c r="L86" i="3" l="1"/>
  <c r="C87" i="3" s="1"/>
  <c r="J87" i="3" s="1"/>
  <c r="N87" i="3" s="1"/>
  <c r="H87" i="3"/>
  <c r="M87" i="3" s="1"/>
  <c r="J170" i="1"/>
  <c r="F171" i="1" s="1"/>
  <c r="G171" i="1" s="1"/>
  <c r="K87" i="3" l="1"/>
  <c r="L87" i="3"/>
  <c r="C88" i="3" s="1"/>
  <c r="J88" i="3" s="1"/>
  <c r="N88" i="3" s="1"/>
  <c r="E88" i="3"/>
  <c r="J171" i="1"/>
  <c r="F172" i="1" s="1"/>
  <c r="G172" i="1" s="1"/>
  <c r="H88" i="3" l="1"/>
  <c r="M88" i="3" s="1"/>
  <c r="J172" i="1"/>
  <c r="F173" i="1" s="1"/>
  <c r="G173" i="1" s="1"/>
  <c r="K88" i="3" l="1"/>
  <c r="L88" i="3"/>
  <c r="C89" i="3" s="1"/>
  <c r="J89" i="3" s="1"/>
  <c r="N89" i="3" s="1"/>
  <c r="E89" i="3"/>
  <c r="J173" i="1"/>
  <c r="F174" i="1" s="1"/>
  <c r="G174" i="1" s="1"/>
  <c r="H89" i="3" l="1"/>
  <c r="M89" i="3" s="1"/>
  <c r="J174" i="1"/>
  <c r="F175" i="1" s="1"/>
  <c r="G175" i="1" s="1"/>
  <c r="K89" i="3" l="1"/>
  <c r="L89" i="3"/>
  <c r="C90" i="3" s="1"/>
  <c r="J90" i="3" s="1"/>
  <c r="N90" i="3" s="1"/>
  <c r="E90" i="3"/>
  <c r="J175" i="1"/>
  <c r="F176" i="1" s="1"/>
  <c r="G176" i="1" s="1"/>
  <c r="H90" i="3" l="1"/>
  <c r="M90" i="3" s="1"/>
  <c r="J176" i="1"/>
  <c r="F177" i="1" s="1"/>
  <c r="G177" i="1" s="1"/>
  <c r="K90" i="3" l="1"/>
  <c r="L90" i="3"/>
  <c r="C91" i="3" s="1"/>
  <c r="J91" i="3" s="1"/>
  <c r="N91" i="3" s="1"/>
  <c r="E91" i="3"/>
  <c r="J177" i="1"/>
  <c r="F178" i="1" s="1"/>
  <c r="G178" i="1" s="1"/>
  <c r="H91" i="3" l="1"/>
  <c r="M91" i="3" s="1"/>
  <c r="J178" i="1"/>
  <c r="F179" i="1" s="1"/>
  <c r="G179" i="1" s="1"/>
  <c r="K91" i="3" l="1"/>
  <c r="L91" i="3"/>
  <c r="C92" i="3" s="1"/>
  <c r="J92" i="3" s="1"/>
  <c r="N92" i="3" s="1"/>
  <c r="E92" i="3"/>
  <c r="J179" i="1"/>
  <c r="F180" i="1" s="1"/>
  <c r="G180" i="1" s="1"/>
  <c r="H92" i="3" l="1"/>
  <c r="M92" i="3" s="1"/>
  <c r="J180" i="1"/>
  <c r="F181" i="1" s="1"/>
  <c r="G181" i="1" s="1"/>
  <c r="K92" i="3" l="1"/>
  <c r="L92" i="3"/>
  <c r="C93" i="3" s="1"/>
  <c r="J93" i="3" s="1"/>
  <c r="E93" i="3"/>
  <c r="I93" i="3" s="1"/>
  <c r="J181" i="1"/>
  <c r="F182" i="1" s="1"/>
  <c r="G182" i="1" s="1"/>
  <c r="H93" i="3" l="1"/>
  <c r="M93" i="3" s="1"/>
  <c r="J182" i="1"/>
  <c r="F183" i="1" s="1"/>
  <c r="G183" i="1" s="1"/>
  <c r="K93" i="3" l="1"/>
  <c r="N93" i="3" s="1"/>
  <c r="E94" i="3"/>
  <c r="J183" i="1"/>
  <c r="F184" i="1" s="1"/>
  <c r="G184" i="1" s="1"/>
  <c r="L93" i="3" l="1"/>
  <c r="C94" i="3" s="1"/>
  <c r="J94" i="3" s="1"/>
  <c r="N94" i="3" s="1"/>
  <c r="H94" i="3"/>
  <c r="M94" i="3" s="1"/>
  <c r="J184" i="1"/>
  <c r="F185" i="1" s="1"/>
  <c r="G185" i="1" s="1"/>
  <c r="K94" i="3" l="1"/>
  <c r="L94" i="3"/>
  <c r="C95" i="3" s="1"/>
  <c r="J95" i="3" s="1"/>
  <c r="N95" i="3" s="1"/>
  <c r="E95" i="3"/>
  <c r="J185" i="1"/>
  <c r="F186" i="1" s="1"/>
  <c r="G186" i="1" s="1"/>
  <c r="H95" i="3" l="1"/>
  <c r="M95" i="3" s="1"/>
  <c r="J186" i="1"/>
  <c r="F187" i="1" s="1"/>
  <c r="G187" i="1" s="1"/>
  <c r="K95" i="3" l="1"/>
  <c r="L95" i="3"/>
  <c r="C96" i="3" s="1"/>
  <c r="J96" i="3" s="1"/>
  <c r="N96" i="3" s="1"/>
  <c r="E96" i="3"/>
  <c r="J187" i="1"/>
  <c r="F188" i="1" s="1"/>
  <c r="G188" i="1" s="1"/>
  <c r="H96" i="3" l="1"/>
  <c r="M96" i="3" s="1"/>
  <c r="J188" i="1"/>
  <c r="F189" i="1" s="1"/>
  <c r="G189" i="1" s="1"/>
  <c r="K96" i="3" l="1"/>
  <c r="L96" i="3"/>
  <c r="C97" i="3" s="1"/>
  <c r="J97" i="3" s="1"/>
  <c r="N97" i="3" s="1"/>
  <c r="E97" i="3"/>
  <c r="J189" i="1"/>
  <c r="F190" i="1" s="1"/>
  <c r="G190" i="1" s="1"/>
  <c r="H97" i="3" l="1"/>
  <c r="M97" i="3" s="1"/>
  <c r="J190" i="1"/>
  <c r="F191" i="1" s="1"/>
  <c r="G191" i="1" s="1"/>
  <c r="K97" i="3" l="1"/>
  <c r="L97" i="3"/>
  <c r="C98" i="3" s="1"/>
  <c r="J98" i="3" s="1"/>
  <c r="N98" i="3" s="1"/>
  <c r="E98" i="3"/>
  <c r="J191" i="1"/>
  <c r="F192" i="1" s="1"/>
  <c r="G192" i="1" s="1"/>
  <c r="H98" i="3" l="1"/>
  <c r="M98" i="3" s="1"/>
  <c r="J192" i="1"/>
  <c r="F193" i="1" s="1"/>
  <c r="G193" i="1" s="1"/>
  <c r="K98" i="3" l="1"/>
  <c r="L98" i="3"/>
  <c r="C99" i="3" s="1"/>
  <c r="J99" i="3" s="1"/>
  <c r="N99" i="3" s="1"/>
  <c r="E99" i="3"/>
  <c r="J193" i="1"/>
  <c r="F194" i="1" s="1"/>
  <c r="G194" i="1" s="1"/>
  <c r="H99" i="3" l="1"/>
  <c r="M99" i="3" s="1"/>
  <c r="J194" i="1"/>
  <c r="F195" i="1" s="1"/>
  <c r="G195" i="1" s="1"/>
  <c r="K99" i="3" l="1"/>
  <c r="L99" i="3"/>
  <c r="C100" i="3" s="1"/>
  <c r="J100" i="3" s="1"/>
  <c r="E100" i="3"/>
  <c r="I100" i="3" s="1"/>
  <c r="J195" i="1"/>
  <c r="F196" i="1" s="1"/>
  <c r="G196" i="1" s="1"/>
  <c r="H100" i="3" l="1"/>
  <c r="M100" i="3" s="1"/>
  <c r="J196" i="1"/>
  <c r="F197" i="1" s="1"/>
  <c r="G197" i="1" s="1"/>
  <c r="K100" i="3" l="1"/>
  <c r="N100" i="3" s="1"/>
  <c r="E101" i="3"/>
  <c r="J197" i="1"/>
  <c r="F198" i="1" s="1"/>
  <c r="G198" i="1" s="1"/>
  <c r="L100" i="3" l="1"/>
  <c r="C101" i="3" s="1"/>
  <c r="J101" i="3" s="1"/>
  <c r="N101" i="3" s="1"/>
  <c r="H101" i="3"/>
  <c r="M101" i="3" s="1"/>
  <c r="J198" i="1"/>
  <c r="F199" i="1" s="1"/>
  <c r="G199" i="1" s="1"/>
  <c r="K101" i="3" l="1"/>
  <c r="L101" i="3"/>
  <c r="C102" i="3" s="1"/>
  <c r="J102" i="3" s="1"/>
  <c r="N102" i="3" s="1"/>
  <c r="E102" i="3"/>
  <c r="J199" i="1"/>
  <c r="F200" i="1" s="1"/>
  <c r="G200" i="1" s="1"/>
  <c r="H102" i="3" l="1"/>
  <c r="M102" i="3" s="1"/>
  <c r="J200" i="1"/>
  <c r="F201" i="1" s="1"/>
  <c r="G201" i="1" s="1"/>
  <c r="K102" i="3" l="1"/>
  <c r="L102" i="3"/>
  <c r="C103" i="3" s="1"/>
  <c r="J103" i="3" s="1"/>
  <c r="N103" i="3" s="1"/>
  <c r="E103" i="3"/>
  <c r="J201" i="1"/>
  <c r="F202" i="1" s="1"/>
  <c r="G202" i="1" s="1"/>
  <c r="H103" i="3" l="1"/>
  <c r="M103" i="3" s="1"/>
  <c r="J202" i="1"/>
  <c r="F203" i="1" s="1"/>
  <c r="G203" i="1" s="1"/>
  <c r="K103" i="3" l="1"/>
  <c r="L103" i="3"/>
  <c r="C104" i="3" s="1"/>
  <c r="J104" i="3" s="1"/>
  <c r="N104" i="3" s="1"/>
  <c r="E104" i="3"/>
  <c r="J203" i="1"/>
  <c r="F204" i="1" s="1"/>
  <c r="G204" i="1" s="1"/>
  <c r="H104" i="3" l="1"/>
  <c r="M104" i="3" s="1"/>
  <c r="J204" i="1"/>
  <c r="F205" i="1" s="1"/>
  <c r="G205" i="1" s="1"/>
  <c r="K104" i="3" l="1"/>
  <c r="L104" i="3"/>
  <c r="C105" i="3" s="1"/>
  <c r="J105" i="3" s="1"/>
  <c r="N105" i="3" s="1"/>
  <c r="E105" i="3"/>
  <c r="J205" i="1"/>
  <c r="F206" i="1" s="1"/>
  <c r="G206" i="1" s="1"/>
  <c r="H105" i="3" l="1"/>
  <c r="M105" i="3" s="1"/>
  <c r="J206" i="1"/>
  <c r="F207" i="1" s="1"/>
  <c r="G207" i="1" s="1"/>
  <c r="K105" i="3" l="1"/>
  <c r="L105" i="3"/>
  <c r="C106" i="3" s="1"/>
  <c r="J106" i="3" s="1"/>
  <c r="N106" i="3" s="1"/>
  <c r="E106" i="3"/>
  <c r="J207" i="1"/>
  <c r="F208" i="1" s="1"/>
  <c r="G208" i="1" s="1"/>
  <c r="H106" i="3" l="1"/>
  <c r="M106" i="3" s="1"/>
  <c r="J208" i="1"/>
  <c r="F209" i="1" s="1"/>
  <c r="G209" i="1" s="1"/>
  <c r="K106" i="3" l="1"/>
  <c r="L106" i="3"/>
  <c r="C107" i="3" s="1"/>
  <c r="J107" i="3" s="1"/>
  <c r="E107" i="3"/>
  <c r="I107" i="3" s="1"/>
  <c r="J209" i="1"/>
  <c r="F210" i="1" s="1"/>
  <c r="G210" i="1" s="1"/>
  <c r="H107" i="3" l="1"/>
  <c r="M107" i="3" s="1"/>
  <c r="J210" i="1"/>
  <c r="F211" i="1" s="1"/>
  <c r="G211" i="1" s="1"/>
  <c r="K107" i="3" l="1"/>
  <c r="N107" i="3" s="1"/>
  <c r="E108" i="3"/>
  <c r="J211" i="1"/>
  <c r="F212" i="1" s="1"/>
  <c r="G212" i="1" s="1"/>
  <c r="L107" i="3" l="1"/>
  <c r="C108" i="3" s="1"/>
  <c r="J108" i="3" s="1"/>
  <c r="N108" i="3" s="1"/>
  <c r="H108" i="3"/>
  <c r="M108" i="3" s="1"/>
  <c r="J212" i="1"/>
  <c r="F213" i="1" s="1"/>
  <c r="G213" i="1" s="1"/>
  <c r="K108" i="3" l="1"/>
  <c r="L108" i="3"/>
  <c r="C109" i="3" s="1"/>
  <c r="J109" i="3" s="1"/>
  <c r="N109" i="3" s="1"/>
  <c r="E109" i="3"/>
  <c r="J213" i="1"/>
  <c r="F214" i="1" s="1"/>
  <c r="G214" i="1" s="1"/>
  <c r="H109" i="3" l="1"/>
  <c r="M109" i="3" s="1"/>
  <c r="J214" i="1"/>
  <c r="F215" i="1" s="1"/>
  <c r="G215" i="1" s="1"/>
  <c r="K109" i="3" l="1"/>
  <c r="L109" i="3"/>
  <c r="C110" i="3" s="1"/>
  <c r="J110" i="3" s="1"/>
  <c r="N110" i="3" s="1"/>
  <c r="E110" i="3"/>
  <c r="J215" i="1"/>
  <c r="F216" i="1" s="1"/>
  <c r="G216" i="1" s="1"/>
  <c r="H110" i="3" l="1"/>
  <c r="M110" i="3" s="1"/>
  <c r="J216" i="1"/>
  <c r="F217" i="1" s="1"/>
  <c r="G217" i="1" s="1"/>
  <c r="K110" i="3" l="1"/>
  <c r="L110" i="3"/>
  <c r="C111" i="3" s="1"/>
  <c r="J111" i="3" s="1"/>
  <c r="N111" i="3" s="1"/>
  <c r="E111" i="3"/>
  <c r="J217" i="1"/>
  <c r="F218" i="1" s="1"/>
  <c r="G218" i="1" s="1"/>
  <c r="H111" i="3" l="1"/>
  <c r="M111" i="3" s="1"/>
  <c r="J218" i="1"/>
  <c r="F219" i="1" s="1"/>
  <c r="G219" i="1" s="1"/>
  <c r="K111" i="3" l="1"/>
  <c r="L111" i="3"/>
  <c r="C112" i="3" s="1"/>
  <c r="J112" i="3" s="1"/>
  <c r="N112" i="3" s="1"/>
  <c r="E112" i="3"/>
  <c r="J219" i="1"/>
  <c r="F220" i="1" s="1"/>
  <c r="G220" i="1" s="1"/>
  <c r="H112" i="3" l="1"/>
  <c r="M112" i="3" s="1"/>
  <c r="J220" i="1"/>
  <c r="F221" i="1" s="1"/>
  <c r="G221" i="1" s="1"/>
  <c r="K112" i="3" l="1"/>
  <c r="L112" i="3"/>
  <c r="C113" i="3" s="1"/>
  <c r="J113" i="3" s="1"/>
  <c r="N113" i="3" s="1"/>
  <c r="E113" i="3"/>
  <c r="J221" i="1"/>
  <c r="F222" i="1" s="1"/>
  <c r="G222" i="1" s="1"/>
  <c r="H113" i="3" l="1"/>
  <c r="M113" i="3" s="1"/>
  <c r="J222" i="1"/>
  <c r="F223" i="1" s="1"/>
  <c r="G223" i="1" s="1"/>
  <c r="K113" i="3" l="1"/>
  <c r="L113" i="3"/>
  <c r="C114" i="3" s="1"/>
  <c r="J114" i="3" s="1"/>
  <c r="E114" i="3"/>
  <c r="I114" i="3" s="1"/>
  <c r="J223" i="1"/>
  <c r="F224" i="1" s="1"/>
  <c r="G224" i="1" s="1"/>
  <c r="H114" i="3" l="1"/>
  <c r="M114" i="3" s="1"/>
  <c r="J224" i="1"/>
  <c r="F225" i="1" s="1"/>
  <c r="G225" i="1" s="1"/>
  <c r="K114" i="3" l="1"/>
  <c r="N114" i="3" s="1"/>
  <c r="E115" i="3"/>
  <c r="J225" i="1"/>
  <c r="F226" i="1" s="1"/>
  <c r="G226" i="1" s="1"/>
  <c r="L114" i="3" l="1"/>
  <c r="C115" i="3" s="1"/>
  <c r="J115" i="3" s="1"/>
  <c r="N115" i="3" s="1"/>
  <c r="H115" i="3"/>
  <c r="M115" i="3" s="1"/>
  <c r="J226" i="1"/>
  <c r="F227" i="1" s="1"/>
  <c r="G227" i="1" s="1"/>
  <c r="K115" i="3" l="1"/>
  <c r="L115" i="3"/>
  <c r="C116" i="3" s="1"/>
  <c r="J116" i="3" s="1"/>
  <c r="N116" i="3" s="1"/>
  <c r="E116" i="3"/>
  <c r="J227" i="1"/>
  <c r="F228" i="1" s="1"/>
  <c r="G228" i="1" s="1"/>
  <c r="H116" i="3" l="1"/>
  <c r="M116" i="3" s="1"/>
  <c r="J228" i="1"/>
  <c r="F229" i="1" s="1"/>
  <c r="G229" i="1" s="1"/>
  <c r="K116" i="3" l="1"/>
  <c r="L116" i="3"/>
  <c r="C117" i="3" s="1"/>
  <c r="J117" i="3" s="1"/>
  <c r="N117" i="3" s="1"/>
  <c r="E117" i="3"/>
  <c r="J229" i="1"/>
  <c r="F230" i="1" s="1"/>
  <c r="G230" i="1" s="1"/>
  <c r="H117" i="3" l="1"/>
  <c r="M117" i="3" s="1"/>
  <c r="J230" i="1"/>
  <c r="F231" i="1" s="1"/>
  <c r="G231" i="1" s="1"/>
  <c r="K117" i="3" l="1"/>
  <c r="L117" i="3"/>
  <c r="C118" i="3" s="1"/>
  <c r="J118" i="3" s="1"/>
  <c r="N118" i="3" s="1"/>
  <c r="E118" i="3"/>
  <c r="J231" i="1"/>
  <c r="F232" i="1" s="1"/>
  <c r="G232" i="1" s="1"/>
  <c r="H118" i="3" l="1"/>
  <c r="M118" i="3" s="1"/>
  <c r="J232" i="1"/>
  <c r="F233" i="1" s="1"/>
  <c r="G233" i="1" s="1"/>
  <c r="K118" i="3" l="1"/>
  <c r="L118" i="3"/>
  <c r="C119" i="3" s="1"/>
  <c r="J119" i="3" s="1"/>
  <c r="N119" i="3" s="1"/>
  <c r="E119" i="3"/>
  <c r="J233" i="1"/>
  <c r="F234" i="1" s="1"/>
  <c r="G234" i="1" s="1"/>
  <c r="H119" i="3" l="1"/>
  <c r="M119" i="3" s="1"/>
  <c r="J234" i="1"/>
  <c r="F235" i="1" s="1"/>
  <c r="G235" i="1" s="1"/>
  <c r="K119" i="3" l="1"/>
  <c r="L119" i="3"/>
  <c r="C120" i="3" s="1"/>
  <c r="J120" i="3" s="1"/>
  <c r="N120" i="3" s="1"/>
  <c r="E120" i="3"/>
  <c r="J235" i="1"/>
  <c r="F236" i="1" s="1"/>
  <c r="G236" i="1" s="1"/>
  <c r="H120" i="3" l="1"/>
  <c r="M120" i="3" s="1"/>
  <c r="J236" i="1"/>
  <c r="F237" i="1" s="1"/>
  <c r="G237" i="1" s="1"/>
  <c r="K120" i="3" l="1"/>
  <c r="L120" i="3"/>
  <c r="C121" i="3" s="1"/>
  <c r="J121" i="3" s="1"/>
  <c r="E121" i="3"/>
  <c r="I121" i="3" s="1"/>
  <c r="J237" i="1"/>
  <c r="F238" i="1" s="1"/>
  <c r="G238" i="1" s="1"/>
  <c r="H121" i="3" l="1"/>
  <c r="M121" i="3" s="1"/>
  <c r="J238" i="1"/>
  <c r="F239" i="1" s="1"/>
  <c r="G239" i="1" s="1"/>
  <c r="K121" i="3" l="1"/>
  <c r="N121" i="3" s="1"/>
  <c r="E122" i="3"/>
  <c r="J239" i="1"/>
  <c r="F240" i="1" s="1"/>
  <c r="G240" i="1" s="1"/>
  <c r="L121" i="3" l="1"/>
  <c r="C122" i="3" s="1"/>
  <c r="J122" i="3" s="1"/>
  <c r="N122" i="3" s="1"/>
  <c r="H122" i="3"/>
  <c r="M122" i="3" s="1"/>
  <c r="J240" i="1"/>
  <c r="F241" i="1" s="1"/>
  <c r="G241" i="1" s="1"/>
  <c r="K122" i="3" l="1"/>
  <c r="L122" i="3"/>
  <c r="C123" i="3" s="1"/>
  <c r="J123" i="3" s="1"/>
  <c r="N123" i="3" s="1"/>
  <c r="E123" i="3"/>
  <c r="J241" i="1"/>
  <c r="F242" i="1" s="1"/>
  <c r="G242" i="1" s="1"/>
  <c r="H123" i="3" l="1"/>
  <c r="M123" i="3" s="1"/>
  <c r="J242" i="1"/>
  <c r="F243" i="1" s="1"/>
  <c r="G243" i="1" s="1"/>
  <c r="K123" i="3" l="1"/>
  <c r="L123" i="3"/>
  <c r="C124" i="3" s="1"/>
  <c r="J124" i="3" s="1"/>
  <c r="N124" i="3" s="1"/>
  <c r="E124" i="3"/>
  <c r="J243" i="1"/>
  <c r="F244" i="1" s="1"/>
  <c r="G244" i="1" s="1"/>
  <c r="H124" i="3" l="1"/>
  <c r="M124" i="3" s="1"/>
  <c r="J244" i="1"/>
  <c r="F245" i="1" s="1"/>
  <c r="G245" i="1" s="1"/>
  <c r="K124" i="3" l="1"/>
  <c r="L124" i="3"/>
  <c r="C125" i="3" s="1"/>
  <c r="J125" i="3" s="1"/>
  <c r="N125" i="3" s="1"/>
  <c r="E125" i="3"/>
  <c r="J245" i="1"/>
  <c r="F246" i="1" s="1"/>
  <c r="G246" i="1" s="1"/>
  <c r="H125" i="3" l="1"/>
  <c r="M125" i="3" s="1"/>
  <c r="J246" i="1"/>
  <c r="F247" i="1" s="1"/>
  <c r="G247" i="1" s="1"/>
  <c r="K125" i="3" l="1"/>
  <c r="L125" i="3"/>
  <c r="C126" i="3" s="1"/>
  <c r="J126" i="3" s="1"/>
  <c r="N126" i="3" s="1"/>
  <c r="E126" i="3"/>
  <c r="J247" i="1"/>
  <c r="F248" i="1" s="1"/>
  <c r="G248" i="1" s="1"/>
  <c r="H126" i="3" l="1"/>
  <c r="M126" i="3" s="1"/>
  <c r="J248" i="1"/>
  <c r="F249" i="1" s="1"/>
  <c r="G249" i="1" s="1"/>
  <c r="K126" i="3" l="1"/>
  <c r="L126" i="3"/>
  <c r="C127" i="3" s="1"/>
  <c r="J127" i="3" s="1"/>
  <c r="N127" i="3" s="1"/>
  <c r="E127" i="3"/>
  <c r="J249" i="1"/>
  <c r="F250" i="1" s="1"/>
  <c r="G250" i="1" s="1"/>
  <c r="H127" i="3" l="1"/>
  <c r="M127" i="3" s="1"/>
  <c r="J250" i="1"/>
  <c r="F251" i="1" s="1"/>
  <c r="G251" i="1" s="1"/>
  <c r="K127" i="3" l="1"/>
  <c r="L127" i="3"/>
  <c r="C128" i="3" s="1"/>
  <c r="J128" i="3" s="1"/>
  <c r="E128" i="3"/>
  <c r="I128" i="3" s="1"/>
  <c r="J251" i="1"/>
  <c r="F252" i="1" s="1"/>
  <c r="G252" i="1" s="1"/>
  <c r="H128" i="3" l="1"/>
  <c r="M128" i="3" s="1"/>
  <c r="J252" i="1"/>
  <c r="F253" i="1" s="1"/>
  <c r="G253" i="1" s="1"/>
  <c r="K128" i="3" l="1"/>
  <c r="J253" i="1"/>
  <c r="F254" i="1" s="1"/>
  <c r="G254" i="1" s="1"/>
  <c r="E129" i="3" l="1"/>
  <c r="N128" i="3"/>
  <c r="L128" i="3"/>
  <c r="C129" i="3" s="1"/>
  <c r="J129" i="3" s="1"/>
  <c r="N129" i="3" s="1"/>
  <c r="H129" i="3"/>
  <c r="M129" i="3" s="1"/>
  <c r="J254" i="1"/>
  <c r="F255" i="1" s="1"/>
  <c r="G255" i="1" s="1"/>
  <c r="K129" i="3" l="1"/>
  <c r="L129" i="3"/>
  <c r="C130" i="3" s="1"/>
  <c r="J130" i="3" s="1"/>
  <c r="N130" i="3" s="1"/>
  <c r="E130" i="3"/>
  <c r="J255" i="1"/>
  <c r="F256" i="1" s="1"/>
  <c r="G256" i="1" s="1"/>
  <c r="H130" i="3" l="1"/>
  <c r="M130" i="3" s="1"/>
  <c r="J256" i="1"/>
  <c r="F257" i="1" s="1"/>
  <c r="G257" i="1" s="1"/>
  <c r="K130" i="3" l="1"/>
  <c r="L130" i="3"/>
  <c r="C131" i="3" s="1"/>
  <c r="J131" i="3" s="1"/>
  <c r="N131" i="3" s="1"/>
  <c r="E131" i="3"/>
  <c r="J257" i="1"/>
  <c r="F258" i="1" s="1"/>
  <c r="G258" i="1" s="1"/>
  <c r="H131" i="3" l="1"/>
  <c r="M131" i="3" s="1"/>
  <c r="J258" i="1"/>
  <c r="F259" i="1" s="1"/>
  <c r="G259" i="1" s="1"/>
  <c r="K131" i="3" l="1"/>
  <c r="L131" i="3"/>
  <c r="C132" i="3" s="1"/>
  <c r="J132" i="3" s="1"/>
  <c r="N132" i="3" s="1"/>
  <c r="E132" i="3"/>
  <c r="J259" i="1"/>
  <c r="F260" i="1" s="1"/>
  <c r="G260" i="1" s="1"/>
  <c r="H132" i="3" l="1"/>
  <c r="M132" i="3" s="1"/>
  <c r="J260" i="1"/>
  <c r="F261" i="1" s="1"/>
  <c r="G261" i="1" s="1"/>
  <c r="K132" i="3" l="1"/>
  <c r="E133" i="3" s="1"/>
  <c r="L132" i="3"/>
  <c r="C133" i="3" s="1"/>
  <c r="J133" i="3" s="1"/>
  <c r="N133" i="3" s="1"/>
  <c r="J261" i="1"/>
  <c r="F262" i="1" s="1"/>
  <c r="G262" i="1" s="1"/>
  <c r="H133" i="3" l="1"/>
  <c r="M133" i="3" s="1"/>
  <c r="J262" i="1"/>
  <c r="F263" i="1" s="1"/>
  <c r="G263" i="1" s="1"/>
  <c r="K133" i="3" l="1"/>
  <c r="E134" i="3" s="1"/>
  <c r="L133" i="3"/>
  <c r="C134" i="3" s="1"/>
  <c r="J134" i="3" s="1"/>
  <c r="N134" i="3" s="1"/>
  <c r="J263" i="1"/>
  <c r="F264" i="1" s="1"/>
  <c r="G264" i="1" s="1"/>
  <c r="H134" i="3" l="1"/>
  <c r="M134" i="3" s="1"/>
  <c r="J264" i="1"/>
  <c r="F265" i="1" s="1"/>
  <c r="G265" i="1" s="1"/>
  <c r="K134" i="3" l="1"/>
  <c r="L134" i="3"/>
  <c r="C135" i="3" s="1"/>
  <c r="J135" i="3" s="1"/>
  <c r="E135" i="3"/>
  <c r="I135" i="3" s="1"/>
  <c r="J265" i="1"/>
  <c r="F266" i="1" s="1"/>
  <c r="G266" i="1" s="1"/>
  <c r="H135" i="3" l="1"/>
  <c r="M135" i="3" s="1"/>
  <c r="J266" i="1"/>
  <c r="F267" i="1" s="1"/>
  <c r="G267" i="1" s="1"/>
  <c r="K135" i="3" l="1"/>
  <c r="N135" i="3" s="1"/>
  <c r="E136" i="3"/>
  <c r="J267" i="1"/>
  <c r="F268" i="1" s="1"/>
  <c r="G268" i="1" s="1"/>
  <c r="L135" i="3" l="1"/>
  <c r="C136" i="3" s="1"/>
  <c r="J136" i="3" s="1"/>
  <c r="N136" i="3" s="1"/>
  <c r="H136" i="3"/>
  <c r="M136" i="3" s="1"/>
  <c r="J268" i="1"/>
  <c r="F269" i="1" s="1"/>
  <c r="G269" i="1" s="1"/>
  <c r="K136" i="3" l="1"/>
  <c r="L136" i="3"/>
  <c r="C137" i="3" s="1"/>
  <c r="J137" i="3" s="1"/>
  <c r="N137" i="3" s="1"/>
  <c r="E137" i="3"/>
  <c r="J269" i="1"/>
  <c r="F270" i="1" s="1"/>
  <c r="G270" i="1" s="1"/>
  <c r="H137" i="3" l="1"/>
  <c r="M137" i="3" s="1"/>
  <c r="J270" i="1"/>
  <c r="F271" i="1" s="1"/>
  <c r="G271" i="1" s="1"/>
  <c r="K137" i="3" l="1"/>
  <c r="L137" i="3"/>
  <c r="C138" i="3" s="1"/>
  <c r="J138" i="3" s="1"/>
  <c r="N138" i="3" s="1"/>
  <c r="E138" i="3"/>
  <c r="J271" i="1"/>
  <c r="F272" i="1" s="1"/>
  <c r="G272" i="1" s="1"/>
  <c r="H138" i="3" l="1"/>
  <c r="M138" i="3" s="1"/>
  <c r="J272" i="1"/>
  <c r="F273" i="1" s="1"/>
  <c r="G273" i="1" s="1"/>
  <c r="K138" i="3" l="1"/>
  <c r="L138" i="3"/>
  <c r="C139" i="3" s="1"/>
  <c r="J139" i="3" s="1"/>
  <c r="N139" i="3" s="1"/>
  <c r="E139" i="3"/>
  <c r="J273" i="1"/>
  <c r="F274" i="1" s="1"/>
  <c r="G274" i="1" s="1"/>
  <c r="H139" i="3" l="1"/>
  <c r="M139" i="3" s="1"/>
  <c r="J274" i="1"/>
  <c r="F275" i="1" s="1"/>
  <c r="G275" i="1" s="1"/>
  <c r="K139" i="3" l="1"/>
  <c r="L139" i="3"/>
  <c r="C140" i="3" s="1"/>
  <c r="J140" i="3" s="1"/>
  <c r="N140" i="3" s="1"/>
  <c r="E140" i="3"/>
  <c r="J275" i="1"/>
  <c r="F276" i="1" s="1"/>
  <c r="G276" i="1" s="1"/>
  <c r="H140" i="3" l="1"/>
  <c r="M140" i="3" s="1"/>
  <c r="J276" i="1"/>
  <c r="F277" i="1" s="1"/>
  <c r="G277" i="1" s="1"/>
  <c r="K140" i="3" l="1"/>
  <c r="L140" i="3"/>
  <c r="C141" i="3" s="1"/>
  <c r="J141" i="3" s="1"/>
  <c r="N141" i="3" s="1"/>
  <c r="E141" i="3"/>
  <c r="J277" i="1"/>
  <c r="F278" i="1" s="1"/>
  <c r="G278" i="1" s="1"/>
  <c r="H141" i="3" l="1"/>
  <c r="M141" i="3" s="1"/>
  <c r="J278" i="1"/>
  <c r="F279" i="1" s="1"/>
  <c r="G279" i="1" s="1"/>
  <c r="K141" i="3" l="1"/>
  <c r="L141" i="3"/>
  <c r="C142" i="3" s="1"/>
  <c r="J142" i="3" s="1"/>
  <c r="E142" i="3"/>
  <c r="I142" i="3" s="1"/>
  <c r="J279" i="1"/>
  <c r="F280" i="1" s="1"/>
  <c r="G280" i="1" s="1"/>
  <c r="H142" i="3" l="1"/>
  <c r="M142" i="3" s="1"/>
  <c r="J280" i="1"/>
  <c r="F281" i="1" s="1"/>
  <c r="G281" i="1" s="1"/>
  <c r="K142" i="3" l="1"/>
  <c r="N142" i="3" s="1"/>
  <c r="E143" i="3"/>
  <c r="J281" i="1"/>
  <c r="F282" i="1" s="1"/>
  <c r="G282" i="1" s="1"/>
  <c r="L142" i="3" l="1"/>
  <c r="C143" i="3" s="1"/>
  <c r="J143" i="3" s="1"/>
  <c r="N143" i="3" s="1"/>
  <c r="H143" i="3"/>
  <c r="M143" i="3" s="1"/>
  <c r="J282" i="1"/>
  <c r="F283" i="1" s="1"/>
  <c r="G283" i="1" s="1"/>
  <c r="K143" i="3" l="1"/>
  <c r="L143" i="3"/>
  <c r="C144" i="3" s="1"/>
  <c r="J144" i="3" s="1"/>
  <c r="N144" i="3" s="1"/>
  <c r="E144" i="3"/>
  <c r="J283" i="1"/>
  <c r="F284" i="1" s="1"/>
  <c r="G284" i="1" s="1"/>
  <c r="H144" i="3" l="1"/>
  <c r="M144" i="3" s="1"/>
  <c r="J284" i="1"/>
  <c r="F285" i="1" s="1"/>
  <c r="G285" i="1" s="1"/>
  <c r="K144" i="3" l="1"/>
  <c r="L144" i="3"/>
  <c r="C145" i="3" s="1"/>
  <c r="J145" i="3" s="1"/>
  <c r="N145" i="3" s="1"/>
  <c r="E145" i="3"/>
  <c r="J285" i="1"/>
  <c r="F286" i="1" s="1"/>
  <c r="G286" i="1" s="1"/>
  <c r="H145" i="3" l="1"/>
  <c r="M145" i="3" s="1"/>
  <c r="J286" i="1"/>
  <c r="F287" i="1" s="1"/>
  <c r="G287" i="1" s="1"/>
  <c r="K145" i="3" l="1"/>
  <c r="L145" i="3"/>
  <c r="C146" i="3" s="1"/>
  <c r="J146" i="3" s="1"/>
  <c r="N146" i="3" s="1"/>
  <c r="E146" i="3"/>
  <c r="J287" i="1"/>
  <c r="F288" i="1" s="1"/>
  <c r="G288" i="1" s="1"/>
  <c r="H146" i="3" l="1"/>
  <c r="M146" i="3" s="1"/>
  <c r="J288" i="1"/>
  <c r="F289" i="1" s="1"/>
  <c r="G289" i="1" s="1"/>
  <c r="K146" i="3" l="1"/>
  <c r="L146" i="3"/>
  <c r="C147" i="3" s="1"/>
  <c r="J147" i="3" s="1"/>
  <c r="N147" i="3" s="1"/>
  <c r="E147" i="3"/>
  <c r="J289" i="1"/>
  <c r="F290" i="1" s="1"/>
  <c r="G290" i="1" s="1"/>
  <c r="H147" i="3" l="1"/>
  <c r="M147" i="3" s="1"/>
  <c r="J290" i="1"/>
  <c r="F291" i="1" s="1"/>
  <c r="G291" i="1" s="1"/>
  <c r="K147" i="3" l="1"/>
  <c r="L147" i="3"/>
  <c r="C148" i="3" s="1"/>
  <c r="J148" i="3" s="1"/>
  <c r="N148" i="3" s="1"/>
  <c r="E148" i="3"/>
  <c r="J291" i="1"/>
  <c r="F292" i="1" s="1"/>
  <c r="G292" i="1" s="1"/>
  <c r="H148" i="3" l="1"/>
  <c r="M148" i="3" s="1"/>
  <c r="J292" i="1"/>
  <c r="F293" i="1" s="1"/>
  <c r="G293" i="1" s="1"/>
  <c r="K148" i="3" l="1"/>
  <c r="L148" i="3"/>
  <c r="C149" i="3" s="1"/>
  <c r="J149" i="3" s="1"/>
  <c r="E149" i="3"/>
  <c r="I149" i="3" s="1"/>
  <c r="J293" i="1"/>
  <c r="F294" i="1" s="1"/>
  <c r="G294" i="1" s="1"/>
  <c r="H149" i="3" l="1"/>
  <c r="M149" i="3" s="1"/>
  <c r="J294" i="1"/>
  <c r="F295" i="1" s="1"/>
  <c r="G295" i="1" s="1"/>
  <c r="K149" i="3" l="1"/>
  <c r="N149" i="3" s="1"/>
  <c r="E150" i="3"/>
  <c r="J295" i="1"/>
  <c r="F296" i="1" s="1"/>
  <c r="G296" i="1" s="1"/>
  <c r="L149" i="3" l="1"/>
  <c r="C150" i="3" s="1"/>
  <c r="J150" i="3" s="1"/>
  <c r="N150" i="3" s="1"/>
  <c r="H150" i="3"/>
  <c r="M150" i="3" s="1"/>
  <c r="J296" i="1"/>
  <c r="F297" i="1" s="1"/>
  <c r="G297" i="1" s="1"/>
  <c r="K150" i="3" l="1"/>
  <c r="L150" i="3"/>
  <c r="C151" i="3" s="1"/>
  <c r="J151" i="3" s="1"/>
  <c r="N151" i="3" s="1"/>
  <c r="E151" i="3"/>
  <c r="J297" i="1"/>
  <c r="F298" i="1" s="1"/>
  <c r="G298" i="1" s="1"/>
  <c r="H151" i="3" l="1"/>
  <c r="M151" i="3" s="1"/>
  <c r="J298" i="1"/>
  <c r="F299" i="1" s="1"/>
  <c r="G299" i="1" s="1"/>
  <c r="K151" i="3" l="1"/>
  <c r="L151" i="3"/>
  <c r="C152" i="3" s="1"/>
  <c r="J152" i="3" s="1"/>
  <c r="N152" i="3" s="1"/>
  <c r="E152" i="3"/>
  <c r="J299" i="1"/>
  <c r="F300" i="1" s="1"/>
  <c r="G300" i="1" s="1"/>
  <c r="H152" i="3" l="1"/>
  <c r="M152" i="3" s="1"/>
  <c r="J300" i="1"/>
  <c r="F301" i="1" s="1"/>
  <c r="G301" i="1" s="1"/>
  <c r="K152" i="3" l="1"/>
  <c r="L152" i="3"/>
  <c r="C153" i="3" s="1"/>
  <c r="J153" i="3" s="1"/>
  <c r="N153" i="3" s="1"/>
  <c r="E153" i="3"/>
  <c r="J301" i="1"/>
  <c r="F302" i="1" s="1"/>
  <c r="G302" i="1" s="1"/>
  <c r="H153" i="3" l="1"/>
  <c r="M153" i="3" s="1"/>
  <c r="J302" i="1"/>
  <c r="F303" i="1" s="1"/>
  <c r="G303" i="1" s="1"/>
  <c r="K153" i="3" l="1"/>
  <c r="L153" i="3"/>
  <c r="C154" i="3" s="1"/>
  <c r="J154" i="3" s="1"/>
  <c r="N154" i="3" s="1"/>
  <c r="E154" i="3"/>
  <c r="J303" i="1"/>
  <c r="F304" i="1" s="1"/>
  <c r="G304" i="1" s="1"/>
  <c r="H154" i="3" l="1"/>
  <c r="M154" i="3" s="1"/>
  <c r="J304" i="1"/>
  <c r="F305" i="1" s="1"/>
  <c r="G305" i="1" s="1"/>
  <c r="K154" i="3" l="1"/>
  <c r="L154" i="3"/>
  <c r="C155" i="3" s="1"/>
  <c r="J155" i="3" s="1"/>
  <c r="N155" i="3" s="1"/>
  <c r="E155" i="3"/>
  <c r="J305" i="1"/>
  <c r="F306" i="1" s="1"/>
  <c r="G306" i="1" s="1"/>
  <c r="H155" i="3" l="1"/>
  <c r="M155" i="3" s="1"/>
  <c r="J306" i="1"/>
  <c r="F307" i="1" s="1"/>
  <c r="G307" i="1" s="1"/>
  <c r="K155" i="3" l="1"/>
  <c r="E156" i="3" s="1"/>
  <c r="I156" i="3" s="1"/>
  <c r="L155" i="3"/>
  <c r="C156" i="3" s="1"/>
  <c r="J156" i="3" s="1"/>
  <c r="J307" i="1"/>
  <c r="F308" i="1" s="1"/>
  <c r="G308" i="1" s="1"/>
  <c r="H156" i="3" l="1"/>
  <c r="M156" i="3" s="1"/>
  <c r="J308" i="1"/>
  <c r="F309" i="1" s="1"/>
  <c r="G309" i="1" s="1"/>
  <c r="K156" i="3" l="1"/>
  <c r="N156" i="3" s="1"/>
  <c r="E157" i="3"/>
  <c r="J309" i="1"/>
  <c r="F310" i="1" s="1"/>
  <c r="G310" i="1" s="1"/>
  <c r="L156" i="3" l="1"/>
  <c r="C157" i="3" s="1"/>
  <c r="J157" i="3" s="1"/>
  <c r="N157" i="3" s="1"/>
  <c r="H157" i="3"/>
  <c r="M157" i="3" s="1"/>
  <c r="J310" i="1"/>
  <c r="F311" i="1" s="1"/>
  <c r="G311" i="1" s="1"/>
  <c r="K157" i="3" l="1"/>
  <c r="L157" i="3"/>
  <c r="C158" i="3" s="1"/>
  <c r="J158" i="3" s="1"/>
  <c r="N158" i="3" s="1"/>
  <c r="E158" i="3"/>
  <c r="J311" i="1"/>
  <c r="F312" i="1" s="1"/>
  <c r="G312" i="1" s="1"/>
  <c r="H158" i="3" l="1"/>
  <c r="M158" i="3" s="1"/>
  <c r="J312" i="1"/>
  <c r="F313" i="1" s="1"/>
  <c r="G313" i="1" s="1"/>
  <c r="K158" i="3" l="1"/>
  <c r="L158" i="3"/>
  <c r="C159" i="3" s="1"/>
  <c r="J159" i="3" s="1"/>
  <c r="N159" i="3" s="1"/>
  <c r="E159" i="3"/>
  <c r="J313" i="1"/>
  <c r="F314" i="1" s="1"/>
  <c r="G314" i="1" s="1"/>
  <c r="H159" i="3" l="1"/>
  <c r="M159" i="3" s="1"/>
  <c r="J314" i="1"/>
  <c r="F315" i="1" s="1"/>
  <c r="G315" i="1" s="1"/>
  <c r="K159" i="3" l="1"/>
  <c r="L159" i="3"/>
  <c r="C160" i="3" s="1"/>
  <c r="J160" i="3" s="1"/>
  <c r="N160" i="3" s="1"/>
  <c r="E160" i="3"/>
  <c r="J315" i="1"/>
  <c r="F316" i="1" s="1"/>
  <c r="G316" i="1" s="1"/>
  <c r="H160" i="3" l="1"/>
  <c r="M160" i="3" s="1"/>
  <c r="J316" i="1"/>
  <c r="F317" i="1" s="1"/>
  <c r="G317" i="1" s="1"/>
  <c r="K160" i="3" l="1"/>
  <c r="L160" i="3"/>
  <c r="C161" i="3" s="1"/>
  <c r="J161" i="3" s="1"/>
  <c r="N161" i="3" s="1"/>
  <c r="E161" i="3"/>
  <c r="J317" i="1"/>
  <c r="F318" i="1" s="1"/>
  <c r="G318" i="1" s="1"/>
  <c r="H161" i="3" l="1"/>
  <c r="M161" i="3" s="1"/>
  <c r="J318" i="1"/>
  <c r="F319" i="1" s="1"/>
  <c r="G319" i="1" s="1"/>
  <c r="K161" i="3" l="1"/>
  <c r="L161" i="3"/>
  <c r="C162" i="3" s="1"/>
  <c r="J162" i="3" s="1"/>
  <c r="N162" i="3" s="1"/>
  <c r="E162" i="3"/>
  <c r="J319" i="1"/>
  <c r="F320" i="1" s="1"/>
  <c r="G320" i="1" s="1"/>
  <c r="H162" i="3" l="1"/>
  <c r="M162" i="3" s="1"/>
  <c r="J320" i="1"/>
  <c r="F321" i="1" s="1"/>
  <c r="G321" i="1" s="1"/>
  <c r="K162" i="3" l="1"/>
  <c r="L162" i="3"/>
  <c r="C163" i="3" s="1"/>
  <c r="J163" i="3" s="1"/>
  <c r="E163" i="3"/>
  <c r="I163" i="3" s="1"/>
  <c r="J321" i="1"/>
  <c r="F322" i="1" s="1"/>
  <c r="G322" i="1" s="1"/>
  <c r="H163" i="3" l="1"/>
  <c r="M163" i="3" s="1"/>
  <c r="J322" i="1"/>
  <c r="F323" i="1" s="1"/>
  <c r="G323" i="1" s="1"/>
  <c r="K163" i="3" l="1"/>
  <c r="N163" i="3" s="1"/>
  <c r="J323" i="1"/>
  <c r="F324" i="1" s="1"/>
  <c r="G324" i="1" s="1"/>
  <c r="E164" i="3" l="1"/>
  <c r="L163" i="3"/>
  <c r="C164" i="3" s="1"/>
  <c r="J164" i="3" s="1"/>
  <c r="N164" i="3" s="1"/>
  <c r="H164" i="3"/>
  <c r="M164" i="3" s="1"/>
  <c r="J324" i="1"/>
  <c r="F325" i="1" s="1"/>
  <c r="G325" i="1" s="1"/>
  <c r="K164" i="3" l="1"/>
  <c r="L164" i="3"/>
  <c r="C165" i="3" s="1"/>
  <c r="J165" i="3" s="1"/>
  <c r="N165" i="3" s="1"/>
  <c r="E165" i="3"/>
  <c r="J325" i="1"/>
  <c r="F326" i="1" s="1"/>
  <c r="G326" i="1" s="1"/>
  <c r="H165" i="3" l="1"/>
  <c r="M165" i="3" s="1"/>
  <c r="J326" i="1"/>
  <c r="F327" i="1" s="1"/>
  <c r="G327" i="1" s="1"/>
  <c r="K165" i="3" l="1"/>
  <c r="L165" i="3"/>
  <c r="C166" i="3" s="1"/>
  <c r="J166" i="3" s="1"/>
  <c r="N166" i="3" s="1"/>
  <c r="E166" i="3"/>
  <c r="J327" i="1"/>
  <c r="F328" i="1" s="1"/>
  <c r="G328" i="1" s="1"/>
  <c r="H166" i="3" l="1"/>
  <c r="M166" i="3" s="1"/>
  <c r="J328" i="1"/>
  <c r="F329" i="1" s="1"/>
  <c r="G329" i="1" s="1"/>
  <c r="K166" i="3" l="1"/>
  <c r="L166" i="3"/>
  <c r="C167" i="3" s="1"/>
  <c r="J167" i="3" s="1"/>
  <c r="N167" i="3" s="1"/>
  <c r="E167" i="3"/>
  <c r="J329" i="1"/>
  <c r="F330" i="1" s="1"/>
  <c r="G330" i="1" s="1"/>
  <c r="H167" i="3" l="1"/>
  <c r="M167" i="3" s="1"/>
  <c r="J330" i="1"/>
  <c r="F331" i="1" s="1"/>
  <c r="G331" i="1" s="1"/>
  <c r="K167" i="3" l="1"/>
  <c r="E168" i="3" s="1"/>
  <c r="L167" i="3"/>
  <c r="C168" i="3" s="1"/>
  <c r="J168" i="3" s="1"/>
  <c r="N168" i="3" s="1"/>
  <c r="J331" i="1"/>
  <c r="F332" i="1" s="1"/>
  <c r="G332" i="1" s="1"/>
  <c r="H168" i="3" l="1"/>
  <c r="M168" i="3" s="1"/>
  <c r="J332" i="1"/>
  <c r="F333" i="1" s="1"/>
  <c r="G333" i="1" s="1"/>
  <c r="K168" i="3" l="1"/>
  <c r="L168" i="3"/>
  <c r="C169" i="3" s="1"/>
  <c r="J169" i="3" s="1"/>
  <c r="N169" i="3" s="1"/>
  <c r="E169" i="3"/>
  <c r="J333" i="1"/>
  <c r="F334" i="1" s="1"/>
  <c r="G334" i="1" s="1"/>
  <c r="H169" i="3" l="1"/>
  <c r="M169" i="3" s="1"/>
  <c r="J334" i="1"/>
  <c r="F335" i="1" s="1"/>
  <c r="G335" i="1" s="1"/>
  <c r="K169" i="3" l="1"/>
  <c r="L169" i="3"/>
  <c r="C170" i="3" s="1"/>
  <c r="J170" i="3" s="1"/>
  <c r="E170" i="3"/>
  <c r="I170" i="3" s="1"/>
  <c r="J335" i="1"/>
  <c r="F336" i="1" s="1"/>
  <c r="G336" i="1" s="1"/>
  <c r="H170" i="3" l="1"/>
  <c r="M170" i="3" s="1"/>
  <c r="J336" i="1"/>
  <c r="F337" i="1" s="1"/>
  <c r="G337" i="1" s="1"/>
  <c r="K170" i="3" l="1"/>
  <c r="N170" i="3" s="1"/>
  <c r="E171" i="3"/>
  <c r="J337" i="1"/>
  <c r="F338" i="1" s="1"/>
  <c r="G338" i="1" s="1"/>
  <c r="L170" i="3" l="1"/>
  <c r="C171" i="3" s="1"/>
  <c r="J171" i="3" s="1"/>
  <c r="N171" i="3" s="1"/>
  <c r="H171" i="3"/>
  <c r="M171" i="3" s="1"/>
  <c r="J338" i="1"/>
  <c r="F339" i="1" s="1"/>
  <c r="G339" i="1" s="1"/>
  <c r="K171" i="3" l="1"/>
  <c r="L171" i="3"/>
  <c r="C172" i="3" s="1"/>
  <c r="J172" i="3" s="1"/>
  <c r="N172" i="3" s="1"/>
  <c r="E172" i="3"/>
  <c r="J339" i="1"/>
  <c r="F340" i="1" s="1"/>
  <c r="G340" i="1" s="1"/>
  <c r="H172" i="3" l="1"/>
  <c r="M172" i="3" s="1"/>
  <c r="J340" i="1"/>
  <c r="F341" i="1" s="1"/>
  <c r="G341" i="1" s="1"/>
  <c r="K172" i="3" l="1"/>
  <c r="L172" i="3"/>
  <c r="C173" i="3" s="1"/>
  <c r="J173" i="3" s="1"/>
  <c r="N173" i="3" s="1"/>
  <c r="E173" i="3"/>
  <c r="J341" i="1"/>
  <c r="F342" i="1" s="1"/>
  <c r="G342" i="1" s="1"/>
  <c r="H173" i="3" l="1"/>
  <c r="M173" i="3" s="1"/>
  <c r="J342" i="1"/>
  <c r="F343" i="1" s="1"/>
  <c r="G343" i="1" s="1"/>
  <c r="K173" i="3" l="1"/>
  <c r="L173" i="3"/>
  <c r="C174" i="3" s="1"/>
  <c r="J174" i="3" s="1"/>
  <c r="N174" i="3" s="1"/>
  <c r="E174" i="3"/>
  <c r="J343" i="1"/>
  <c r="F344" i="1" s="1"/>
  <c r="G344" i="1" s="1"/>
  <c r="H174" i="3" l="1"/>
  <c r="M174" i="3" s="1"/>
  <c r="J344" i="1"/>
  <c r="F345" i="1" s="1"/>
  <c r="G345" i="1" s="1"/>
  <c r="K174" i="3" l="1"/>
  <c r="L174" i="3"/>
  <c r="C175" i="3" s="1"/>
  <c r="J175" i="3" s="1"/>
  <c r="N175" i="3" s="1"/>
  <c r="E175" i="3"/>
  <c r="J345" i="1"/>
  <c r="F346" i="1" s="1"/>
  <c r="G346" i="1" s="1"/>
  <c r="H175" i="3" l="1"/>
  <c r="M175" i="3" s="1"/>
  <c r="J346" i="1"/>
  <c r="F347" i="1" s="1"/>
  <c r="G347" i="1" s="1"/>
  <c r="K175" i="3" l="1"/>
  <c r="E176" i="3" s="1"/>
  <c r="L175" i="3"/>
  <c r="C176" i="3" s="1"/>
  <c r="J176" i="3" s="1"/>
  <c r="N176" i="3" s="1"/>
  <c r="H176" i="3"/>
  <c r="M176" i="3" s="1"/>
  <c r="J347" i="1"/>
  <c r="F348" i="1" s="1"/>
  <c r="G348" i="1" s="1"/>
  <c r="L176" i="3" l="1"/>
  <c r="C177" i="3" s="1"/>
  <c r="J177" i="3" s="1"/>
  <c r="J348" i="1"/>
  <c r="F349" i="1" s="1"/>
  <c r="G349" i="1" s="1"/>
  <c r="K176" i="3" l="1"/>
  <c r="E177" i="3" s="1"/>
  <c r="I177" i="3" s="1"/>
  <c r="H177" i="3"/>
  <c r="M177" i="3" s="1"/>
  <c r="J349" i="1"/>
  <c r="F350" i="1" s="1"/>
  <c r="G350" i="1" s="1"/>
  <c r="K177" i="3" l="1"/>
  <c r="N177" i="3" s="1"/>
  <c r="E178" i="3"/>
  <c r="J350" i="1"/>
  <c r="F351" i="1" s="1"/>
  <c r="G351" i="1" s="1"/>
  <c r="L177" i="3" l="1"/>
  <c r="C178" i="3" s="1"/>
  <c r="J178" i="3" s="1"/>
  <c r="N178" i="3" s="1"/>
  <c r="H178" i="3"/>
  <c r="M178" i="3" s="1"/>
  <c r="J351" i="1"/>
  <c r="F352" i="1" s="1"/>
  <c r="G352" i="1" s="1"/>
  <c r="K178" i="3" l="1"/>
  <c r="L178" i="3"/>
  <c r="C179" i="3" s="1"/>
  <c r="J179" i="3" s="1"/>
  <c r="N179" i="3" s="1"/>
  <c r="E179" i="3"/>
  <c r="J352" i="1"/>
  <c r="F353" i="1" s="1"/>
  <c r="G353" i="1" s="1"/>
  <c r="H179" i="3" l="1"/>
  <c r="M179" i="3" s="1"/>
  <c r="J353" i="1"/>
  <c r="F354" i="1" s="1"/>
  <c r="G354" i="1" s="1"/>
  <c r="K179" i="3" l="1"/>
  <c r="L179" i="3"/>
  <c r="C180" i="3" s="1"/>
  <c r="J180" i="3" s="1"/>
  <c r="N180" i="3" s="1"/>
  <c r="E180" i="3"/>
  <c r="J354" i="1"/>
  <c r="F355" i="1" s="1"/>
  <c r="G355" i="1" s="1"/>
  <c r="H180" i="3" l="1"/>
  <c r="M180" i="3" s="1"/>
  <c r="J355" i="1"/>
  <c r="F356" i="1" s="1"/>
  <c r="G356" i="1" s="1"/>
  <c r="K180" i="3" l="1"/>
  <c r="L180" i="3"/>
  <c r="C181" i="3" s="1"/>
  <c r="J181" i="3" s="1"/>
  <c r="N181" i="3" s="1"/>
  <c r="E181" i="3"/>
  <c r="J356" i="1"/>
  <c r="F357" i="1" s="1"/>
  <c r="G357" i="1" s="1"/>
  <c r="H181" i="3" l="1"/>
  <c r="M181" i="3" s="1"/>
  <c r="J357" i="1"/>
  <c r="F358" i="1" s="1"/>
  <c r="G358" i="1" s="1"/>
  <c r="K181" i="3" l="1"/>
  <c r="E182" i="3" s="1"/>
  <c r="L181" i="3"/>
  <c r="C182" i="3" s="1"/>
  <c r="J358" i="1"/>
  <c r="F359" i="1" s="1"/>
  <c r="G359" i="1" s="1"/>
  <c r="J182" i="3" l="1"/>
  <c r="N182" i="3" s="1"/>
  <c r="H182" i="3"/>
  <c r="M182" i="3" s="1"/>
  <c r="J359" i="1"/>
  <c r="F360" i="1" s="1"/>
  <c r="G360" i="1" s="1"/>
  <c r="L182" i="3" l="1"/>
  <c r="K182" i="3"/>
  <c r="C183" i="3"/>
  <c r="E183" i="3"/>
  <c r="J360" i="1"/>
  <c r="F361" i="1" s="1"/>
  <c r="G361" i="1" s="1"/>
  <c r="J183" i="3" l="1"/>
  <c r="N183" i="3" s="1"/>
  <c r="H183" i="3"/>
  <c r="M183" i="3" s="1"/>
  <c r="J361" i="1"/>
  <c r="F362" i="1" s="1"/>
  <c r="G362" i="1" s="1"/>
  <c r="L183" i="3" l="1"/>
  <c r="K183" i="3"/>
  <c r="C184" i="3"/>
  <c r="J184" i="3" s="1"/>
  <c r="E184" i="3"/>
  <c r="I184" i="3" s="1"/>
  <c r="J362" i="1"/>
  <c r="F363" i="1" s="1"/>
  <c r="G363" i="1" s="1"/>
  <c r="N184" i="3" l="1"/>
  <c r="H184" i="3"/>
  <c r="M184" i="3" s="1"/>
  <c r="J363" i="1"/>
  <c r="F364" i="1" s="1"/>
  <c r="G364" i="1" s="1"/>
  <c r="K184" i="3" l="1"/>
  <c r="E185" i="3"/>
  <c r="J364" i="1"/>
  <c r="F365" i="1" s="1"/>
  <c r="G365" i="1" s="1"/>
  <c r="L184" i="3" l="1"/>
  <c r="C185" i="3" s="1"/>
  <c r="J185" i="3" s="1"/>
  <c r="N185" i="3" s="1"/>
  <c r="H185" i="3"/>
  <c r="M185" i="3" s="1"/>
  <c r="J365" i="1"/>
  <c r="F366" i="1" s="1"/>
  <c r="G366" i="1" s="1"/>
  <c r="J366" i="1" s="1"/>
  <c r="K185" i="3" l="1"/>
  <c r="L185" i="3"/>
  <c r="C186" i="3" s="1"/>
  <c r="J186" i="3" s="1"/>
  <c r="N186" i="3" s="1"/>
  <c r="E186" i="3"/>
  <c r="F367" i="1"/>
  <c r="G367" i="1" s="1"/>
  <c r="H186" i="3" l="1"/>
  <c r="M186" i="3" s="1"/>
  <c r="J367" i="1"/>
  <c r="F368" i="1" s="1"/>
  <c r="G368" i="1" s="1"/>
  <c r="K186" i="3" l="1"/>
  <c r="L186" i="3"/>
  <c r="C187" i="3" s="1"/>
  <c r="J187" i="3" s="1"/>
  <c r="N187" i="3" s="1"/>
  <c r="E187" i="3"/>
  <c r="J368" i="1"/>
  <c r="F369" i="1" s="1"/>
  <c r="G369" i="1" s="1"/>
  <c r="H187" i="3" l="1"/>
  <c r="M187" i="3" s="1"/>
  <c r="J369" i="1"/>
  <c r="F370" i="1" s="1"/>
  <c r="G370" i="1" s="1"/>
  <c r="K187" i="3" l="1"/>
  <c r="L187" i="3"/>
  <c r="C188" i="3" s="1"/>
  <c r="J188" i="3" s="1"/>
  <c r="N188" i="3" s="1"/>
  <c r="E188" i="3"/>
  <c r="J370" i="1"/>
  <c r="F371" i="1" s="1"/>
  <c r="G371" i="1" s="1"/>
  <c r="H188" i="3" l="1"/>
  <c r="M188" i="3" s="1"/>
  <c r="J371" i="1"/>
  <c r="F372" i="1" s="1"/>
  <c r="G372" i="1" s="1"/>
  <c r="K188" i="3" l="1"/>
  <c r="L188" i="3"/>
  <c r="C189" i="3" s="1"/>
  <c r="J189" i="3" s="1"/>
  <c r="N189" i="3" s="1"/>
  <c r="E189" i="3"/>
  <c r="J372" i="1"/>
  <c r="F373" i="1" s="1"/>
  <c r="G373" i="1" s="1"/>
  <c r="H189" i="3" l="1"/>
  <c r="M189" i="3" s="1"/>
  <c r="J373" i="1"/>
  <c r="F374" i="1" s="1"/>
  <c r="G374" i="1" s="1"/>
  <c r="K189" i="3" l="1"/>
  <c r="L189" i="3"/>
  <c r="C190" i="3" s="1"/>
  <c r="J190" i="3" s="1"/>
  <c r="N190" i="3" s="1"/>
  <c r="E190" i="3"/>
  <c r="J374" i="1"/>
  <c r="F375" i="1" s="1"/>
  <c r="G375" i="1" s="1"/>
  <c r="H190" i="3" l="1"/>
  <c r="M190" i="3" s="1"/>
  <c r="J375" i="1"/>
  <c r="F376" i="1" s="1"/>
  <c r="G376" i="1" s="1"/>
  <c r="K190" i="3" l="1"/>
  <c r="L190" i="3"/>
  <c r="C191" i="3" s="1"/>
  <c r="J191" i="3" s="1"/>
  <c r="E191" i="3"/>
  <c r="I191" i="3" s="1"/>
  <c r="J376" i="1"/>
  <c r="F377" i="1" s="1"/>
  <c r="G377" i="1" s="1"/>
  <c r="H191" i="3" l="1"/>
  <c r="M191" i="3" s="1"/>
  <c r="J377" i="1"/>
  <c r="F378" i="1" s="1"/>
  <c r="G378" i="1" s="1"/>
  <c r="K191" i="3" l="1"/>
  <c r="N191" i="3" s="1"/>
  <c r="E192" i="3"/>
  <c r="J378" i="1"/>
  <c r="F379" i="1" s="1"/>
  <c r="G379" i="1" s="1"/>
  <c r="L191" i="3" l="1"/>
  <c r="C192" i="3" s="1"/>
  <c r="J192" i="3" s="1"/>
  <c r="N192" i="3" s="1"/>
  <c r="H192" i="3"/>
  <c r="M192" i="3" s="1"/>
  <c r="J379" i="1"/>
  <c r="F380" i="1" s="1"/>
  <c r="G380" i="1" s="1"/>
  <c r="K192" i="3" l="1"/>
  <c r="L192" i="3"/>
  <c r="C193" i="3" s="1"/>
  <c r="J193" i="3" s="1"/>
  <c r="N193" i="3" s="1"/>
  <c r="E193" i="3"/>
  <c r="J380" i="1"/>
  <c r="F381" i="1" s="1"/>
  <c r="G381" i="1" s="1"/>
  <c r="H193" i="3" l="1"/>
  <c r="M193" i="3" s="1"/>
  <c r="J381" i="1"/>
  <c r="F382" i="1" s="1"/>
  <c r="G382" i="1" s="1"/>
  <c r="K193" i="3" l="1"/>
  <c r="L193" i="3"/>
  <c r="C194" i="3" s="1"/>
  <c r="J194" i="3" s="1"/>
  <c r="N194" i="3" s="1"/>
  <c r="E194" i="3"/>
  <c r="J382" i="1"/>
  <c r="F383" i="1" s="1"/>
  <c r="G383" i="1" s="1"/>
  <c r="H194" i="3" l="1"/>
  <c r="M194" i="3" s="1"/>
  <c r="J383" i="1"/>
  <c r="F384" i="1" s="1"/>
  <c r="G384" i="1" s="1"/>
  <c r="K194" i="3" l="1"/>
  <c r="L194" i="3"/>
  <c r="C195" i="3" s="1"/>
  <c r="J195" i="3" s="1"/>
  <c r="N195" i="3" s="1"/>
  <c r="E195" i="3"/>
  <c r="J384" i="1"/>
  <c r="F385" i="1" s="1"/>
  <c r="G385" i="1" s="1"/>
  <c r="H195" i="3" l="1"/>
  <c r="M195" i="3" s="1"/>
  <c r="J385" i="1"/>
  <c r="F386" i="1" s="1"/>
  <c r="G386" i="1" s="1"/>
  <c r="K195" i="3" l="1"/>
  <c r="L195" i="3"/>
  <c r="C196" i="3" s="1"/>
  <c r="J196" i="3" s="1"/>
  <c r="N196" i="3" s="1"/>
  <c r="E196" i="3"/>
  <c r="J386" i="1"/>
  <c r="F387" i="1" s="1"/>
  <c r="G387" i="1" s="1"/>
  <c r="H196" i="3" l="1"/>
  <c r="M196" i="3" s="1"/>
  <c r="J387" i="1"/>
  <c r="F388" i="1" s="1"/>
  <c r="G388" i="1" s="1"/>
  <c r="K196" i="3" l="1"/>
  <c r="L196" i="3"/>
  <c r="C197" i="3" s="1"/>
  <c r="J197" i="3" s="1"/>
  <c r="N197" i="3" s="1"/>
  <c r="E197" i="3"/>
  <c r="J388" i="1"/>
  <c r="F389" i="1" s="1"/>
  <c r="G389" i="1" s="1"/>
  <c r="H197" i="3" l="1"/>
  <c r="M197" i="3" s="1"/>
  <c r="J389" i="1"/>
  <c r="F390" i="1" s="1"/>
  <c r="G390" i="1" s="1"/>
  <c r="K197" i="3" l="1"/>
  <c r="L197" i="3"/>
  <c r="C198" i="3" s="1"/>
  <c r="J198" i="3" s="1"/>
  <c r="E198" i="3"/>
  <c r="I198" i="3" s="1"/>
  <c r="J390" i="1"/>
  <c r="F391" i="1" s="1"/>
  <c r="G391" i="1" s="1"/>
  <c r="H198" i="3" l="1"/>
  <c r="M198" i="3" s="1"/>
  <c r="J391" i="1"/>
  <c r="F392" i="1" s="1"/>
  <c r="G392" i="1" s="1"/>
  <c r="K198" i="3" l="1"/>
  <c r="N198" i="3" s="1"/>
  <c r="E199" i="3"/>
  <c r="J392" i="1"/>
  <c r="F393" i="1" s="1"/>
  <c r="G393" i="1" s="1"/>
  <c r="L198" i="3" l="1"/>
  <c r="C199" i="3" s="1"/>
  <c r="J199" i="3" s="1"/>
  <c r="N199" i="3" s="1"/>
  <c r="H199" i="3"/>
  <c r="M199" i="3" s="1"/>
  <c r="J393" i="1"/>
  <c r="F394" i="1" s="1"/>
  <c r="G394" i="1" s="1"/>
  <c r="K199" i="3" l="1"/>
  <c r="L199" i="3"/>
  <c r="C200" i="3" s="1"/>
  <c r="J200" i="3" s="1"/>
  <c r="N200" i="3" s="1"/>
  <c r="E200" i="3"/>
  <c r="J394" i="1"/>
  <c r="F395" i="1" s="1"/>
  <c r="G395" i="1" s="1"/>
  <c r="H200" i="3" l="1"/>
  <c r="M200" i="3" s="1"/>
  <c r="J395" i="1"/>
  <c r="F396" i="1" s="1"/>
  <c r="G396" i="1" s="1"/>
  <c r="K200" i="3" l="1"/>
  <c r="L200" i="3"/>
  <c r="C201" i="3" s="1"/>
  <c r="J201" i="3" s="1"/>
  <c r="N201" i="3" s="1"/>
  <c r="E201" i="3"/>
  <c r="J396" i="1"/>
  <c r="F397" i="1" s="1"/>
  <c r="G397" i="1" s="1"/>
  <c r="H201" i="3" l="1"/>
  <c r="M201" i="3" s="1"/>
  <c r="J397" i="1"/>
  <c r="F398" i="1" s="1"/>
  <c r="G398" i="1" s="1"/>
  <c r="K201" i="3" l="1"/>
  <c r="L201" i="3"/>
  <c r="C202" i="3" s="1"/>
  <c r="J202" i="3" s="1"/>
  <c r="N202" i="3" s="1"/>
  <c r="E202" i="3"/>
  <c r="J398" i="1"/>
  <c r="F399" i="1" s="1"/>
  <c r="G399" i="1" s="1"/>
  <c r="H202" i="3" l="1"/>
  <c r="M202" i="3" s="1"/>
  <c r="J399" i="1"/>
  <c r="F400" i="1" s="1"/>
  <c r="G400" i="1" s="1"/>
  <c r="K202" i="3" l="1"/>
  <c r="L202" i="3"/>
  <c r="C203" i="3" s="1"/>
  <c r="J203" i="3" s="1"/>
  <c r="N203" i="3" s="1"/>
  <c r="E203" i="3"/>
  <c r="J400" i="1"/>
  <c r="F401" i="1" s="1"/>
  <c r="G401" i="1" s="1"/>
  <c r="H203" i="3" l="1"/>
  <c r="M203" i="3" s="1"/>
  <c r="J401" i="1"/>
  <c r="F402" i="1" s="1"/>
  <c r="G402" i="1" s="1"/>
  <c r="K203" i="3" l="1"/>
  <c r="L203" i="3"/>
  <c r="C204" i="3" s="1"/>
  <c r="J204" i="3" s="1"/>
  <c r="N204" i="3" s="1"/>
  <c r="E204" i="3"/>
  <c r="J402" i="1"/>
  <c r="F403" i="1" s="1"/>
  <c r="G403" i="1" s="1"/>
  <c r="H204" i="3" l="1"/>
  <c r="M204" i="3" s="1"/>
  <c r="J403" i="1"/>
  <c r="F404" i="1" s="1"/>
  <c r="G404" i="1" s="1"/>
  <c r="K204" i="3" l="1"/>
  <c r="L204" i="3"/>
  <c r="C205" i="3" s="1"/>
  <c r="J205" i="3" s="1"/>
  <c r="E205" i="3"/>
  <c r="I205" i="3" s="1"/>
  <c r="J404" i="1"/>
  <c r="F405" i="1" s="1"/>
  <c r="G405" i="1" s="1"/>
  <c r="H205" i="3" l="1"/>
  <c r="M205" i="3" s="1"/>
  <c r="J405" i="1"/>
  <c r="F406" i="1" s="1"/>
  <c r="G406" i="1" s="1"/>
  <c r="K205" i="3" l="1"/>
  <c r="N205" i="3" s="1"/>
  <c r="E206" i="3"/>
  <c r="J406" i="1"/>
  <c r="F407" i="1" s="1"/>
  <c r="G407" i="1" s="1"/>
  <c r="L205" i="3" l="1"/>
  <c r="C206" i="3" s="1"/>
  <c r="J206" i="3" s="1"/>
  <c r="N206" i="3" s="1"/>
  <c r="H206" i="3"/>
  <c r="M206" i="3" s="1"/>
  <c r="J407" i="1"/>
  <c r="F408" i="1" s="1"/>
  <c r="G408" i="1" s="1"/>
  <c r="K206" i="3" l="1"/>
  <c r="L206" i="3"/>
  <c r="C207" i="3" s="1"/>
  <c r="J207" i="3" s="1"/>
  <c r="N207" i="3" s="1"/>
  <c r="E207" i="3"/>
  <c r="J408" i="1"/>
  <c r="F409" i="1" s="1"/>
  <c r="G409" i="1" s="1"/>
  <c r="H207" i="3" l="1"/>
  <c r="M207" i="3" s="1"/>
  <c r="J409" i="1"/>
  <c r="F410" i="1" s="1"/>
  <c r="G410" i="1" s="1"/>
  <c r="K207" i="3" l="1"/>
  <c r="L207" i="3"/>
  <c r="C208" i="3" s="1"/>
  <c r="J208" i="3" s="1"/>
  <c r="N208" i="3" s="1"/>
  <c r="E208" i="3"/>
  <c r="J410" i="1"/>
  <c r="F411" i="1" s="1"/>
  <c r="G411" i="1" s="1"/>
  <c r="H208" i="3" l="1"/>
  <c r="M208" i="3" s="1"/>
  <c r="J411" i="1"/>
  <c r="F412" i="1" s="1"/>
  <c r="G412" i="1" s="1"/>
  <c r="K208" i="3" l="1"/>
  <c r="L208" i="3"/>
  <c r="C209" i="3" s="1"/>
  <c r="J209" i="3" s="1"/>
  <c r="N209" i="3" s="1"/>
  <c r="E209" i="3"/>
  <c r="J412" i="1"/>
  <c r="F413" i="1" s="1"/>
  <c r="G413" i="1" s="1"/>
  <c r="H209" i="3" l="1"/>
  <c r="M209" i="3" s="1"/>
  <c r="J413" i="1"/>
  <c r="F414" i="1" s="1"/>
  <c r="G414" i="1" s="1"/>
  <c r="K209" i="3" l="1"/>
  <c r="E210" i="3" s="1"/>
  <c r="L209" i="3"/>
  <c r="C210" i="3" s="1"/>
  <c r="J210" i="3" s="1"/>
  <c r="N210" i="3" s="1"/>
  <c r="J414" i="1"/>
  <c r="F415" i="1" s="1"/>
  <c r="G415" i="1" s="1"/>
  <c r="H210" i="3" l="1"/>
  <c r="M210" i="3" s="1"/>
  <c r="J415" i="1"/>
  <c r="F416" i="1" s="1"/>
  <c r="G416" i="1" s="1"/>
  <c r="K210" i="3" l="1"/>
  <c r="L210" i="3"/>
  <c r="C211" i="3" s="1"/>
  <c r="J211" i="3" s="1"/>
  <c r="N211" i="3" s="1"/>
  <c r="E211" i="3"/>
  <c r="J416" i="1"/>
  <c r="F417" i="1" s="1"/>
  <c r="G417" i="1" s="1"/>
  <c r="H211" i="3" l="1"/>
  <c r="M211" i="3" s="1"/>
  <c r="J417" i="1"/>
  <c r="F418" i="1" s="1"/>
  <c r="G418" i="1" s="1"/>
  <c r="K211" i="3" l="1"/>
  <c r="E212" i="3" s="1"/>
  <c r="I212" i="3" s="1"/>
  <c r="L211" i="3"/>
  <c r="C212" i="3" s="1"/>
  <c r="J212" i="3" s="1"/>
  <c r="J418" i="1"/>
  <c r="F419" i="1" s="1"/>
  <c r="G419" i="1" s="1"/>
  <c r="H212" i="3" l="1"/>
  <c r="M212" i="3" s="1"/>
  <c r="J419" i="1"/>
  <c r="F420" i="1" s="1"/>
  <c r="G420" i="1" s="1"/>
  <c r="K212" i="3" l="1"/>
  <c r="N212" i="3" s="1"/>
  <c r="E213" i="3"/>
  <c r="J420" i="1"/>
  <c r="F421" i="1" s="1"/>
  <c r="G421" i="1" s="1"/>
  <c r="L212" i="3" l="1"/>
  <c r="C213" i="3" s="1"/>
  <c r="J213" i="3" s="1"/>
  <c r="N213" i="3" s="1"/>
  <c r="H213" i="3"/>
  <c r="M213" i="3" s="1"/>
  <c r="J421" i="1"/>
  <c r="F422" i="1" s="1"/>
  <c r="G422" i="1" s="1"/>
  <c r="K213" i="3" l="1"/>
  <c r="L213" i="3"/>
  <c r="C214" i="3" s="1"/>
  <c r="J214" i="3" s="1"/>
  <c r="N214" i="3" s="1"/>
  <c r="E214" i="3"/>
  <c r="J422" i="1"/>
  <c r="F423" i="1" s="1"/>
  <c r="G423" i="1" s="1"/>
  <c r="H214" i="3" l="1"/>
  <c r="M214" i="3" s="1"/>
  <c r="J423" i="1"/>
  <c r="F424" i="1" s="1"/>
  <c r="G424" i="1" s="1"/>
  <c r="K214" i="3" l="1"/>
  <c r="L214" i="3"/>
  <c r="C215" i="3" s="1"/>
  <c r="J215" i="3" s="1"/>
  <c r="N215" i="3" s="1"/>
  <c r="E215" i="3"/>
  <c r="J424" i="1"/>
  <c r="F425" i="1" s="1"/>
  <c r="G425" i="1" s="1"/>
  <c r="H215" i="3" l="1"/>
  <c r="M215" i="3" s="1"/>
  <c r="J425" i="1"/>
  <c r="F426" i="1" s="1"/>
  <c r="G426" i="1" s="1"/>
  <c r="K215" i="3" l="1"/>
  <c r="L215" i="3"/>
  <c r="C216" i="3" s="1"/>
  <c r="J216" i="3" s="1"/>
  <c r="N216" i="3" s="1"/>
  <c r="E216" i="3"/>
  <c r="J426" i="1"/>
  <c r="F427" i="1" s="1"/>
  <c r="G427" i="1" s="1"/>
  <c r="H216" i="3" l="1"/>
  <c r="M216" i="3" s="1"/>
  <c r="J427" i="1"/>
  <c r="F428" i="1" s="1"/>
  <c r="G428" i="1" s="1"/>
  <c r="K216" i="3" l="1"/>
  <c r="L216" i="3"/>
  <c r="C217" i="3" s="1"/>
  <c r="J217" i="3" s="1"/>
  <c r="N217" i="3" s="1"/>
  <c r="E217" i="3"/>
  <c r="J428" i="1"/>
  <c r="F429" i="1" s="1"/>
  <c r="G429" i="1" s="1"/>
  <c r="H217" i="3" l="1"/>
  <c r="M217" i="3" s="1"/>
  <c r="J429" i="1"/>
  <c r="F430" i="1" s="1"/>
  <c r="G430" i="1" s="1"/>
  <c r="K217" i="3" l="1"/>
  <c r="L217" i="3"/>
  <c r="C218" i="3" s="1"/>
  <c r="J218" i="3" s="1"/>
  <c r="N218" i="3" s="1"/>
  <c r="E218" i="3"/>
  <c r="J430" i="1"/>
  <c r="F431" i="1" s="1"/>
  <c r="G431" i="1" s="1"/>
  <c r="H218" i="3" l="1"/>
  <c r="M218" i="3" s="1"/>
  <c r="J431" i="1"/>
  <c r="F432" i="1" s="1"/>
  <c r="G432" i="1" s="1"/>
  <c r="K218" i="3" l="1"/>
  <c r="L218" i="3"/>
  <c r="C219" i="3" s="1"/>
  <c r="J219" i="3" s="1"/>
  <c r="E219" i="3"/>
  <c r="I219" i="3" s="1"/>
  <c r="J432" i="1"/>
  <c r="F433" i="1" s="1"/>
  <c r="G433" i="1" s="1"/>
  <c r="H219" i="3" l="1"/>
  <c r="M219" i="3" s="1"/>
  <c r="J433" i="1"/>
  <c r="F434" i="1" s="1"/>
  <c r="G434" i="1" s="1"/>
  <c r="K219" i="3" l="1"/>
  <c r="N219" i="3" s="1"/>
  <c r="E220" i="3"/>
  <c r="J434" i="1"/>
  <c r="F435" i="1" s="1"/>
  <c r="G435" i="1" s="1"/>
  <c r="L219" i="3" l="1"/>
  <c r="C220" i="3" s="1"/>
  <c r="J220" i="3" s="1"/>
  <c r="N220" i="3" s="1"/>
  <c r="H220" i="3"/>
  <c r="M220" i="3" s="1"/>
  <c r="J435" i="1"/>
  <c r="F436" i="1" s="1"/>
  <c r="G436" i="1" s="1"/>
  <c r="K220" i="3" l="1"/>
  <c r="L220" i="3"/>
  <c r="C221" i="3" s="1"/>
  <c r="J221" i="3" s="1"/>
  <c r="N221" i="3" s="1"/>
  <c r="E221" i="3"/>
  <c r="J436" i="1"/>
  <c r="F437" i="1" s="1"/>
  <c r="G437" i="1" s="1"/>
  <c r="H221" i="3" l="1"/>
  <c r="M221" i="3" s="1"/>
  <c r="J437" i="1"/>
  <c r="F438" i="1" s="1"/>
  <c r="G438" i="1" s="1"/>
  <c r="K221" i="3" l="1"/>
  <c r="L221" i="3"/>
  <c r="C222" i="3" s="1"/>
  <c r="J222" i="3" s="1"/>
  <c r="N222" i="3" s="1"/>
  <c r="E222" i="3"/>
  <c r="J438" i="1"/>
  <c r="F439" i="1" s="1"/>
  <c r="G439" i="1" s="1"/>
  <c r="H222" i="3" l="1"/>
  <c r="M222" i="3" s="1"/>
  <c r="J439" i="1"/>
  <c r="F440" i="1" s="1"/>
  <c r="G440" i="1" s="1"/>
  <c r="K222" i="3" l="1"/>
  <c r="L222" i="3"/>
  <c r="C223" i="3" s="1"/>
  <c r="J223" i="3" s="1"/>
  <c r="N223" i="3" s="1"/>
  <c r="E223" i="3"/>
  <c r="J440" i="1"/>
  <c r="F441" i="1" s="1"/>
  <c r="G441" i="1" s="1"/>
  <c r="H223" i="3" l="1"/>
  <c r="M223" i="3" s="1"/>
  <c r="J441" i="1"/>
  <c r="F442" i="1" s="1"/>
  <c r="G442" i="1" s="1"/>
  <c r="K223" i="3" l="1"/>
  <c r="L223" i="3"/>
  <c r="C224" i="3" s="1"/>
  <c r="J224" i="3" s="1"/>
  <c r="N224" i="3" s="1"/>
  <c r="E224" i="3"/>
  <c r="J442" i="1"/>
  <c r="F443" i="1" s="1"/>
  <c r="G443" i="1" s="1"/>
  <c r="H224" i="3" l="1"/>
  <c r="M224" i="3" s="1"/>
  <c r="J443" i="1"/>
  <c r="F444" i="1" s="1"/>
  <c r="G444" i="1" s="1"/>
  <c r="K224" i="3" l="1"/>
  <c r="L224" i="3"/>
  <c r="C225" i="3" s="1"/>
  <c r="J225" i="3" s="1"/>
  <c r="N225" i="3" s="1"/>
  <c r="E225" i="3"/>
  <c r="J444" i="1"/>
  <c r="F445" i="1" s="1"/>
  <c r="G445" i="1" s="1"/>
  <c r="H225" i="3" l="1"/>
  <c r="M225" i="3" s="1"/>
  <c r="J445" i="1"/>
  <c r="F446" i="1" s="1"/>
  <c r="G446" i="1" s="1"/>
  <c r="K225" i="3" l="1"/>
  <c r="L225" i="3"/>
  <c r="C226" i="3" s="1"/>
  <c r="J226" i="3" s="1"/>
  <c r="E226" i="3"/>
  <c r="I226" i="3" s="1"/>
  <c r="J446" i="1"/>
  <c r="F447" i="1" s="1"/>
  <c r="G447" i="1" s="1"/>
  <c r="H226" i="3" l="1"/>
  <c r="M226" i="3" s="1"/>
  <c r="J447" i="1"/>
  <c r="F448" i="1" s="1"/>
  <c r="G448" i="1" s="1"/>
  <c r="K226" i="3" l="1"/>
  <c r="J448" i="1"/>
  <c r="F449" i="1" s="1"/>
  <c r="G449" i="1" s="1"/>
  <c r="E227" i="3" l="1"/>
  <c r="N226" i="3"/>
  <c r="L226" i="3"/>
  <c r="C227" i="3" s="1"/>
  <c r="J227" i="3" s="1"/>
  <c r="N227" i="3" s="1"/>
  <c r="H227" i="3"/>
  <c r="M227" i="3" s="1"/>
  <c r="J449" i="1"/>
  <c r="F450" i="1" s="1"/>
  <c r="G450" i="1" s="1"/>
  <c r="K227" i="3" l="1"/>
  <c r="L227" i="3"/>
  <c r="C228" i="3" s="1"/>
  <c r="J228" i="3" s="1"/>
  <c r="N228" i="3" s="1"/>
  <c r="E228" i="3"/>
  <c r="J450" i="1"/>
  <c r="F451" i="1" s="1"/>
  <c r="G451" i="1" s="1"/>
  <c r="H228" i="3" l="1"/>
  <c r="M228" i="3" s="1"/>
  <c r="J451" i="1"/>
  <c r="F452" i="1" s="1"/>
  <c r="G452" i="1" s="1"/>
  <c r="K228" i="3" l="1"/>
  <c r="L228" i="3"/>
  <c r="C229" i="3" s="1"/>
  <c r="J229" i="3" s="1"/>
  <c r="N229" i="3" s="1"/>
  <c r="E229" i="3"/>
  <c r="J452" i="1"/>
  <c r="F453" i="1" s="1"/>
  <c r="G453" i="1" s="1"/>
  <c r="H229" i="3" l="1"/>
  <c r="M229" i="3" s="1"/>
  <c r="J453" i="1"/>
  <c r="F454" i="1" s="1"/>
  <c r="G454" i="1" s="1"/>
  <c r="K229" i="3" l="1"/>
  <c r="L229" i="3"/>
  <c r="C230" i="3" s="1"/>
  <c r="J230" i="3" s="1"/>
  <c r="N230" i="3" s="1"/>
  <c r="E230" i="3"/>
  <c r="J454" i="1"/>
  <c r="F455" i="1" s="1"/>
  <c r="G455" i="1" s="1"/>
  <c r="H230" i="3" l="1"/>
  <c r="M230" i="3" s="1"/>
  <c r="J455" i="1"/>
  <c r="F456" i="1" s="1"/>
  <c r="G456" i="1" s="1"/>
  <c r="K230" i="3" l="1"/>
  <c r="L230" i="3"/>
  <c r="C231" i="3" s="1"/>
  <c r="J231" i="3" s="1"/>
  <c r="N231" i="3" s="1"/>
  <c r="E231" i="3"/>
  <c r="J456" i="1"/>
  <c r="F457" i="1" s="1"/>
  <c r="G457" i="1" s="1"/>
  <c r="H231" i="3" l="1"/>
  <c r="M231" i="3" s="1"/>
  <c r="J457" i="1"/>
  <c r="F458" i="1" s="1"/>
  <c r="G458" i="1" s="1"/>
  <c r="K231" i="3" l="1"/>
  <c r="L231" i="3"/>
  <c r="C232" i="3" s="1"/>
  <c r="J232" i="3" s="1"/>
  <c r="N232" i="3" s="1"/>
  <c r="E232" i="3"/>
  <c r="J458" i="1"/>
  <c r="F459" i="1" s="1"/>
  <c r="G459" i="1" s="1"/>
  <c r="H232" i="3" l="1"/>
  <c r="M232" i="3" s="1"/>
  <c r="J459" i="1"/>
  <c r="F460" i="1" s="1"/>
  <c r="G460" i="1" s="1"/>
  <c r="K232" i="3" l="1"/>
  <c r="L232" i="3"/>
  <c r="C233" i="3" s="1"/>
  <c r="J233" i="3" s="1"/>
  <c r="E233" i="3"/>
  <c r="I233" i="3" s="1"/>
  <c r="J460" i="1"/>
  <c r="F461" i="1" s="1"/>
  <c r="G461" i="1" s="1"/>
  <c r="H233" i="3" l="1"/>
  <c r="M233" i="3" s="1"/>
  <c r="J461" i="1"/>
  <c r="F462" i="1" s="1"/>
  <c r="G462" i="1" s="1"/>
  <c r="K233" i="3" l="1"/>
  <c r="N233" i="3" s="1"/>
  <c r="E234" i="3"/>
  <c r="J462" i="1"/>
  <c r="F463" i="1" s="1"/>
  <c r="G463" i="1" s="1"/>
  <c r="L233" i="3" l="1"/>
  <c r="C234" i="3" s="1"/>
  <c r="J234" i="3" s="1"/>
  <c r="N234" i="3" s="1"/>
  <c r="H234" i="3"/>
  <c r="M234" i="3" s="1"/>
  <c r="J463" i="1"/>
  <c r="F464" i="1" s="1"/>
  <c r="G464" i="1" s="1"/>
  <c r="K234" i="3" l="1"/>
  <c r="L234" i="3"/>
  <c r="C235" i="3" s="1"/>
  <c r="J235" i="3" s="1"/>
  <c r="N235" i="3" s="1"/>
  <c r="E235" i="3"/>
  <c r="J464" i="1"/>
  <c r="F465" i="1" s="1"/>
  <c r="G465" i="1" s="1"/>
  <c r="H235" i="3" l="1"/>
  <c r="M235" i="3" s="1"/>
  <c r="J465" i="1"/>
  <c r="F466" i="1" s="1"/>
  <c r="G466" i="1" s="1"/>
  <c r="K235" i="3" l="1"/>
  <c r="L235" i="3"/>
  <c r="C236" i="3" s="1"/>
  <c r="J236" i="3" s="1"/>
  <c r="N236" i="3" s="1"/>
  <c r="E236" i="3"/>
  <c r="J466" i="1"/>
  <c r="F467" i="1" s="1"/>
  <c r="G467" i="1" s="1"/>
  <c r="H236" i="3" l="1"/>
  <c r="M236" i="3" s="1"/>
  <c r="J467" i="1"/>
  <c r="F468" i="1" s="1"/>
  <c r="G468" i="1" s="1"/>
  <c r="K236" i="3" l="1"/>
  <c r="L236" i="3"/>
  <c r="C237" i="3" s="1"/>
  <c r="J237" i="3" s="1"/>
  <c r="N237" i="3" s="1"/>
  <c r="E237" i="3"/>
  <c r="J468" i="1"/>
  <c r="F469" i="1" s="1"/>
  <c r="G469" i="1" s="1"/>
  <c r="H237" i="3" l="1"/>
  <c r="M237" i="3" s="1"/>
  <c r="J469" i="1"/>
  <c r="F470" i="1" s="1"/>
  <c r="G470" i="1" s="1"/>
  <c r="K237" i="3" l="1"/>
  <c r="L237" i="3"/>
  <c r="C238" i="3" s="1"/>
  <c r="J238" i="3" s="1"/>
  <c r="N238" i="3" s="1"/>
  <c r="E238" i="3"/>
  <c r="J470" i="1"/>
  <c r="F471" i="1" s="1"/>
  <c r="G471" i="1" s="1"/>
  <c r="H238" i="3" l="1"/>
  <c r="M238" i="3" s="1"/>
  <c r="J471" i="1"/>
  <c r="F472" i="1" s="1"/>
  <c r="G472" i="1" s="1"/>
  <c r="K238" i="3" l="1"/>
  <c r="L238" i="3"/>
  <c r="C239" i="3" s="1"/>
  <c r="J239" i="3" s="1"/>
  <c r="N239" i="3" s="1"/>
  <c r="E239" i="3"/>
  <c r="J472" i="1"/>
  <c r="F473" i="1" s="1"/>
  <c r="G473" i="1" s="1"/>
  <c r="H239" i="3" l="1"/>
  <c r="M239" i="3" s="1"/>
  <c r="J473" i="1"/>
  <c r="F474" i="1" s="1"/>
  <c r="G474" i="1" s="1"/>
  <c r="K239" i="3" l="1"/>
  <c r="L239" i="3"/>
  <c r="C240" i="3" s="1"/>
  <c r="J240" i="3" s="1"/>
  <c r="E240" i="3"/>
  <c r="I240" i="3" s="1"/>
  <c r="J474" i="1"/>
  <c r="F475" i="1" s="1"/>
  <c r="G475" i="1" s="1"/>
  <c r="H240" i="3" l="1"/>
  <c r="M240" i="3" s="1"/>
  <c r="J475" i="1"/>
  <c r="F476" i="1" s="1"/>
  <c r="G476" i="1" s="1"/>
  <c r="K240" i="3" l="1"/>
  <c r="N240" i="3" s="1"/>
  <c r="E241" i="3"/>
  <c r="J476" i="1"/>
  <c r="F477" i="1" s="1"/>
  <c r="G477" i="1" s="1"/>
  <c r="L240" i="3" l="1"/>
  <c r="C241" i="3" s="1"/>
  <c r="J241" i="3" s="1"/>
  <c r="N241" i="3" s="1"/>
  <c r="H241" i="3"/>
  <c r="M241" i="3" s="1"/>
  <c r="J477" i="1"/>
  <c r="F478" i="1" s="1"/>
  <c r="G478" i="1" s="1"/>
  <c r="K241" i="3" l="1"/>
  <c r="L241" i="3"/>
  <c r="C242" i="3" s="1"/>
  <c r="J242" i="3" s="1"/>
  <c r="N242" i="3" s="1"/>
  <c r="E242" i="3"/>
  <c r="J478" i="1"/>
  <c r="F479" i="1" s="1"/>
  <c r="G479" i="1" s="1"/>
  <c r="H242" i="3" l="1"/>
  <c r="M242" i="3" s="1"/>
  <c r="J479" i="1"/>
  <c r="F480" i="1" s="1"/>
  <c r="G480" i="1" s="1"/>
  <c r="K242" i="3" l="1"/>
  <c r="L242" i="3"/>
  <c r="C243" i="3" s="1"/>
  <c r="J243" i="3" s="1"/>
  <c r="N243" i="3" s="1"/>
  <c r="E243" i="3"/>
  <c r="J480" i="1"/>
  <c r="F481" i="1" s="1"/>
  <c r="G481" i="1" s="1"/>
  <c r="H243" i="3" l="1"/>
  <c r="M243" i="3" s="1"/>
  <c r="J481" i="1"/>
  <c r="F482" i="1" s="1"/>
  <c r="G482" i="1" s="1"/>
  <c r="K243" i="3" l="1"/>
  <c r="L243" i="3"/>
  <c r="C244" i="3" s="1"/>
  <c r="J244" i="3" s="1"/>
  <c r="N244" i="3" s="1"/>
  <c r="E244" i="3"/>
  <c r="J482" i="1"/>
  <c r="F483" i="1" s="1"/>
  <c r="G483" i="1" s="1"/>
  <c r="H244" i="3" l="1"/>
  <c r="M244" i="3" s="1"/>
  <c r="J483" i="1"/>
  <c r="F484" i="1" s="1"/>
  <c r="G484" i="1" s="1"/>
  <c r="K244" i="3" l="1"/>
  <c r="L244" i="3"/>
  <c r="C245" i="3" s="1"/>
  <c r="J245" i="3" s="1"/>
  <c r="N245" i="3" s="1"/>
  <c r="E245" i="3"/>
  <c r="J484" i="1"/>
  <c r="F485" i="1" s="1"/>
  <c r="G485" i="1" s="1"/>
  <c r="H245" i="3" l="1"/>
  <c r="M245" i="3" s="1"/>
  <c r="J485" i="1"/>
  <c r="F486" i="1" s="1"/>
  <c r="G486" i="1" s="1"/>
  <c r="K245" i="3" l="1"/>
  <c r="E246" i="3" s="1"/>
  <c r="L245" i="3"/>
  <c r="C246" i="3" s="1"/>
  <c r="J246" i="3" s="1"/>
  <c r="N246" i="3" s="1"/>
  <c r="J486" i="1"/>
  <c r="F487" i="1" s="1"/>
  <c r="G487" i="1" s="1"/>
  <c r="H246" i="3" l="1"/>
  <c r="M246" i="3" s="1"/>
  <c r="J487" i="1"/>
  <c r="F488" i="1" s="1"/>
  <c r="G488" i="1" s="1"/>
  <c r="K246" i="3" l="1"/>
  <c r="L246" i="3"/>
  <c r="C247" i="3" s="1"/>
  <c r="J247" i="3" s="1"/>
  <c r="E247" i="3"/>
  <c r="I247" i="3" s="1"/>
  <c r="J488" i="1"/>
  <c r="F489" i="1" s="1"/>
  <c r="G489" i="1" s="1"/>
  <c r="H247" i="3" l="1"/>
  <c r="M247" i="3" s="1"/>
  <c r="J489" i="1"/>
  <c r="F490" i="1" s="1"/>
  <c r="G490" i="1" s="1"/>
  <c r="K247" i="3" l="1"/>
  <c r="J490" i="1"/>
  <c r="F491" i="1" s="1"/>
  <c r="G491" i="1" s="1"/>
  <c r="E248" i="3" l="1"/>
  <c r="N247" i="3"/>
  <c r="L247" i="3"/>
  <c r="C248" i="3" s="1"/>
  <c r="J248" i="3" s="1"/>
  <c r="N248" i="3" s="1"/>
  <c r="H248" i="3"/>
  <c r="M248" i="3" s="1"/>
  <c r="J491" i="1"/>
  <c r="F492" i="1" s="1"/>
  <c r="G492" i="1" s="1"/>
  <c r="K248" i="3" l="1"/>
  <c r="L248" i="3"/>
  <c r="C249" i="3" s="1"/>
  <c r="J249" i="3" s="1"/>
  <c r="N249" i="3" s="1"/>
  <c r="E249" i="3"/>
  <c r="J492" i="1"/>
  <c r="F493" i="1" s="1"/>
  <c r="G493" i="1" s="1"/>
  <c r="H249" i="3" l="1"/>
  <c r="M249" i="3" s="1"/>
  <c r="J493" i="1"/>
  <c r="F494" i="1" s="1"/>
  <c r="G494" i="1" s="1"/>
  <c r="K249" i="3" l="1"/>
  <c r="L249" i="3"/>
  <c r="C250" i="3" s="1"/>
  <c r="J250" i="3" s="1"/>
  <c r="N250" i="3" s="1"/>
  <c r="E250" i="3"/>
  <c r="J494" i="1"/>
  <c r="F495" i="1" s="1"/>
  <c r="G495" i="1" s="1"/>
  <c r="H250" i="3" l="1"/>
  <c r="M250" i="3" s="1"/>
  <c r="J495" i="1"/>
  <c r="F496" i="1" s="1"/>
  <c r="G496" i="1" s="1"/>
  <c r="K250" i="3" l="1"/>
  <c r="L250" i="3"/>
  <c r="C251" i="3" s="1"/>
  <c r="J251" i="3" s="1"/>
  <c r="N251" i="3" s="1"/>
  <c r="E251" i="3"/>
  <c r="J496" i="1"/>
  <c r="F497" i="1" s="1"/>
  <c r="G497" i="1" s="1"/>
  <c r="H251" i="3" l="1"/>
  <c r="M251" i="3" s="1"/>
  <c r="J497" i="1"/>
  <c r="F498" i="1" s="1"/>
  <c r="G498" i="1" s="1"/>
  <c r="K251" i="3" l="1"/>
  <c r="L251" i="3"/>
  <c r="C252" i="3" s="1"/>
  <c r="J252" i="3" s="1"/>
  <c r="N252" i="3" s="1"/>
  <c r="E252" i="3"/>
  <c r="J498" i="1"/>
  <c r="F499" i="1" s="1"/>
  <c r="G499" i="1" s="1"/>
  <c r="H252" i="3" l="1"/>
  <c r="M252" i="3" s="1"/>
  <c r="J499" i="1"/>
  <c r="F500" i="1" s="1"/>
  <c r="G500" i="1" s="1"/>
  <c r="K252" i="3" l="1"/>
  <c r="L252" i="3"/>
  <c r="C253" i="3" s="1"/>
  <c r="J253" i="3" s="1"/>
  <c r="N253" i="3" s="1"/>
  <c r="E253" i="3"/>
  <c r="J500" i="1"/>
  <c r="F501" i="1" s="1"/>
  <c r="G501" i="1" s="1"/>
  <c r="H253" i="3" l="1"/>
  <c r="M253" i="3" s="1"/>
  <c r="J501" i="1"/>
  <c r="F502" i="1" s="1"/>
  <c r="G502" i="1" s="1"/>
  <c r="K253" i="3" l="1"/>
  <c r="L253" i="3"/>
  <c r="C254" i="3" s="1"/>
  <c r="J254" i="3" s="1"/>
  <c r="E254" i="3"/>
  <c r="I254" i="3" s="1"/>
  <c r="J502" i="1"/>
  <c r="F503" i="1" s="1"/>
  <c r="G503" i="1" s="1"/>
  <c r="H254" i="3" l="1"/>
  <c r="M254" i="3" s="1"/>
  <c r="J503" i="1"/>
  <c r="F504" i="1" s="1"/>
  <c r="G504" i="1" s="1"/>
  <c r="K254" i="3" l="1"/>
  <c r="N254" i="3" s="1"/>
  <c r="E255" i="3"/>
  <c r="J504" i="1"/>
  <c r="F505" i="1" s="1"/>
  <c r="G505" i="1" s="1"/>
  <c r="L254" i="3" l="1"/>
  <c r="C255" i="3" s="1"/>
  <c r="J255" i="3" s="1"/>
  <c r="N255" i="3" s="1"/>
  <c r="H255" i="3"/>
  <c r="M255" i="3" s="1"/>
  <c r="J505" i="1"/>
  <c r="F506" i="1" s="1"/>
  <c r="G506" i="1" s="1"/>
  <c r="K255" i="3" l="1"/>
  <c r="L255" i="3"/>
  <c r="C256" i="3" s="1"/>
  <c r="J256" i="3" s="1"/>
  <c r="N256" i="3" s="1"/>
  <c r="E256" i="3"/>
  <c r="J506" i="1"/>
  <c r="F507" i="1" s="1"/>
  <c r="G507" i="1" s="1"/>
  <c r="H256" i="3" l="1"/>
  <c r="M256" i="3" s="1"/>
  <c r="J507" i="1"/>
  <c r="F508" i="1" s="1"/>
  <c r="G508" i="1" s="1"/>
  <c r="K256" i="3" l="1"/>
  <c r="L256" i="3"/>
  <c r="C257" i="3" s="1"/>
  <c r="J257" i="3" s="1"/>
  <c r="N257" i="3" s="1"/>
  <c r="E257" i="3"/>
  <c r="J508" i="1"/>
  <c r="F509" i="1" s="1"/>
  <c r="G509" i="1" s="1"/>
  <c r="H257" i="3" l="1"/>
  <c r="M257" i="3" s="1"/>
  <c r="J509" i="1"/>
  <c r="F510" i="1" s="1"/>
  <c r="G510" i="1" s="1"/>
  <c r="K257" i="3" l="1"/>
  <c r="L257" i="3"/>
  <c r="C258" i="3" s="1"/>
  <c r="J258" i="3" s="1"/>
  <c r="N258" i="3" s="1"/>
  <c r="E258" i="3"/>
  <c r="J510" i="1"/>
  <c r="F511" i="1" s="1"/>
  <c r="G511" i="1" s="1"/>
  <c r="H258" i="3" l="1"/>
  <c r="M258" i="3" s="1"/>
  <c r="J511" i="1"/>
  <c r="F512" i="1" s="1"/>
  <c r="G512" i="1" s="1"/>
  <c r="K258" i="3" l="1"/>
  <c r="L258" i="3"/>
  <c r="C259" i="3" s="1"/>
  <c r="J259" i="3" s="1"/>
  <c r="N259" i="3" s="1"/>
  <c r="E259" i="3"/>
  <c r="J512" i="1"/>
  <c r="F513" i="1" s="1"/>
  <c r="G513" i="1" s="1"/>
  <c r="H259" i="3" l="1"/>
  <c r="M259" i="3" s="1"/>
  <c r="J513" i="1"/>
  <c r="F514" i="1" s="1"/>
  <c r="G514" i="1" s="1"/>
  <c r="K259" i="3" l="1"/>
  <c r="L259" i="3"/>
  <c r="C260" i="3" s="1"/>
  <c r="J260" i="3" s="1"/>
  <c r="N260" i="3" s="1"/>
  <c r="E260" i="3"/>
  <c r="J514" i="1"/>
  <c r="F515" i="1" s="1"/>
  <c r="G515" i="1" s="1"/>
  <c r="H260" i="3" l="1"/>
  <c r="M260" i="3" s="1"/>
  <c r="J515" i="1"/>
  <c r="F516" i="1" s="1"/>
  <c r="G516" i="1" s="1"/>
  <c r="K260" i="3" l="1"/>
  <c r="L260" i="3"/>
  <c r="C261" i="3" s="1"/>
  <c r="J261" i="3" s="1"/>
  <c r="E261" i="3"/>
  <c r="I261" i="3" s="1"/>
  <c r="J516" i="1"/>
  <c r="F517" i="1" s="1"/>
  <c r="G517" i="1" s="1"/>
  <c r="H261" i="3" l="1"/>
  <c r="M261" i="3" s="1"/>
  <c r="J517" i="1"/>
  <c r="F518" i="1" s="1"/>
  <c r="G518" i="1" s="1"/>
  <c r="K261" i="3" l="1"/>
  <c r="N261" i="3" s="1"/>
  <c r="E262" i="3"/>
  <c r="J518" i="1"/>
  <c r="F519" i="1" s="1"/>
  <c r="G519" i="1" s="1"/>
  <c r="L261" i="3" l="1"/>
  <c r="C262" i="3" s="1"/>
  <c r="J262" i="3" s="1"/>
  <c r="N262" i="3" s="1"/>
  <c r="H262" i="3"/>
  <c r="M262" i="3" s="1"/>
  <c r="J519" i="1"/>
  <c r="F520" i="1" s="1"/>
  <c r="G520" i="1" s="1"/>
  <c r="K262" i="3" l="1"/>
  <c r="L262" i="3"/>
  <c r="C263" i="3" s="1"/>
  <c r="J263" i="3" s="1"/>
  <c r="N263" i="3" s="1"/>
  <c r="E263" i="3"/>
  <c r="J520" i="1"/>
  <c r="F521" i="1" s="1"/>
  <c r="G521" i="1" s="1"/>
  <c r="H263" i="3" l="1"/>
  <c r="M263" i="3" s="1"/>
  <c r="J521" i="1"/>
  <c r="F522" i="1" s="1"/>
  <c r="G522" i="1" s="1"/>
  <c r="K263" i="3" l="1"/>
  <c r="L263" i="3"/>
  <c r="C264" i="3" s="1"/>
  <c r="J264" i="3" s="1"/>
  <c r="N264" i="3" s="1"/>
  <c r="E264" i="3"/>
  <c r="J522" i="1"/>
  <c r="F523" i="1" s="1"/>
  <c r="G523" i="1" s="1"/>
  <c r="H264" i="3" l="1"/>
  <c r="M264" i="3" s="1"/>
  <c r="J523" i="1"/>
  <c r="F524" i="1" s="1"/>
  <c r="G524" i="1" s="1"/>
  <c r="K264" i="3" l="1"/>
  <c r="L264" i="3"/>
  <c r="C265" i="3" s="1"/>
  <c r="J265" i="3" s="1"/>
  <c r="N265" i="3" s="1"/>
  <c r="E265" i="3"/>
  <c r="J524" i="1"/>
  <c r="F525" i="1" s="1"/>
  <c r="G525" i="1" s="1"/>
  <c r="H265" i="3" l="1"/>
  <c r="M265" i="3" s="1"/>
  <c r="J525" i="1"/>
  <c r="F526" i="1" s="1"/>
  <c r="G526" i="1" s="1"/>
  <c r="K265" i="3" l="1"/>
  <c r="L265" i="3"/>
  <c r="C266" i="3" s="1"/>
  <c r="J266" i="3" s="1"/>
  <c r="N266" i="3" s="1"/>
  <c r="E266" i="3"/>
  <c r="J526" i="1"/>
  <c r="F527" i="1" s="1"/>
  <c r="G527" i="1" s="1"/>
  <c r="H266" i="3" l="1"/>
  <c r="M266" i="3" s="1"/>
  <c r="J527" i="1"/>
  <c r="F528" i="1" s="1"/>
  <c r="G528" i="1" s="1"/>
  <c r="K266" i="3" l="1"/>
  <c r="L266" i="3"/>
  <c r="C267" i="3" s="1"/>
  <c r="J267" i="3" s="1"/>
  <c r="N267" i="3" s="1"/>
  <c r="E267" i="3"/>
  <c r="J528" i="1"/>
  <c r="F529" i="1" s="1"/>
  <c r="G529" i="1" s="1"/>
  <c r="H267" i="3" l="1"/>
  <c r="M267" i="3" s="1"/>
  <c r="J529" i="1"/>
  <c r="F530" i="1" s="1"/>
  <c r="G530" i="1" s="1"/>
  <c r="K267" i="3" l="1"/>
  <c r="E268" i="3" s="1"/>
  <c r="I268" i="3" s="1"/>
  <c r="L267" i="3"/>
  <c r="C268" i="3" s="1"/>
  <c r="J268" i="3" s="1"/>
  <c r="J530" i="1"/>
  <c r="F531" i="1" s="1"/>
  <c r="G531" i="1" s="1"/>
  <c r="H268" i="3" l="1"/>
  <c r="M268" i="3" s="1"/>
  <c r="J531" i="1"/>
  <c r="F532" i="1" s="1"/>
  <c r="G532" i="1" s="1"/>
  <c r="K268" i="3" l="1"/>
  <c r="N268" i="3" s="1"/>
  <c r="E269" i="3"/>
  <c r="J532" i="1"/>
  <c r="F533" i="1" s="1"/>
  <c r="G533" i="1" s="1"/>
  <c r="L268" i="3" l="1"/>
  <c r="C269" i="3" s="1"/>
  <c r="J269" i="3" s="1"/>
  <c r="N269" i="3" s="1"/>
  <c r="H269" i="3"/>
  <c r="M269" i="3" s="1"/>
  <c r="J533" i="1"/>
  <c r="F534" i="1" s="1"/>
  <c r="G534" i="1" s="1"/>
  <c r="K269" i="3" l="1"/>
  <c r="L269" i="3"/>
  <c r="C270" i="3" s="1"/>
  <c r="J270" i="3" s="1"/>
  <c r="N270" i="3" s="1"/>
  <c r="E270" i="3"/>
  <c r="J534" i="1"/>
  <c r="F535" i="1" s="1"/>
  <c r="G535" i="1" s="1"/>
  <c r="H270" i="3" l="1"/>
  <c r="M270" i="3" s="1"/>
  <c r="J535" i="1"/>
  <c r="F536" i="1" s="1"/>
  <c r="G536" i="1" s="1"/>
  <c r="K270" i="3" l="1"/>
  <c r="L270" i="3"/>
  <c r="C271" i="3" s="1"/>
  <c r="J271" i="3" s="1"/>
  <c r="N271" i="3" s="1"/>
  <c r="E271" i="3"/>
  <c r="J536" i="1"/>
  <c r="F537" i="1" s="1"/>
  <c r="G537" i="1" s="1"/>
  <c r="H271" i="3" l="1"/>
  <c r="M271" i="3" s="1"/>
  <c r="J537" i="1"/>
  <c r="F538" i="1" s="1"/>
  <c r="G538" i="1" s="1"/>
  <c r="K271" i="3" l="1"/>
  <c r="L271" i="3"/>
  <c r="C272" i="3" s="1"/>
  <c r="J272" i="3" s="1"/>
  <c r="N272" i="3" s="1"/>
  <c r="E272" i="3"/>
  <c r="J538" i="1"/>
  <c r="F539" i="1" s="1"/>
  <c r="G539" i="1" s="1"/>
  <c r="H272" i="3" l="1"/>
  <c r="M272" i="3" s="1"/>
  <c r="J539" i="1"/>
  <c r="F540" i="1" s="1"/>
  <c r="G540" i="1" s="1"/>
  <c r="K272" i="3" l="1"/>
  <c r="L272" i="3"/>
  <c r="C273" i="3" s="1"/>
  <c r="J273" i="3" s="1"/>
  <c r="N273" i="3" s="1"/>
  <c r="E273" i="3"/>
  <c r="J540" i="1"/>
  <c r="F541" i="1" s="1"/>
  <c r="G541" i="1" s="1"/>
  <c r="H273" i="3" l="1"/>
  <c r="M273" i="3" s="1"/>
  <c r="J541" i="1"/>
  <c r="F542" i="1" s="1"/>
  <c r="G542" i="1" s="1"/>
  <c r="K273" i="3" l="1"/>
  <c r="L273" i="3"/>
  <c r="E274" i="3"/>
  <c r="J542" i="1"/>
  <c r="F543" i="1" s="1"/>
  <c r="G543" i="1" s="1"/>
  <c r="C274" i="3" l="1"/>
  <c r="J274" i="3" s="1"/>
  <c r="N274" i="3" s="1"/>
  <c r="H274" i="3"/>
  <c r="M274" i="3" s="1"/>
  <c r="J543" i="1"/>
  <c r="F544" i="1" s="1"/>
  <c r="G544" i="1" s="1"/>
  <c r="K274" i="3" l="1"/>
  <c r="L274" i="3"/>
  <c r="C275" i="3" s="1"/>
  <c r="J275" i="3" s="1"/>
  <c r="E275" i="3"/>
  <c r="I275" i="3" s="1"/>
  <c r="J544" i="1"/>
  <c r="F545" i="1" s="1"/>
  <c r="G545" i="1" s="1"/>
  <c r="H275" i="3" l="1"/>
  <c r="M275" i="3" s="1"/>
  <c r="J545" i="1"/>
  <c r="F546" i="1" s="1"/>
  <c r="G546" i="1" s="1"/>
  <c r="K275" i="3" l="1"/>
  <c r="N275" i="3" s="1"/>
  <c r="E276" i="3"/>
  <c r="J546" i="1"/>
  <c r="F547" i="1" s="1"/>
  <c r="G547" i="1" s="1"/>
  <c r="L275" i="3" l="1"/>
  <c r="C276" i="3" s="1"/>
  <c r="J276" i="3" s="1"/>
  <c r="N276" i="3" s="1"/>
  <c r="H276" i="3"/>
  <c r="M276" i="3" s="1"/>
  <c r="J547" i="1"/>
  <c r="F548" i="1" s="1"/>
  <c r="G548" i="1" s="1"/>
  <c r="K276" i="3" l="1"/>
  <c r="L276" i="3"/>
  <c r="C277" i="3" s="1"/>
  <c r="J277" i="3" s="1"/>
  <c r="N277" i="3" s="1"/>
  <c r="E277" i="3"/>
  <c r="J548" i="1"/>
  <c r="F549" i="1" s="1"/>
  <c r="G549" i="1" s="1"/>
  <c r="H277" i="3" l="1"/>
  <c r="M277" i="3" s="1"/>
  <c r="J549" i="1"/>
  <c r="F550" i="1" s="1"/>
  <c r="G550" i="1" s="1"/>
  <c r="K277" i="3" l="1"/>
  <c r="L277" i="3"/>
  <c r="C278" i="3" s="1"/>
  <c r="J278" i="3" s="1"/>
  <c r="N278" i="3" s="1"/>
  <c r="E278" i="3"/>
  <c r="J550" i="1"/>
  <c r="F551" i="1" s="1"/>
  <c r="G551" i="1" s="1"/>
  <c r="H278" i="3" l="1"/>
  <c r="M278" i="3" s="1"/>
  <c r="J551" i="1"/>
  <c r="F552" i="1" s="1"/>
  <c r="G552" i="1" s="1"/>
  <c r="K278" i="3" l="1"/>
  <c r="L278" i="3"/>
  <c r="C279" i="3" s="1"/>
  <c r="J279" i="3" s="1"/>
  <c r="N279" i="3" s="1"/>
  <c r="E279" i="3"/>
  <c r="J552" i="1"/>
  <c r="F553" i="1" s="1"/>
  <c r="G553" i="1" s="1"/>
  <c r="H279" i="3" l="1"/>
  <c r="M279" i="3" s="1"/>
  <c r="J553" i="1"/>
  <c r="F554" i="1" s="1"/>
  <c r="G554" i="1" s="1"/>
  <c r="K279" i="3" l="1"/>
  <c r="L279" i="3"/>
  <c r="C280" i="3" s="1"/>
  <c r="J280" i="3" s="1"/>
  <c r="N280" i="3" s="1"/>
  <c r="E280" i="3"/>
  <c r="J554" i="1"/>
  <c r="F555" i="1" s="1"/>
  <c r="G555" i="1" s="1"/>
  <c r="H280" i="3" l="1"/>
  <c r="M280" i="3" s="1"/>
  <c r="J555" i="1"/>
  <c r="F556" i="1" s="1"/>
  <c r="G556" i="1" s="1"/>
  <c r="K280" i="3" l="1"/>
  <c r="E281" i="3" s="1"/>
  <c r="L280" i="3"/>
  <c r="C281" i="3" s="1"/>
  <c r="J281" i="3" s="1"/>
  <c r="N281" i="3" s="1"/>
  <c r="J556" i="1"/>
  <c r="F557" i="1" s="1"/>
  <c r="G557" i="1" s="1"/>
  <c r="H281" i="3" l="1"/>
  <c r="M281" i="3" s="1"/>
  <c r="J557" i="1"/>
  <c r="F558" i="1" s="1"/>
  <c r="G558" i="1" s="1"/>
  <c r="K281" i="3" l="1"/>
  <c r="L281" i="3"/>
  <c r="C282" i="3" s="1"/>
  <c r="J282" i="3" s="1"/>
  <c r="E282" i="3"/>
  <c r="I282" i="3" s="1"/>
  <c r="J558" i="1"/>
  <c r="F559" i="1" s="1"/>
  <c r="G559" i="1" s="1"/>
  <c r="H282" i="3" l="1"/>
  <c r="M282" i="3" s="1"/>
  <c r="J559" i="1"/>
  <c r="F560" i="1" s="1"/>
  <c r="G560" i="1" s="1"/>
  <c r="K282" i="3" l="1"/>
  <c r="N282" i="3" s="1"/>
  <c r="E283" i="3"/>
  <c r="J560" i="1"/>
  <c r="F561" i="1" s="1"/>
  <c r="G561" i="1" s="1"/>
  <c r="L282" i="3" l="1"/>
  <c r="C283" i="3" s="1"/>
  <c r="J283" i="3" s="1"/>
  <c r="N283" i="3" s="1"/>
  <c r="H283" i="3"/>
  <c r="M283" i="3" s="1"/>
  <c r="J561" i="1"/>
  <c r="F562" i="1" s="1"/>
  <c r="G562" i="1" s="1"/>
  <c r="K283" i="3" l="1"/>
  <c r="L283" i="3"/>
  <c r="C284" i="3" s="1"/>
  <c r="J284" i="3" s="1"/>
  <c r="N284" i="3" s="1"/>
  <c r="E284" i="3"/>
  <c r="J562" i="1"/>
  <c r="F563" i="1" s="1"/>
  <c r="G563" i="1" s="1"/>
  <c r="H284" i="3" l="1"/>
  <c r="M284" i="3" s="1"/>
  <c r="J563" i="1"/>
  <c r="F564" i="1" s="1"/>
  <c r="G564" i="1" s="1"/>
  <c r="K284" i="3" l="1"/>
  <c r="L284" i="3"/>
  <c r="C285" i="3" s="1"/>
  <c r="J285" i="3" s="1"/>
  <c r="N285" i="3" s="1"/>
  <c r="E285" i="3"/>
  <c r="J564" i="1"/>
  <c r="F565" i="1" s="1"/>
  <c r="G565" i="1" s="1"/>
  <c r="H285" i="3" l="1"/>
  <c r="M285" i="3" s="1"/>
  <c r="J565" i="1"/>
  <c r="F566" i="1" s="1"/>
  <c r="G566" i="1" s="1"/>
  <c r="K285" i="3" l="1"/>
  <c r="L285" i="3"/>
  <c r="C286" i="3" s="1"/>
  <c r="J286" i="3" s="1"/>
  <c r="N286" i="3" s="1"/>
  <c r="E286" i="3"/>
  <c r="J566" i="1"/>
  <c r="F567" i="1" s="1"/>
  <c r="G567" i="1" s="1"/>
  <c r="H286" i="3" l="1"/>
  <c r="M286" i="3" s="1"/>
  <c r="J567" i="1"/>
  <c r="F568" i="1" s="1"/>
  <c r="G568" i="1" s="1"/>
  <c r="K286" i="3" l="1"/>
  <c r="E287" i="3" s="1"/>
  <c r="L286" i="3"/>
  <c r="C287" i="3" s="1"/>
  <c r="J287" i="3" s="1"/>
  <c r="N287" i="3" s="1"/>
  <c r="J568" i="1"/>
  <c r="F569" i="1" s="1"/>
  <c r="G569" i="1" s="1"/>
  <c r="H287" i="3" l="1"/>
  <c r="M287" i="3" s="1"/>
  <c r="J569" i="1"/>
  <c r="F570" i="1" s="1"/>
  <c r="G570" i="1" s="1"/>
  <c r="K287" i="3" l="1"/>
  <c r="L287" i="3"/>
  <c r="C288" i="3" s="1"/>
  <c r="J288" i="3" s="1"/>
  <c r="N288" i="3" s="1"/>
  <c r="E288" i="3"/>
  <c r="J570" i="1"/>
  <c r="F571" i="1" s="1"/>
  <c r="G571" i="1" s="1"/>
  <c r="H288" i="3" l="1"/>
  <c r="M288" i="3" s="1"/>
  <c r="J571" i="1"/>
  <c r="F572" i="1" s="1"/>
  <c r="G572" i="1" s="1"/>
  <c r="K288" i="3" l="1"/>
  <c r="E289" i="3" s="1"/>
  <c r="I289" i="3" s="1"/>
  <c r="L288" i="3"/>
  <c r="C289" i="3" s="1"/>
  <c r="J289" i="3" s="1"/>
  <c r="J572" i="1"/>
  <c r="F573" i="1" s="1"/>
  <c r="G573" i="1" s="1"/>
  <c r="H289" i="3" l="1"/>
  <c r="M289" i="3" s="1"/>
  <c r="J573" i="1"/>
  <c r="F574" i="1" s="1"/>
  <c r="G574" i="1" s="1"/>
  <c r="K289" i="3" l="1"/>
  <c r="N289" i="3" s="1"/>
  <c r="E290" i="3"/>
  <c r="J574" i="1"/>
  <c r="F575" i="1" s="1"/>
  <c r="G575" i="1" s="1"/>
  <c r="L289" i="3" l="1"/>
  <c r="C290" i="3" s="1"/>
  <c r="J290" i="3" s="1"/>
  <c r="N290" i="3" s="1"/>
  <c r="H290" i="3"/>
  <c r="M290" i="3" s="1"/>
  <c r="J575" i="1"/>
  <c r="F576" i="1" s="1"/>
  <c r="G576" i="1" s="1"/>
  <c r="K290" i="3" l="1"/>
  <c r="L290" i="3"/>
  <c r="C291" i="3" s="1"/>
  <c r="J291" i="3" s="1"/>
  <c r="N291" i="3" s="1"/>
  <c r="E291" i="3"/>
  <c r="J576" i="1"/>
  <c r="F577" i="1" s="1"/>
  <c r="G577" i="1" s="1"/>
  <c r="H291" i="3" l="1"/>
  <c r="M291" i="3" s="1"/>
  <c r="J577" i="1"/>
  <c r="F578" i="1" s="1"/>
  <c r="G578" i="1" s="1"/>
  <c r="K291" i="3" l="1"/>
  <c r="L291" i="3"/>
  <c r="C292" i="3" s="1"/>
  <c r="J292" i="3" s="1"/>
  <c r="N292" i="3" s="1"/>
  <c r="E292" i="3"/>
  <c r="J578" i="1"/>
  <c r="F579" i="1" s="1"/>
  <c r="G579" i="1" s="1"/>
  <c r="H292" i="3" l="1"/>
  <c r="M292" i="3" s="1"/>
  <c r="J579" i="1"/>
  <c r="F580" i="1" s="1"/>
  <c r="G580" i="1" s="1"/>
  <c r="K292" i="3" l="1"/>
  <c r="L292" i="3"/>
  <c r="C293" i="3" s="1"/>
  <c r="J293" i="3" s="1"/>
  <c r="N293" i="3" s="1"/>
  <c r="E293" i="3"/>
  <c r="J580" i="1"/>
  <c r="F581" i="1" s="1"/>
  <c r="G581" i="1" s="1"/>
  <c r="H293" i="3" l="1"/>
  <c r="M293" i="3" s="1"/>
  <c r="J581" i="1"/>
  <c r="F582" i="1" s="1"/>
  <c r="G582" i="1" s="1"/>
  <c r="K293" i="3" l="1"/>
  <c r="L293" i="3"/>
  <c r="C294" i="3" s="1"/>
  <c r="J294" i="3" s="1"/>
  <c r="N294" i="3" s="1"/>
  <c r="E294" i="3"/>
  <c r="J582" i="1"/>
  <c r="F583" i="1" s="1"/>
  <c r="G583" i="1" s="1"/>
  <c r="H294" i="3" l="1"/>
  <c r="M294" i="3" s="1"/>
  <c r="J583" i="1"/>
  <c r="F584" i="1" s="1"/>
  <c r="G584" i="1" s="1"/>
  <c r="K294" i="3" l="1"/>
  <c r="L294" i="3"/>
  <c r="C295" i="3" s="1"/>
  <c r="J295" i="3" s="1"/>
  <c r="N295" i="3" s="1"/>
  <c r="E295" i="3"/>
  <c r="J584" i="1"/>
  <c r="F585" i="1" s="1"/>
  <c r="G585" i="1" s="1"/>
  <c r="H295" i="3" l="1"/>
  <c r="M295" i="3" s="1"/>
  <c r="J585" i="1"/>
  <c r="F586" i="1" s="1"/>
  <c r="G586" i="1" s="1"/>
  <c r="K295" i="3" l="1"/>
  <c r="E296" i="3" s="1"/>
  <c r="I296" i="3" s="1"/>
  <c r="L295" i="3"/>
  <c r="C296" i="3" s="1"/>
  <c r="J296" i="3" s="1"/>
  <c r="J586" i="1"/>
  <c r="F587" i="1" s="1"/>
  <c r="G587" i="1" s="1"/>
  <c r="H296" i="3" l="1"/>
  <c r="M296" i="3" s="1"/>
  <c r="J587" i="1"/>
  <c r="F588" i="1" s="1"/>
  <c r="G588" i="1" s="1"/>
  <c r="K296" i="3" l="1"/>
  <c r="J588" i="1"/>
  <c r="F589" i="1" s="1"/>
  <c r="G589" i="1" s="1"/>
  <c r="E297" i="3" l="1"/>
  <c r="N296" i="3"/>
  <c r="L296" i="3"/>
  <c r="C297" i="3" s="1"/>
  <c r="J297" i="3" s="1"/>
  <c r="N297" i="3" s="1"/>
  <c r="H297" i="3"/>
  <c r="M297" i="3" s="1"/>
  <c r="J589" i="1"/>
  <c r="F590" i="1" s="1"/>
  <c r="G590" i="1" s="1"/>
  <c r="K297" i="3" l="1"/>
  <c r="E298" i="3" s="1"/>
  <c r="L297" i="3"/>
  <c r="C298" i="3" s="1"/>
  <c r="J298" i="3" s="1"/>
  <c r="N298" i="3" s="1"/>
  <c r="J590" i="1"/>
  <c r="F591" i="1" s="1"/>
  <c r="G591" i="1" s="1"/>
  <c r="H298" i="3" l="1"/>
  <c r="M298" i="3" s="1"/>
  <c r="J591" i="1"/>
  <c r="F592" i="1" s="1"/>
  <c r="G592" i="1" s="1"/>
  <c r="K298" i="3" l="1"/>
  <c r="L298" i="3"/>
  <c r="C299" i="3" s="1"/>
  <c r="J299" i="3" s="1"/>
  <c r="N299" i="3" s="1"/>
  <c r="E299" i="3"/>
  <c r="J592" i="1"/>
  <c r="F593" i="1" s="1"/>
  <c r="G593" i="1" s="1"/>
  <c r="H299" i="3" l="1"/>
  <c r="M299" i="3" s="1"/>
  <c r="J593" i="1"/>
  <c r="F594" i="1" s="1"/>
  <c r="G594" i="1" s="1"/>
  <c r="K299" i="3" l="1"/>
  <c r="L299" i="3"/>
  <c r="C300" i="3" s="1"/>
  <c r="J300" i="3" s="1"/>
  <c r="N300" i="3" s="1"/>
  <c r="E300" i="3"/>
  <c r="J594" i="1"/>
  <c r="F595" i="1" s="1"/>
  <c r="G595" i="1" s="1"/>
  <c r="H300" i="3" l="1"/>
  <c r="M300" i="3" s="1"/>
  <c r="J595" i="1"/>
  <c r="F596" i="1" s="1"/>
  <c r="G596" i="1" s="1"/>
  <c r="K300" i="3" l="1"/>
  <c r="L300" i="3"/>
  <c r="C301" i="3" s="1"/>
  <c r="J301" i="3" s="1"/>
  <c r="N301" i="3" s="1"/>
  <c r="E301" i="3"/>
  <c r="J596" i="1"/>
  <c r="F597" i="1" s="1"/>
  <c r="G597" i="1" s="1"/>
  <c r="H301" i="3" l="1"/>
  <c r="M301" i="3" s="1"/>
  <c r="J597" i="1"/>
  <c r="F598" i="1" s="1"/>
  <c r="G598" i="1" s="1"/>
  <c r="K301" i="3" l="1"/>
  <c r="L301" i="3"/>
  <c r="C302" i="3" s="1"/>
  <c r="J302" i="3" s="1"/>
  <c r="N302" i="3" s="1"/>
  <c r="E302" i="3"/>
  <c r="J598" i="1"/>
  <c r="F599" i="1" s="1"/>
  <c r="G599" i="1" s="1"/>
  <c r="H302" i="3" l="1"/>
  <c r="M302" i="3" s="1"/>
  <c r="J599" i="1"/>
  <c r="F600" i="1" s="1"/>
  <c r="G600" i="1" s="1"/>
  <c r="K302" i="3" l="1"/>
  <c r="L302" i="3"/>
  <c r="C303" i="3" s="1"/>
  <c r="J303" i="3" s="1"/>
  <c r="E303" i="3"/>
  <c r="I303" i="3" s="1"/>
  <c r="J600" i="1"/>
  <c r="F601" i="1" s="1"/>
  <c r="G601" i="1" s="1"/>
  <c r="H303" i="3" l="1"/>
  <c r="M303" i="3" s="1"/>
  <c r="J601" i="1"/>
  <c r="F602" i="1" s="1"/>
  <c r="G602" i="1" s="1"/>
  <c r="K303" i="3" l="1"/>
  <c r="J602" i="1"/>
  <c r="F603" i="1" s="1"/>
  <c r="G603" i="1" s="1"/>
  <c r="E304" i="3" l="1"/>
  <c r="J603" i="1"/>
  <c r="F604" i="1" s="1"/>
  <c r="G604" i="1" s="1"/>
  <c r="L303" i="3" l="1"/>
  <c r="C304" i="3" s="1"/>
  <c r="J304" i="3" s="1"/>
  <c r="N304" i="3" s="1"/>
  <c r="N303" i="3"/>
  <c r="H304" i="3"/>
  <c r="J604" i="1"/>
  <c r="F605" i="1" s="1"/>
  <c r="G605" i="1" s="1"/>
  <c r="K304" i="3" l="1"/>
  <c r="E305" i="3" s="1"/>
  <c r="H305" i="3" s="1"/>
  <c r="M305" i="3" s="1"/>
  <c r="M304" i="3"/>
  <c r="L304" i="3"/>
  <c r="C305" i="3" s="1"/>
  <c r="J305" i="3" s="1"/>
  <c r="N305" i="3" s="1"/>
  <c r="J605" i="1"/>
  <c r="F606" i="1" s="1"/>
  <c r="G606" i="1" s="1"/>
  <c r="L305" i="3" l="1"/>
  <c r="C306" i="3" s="1"/>
  <c r="J306" i="3" s="1"/>
  <c r="N306" i="3" s="1"/>
  <c r="K305" i="3"/>
  <c r="E306" i="3" s="1"/>
  <c r="H306" i="3" s="1"/>
  <c r="M306" i="3" s="1"/>
  <c r="J606" i="1"/>
  <c r="F607" i="1" s="1"/>
  <c r="G607" i="1" s="1"/>
  <c r="K306" i="3" l="1"/>
  <c r="L306" i="3"/>
  <c r="C307" i="3" s="1"/>
  <c r="J307" i="3" s="1"/>
  <c r="N307" i="3" s="1"/>
  <c r="E307" i="3"/>
  <c r="J607" i="1"/>
  <c r="F608" i="1" s="1"/>
  <c r="G608" i="1" s="1"/>
  <c r="H307" i="3" l="1"/>
  <c r="M307" i="3" s="1"/>
  <c r="J608" i="1"/>
  <c r="F609" i="1" s="1"/>
  <c r="G609" i="1" s="1"/>
  <c r="K307" i="3" l="1"/>
  <c r="L307" i="3"/>
  <c r="C308" i="3" s="1"/>
  <c r="J308" i="3" s="1"/>
  <c r="N308" i="3" s="1"/>
  <c r="E308" i="3"/>
  <c r="J609" i="1"/>
  <c r="F610" i="1" s="1"/>
  <c r="G610" i="1" s="1"/>
  <c r="H308" i="3" l="1"/>
  <c r="M308" i="3" s="1"/>
  <c r="J610" i="1"/>
  <c r="F611" i="1" s="1"/>
  <c r="G611" i="1" s="1"/>
  <c r="K308" i="3" l="1"/>
  <c r="L308" i="3"/>
  <c r="C309" i="3" s="1"/>
  <c r="J309" i="3" s="1"/>
  <c r="N309" i="3" s="1"/>
  <c r="E309" i="3"/>
  <c r="J611" i="1"/>
  <c r="F612" i="1" s="1"/>
  <c r="G612" i="1" s="1"/>
  <c r="H309" i="3" l="1"/>
  <c r="M309" i="3" s="1"/>
  <c r="J612" i="1"/>
  <c r="F613" i="1" s="1"/>
  <c r="G613" i="1" s="1"/>
  <c r="K309" i="3" l="1"/>
  <c r="L309" i="3"/>
  <c r="C310" i="3" s="1"/>
  <c r="J310" i="3" s="1"/>
  <c r="E310" i="3"/>
  <c r="I310" i="3" s="1"/>
  <c r="J613" i="1"/>
  <c r="F614" i="1" s="1"/>
  <c r="G614" i="1" s="1"/>
  <c r="H310" i="3" l="1"/>
  <c r="M310" i="3" s="1"/>
  <c r="J614" i="1"/>
  <c r="F615" i="1" s="1"/>
  <c r="G615" i="1" s="1"/>
  <c r="K310" i="3" l="1"/>
  <c r="N310" i="3" s="1"/>
  <c r="E311" i="3"/>
  <c r="J615" i="1"/>
  <c r="F616" i="1" s="1"/>
  <c r="G616" i="1" s="1"/>
  <c r="L310" i="3" l="1"/>
  <c r="C311" i="3" s="1"/>
  <c r="J311" i="3" s="1"/>
  <c r="N311" i="3" s="1"/>
  <c r="H311" i="3"/>
  <c r="M311" i="3" s="1"/>
  <c r="J616" i="1"/>
  <c r="F617" i="1" s="1"/>
  <c r="G617" i="1" s="1"/>
  <c r="K311" i="3" l="1"/>
  <c r="L311" i="3"/>
  <c r="C312" i="3" s="1"/>
  <c r="J312" i="3" s="1"/>
  <c r="N312" i="3" s="1"/>
  <c r="E312" i="3"/>
  <c r="J617" i="1"/>
  <c r="F618" i="1" s="1"/>
  <c r="G618" i="1" s="1"/>
  <c r="H312" i="3" l="1"/>
  <c r="M312" i="3" s="1"/>
  <c r="J618" i="1"/>
  <c r="F619" i="1" s="1"/>
  <c r="G619" i="1" s="1"/>
  <c r="K312" i="3" l="1"/>
  <c r="L312" i="3"/>
  <c r="C313" i="3" s="1"/>
  <c r="J313" i="3" s="1"/>
  <c r="N313" i="3" s="1"/>
  <c r="E313" i="3"/>
  <c r="J619" i="1"/>
  <c r="F620" i="1" s="1"/>
  <c r="G620" i="1" s="1"/>
  <c r="H313" i="3" l="1"/>
  <c r="M313" i="3" s="1"/>
  <c r="J620" i="1"/>
  <c r="F621" i="1" s="1"/>
  <c r="G621" i="1" s="1"/>
  <c r="K313" i="3" l="1"/>
  <c r="L313" i="3"/>
  <c r="C314" i="3" s="1"/>
  <c r="J314" i="3" s="1"/>
  <c r="N314" i="3" s="1"/>
  <c r="E314" i="3"/>
  <c r="J621" i="1"/>
  <c r="F622" i="1" s="1"/>
  <c r="G622" i="1" s="1"/>
  <c r="H314" i="3" l="1"/>
  <c r="M314" i="3" s="1"/>
  <c r="J622" i="1"/>
  <c r="F623" i="1" s="1"/>
  <c r="G623" i="1" s="1"/>
  <c r="K314" i="3" l="1"/>
  <c r="L314" i="3"/>
  <c r="C315" i="3" s="1"/>
  <c r="J315" i="3" s="1"/>
  <c r="N315" i="3" s="1"/>
  <c r="E315" i="3"/>
  <c r="J623" i="1"/>
  <c r="F624" i="1" s="1"/>
  <c r="G624" i="1" s="1"/>
  <c r="H315" i="3" l="1"/>
  <c r="M315" i="3" s="1"/>
  <c r="J624" i="1"/>
  <c r="F625" i="1" s="1"/>
  <c r="G625" i="1" s="1"/>
  <c r="K315" i="3" l="1"/>
  <c r="L315" i="3"/>
  <c r="C316" i="3" s="1"/>
  <c r="J316" i="3" s="1"/>
  <c r="N316" i="3" s="1"/>
  <c r="E316" i="3"/>
  <c r="J625" i="1"/>
  <c r="F626" i="1" s="1"/>
  <c r="G626" i="1" s="1"/>
  <c r="H316" i="3" l="1"/>
  <c r="M316" i="3" s="1"/>
  <c r="J626" i="1"/>
  <c r="F627" i="1" s="1"/>
  <c r="G627" i="1" s="1"/>
  <c r="K316" i="3" l="1"/>
  <c r="L316" i="3"/>
  <c r="C317" i="3" s="1"/>
  <c r="J317" i="3" s="1"/>
  <c r="E317" i="3"/>
  <c r="I317" i="3" s="1"/>
  <c r="J627" i="1"/>
  <c r="F628" i="1" s="1"/>
  <c r="G628" i="1" s="1"/>
  <c r="H317" i="3" l="1"/>
  <c r="M317" i="3" s="1"/>
  <c r="J628" i="1"/>
  <c r="F629" i="1" s="1"/>
  <c r="G629" i="1" s="1"/>
  <c r="K317" i="3" l="1"/>
  <c r="N317" i="3" s="1"/>
  <c r="E318" i="3"/>
  <c r="J629" i="1"/>
  <c r="F630" i="1" s="1"/>
  <c r="G630" i="1" s="1"/>
  <c r="L317" i="3" l="1"/>
  <c r="C318" i="3" s="1"/>
  <c r="J318" i="3" s="1"/>
  <c r="N318" i="3" s="1"/>
  <c r="H318" i="3"/>
  <c r="M318" i="3" s="1"/>
  <c r="J630" i="1"/>
  <c r="F631" i="1" s="1"/>
  <c r="G631" i="1" s="1"/>
  <c r="K318" i="3" l="1"/>
  <c r="L318" i="3"/>
  <c r="C319" i="3" s="1"/>
  <c r="J319" i="3" s="1"/>
  <c r="N319" i="3" s="1"/>
  <c r="E319" i="3"/>
  <c r="J631" i="1"/>
  <c r="F632" i="1" s="1"/>
  <c r="G632" i="1" s="1"/>
  <c r="H319" i="3" l="1"/>
  <c r="M319" i="3" s="1"/>
  <c r="J632" i="1"/>
  <c r="F633" i="1" s="1"/>
  <c r="G633" i="1" s="1"/>
  <c r="K319" i="3" l="1"/>
  <c r="L319" i="3"/>
  <c r="C320" i="3" s="1"/>
  <c r="J320" i="3" s="1"/>
  <c r="N320" i="3" s="1"/>
  <c r="E320" i="3"/>
  <c r="J633" i="1"/>
  <c r="F634" i="1" s="1"/>
  <c r="G634" i="1" s="1"/>
  <c r="H320" i="3" l="1"/>
  <c r="M320" i="3" s="1"/>
  <c r="J634" i="1"/>
  <c r="F635" i="1" s="1"/>
  <c r="G635" i="1" s="1"/>
  <c r="K320" i="3" l="1"/>
  <c r="L320" i="3"/>
  <c r="C321" i="3" s="1"/>
  <c r="J321" i="3" s="1"/>
  <c r="N321" i="3" s="1"/>
  <c r="E321" i="3"/>
  <c r="J635" i="1"/>
  <c r="F636" i="1" s="1"/>
  <c r="G636" i="1" s="1"/>
  <c r="H321" i="3" l="1"/>
  <c r="M321" i="3" s="1"/>
  <c r="J636" i="1"/>
  <c r="F637" i="1" s="1"/>
  <c r="G637" i="1" s="1"/>
  <c r="K321" i="3" l="1"/>
  <c r="L321" i="3"/>
  <c r="C322" i="3" s="1"/>
  <c r="J322" i="3" s="1"/>
  <c r="N322" i="3" s="1"/>
  <c r="E322" i="3"/>
  <c r="J637" i="1"/>
  <c r="F638" i="1" s="1"/>
  <c r="G638" i="1" s="1"/>
  <c r="H322" i="3" l="1"/>
  <c r="M322" i="3" s="1"/>
  <c r="J638" i="1"/>
  <c r="F639" i="1" s="1"/>
  <c r="G639" i="1" s="1"/>
  <c r="K322" i="3" l="1"/>
  <c r="L322" i="3"/>
  <c r="C323" i="3" s="1"/>
  <c r="J323" i="3" s="1"/>
  <c r="N323" i="3" s="1"/>
  <c r="E323" i="3"/>
  <c r="J639" i="1"/>
  <c r="F640" i="1" s="1"/>
  <c r="G640" i="1" s="1"/>
  <c r="H323" i="3" l="1"/>
  <c r="M323" i="3" s="1"/>
  <c r="J640" i="1"/>
  <c r="F641" i="1" s="1"/>
  <c r="G641" i="1" s="1"/>
  <c r="K323" i="3" l="1"/>
  <c r="L323" i="3"/>
  <c r="C324" i="3" s="1"/>
  <c r="J324" i="3" s="1"/>
  <c r="E324" i="3"/>
  <c r="I324" i="3" s="1"/>
  <c r="J641" i="1"/>
  <c r="F642" i="1" s="1"/>
  <c r="G642" i="1" s="1"/>
  <c r="H324" i="3" l="1"/>
  <c r="M324" i="3" s="1"/>
  <c r="J642" i="1"/>
  <c r="F643" i="1" s="1"/>
  <c r="G643" i="1" s="1"/>
  <c r="K324" i="3" l="1"/>
  <c r="N324" i="3" s="1"/>
  <c r="E325" i="3"/>
  <c r="J643" i="1"/>
  <c r="F644" i="1" s="1"/>
  <c r="G644" i="1" s="1"/>
  <c r="L324" i="3" l="1"/>
  <c r="C325" i="3" s="1"/>
  <c r="J325" i="3" s="1"/>
  <c r="N325" i="3" s="1"/>
  <c r="H325" i="3"/>
  <c r="M325" i="3" s="1"/>
  <c r="J644" i="1"/>
  <c r="F645" i="1" s="1"/>
  <c r="G645" i="1" s="1"/>
  <c r="K325" i="3" l="1"/>
  <c r="L325" i="3"/>
  <c r="C326" i="3" s="1"/>
  <c r="J326" i="3" s="1"/>
  <c r="N326" i="3" s="1"/>
  <c r="E326" i="3"/>
  <c r="J645" i="1"/>
  <c r="F646" i="1" s="1"/>
  <c r="G646" i="1" s="1"/>
  <c r="H326" i="3" l="1"/>
  <c r="M326" i="3" s="1"/>
  <c r="J646" i="1"/>
  <c r="F647" i="1" s="1"/>
  <c r="G647" i="1" s="1"/>
  <c r="K326" i="3" l="1"/>
  <c r="L326" i="3"/>
  <c r="C327" i="3" s="1"/>
  <c r="J327" i="3" s="1"/>
  <c r="N327" i="3" s="1"/>
  <c r="E327" i="3"/>
  <c r="J647" i="1"/>
  <c r="F648" i="1" s="1"/>
  <c r="G648" i="1" s="1"/>
  <c r="H327" i="3" l="1"/>
  <c r="M327" i="3" s="1"/>
  <c r="J648" i="1"/>
  <c r="F649" i="1" s="1"/>
  <c r="G649" i="1" s="1"/>
  <c r="K327" i="3" l="1"/>
  <c r="L327" i="3"/>
  <c r="C328" i="3" s="1"/>
  <c r="J328" i="3" s="1"/>
  <c r="N328" i="3" s="1"/>
  <c r="E328" i="3"/>
  <c r="J649" i="1"/>
  <c r="F650" i="1" s="1"/>
  <c r="G650" i="1" s="1"/>
  <c r="H328" i="3" l="1"/>
  <c r="M328" i="3" s="1"/>
  <c r="J650" i="1"/>
  <c r="F651" i="1" s="1"/>
  <c r="G651" i="1" s="1"/>
  <c r="K328" i="3" l="1"/>
  <c r="L328" i="3"/>
  <c r="C329" i="3" s="1"/>
  <c r="J329" i="3" s="1"/>
  <c r="N329" i="3" s="1"/>
  <c r="E329" i="3"/>
  <c r="J651" i="1"/>
  <c r="F652" i="1" s="1"/>
  <c r="G652" i="1" s="1"/>
  <c r="H329" i="3" l="1"/>
  <c r="M329" i="3" s="1"/>
  <c r="J652" i="1"/>
  <c r="F653" i="1" s="1"/>
  <c r="G653" i="1" s="1"/>
  <c r="K329" i="3" l="1"/>
  <c r="L329" i="3"/>
  <c r="C330" i="3" s="1"/>
  <c r="J330" i="3" s="1"/>
  <c r="N330" i="3" s="1"/>
  <c r="E330" i="3"/>
  <c r="J653" i="1"/>
  <c r="F654" i="1" s="1"/>
  <c r="G654" i="1" s="1"/>
  <c r="H330" i="3" l="1"/>
  <c r="M330" i="3" s="1"/>
  <c r="J654" i="1"/>
  <c r="F655" i="1" s="1"/>
  <c r="G655" i="1" s="1"/>
  <c r="K330" i="3" l="1"/>
  <c r="L330" i="3"/>
  <c r="C331" i="3" s="1"/>
  <c r="J331" i="3" s="1"/>
  <c r="E331" i="3"/>
  <c r="I331" i="3" s="1"/>
  <c r="J655" i="1"/>
  <c r="F656" i="1" s="1"/>
  <c r="G656" i="1" s="1"/>
  <c r="H331" i="3" l="1"/>
  <c r="M331" i="3" s="1"/>
  <c r="J656" i="1"/>
  <c r="F657" i="1" s="1"/>
  <c r="G657" i="1" s="1"/>
  <c r="K331" i="3" l="1"/>
  <c r="N331" i="3" s="1"/>
  <c r="E332" i="3"/>
  <c r="J657" i="1"/>
  <c r="F658" i="1" s="1"/>
  <c r="G658" i="1" s="1"/>
  <c r="L331" i="3" l="1"/>
  <c r="C332" i="3" s="1"/>
  <c r="J332" i="3" s="1"/>
  <c r="N332" i="3" s="1"/>
  <c r="H332" i="3"/>
  <c r="M332" i="3" s="1"/>
  <c r="J658" i="1"/>
  <c r="F659" i="1" s="1"/>
  <c r="G659" i="1" s="1"/>
  <c r="K332" i="3" l="1"/>
  <c r="L332" i="3"/>
  <c r="C333" i="3" s="1"/>
  <c r="J333" i="3" s="1"/>
  <c r="N333" i="3" s="1"/>
  <c r="E333" i="3"/>
  <c r="J659" i="1"/>
  <c r="F660" i="1" s="1"/>
  <c r="G660" i="1" s="1"/>
  <c r="H333" i="3" l="1"/>
  <c r="M333" i="3" s="1"/>
  <c r="J660" i="1"/>
  <c r="F661" i="1" s="1"/>
  <c r="G661" i="1" s="1"/>
  <c r="K333" i="3" l="1"/>
  <c r="L333" i="3"/>
  <c r="C334" i="3" s="1"/>
  <c r="J334" i="3" s="1"/>
  <c r="N334" i="3" s="1"/>
  <c r="E334" i="3"/>
  <c r="J661" i="1"/>
  <c r="F662" i="1" s="1"/>
  <c r="G662" i="1" s="1"/>
  <c r="H334" i="3" l="1"/>
  <c r="M334" i="3" s="1"/>
  <c r="J662" i="1"/>
  <c r="F663" i="1" s="1"/>
  <c r="G663" i="1" s="1"/>
  <c r="K334" i="3" l="1"/>
  <c r="L334" i="3"/>
  <c r="C335" i="3" s="1"/>
  <c r="J335" i="3" s="1"/>
  <c r="N335" i="3" s="1"/>
  <c r="E335" i="3"/>
  <c r="J663" i="1"/>
  <c r="F664" i="1" s="1"/>
  <c r="G664" i="1" s="1"/>
  <c r="H335" i="3" l="1"/>
  <c r="M335" i="3" s="1"/>
  <c r="J664" i="1"/>
  <c r="F665" i="1" s="1"/>
  <c r="G665" i="1" s="1"/>
  <c r="K335" i="3" l="1"/>
  <c r="L335" i="3"/>
  <c r="C336" i="3" s="1"/>
  <c r="J336" i="3" s="1"/>
  <c r="N336" i="3" s="1"/>
  <c r="E336" i="3"/>
  <c r="J665" i="1"/>
  <c r="F666" i="1" s="1"/>
  <c r="G666" i="1" s="1"/>
  <c r="H336" i="3" l="1"/>
  <c r="M336" i="3" s="1"/>
  <c r="J666" i="1"/>
  <c r="F667" i="1" s="1"/>
  <c r="G667" i="1" s="1"/>
  <c r="K336" i="3" l="1"/>
  <c r="L336" i="3"/>
  <c r="C337" i="3" s="1"/>
  <c r="J337" i="3" s="1"/>
  <c r="N337" i="3" s="1"/>
  <c r="E337" i="3"/>
  <c r="J667" i="1"/>
  <c r="F668" i="1" s="1"/>
  <c r="G668" i="1" s="1"/>
  <c r="H337" i="3" l="1"/>
  <c r="M337" i="3" s="1"/>
  <c r="J668" i="1"/>
  <c r="F669" i="1" s="1"/>
  <c r="G669" i="1" s="1"/>
  <c r="K337" i="3" l="1"/>
  <c r="L337" i="3"/>
  <c r="C338" i="3" s="1"/>
  <c r="J338" i="3" s="1"/>
  <c r="E338" i="3"/>
  <c r="I338" i="3" s="1"/>
  <c r="J669" i="1"/>
  <c r="F670" i="1" s="1"/>
  <c r="G670" i="1" s="1"/>
  <c r="H338" i="3" l="1"/>
  <c r="M338" i="3" s="1"/>
  <c r="J670" i="1"/>
  <c r="F671" i="1" s="1"/>
  <c r="G671" i="1" s="1"/>
  <c r="K338" i="3" l="1"/>
  <c r="J671" i="1"/>
  <c r="F672" i="1" s="1"/>
  <c r="G672" i="1" s="1"/>
  <c r="E339" i="3" l="1"/>
  <c r="N338" i="3"/>
  <c r="L338" i="3"/>
  <c r="C339" i="3" s="1"/>
  <c r="J339" i="3" s="1"/>
  <c r="N339" i="3" s="1"/>
  <c r="H339" i="3"/>
  <c r="M339" i="3" s="1"/>
  <c r="J672" i="1"/>
  <c r="F673" i="1" s="1"/>
  <c r="G673" i="1" s="1"/>
  <c r="K339" i="3" l="1"/>
  <c r="L339" i="3"/>
  <c r="C340" i="3" s="1"/>
  <c r="J340" i="3" s="1"/>
  <c r="N340" i="3" s="1"/>
  <c r="E340" i="3"/>
  <c r="J673" i="1"/>
  <c r="F674" i="1" s="1"/>
  <c r="G674" i="1" s="1"/>
  <c r="H340" i="3" l="1"/>
  <c r="M340" i="3" s="1"/>
  <c r="J674" i="1"/>
  <c r="F675" i="1" s="1"/>
  <c r="G675" i="1" s="1"/>
  <c r="K340" i="3" l="1"/>
  <c r="L340" i="3"/>
  <c r="C341" i="3" s="1"/>
  <c r="J341" i="3" s="1"/>
  <c r="N341" i="3" s="1"/>
  <c r="E341" i="3"/>
  <c r="J675" i="1"/>
  <c r="F676" i="1" s="1"/>
  <c r="G676" i="1" s="1"/>
  <c r="H341" i="3" l="1"/>
  <c r="M341" i="3" s="1"/>
  <c r="J676" i="1"/>
  <c r="F677" i="1" s="1"/>
  <c r="G677" i="1" s="1"/>
  <c r="K341" i="3" l="1"/>
  <c r="L341" i="3"/>
  <c r="C342" i="3" s="1"/>
  <c r="J342" i="3" s="1"/>
  <c r="N342" i="3" s="1"/>
  <c r="E342" i="3"/>
  <c r="J677" i="1"/>
  <c r="F678" i="1" s="1"/>
  <c r="G678" i="1" s="1"/>
  <c r="H342" i="3" l="1"/>
  <c r="M342" i="3" s="1"/>
  <c r="J678" i="1"/>
  <c r="F679" i="1" s="1"/>
  <c r="G679" i="1" s="1"/>
  <c r="K342" i="3" l="1"/>
  <c r="L342" i="3"/>
  <c r="C343" i="3" s="1"/>
  <c r="J343" i="3" s="1"/>
  <c r="N343" i="3" s="1"/>
  <c r="E343" i="3"/>
  <c r="J679" i="1"/>
  <c r="F680" i="1" s="1"/>
  <c r="G680" i="1" s="1"/>
  <c r="H343" i="3" l="1"/>
  <c r="M343" i="3" s="1"/>
  <c r="J680" i="1"/>
  <c r="F681" i="1" s="1"/>
  <c r="G681" i="1" s="1"/>
  <c r="K343" i="3" l="1"/>
  <c r="L343" i="3"/>
  <c r="C344" i="3" s="1"/>
  <c r="J344" i="3" s="1"/>
  <c r="N344" i="3" s="1"/>
  <c r="E344" i="3"/>
  <c r="J681" i="1"/>
  <c r="F682" i="1" s="1"/>
  <c r="G682" i="1" s="1"/>
  <c r="H344" i="3" l="1"/>
  <c r="M344" i="3" s="1"/>
  <c r="J682" i="1"/>
  <c r="F683" i="1" s="1"/>
  <c r="G683" i="1" s="1"/>
  <c r="K344" i="3" l="1"/>
  <c r="L344" i="3"/>
  <c r="C345" i="3" s="1"/>
  <c r="J345" i="3" s="1"/>
  <c r="E345" i="3"/>
  <c r="I345" i="3" s="1"/>
  <c r="J683" i="1"/>
  <c r="F684" i="1" s="1"/>
  <c r="G684" i="1" s="1"/>
  <c r="H345" i="3" l="1"/>
  <c r="M345" i="3" s="1"/>
  <c r="J684" i="1"/>
  <c r="F685" i="1" s="1"/>
  <c r="G685" i="1" s="1"/>
  <c r="K345" i="3" l="1"/>
  <c r="N345" i="3" s="1"/>
  <c r="E346" i="3"/>
  <c r="J685" i="1"/>
  <c r="F686" i="1" s="1"/>
  <c r="G686" i="1" s="1"/>
  <c r="L345" i="3" l="1"/>
  <c r="C346" i="3" s="1"/>
  <c r="J346" i="3" s="1"/>
  <c r="N346" i="3" s="1"/>
  <c r="H346" i="3"/>
  <c r="M346" i="3" s="1"/>
  <c r="J686" i="1"/>
  <c r="F687" i="1" s="1"/>
  <c r="G687" i="1" s="1"/>
  <c r="K346" i="3" l="1"/>
  <c r="L346" i="3"/>
  <c r="C347" i="3" s="1"/>
  <c r="J347" i="3" s="1"/>
  <c r="N347" i="3" s="1"/>
  <c r="E347" i="3"/>
  <c r="J687" i="1"/>
  <c r="F688" i="1" s="1"/>
  <c r="G688" i="1" s="1"/>
  <c r="H347" i="3" l="1"/>
  <c r="M347" i="3" s="1"/>
  <c r="J688" i="1"/>
  <c r="F689" i="1" s="1"/>
  <c r="G689" i="1" s="1"/>
  <c r="K347" i="3" l="1"/>
  <c r="L347" i="3"/>
  <c r="C348" i="3" s="1"/>
  <c r="J348" i="3" s="1"/>
  <c r="N348" i="3" s="1"/>
  <c r="E348" i="3"/>
  <c r="J689" i="1"/>
  <c r="F690" i="1" s="1"/>
  <c r="G690" i="1" s="1"/>
  <c r="H348" i="3" l="1"/>
  <c r="M348" i="3" s="1"/>
  <c r="J690" i="1"/>
  <c r="F691" i="1" s="1"/>
  <c r="G691" i="1" s="1"/>
  <c r="K348" i="3" l="1"/>
  <c r="L348" i="3"/>
  <c r="C349" i="3" s="1"/>
  <c r="J349" i="3" s="1"/>
  <c r="N349" i="3" s="1"/>
  <c r="E349" i="3"/>
  <c r="J691" i="1"/>
  <c r="F692" i="1" s="1"/>
  <c r="G692" i="1" s="1"/>
  <c r="H349" i="3" l="1"/>
  <c r="M349" i="3" s="1"/>
  <c r="J692" i="1"/>
  <c r="F693" i="1" s="1"/>
  <c r="G693" i="1" s="1"/>
  <c r="K349" i="3" l="1"/>
  <c r="L349" i="3"/>
  <c r="C350" i="3" s="1"/>
  <c r="J350" i="3" s="1"/>
  <c r="N350" i="3" s="1"/>
  <c r="E350" i="3"/>
  <c r="J693" i="1"/>
  <c r="F694" i="1" s="1"/>
  <c r="G694" i="1" s="1"/>
  <c r="H350" i="3" l="1"/>
  <c r="M350" i="3" s="1"/>
  <c r="J694" i="1"/>
  <c r="F695" i="1" s="1"/>
  <c r="G695" i="1" s="1"/>
  <c r="K350" i="3" l="1"/>
  <c r="L350" i="3"/>
  <c r="C351" i="3" s="1"/>
  <c r="J351" i="3" s="1"/>
  <c r="N351" i="3" s="1"/>
  <c r="E351" i="3"/>
  <c r="J695" i="1"/>
  <c r="F696" i="1" s="1"/>
  <c r="G696" i="1" s="1"/>
  <c r="H351" i="3" l="1"/>
  <c r="M351" i="3" s="1"/>
  <c r="J696" i="1"/>
  <c r="F697" i="1" s="1"/>
  <c r="G697" i="1" s="1"/>
  <c r="K351" i="3" l="1"/>
  <c r="L351" i="3"/>
  <c r="C352" i="3" s="1"/>
  <c r="J352" i="3" s="1"/>
  <c r="E352" i="3"/>
  <c r="I352" i="3" s="1"/>
  <c r="J697" i="1"/>
  <c r="F698" i="1" s="1"/>
  <c r="G698" i="1" s="1"/>
  <c r="H352" i="3" l="1"/>
  <c r="M352" i="3" s="1"/>
  <c r="J698" i="1"/>
  <c r="F699" i="1" s="1"/>
  <c r="G699" i="1" s="1"/>
  <c r="K352" i="3" l="1"/>
  <c r="J699" i="1"/>
  <c r="F700" i="1" s="1"/>
  <c r="G700" i="1" s="1"/>
  <c r="E353" i="3" l="1"/>
  <c r="N352" i="3"/>
  <c r="L352" i="3"/>
  <c r="C353" i="3" s="1"/>
  <c r="J353" i="3" s="1"/>
  <c r="N353" i="3" s="1"/>
  <c r="H353" i="3"/>
  <c r="M353" i="3" s="1"/>
  <c r="J700" i="1"/>
  <c r="F701" i="1" s="1"/>
  <c r="G701" i="1" s="1"/>
  <c r="K353" i="3" l="1"/>
  <c r="L353" i="3"/>
  <c r="C354" i="3" s="1"/>
  <c r="J354" i="3" s="1"/>
  <c r="N354" i="3" s="1"/>
  <c r="E354" i="3"/>
  <c r="J701" i="1"/>
  <c r="F702" i="1" s="1"/>
  <c r="G702" i="1" s="1"/>
  <c r="H354" i="3" l="1"/>
  <c r="M354" i="3" s="1"/>
  <c r="J702" i="1"/>
  <c r="F703" i="1" s="1"/>
  <c r="G703" i="1" s="1"/>
  <c r="K354" i="3" l="1"/>
  <c r="L354" i="3"/>
  <c r="C355" i="3" s="1"/>
  <c r="J355" i="3" s="1"/>
  <c r="N355" i="3" s="1"/>
  <c r="E355" i="3"/>
  <c r="J703" i="1"/>
  <c r="F704" i="1" s="1"/>
  <c r="G704" i="1" s="1"/>
  <c r="H355" i="3" l="1"/>
  <c r="M355" i="3" s="1"/>
  <c r="J704" i="1"/>
  <c r="F705" i="1" s="1"/>
  <c r="G705" i="1" s="1"/>
  <c r="K355" i="3" l="1"/>
  <c r="L355" i="3"/>
  <c r="C356" i="3" s="1"/>
  <c r="J356" i="3" s="1"/>
  <c r="N356" i="3" s="1"/>
  <c r="E356" i="3"/>
  <c r="J705" i="1"/>
  <c r="F706" i="1" s="1"/>
  <c r="G706" i="1" s="1"/>
  <c r="H356" i="3" l="1"/>
  <c r="M356" i="3" s="1"/>
  <c r="J706" i="1"/>
  <c r="F707" i="1" s="1"/>
  <c r="G707" i="1" s="1"/>
  <c r="K356" i="3" l="1"/>
  <c r="L356" i="3"/>
  <c r="C357" i="3" s="1"/>
  <c r="J357" i="3" s="1"/>
  <c r="N357" i="3" s="1"/>
  <c r="E357" i="3"/>
  <c r="J707" i="1"/>
  <c r="F708" i="1" s="1"/>
  <c r="G708" i="1" s="1"/>
  <c r="H357" i="3" l="1"/>
  <c r="M357" i="3" s="1"/>
  <c r="J708" i="1"/>
  <c r="F709" i="1" s="1"/>
  <c r="G709" i="1" s="1"/>
  <c r="K357" i="3" l="1"/>
  <c r="E358" i="3" s="1"/>
  <c r="L357" i="3"/>
  <c r="C358" i="3" s="1"/>
  <c r="J358" i="3" s="1"/>
  <c r="N358" i="3" s="1"/>
  <c r="J709" i="1"/>
  <c r="F710" i="1" s="1"/>
  <c r="G710" i="1" s="1"/>
  <c r="H358" i="3" l="1"/>
  <c r="M358" i="3" s="1"/>
  <c r="J710" i="1"/>
  <c r="F711" i="1" s="1"/>
  <c r="G711" i="1" s="1"/>
  <c r="K358" i="3" l="1"/>
  <c r="E359" i="3" s="1"/>
  <c r="I359" i="3" s="1"/>
  <c r="L358" i="3"/>
  <c r="C359" i="3" s="1"/>
  <c r="J359" i="3" s="1"/>
  <c r="J711" i="1"/>
  <c r="F712" i="1" s="1"/>
  <c r="G712" i="1" s="1"/>
  <c r="H359" i="3" l="1"/>
  <c r="M359" i="3" s="1"/>
  <c r="J712" i="1"/>
  <c r="F713" i="1" s="1"/>
  <c r="G713" i="1" s="1"/>
  <c r="K359" i="3" l="1"/>
  <c r="N359" i="3" s="1"/>
  <c r="E360" i="3"/>
  <c r="J713" i="1"/>
  <c r="F714" i="1" s="1"/>
  <c r="G714" i="1" s="1"/>
  <c r="L359" i="3" l="1"/>
  <c r="C360" i="3" s="1"/>
  <c r="J360" i="3" s="1"/>
  <c r="N360" i="3" s="1"/>
  <c r="H360" i="3"/>
  <c r="M360" i="3" s="1"/>
  <c r="J714" i="1"/>
  <c r="F715" i="1" s="1"/>
  <c r="G715" i="1" s="1"/>
  <c r="K360" i="3" l="1"/>
  <c r="L360" i="3"/>
  <c r="C361" i="3" s="1"/>
  <c r="J361" i="3" s="1"/>
  <c r="N361" i="3" s="1"/>
  <c r="E361" i="3"/>
  <c r="J715" i="1"/>
  <c r="F716" i="1" s="1"/>
  <c r="G716" i="1" s="1"/>
  <c r="H361" i="3" l="1"/>
  <c r="M361" i="3" s="1"/>
  <c r="J716" i="1"/>
  <c r="F717" i="1" s="1"/>
  <c r="G717" i="1" s="1"/>
  <c r="K361" i="3" l="1"/>
  <c r="L361" i="3"/>
  <c r="C362" i="3" s="1"/>
  <c r="J362" i="3" s="1"/>
  <c r="N362" i="3" s="1"/>
  <c r="E362" i="3"/>
  <c r="J717" i="1"/>
  <c r="F718" i="1" s="1"/>
  <c r="G718" i="1" s="1"/>
  <c r="H362" i="3" l="1"/>
  <c r="M362" i="3" s="1"/>
  <c r="J718" i="1"/>
  <c r="F719" i="1" s="1"/>
  <c r="G719" i="1" s="1"/>
  <c r="K362" i="3" l="1"/>
  <c r="L362" i="3"/>
  <c r="C363" i="3" s="1"/>
  <c r="J363" i="3" s="1"/>
  <c r="N363" i="3" s="1"/>
  <c r="E363" i="3"/>
  <c r="J719" i="1"/>
  <c r="F720" i="1" s="1"/>
  <c r="G720" i="1" s="1"/>
  <c r="H363" i="3" l="1"/>
  <c r="M363" i="3" s="1"/>
  <c r="J720" i="1"/>
  <c r="F721" i="1" s="1"/>
  <c r="G721" i="1" s="1"/>
  <c r="K363" i="3" l="1"/>
  <c r="E364" i="3" s="1"/>
  <c r="L363" i="3"/>
  <c r="C364" i="3" s="1"/>
  <c r="J364" i="3" s="1"/>
  <c r="N364" i="3" s="1"/>
  <c r="J721" i="1"/>
  <c r="F722" i="1" s="1"/>
  <c r="G722" i="1" s="1"/>
  <c r="H364" i="3" l="1"/>
  <c r="M364" i="3" s="1"/>
  <c r="J722" i="1"/>
  <c r="F723" i="1" s="1"/>
  <c r="G723" i="1" s="1"/>
  <c r="K364" i="3" l="1"/>
  <c r="L364" i="3"/>
  <c r="C365" i="3" s="1"/>
  <c r="J365" i="3" s="1"/>
  <c r="N365" i="3" s="1"/>
  <c r="E365" i="3"/>
  <c r="J723" i="1"/>
  <c r="F724" i="1" s="1"/>
  <c r="G724" i="1" s="1"/>
  <c r="H365" i="3" l="1"/>
  <c r="M365" i="3" s="1"/>
  <c r="J724" i="1"/>
  <c r="F725" i="1" s="1"/>
  <c r="G725" i="1" s="1"/>
  <c r="K365" i="3" l="1"/>
  <c r="L365" i="3"/>
  <c r="C366" i="3" s="1"/>
  <c r="J366" i="3" s="1"/>
  <c r="E366" i="3"/>
  <c r="I366" i="3" s="1"/>
  <c r="J725" i="1"/>
  <c r="F726" i="1" s="1"/>
  <c r="G726" i="1" s="1"/>
  <c r="H366" i="3" l="1"/>
  <c r="M366" i="3" s="1"/>
  <c r="J726" i="1"/>
  <c r="F727" i="1" s="1"/>
  <c r="G727" i="1" s="1"/>
  <c r="K366" i="3" l="1"/>
  <c r="N366" i="3" s="1"/>
  <c r="J727" i="1"/>
  <c r="F728" i="1" s="1"/>
  <c r="G728" i="1" s="1"/>
  <c r="E367" i="3" l="1"/>
  <c r="H367" i="3" s="1"/>
  <c r="M367" i="3" s="1"/>
  <c r="L366" i="3"/>
  <c r="C367" i="3" s="1"/>
  <c r="J367" i="3" s="1"/>
  <c r="N367" i="3" s="1"/>
  <c r="J728" i="1"/>
  <c r="F729" i="1" s="1"/>
  <c r="G729" i="1" s="1"/>
  <c r="K367" i="3" l="1"/>
  <c r="E368" i="3" s="1"/>
  <c r="L367" i="3"/>
  <c r="C368" i="3" s="1"/>
  <c r="J368" i="3" s="1"/>
  <c r="N368" i="3" s="1"/>
  <c r="J729" i="1"/>
  <c r="F730" i="1" s="1"/>
  <c r="G730" i="1" s="1"/>
  <c r="H368" i="3" l="1"/>
  <c r="M368" i="3" s="1"/>
  <c r="J730" i="1"/>
  <c r="F731" i="1" s="1"/>
  <c r="G731" i="1" s="1"/>
  <c r="K368" i="3" l="1"/>
  <c r="L368" i="3"/>
  <c r="C369" i="3" s="1"/>
  <c r="J369" i="3" s="1"/>
  <c r="N369" i="3" s="1"/>
  <c r="E369" i="3"/>
  <c r="J731" i="1"/>
  <c r="F732" i="1" s="1"/>
  <c r="G732" i="1" s="1"/>
  <c r="J732" i="1" s="1"/>
  <c r="AD18" i="1" s="1"/>
  <c r="H369" i="3" l="1"/>
  <c r="M369" i="3" s="1"/>
  <c r="K369" i="3" l="1"/>
  <c r="L369" i="3"/>
  <c r="C370" i="3" s="1"/>
  <c r="J370" i="3" s="1"/>
  <c r="N370" i="3" s="1"/>
  <c r="E370" i="3"/>
  <c r="H370" i="3" l="1"/>
  <c r="M370" i="3" s="1"/>
  <c r="K370" i="3" l="1"/>
  <c r="L370" i="3"/>
  <c r="C371" i="3" s="1"/>
  <c r="J371" i="3" s="1"/>
  <c r="N371" i="3" s="1"/>
  <c r="E371" i="3"/>
  <c r="H371" i="3" l="1"/>
  <c r="M371" i="3" s="1"/>
  <c r="K371" i="3" l="1"/>
  <c r="L371" i="3"/>
  <c r="C372" i="3" s="1"/>
  <c r="J372" i="3" s="1"/>
  <c r="N372" i="3" s="1"/>
  <c r="E372" i="3"/>
  <c r="H372" i="3" l="1"/>
  <c r="M372" i="3" s="1"/>
  <c r="K372" i="3" l="1"/>
  <c r="L372" i="3"/>
  <c r="C373" i="3" s="1"/>
  <c r="J373" i="3" s="1"/>
  <c r="E373" i="3"/>
  <c r="I373" i="3" s="1"/>
  <c r="H373" i="3" l="1"/>
  <c r="M373" i="3" s="1"/>
  <c r="K373" i="3" l="1"/>
  <c r="N373" i="3" s="1"/>
  <c r="E374" i="3"/>
  <c r="L373" i="3" l="1"/>
  <c r="C374" i="3" s="1"/>
  <c r="J374" i="3" s="1"/>
  <c r="N374" i="3" s="1"/>
  <c r="H374" i="3"/>
  <c r="M374" i="3" s="1"/>
  <c r="K374" i="3" l="1"/>
  <c r="L374" i="3"/>
  <c r="C375" i="3" s="1"/>
  <c r="J375" i="3" s="1"/>
  <c r="N375" i="3" s="1"/>
  <c r="E375" i="3"/>
  <c r="H375" i="3" l="1"/>
  <c r="M375" i="3" s="1"/>
  <c r="K375" i="3" l="1"/>
  <c r="L375" i="3"/>
  <c r="C376" i="3" s="1"/>
  <c r="J376" i="3" s="1"/>
  <c r="N376" i="3" s="1"/>
  <c r="E376" i="3"/>
  <c r="H376" i="3" l="1"/>
  <c r="M376" i="3" s="1"/>
  <c r="K376" i="3" l="1"/>
  <c r="E377" i="3" s="1"/>
  <c r="L376" i="3"/>
  <c r="C377" i="3" s="1"/>
  <c r="J377" i="3" s="1"/>
  <c r="N377" i="3" s="1"/>
  <c r="H377" i="3" l="1"/>
  <c r="M377" i="3" s="1"/>
  <c r="K377" i="3" l="1"/>
  <c r="L377" i="3"/>
  <c r="C378" i="3" s="1"/>
  <c r="J378" i="3" s="1"/>
  <c r="N378" i="3" s="1"/>
  <c r="E378" i="3"/>
  <c r="H378" i="3" l="1"/>
  <c r="M378" i="3" s="1"/>
  <c r="K378" i="3" l="1"/>
  <c r="E379" i="3" s="1"/>
  <c r="L378" i="3"/>
  <c r="C379" i="3" s="1"/>
  <c r="J379" i="3" s="1"/>
  <c r="N379" i="3" s="1"/>
  <c r="H379" i="3" l="1"/>
  <c r="M379" i="3" s="1"/>
  <c r="K379" i="3" l="1"/>
  <c r="L379" i="3"/>
  <c r="C380" i="3" s="1"/>
  <c r="J380" i="3" s="1"/>
  <c r="E380" i="3"/>
  <c r="I380" i="3" s="1"/>
  <c r="H380" i="3" l="1"/>
  <c r="M380" i="3" s="1"/>
  <c r="K380" i="3" l="1"/>
  <c r="N380" i="3" s="1"/>
  <c r="E381" i="3"/>
  <c r="L380" i="3" l="1"/>
  <c r="C381" i="3" s="1"/>
  <c r="J381" i="3" s="1"/>
  <c r="N381" i="3" s="1"/>
  <c r="H381" i="3"/>
  <c r="M381" i="3" s="1"/>
  <c r="K381" i="3" l="1"/>
  <c r="L381" i="3"/>
  <c r="C382" i="3" s="1"/>
  <c r="J382" i="3" s="1"/>
  <c r="N382" i="3" s="1"/>
  <c r="E382" i="3"/>
  <c r="H382" i="3" l="1"/>
  <c r="M382" i="3" s="1"/>
  <c r="K382" i="3" l="1"/>
  <c r="L382" i="3"/>
  <c r="C383" i="3" s="1"/>
  <c r="J383" i="3" s="1"/>
  <c r="N383" i="3" s="1"/>
  <c r="E383" i="3"/>
  <c r="H383" i="3" l="1"/>
  <c r="M383" i="3" s="1"/>
  <c r="K383" i="3" l="1"/>
  <c r="L383" i="3"/>
  <c r="C384" i="3" s="1"/>
  <c r="J384" i="3" s="1"/>
  <c r="N384" i="3" s="1"/>
  <c r="E384" i="3"/>
  <c r="H384" i="3" l="1"/>
  <c r="M384" i="3" s="1"/>
  <c r="K384" i="3" l="1"/>
  <c r="L384" i="3"/>
  <c r="C385" i="3" s="1"/>
  <c r="J385" i="3" s="1"/>
  <c r="N385" i="3" s="1"/>
  <c r="E385" i="3"/>
  <c r="H385" i="3" l="1"/>
  <c r="M385" i="3" s="1"/>
  <c r="K385" i="3" l="1"/>
  <c r="L385" i="3"/>
  <c r="C386" i="3" s="1"/>
  <c r="J386" i="3" s="1"/>
  <c r="N386" i="3" s="1"/>
  <c r="E386" i="3"/>
  <c r="H386" i="3" l="1"/>
  <c r="M386" i="3" s="1"/>
  <c r="K386" i="3" l="1"/>
  <c r="L386" i="3"/>
  <c r="C387" i="3" s="1"/>
  <c r="J387" i="3" s="1"/>
  <c r="E387" i="3"/>
  <c r="I387" i="3" s="1"/>
  <c r="H387" i="3" l="1"/>
  <c r="M387" i="3" s="1"/>
  <c r="K387" i="3" l="1"/>
  <c r="N387" i="3" s="1"/>
  <c r="E388" i="3"/>
  <c r="L387" i="3" l="1"/>
  <c r="C388" i="3" s="1"/>
  <c r="J388" i="3" s="1"/>
  <c r="N388" i="3" s="1"/>
  <c r="H388" i="3"/>
  <c r="M388" i="3" s="1"/>
  <c r="K388" i="3" l="1"/>
  <c r="L388" i="3"/>
  <c r="C389" i="3" s="1"/>
  <c r="J389" i="3" s="1"/>
  <c r="N389" i="3" s="1"/>
  <c r="E389" i="3"/>
  <c r="H389" i="3" l="1"/>
  <c r="M389" i="3" s="1"/>
  <c r="K389" i="3" l="1"/>
  <c r="L389" i="3"/>
  <c r="C390" i="3" s="1"/>
  <c r="J390" i="3" s="1"/>
  <c r="N390" i="3" s="1"/>
  <c r="E390" i="3"/>
  <c r="H390" i="3" l="1"/>
  <c r="M390" i="3" s="1"/>
  <c r="K390" i="3" l="1"/>
  <c r="L390" i="3"/>
  <c r="C391" i="3" s="1"/>
  <c r="J391" i="3" s="1"/>
  <c r="N391" i="3" s="1"/>
  <c r="E391" i="3"/>
  <c r="H391" i="3" l="1"/>
  <c r="M391" i="3" s="1"/>
  <c r="K391" i="3" l="1"/>
  <c r="L391" i="3"/>
  <c r="C392" i="3" s="1"/>
  <c r="J392" i="3" s="1"/>
  <c r="N392" i="3" s="1"/>
  <c r="E392" i="3"/>
  <c r="H392" i="3" l="1"/>
  <c r="M392" i="3" s="1"/>
  <c r="K392" i="3" l="1"/>
  <c r="L392" i="3"/>
  <c r="C393" i="3" s="1"/>
  <c r="J393" i="3" s="1"/>
  <c r="N393" i="3" s="1"/>
  <c r="E393" i="3"/>
  <c r="H393" i="3" l="1"/>
  <c r="M393" i="3" s="1"/>
  <c r="K393" i="3" l="1"/>
  <c r="E394" i="3" s="1"/>
  <c r="I394" i="3" s="1"/>
  <c r="L393" i="3"/>
  <c r="C394" i="3" s="1"/>
  <c r="J394" i="3" s="1"/>
  <c r="H394" i="3" l="1"/>
  <c r="M394" i="3" s="1"/>
  <c r="K394" i="3" l="1"/>
  <c r="N394" i="3" s="1"/>
  <c r="E395" i="3"/>
  <c r="L394" i="3" l="1"/>
  <c r="C395" i="3" s="1"/>
  <c r="J395" i="3" s="1"/>
  <c r="N395" i="3" s="1"/>
  <c r="H395" i="3"/>
  <c r="M395" i="3" s="1"/>
  <c r="K395" i="3" l="1"/>
  <c r="L395" i="3"/>
  <c r="C396" i="3" s="1"/>
  <c r="J396" i="3" s="1"/>
  <c r="N396" i="3" s="1"/>
  <c r="E396" i="3"/>
  <c r="H396" i="3" l="1"/>
  <c r="M396" i="3" s="1"/>
  <c r="K396" i="3" l="1"/>
  <c r="L396" i="3"/>
  <c r="C397" i="3" s="1"/>
  <c r="J397" i="3" s="1"/>
  <c r="N397" i="3" s="1"/>
  <c r="E397" i="3"/>
  <c r="H397" i="3" l="1"/>
  <c r="M397" i="3" s="1"/>
  <c r="K397" i="3" l="1"/>
  <c r="L397" i="3"/>
  <c r="C398" i="3" s="1"/>
  <c r="J398" i="3" s="1"/>
  <c r="N398" i="3" s="1"/>
  <c r="E398" i="3"/>
  <c r="H398" i="3" l="1"/>
  <c r="M398" i="3" s="1"/>
  <c r="K398" i="3" l="1"/>
  <c r="L398" i="3"/>
  <c r="C399" i="3" s="1"/>
  <c r="J399" i="3" s="1"/>
  <c r="N399" i="3" s="1"/>
  <c r="E399" i="3"/>
  <c r="H399" i="3" l="1"/>
  <c r="M399" i="3" s="1"/>
  <c r="K399" i="3" l="1"/>
  <c r="L399" i="3"/>
  <c r="C400" i="3" s="1"/>
  <c r="J400" i="3" s="1"/>
  <c r="N400" i="3" s="1"/>
  <c r="E400" i="3"/>
  <c r="H400" i="3" l="1"/>
  <c r="M400" i="3" s="1"/>
  <c r="K400" i="3" l="1"/>
  <c r="L400" i="3"/>
  <c r="C401" i="3" s="1"/>
  <c r="J401" i="3" s="1"/>
  <c r="E401" i="3"/>
  <c r="I401" i="3" s="1"/>
  <c r="H401" i="3" l="1"/>
  <c r="M401" i="3" s="1"/>
  <c r="K401" i="3" l="1"/>
  <c r="E402" i="3" l="1"/>
  <c r="N401" i="3"/>
  <c r="L401" i="3"/>
  <c r="C402" i="3" s="1"/>
  <c r="J402" i="3" s="1"/>
  <c r="N402" i="3" s="1"/>
  <c r="H402" i="3"/>
  <c r="M402" i="3" s="1"/>
  <c r="K402" i="3" l="1"/>
  <c r="L402" i="3"/>
  <c r="C403" i="3" s="1"/>
  <c r="J403" i="3" s="1"/>
  <c r="N403" i="3" s="1"/>
  <c r="E403" i="3"/>
  <c r="H403" i="3" l="1"/>
  <c r="M403" i="3" s="1"/>
  <c r="K403" i="3" l="1"/>
  <c r="L403" i="3"/>
  <c r="C404" i="3" s="1"/>
  <c r="J404" i="3" s="1"/>
  <c r="N404" i="3" s="1"/>
  <c r="E404" i="3"/>
  <c r="H404" i="3" l="1"/>
  <c r="M404" i="3" s="1"/>
  <c r="K404" i="3" l="1"/>
  <c r="L404" i="3"/>
  <c r="C405" i="3" s="1"/>
  <c r="J405" i="3" s="1"/>
  <c r="N405" i="3" s="1"/>
  <c r="E405" i="3"/>
  <c r="H405" i="3" l="1"/>
  <c r="M405" i="3" s="1"/>
  <c r="K405" i="3" l="1"/>
  <c r="L405" i="3"/>
  <c r="C406" i="3" s="1"/>
  <c r="J406" i="3" s="1"/>
  <c r="N406" i="3" s="1"/>
  <c r="E406" i="3"/>
  <c r="H406" i="3" l="1"/>
  <c r="M406" i="3" s="1"/>
  <c r="K406" i="3" l="1"/>
  <c r="L406" i="3"/>
  <c r="C407" i="3" s="1"/>
  <c r="J407" i="3" s="1"/>
  <c r="N407" i="3" s="1"/>
  <c r="E407" i="3"/>
  <c r="H407" i="3" l="1"/>
  <c r="M407" i="3" s="1"/>
  <c r="K407" i="3" l="1"/>
  <c r="L407" i="3"/>
  <c r="C408" i="3" s="1"/>
  <c r="J408" i="3" s="1"/>
  <c r="E408" i="3"/>
  <c r="I408" i="3" s="1"/>
  <c r="H408" i="3" l="1"/>
  <c r="M408" i="3" s="1"/>
  <c r="K408" i="3" l="1"/>
  <c r="N408" i="3" s="1"/>
  <c r="E409" i="3"/>
  <c r="L408" i="3" l="1"/>
  <c r="C409" i="3" s="1"/>
  <c r="J409" i="3" s="1"/>
  <c r="N409" i="3" s="1"/>
  <c r="H409" i="3"/>
  <c r="M409" i="3" s="1"/>
  <c r="K409" i="3" l="1"/>
  <c r="L409" i="3"/>
  <c r="C410" i="3" s="1"/>
  <c r="J410" i="3" s="1"/>
  <c r="N410" i="3" s="1"/>
  <c r="E410" i="3"/>
  <c r="H410" i="3" l="1"/>
  <c r="M410" i="3" s="1"/>
  <c r="K410" i="3" l="1"/>
  <c r="E411" i="3" s="1"/>
  <c r="L410" i="3"/>
  <c r="C411" i="3" s="1"/>
  <c r="J411" i="3" s="1"/>
  <c r="N411" i="3" s="1"/>
  <c r="H411" i="3" l="1"/>
  <c r="M411" i="3" s="1"/>
  <c r="K411" i="3" l="1"/>
  <c r="L411" i="3"/>
  <c r="C412" i="3" s="1"/>
  <c r="J412" i="3" s="1"/>
  <c r="N412" i="3" s="1"/>
  <c r="E412" i="3"/>
  <c r="H412" i="3" l="1"/>
  <c r="M412" i="3" s="1"/>
  <c r="K412" i="3" l="1"/>
  <c r="L412" i="3"/>
  <c r="C413" i="3" s="1"/>
  <c r="J413" i="3" s="1"/>
  <c r="N413" i="3" s="1"/>
  <c r="E413" i="3"/>
  <c r="H413" i="3" l="1"/>
  <c r="M413" i="3" s="1"/>
  <c r="K413" i="3" l="1"/>
  <c r="L413" i="3"/>
  <c r="C414" i="3" s="1"/>
  <c r="J414" i="3" s="1"/>
  <c r="N414" i="3" s="1"/>
  <c r="E414" i="3"/>
  <c r="H414" i="3" l="1"/>
  <c r="M414" i="3" s="1"/>
  <c r="K414" i="3" l="1"/>
  <c r="L414" i="3"/>
  <c r="C415" i="3" s="1"/>
  <c r="J415" i="3" s="1"/>
  <c r="E415" i="3"/>
  <c r="I415" i="3" s="1"/>
  <c r="H415" i="3" l="1"/>
  <c r="M415" i="3" s="1"/>
  <c r="K415" i="3" l="1"/>
  <c r="N415" i="3" s="1"/>
  <c r="E416" i="3" l="1"/>
  <c r="L415" i="3"/>
  <c r="C416" i="3" s="1"/>
  <c r="J416" i="3" s="1"/>
  <c r="N416" i="3" s="1"/>
  <c r="H416" i="3"/>
  <c r="M416" i="3" s="1"/>
  <c r="K416" i="3" l="1"/>
  <c r="L416" i="3"/>
  <c r="C417" i="3" s="1"/>
  <c r="J417" i="3" s="1"/>
  <c r="N417" i="3" s="1"/>
  <c r="E417" i="3"/>
  <c r="H417" i="3" l="1"/>
  <c r="M417" i="3" s="1"/>
  <c r="K417" i="3" l="1"/>
  <c r="L417" i="3"/>
  <c r="C418" i="3" s="1"/>
  <c r="J418" i="3" s="1"/>
  <c r="N418" i="3" s="1"/>
  <c r="E418" i="3"/>
  <c r="H418" i="3" l="1"/>
  <c r="M418" i="3" s="1"/>
  <c r="K418" i="3" l="1"/>
  <c r="L418" i="3"/>
  <c r="C419" i="3" s="1"/>
  <c r="J419" i="3" s="1"/>
  <c r="N419" i="3" s="1"/>
  <c r="E419" i="3"/>
  <c r="H419" i="3" l="1"/>
  <c r="M419" i="3" s="1"/>
  <c r="K419" i="3" l="1"/>
  <c r="L419" i="3"/>
  <c r="C420" i="3" s="1"/>
  <c r="J420" i="3" s="1"/>
  <c r="N420" i="3" s="1"/>
  <c r="E420" i="3"/>
  <c r="H420" i="3" l="1"/>
  <c r="M420" i="3" s="1"/>
  <c r="K420" i="3" l="1"/>
  <c r="L420" i="3"/>
  <c r="C421" i="3" s="1"/>
  <c r="J421" i="3" s="1"/>
  <c r="N421" i="3" s="1"/>
  <c r="E421" i="3"/>
  <c r="H421" i="3" l="1"/>
  <c r="M421" i="3" s="1"/>
  <c r="K421" i="3" l="1"/>
  <c r="L421" i="3"/>
  <c r="C422" i="3" s="1"/>
  <c r="J422" i="3" s="1"/>
  <c r="E422" i="3"/>
  <c r="I422" i="3" s="1"/>
  <c r="H422" i="3" l="1"/>
  <c r="M422" i="3" s="1"/>
  <c r="K422" i="3" l="1"/>
  <c r="N422" i="3" s="1"/>
  <c r="E423" i="3"/>
  <c r="L422" i="3" l="1"/>
  <c r="C423" i="3" s="1"/>
  <c r="J423" i="3" s="1"/>
  <c r="N423" i="3" s="1"/>
  <c r="H423" i="3"/>
  <c r="M423" i="3" s="1"/>
  <c r="K423" i="3" l="1"/>
  <c r="L423" i="3"/>
  <c r="C424" i="3" s="1"/>
  <c r="J424" i="3" s="1"/>
  <c r="N424" i="3" s="1"/>
  <c r="E424" i="3"/>
  <c r="H424" i="3" l="1"/>
  <c r="M424" i="3" s="1"/>
  <c r="K424" i="3" l="1"/>
  <c r="L424" i="3"/>
  <c r="C425" i="3" s="1"/>
  <c r="J425" i="3" s="1"/>
  <c r="N425" i="3" s="1"/>
  <c r="E425" i="3"/>
  <c r="H425" i="3" l="1"/>
  <c r="M425" i="3" s="1"/>
  <c r="K425" i="3" l="1"/>
  <c r="L425" i="3"/>
  <c r="C426" i="3" s="1"/>
  <c r="J426" i="3" s="1"/>
  <c r="N426" i="3" s="1"/>
  <c r="E426" i="3"/>
  <c r="H426" i="3" l="1"/>
  <c r="M426" i="3" s="1"/>
  <c r="K426" i="3" l="1"/>
  <c r="L426" i="3"/>
  <c r="C427" i="3" s="1"/>
  <c r="J427" i="3" s="1"/>
  <c r="N427" i="3" s="1"/>
  <c r="E427" i="3"/>
  <c r="H427" i="3" l="1"/>
  <c r="M427" i="3" s="1"/>
  <c r="K427" i="3" l="1"/>
  <c r="L427" i="3"/>
  <c r="C428" i="3" s="1"/>
  <c r="J428" i="3" s="1"/>
  <c r="N428" i="3" s="1"/>
  <c r="E428" i="3"/>
  <c r="H428" i="3" l="1"/>
  <c r="M428" i="3" s="1"/>
  <c r="K428" i="3" l="1"/>
  <c r="L428" i="3"/>
  <c r="C429" i="3" s="1"/>
  <c r="J429" i="3" s="1"/>
  <c r="E429" i="3"/>
  <c r="I429" i="3" s="1"/>
  <c r="H429" i="3" l="1"/>
  <c r="M429" i="3" s="1"/>
  <c r="K429" i="3" l="1"/>
  <c r="N429" i="3" s="1"/>
  <c r="E430" i="3"/>
  <c r="L429" i="3" l="1"/>
  <c r="C430" i="3" s="1"/>
  <c r="J430" i="3" s="1"/>
  <c r="N430" i="3" s="1"/>
  <c r="H430" i="3"/>
  <c r="M430" i="3" s="1"/>
  <c r="K430" i="3" l="1"/>
  <c r="L430" i="3"/>
  <c r="C431" i="3" s="1"/>
  <c r="J431" i="3" s="1"/>
  <c r="N431" i="3" s="1"/>
  <c r="E431" i="3"/>
  <c r="H431" i="3" l="1"/>
  <c r="M431" i="3" s="1"/>
  <c r="K431" i="3" l="1"/>
  <c r="L431" i="3"/>
  <c r="C432" i="3" s="1"/>
  <c r="J432" i="3" s="1"/>
  <c r="N432" i="3" s="1"/>
  <c r="E432" i="3"/>
  <c r="H432" i="3" l="1"/>
  <c r="M432" i="3" s="1"/>
  <c r="K432" i="3" l="1"/>
  <c r="L432" i="3"/>
  <c r="C433" i="3" s="1"/>
  <c r="J433" i="3" s="1"/>
  <c r="N433" i="3" s="1"/>
  <c r="E433" i="3"/>
  <c r="H433" i="3" l="1"/>
  <c r="M433" i="3" s="1"/>
  <c r="K433" i="3" l="1"/>
  <c r="L433" i="3"/>
  <c r="C434" i="3" s="1"/>
  <c r="J434" i="3" s="1"/>
  <c r="N434" i="3" s="1"/>
  <c r="E434" i="3"/>
  <c r="H434" i="3" l="1"/>
  <c r="M434" i="3" s="1"/>
  <c r="K434" i="3" l="1"/>
  <c r="L434" i="3"/>
  <c r="C435" i="3" s="1"/>
  <c r="J435" i="3" s="1"/>
  <c r="N435" i="3" s="1"/>
  <c r="E435" i="3"/>
  <c r="H435" i="3" l="1"/>
  <c r="M435" i="3" s="1"/>
  <c r="K435" i="3" l="1"/>
  <c r="L435" i="3"/>
  <c r="C436" i="3" s="1"/>
  <c r="J436" i="3" s="1"/>
  <c r="E436" i="3"/>
  <c r="I436" i="3" s="1"/>
  <c r="H436" i="3" l="1"/>
  <c r="M436" i="3" s="1"/>
  <c r="K436" i="3" l="1"/>
  <c r="N436" i="3" s="1"/>
  <c r="E437" i="3"/>
  <c r="L436" i="3" l="1"/>
  <c r="C437" i="3" s="1"/>
  <c r="J437" i="3" s="1"/>
  <c r="N437" i="3" s="1"/>
  <c r="H437" i="3"/>
  <c r="M437" i="3" s="1"/>
  <c r="K437" i="3" l="1"/>
  <c r="L437" i="3"/>
  <c r="C438" i="3" s="1"/>
  <c r="J438" i="3" s="1"/>
  <c r="N438" i="3" s="1"/>
  <c r="E438" i="3"/>
  <c r="H438" i="3" l="1"/>
  <c r="M438" i="3" s="1"/>
  <c r="K438" i="3" l="1"/>
  <c r="L438" i="3"/>
  <c r="C439" i="3" s="1"/>
  <c r="J439" i="3" s="1"/>
  <c r="N439" i="3" s="1"/>
  <c r="E439" i="3"/>
  <c r="H439" i="3" l="1"/>
  <c r="M439" i="3" s="1"/>
  <c r="K439" i="3" l="1"/>
  <c r="L439" i="3"/>
  <c r="C440" i="3" s="1"/>
  <c r="J440" i="3" s="1"/>
  <c r="N440" i="3" s="1"/>
  <c r="E440" i="3"/>
  <c r="H440" i="3" l="1"/>
  <c r="M440" i="3" s="1"/>
  <c r="K440" i="3" l="1"/>
  <c r="E441" i="3" s="1"/>
  <c r="L440" i="3"/>
  <c r="C441" i="3" s="1"/>
  <c r="J441" i="3" s="1"/>
  <c r="N441" i="3" s="1"/>
  <c r="H441" i="3" l="1"/>
  <c r="M441" i="3" s="1"/>
  <c r="K441" i="3" l="1"/>
  <c r="E442" i="3" s="1"/>
  <c r="L441" i="3"/>
  <c r="C442" i="3" s="1"/>
  <c r="J442" i="3" s="1"/>
  <c r="N442" i="3" s="1"/>
  <c r="H442" i="3" l="1"/>
  <c r="M442" i="3" s="1"/>
  <c r="K442" i="3" l="1"/>
  <c r="L442" i="3"/>
  <c r="C443" i="3" s="1"/>
  <c r="J443" i="3" s="1"/>
  <c r="E443" i="3"/>
  <c r="I443" i="3" s="1"/>
  <c r="H443" i="3" l="1"/>
  <c r="M443" i="3" s="1"/>
  <c r="K443" i="3" l="1"/>
  <c r="N443" i="3" s="1"/>
  <c r="E444" i="3"/>
  <c r="L443" i="3" l="1"/>
  <c r="C444" i="3" s="1"/>
  <c r="J444" i="3" s="1"/>
  <c r="N444" i="3" s="1"/>
  <c r="H444" i="3"/>
  <c r="M444" i="3" s="1"/>
  <c r="K444" i="3" l="1"/>
  <c r="L444" i="3"/>
  <c r="C445" i="3" s="1"/>
  <c r="J445" i="3" s="1"/>
  <c r="N445" i="3" s="1"/>
  <c r="E445" i="3"/>
  <c r="H445" i="3" l="1"/>
  <c r="M445" i="3" s="1"/>
  <c r="K445" i="3" l="1"/>
  <c r="L445" i="3"/>
  <c r="C446" i="3" s="1"/>
  <c r="J446" i="3" s="1"/>
  <c r="N446" i="3" s="1"/>
  <c r="E446" i="3"/>
  <c r="H446" i="3" l="1"/>
  <c r="M446" i="3" s="1"/>
  <c r="K446" i="3" l="1"/>
  <c r="L446" i="3"/>
  <c r="C447" i="3" s="1"/>
  <c r="J447" i="3" s="1"/>
  <c r="N447" i="3" s="1"/>
  <c r="E447" i="3"/>
  <c r="H447" i="3" l="1"/>
  <c r="M447" i="3" s="1"/>
  <c r="K447" i="3" l="1"/>
  <c r="L447" i="3"/>
  <c r="C448" i="3" s="1"/>
  <c r="J448" i="3" s="1"/>
  <c r="N448" i="3" s="1"/>
  <c r="E448" i="3"/>
  <c r="H448" i="3" l="1"/>
  <c r="M448" i="3" s="1"/>
  <c r="K448" i="3" l="1"/>
  <c r="L448" i="3"/>
  <c r="C449" i="3" s="1"/>
  <c r="J449" i="3" s="1"/>
  <c r="N449" i="3" s="1"/>
  <c r="E449" i="3"/>
  <c r="H449" i="3" l="1"/>
  <c r="M449" i="3" s="1"/>
  <c r="K449" i="3" l="1"/>
  <c r="L449" i="3"/>
  <c r="C450" i="3" s="1"/>
  <c r="J450" i="3" s="1"/>
  <c r="E450" i="3"/>
  <c r="I450" i="3" s="1"/>
  <c r="H450" i="3" l="1"/>
  <c r="M450" i="3" s="1"/>
  <c r="K450" i="3" l="1"/>
  <c r="N450" i="3" s="1"/>
  <c r="E451" i="3"/>
  <c r="L450" i="3" l="1"/>
  <c r="C451" i="3" s="1"/>
  <c r="J451" i="3" s="1"/>
  <c r="N451" i="3" s="1"/>
  <c r="H451" i="3"/>
  <c r="M451" i="3" s="1"/>
  <c r="K451" i="3" l="1"/>
  <c r="L451" i="3"/>
  <c r="C452" i="3" s="1"/>
  <c r="J452" i="3" s="1"/>
  <c r="N452" i="3" s="1"/>
  <c r="E452" i="3"/>
  <c r="H452" i="3" l="1"/>
  <c r="M452" i="3" s="1"/>
  <c r="K452" i="3" l="1"/>
  <c r="L452" i="3"/>
  <c r="C453" i="3" s="1"/>
  <c r="J453" i="3" s="1"/>
  <c r="N453" i="3" s="1"/>
  <c r="E453" i="3"/>
  <c r="H453" i="3" l="1"/>
  <c r="M453" i="3" s="1"/>
  <c r="K453" i="3" l="1"/>
  <c r="L453" i="3"/>
  <c r="C454" i="3" s="1"/>
  <c r="J454" i="3" s="1"/>
  <c r="N454" i="3" s="1"/>
  <c r="E454" i="3"/>
  <c r="H454" i="3" l="1"/>
  <c r="M454" i="3" s="1"/>
  <c r="K454" i="3" l="1"/>
  <c r="L454" i="3"/>
  <c r="C455" i="3" s="1"/>
  <c r="J455" i="3" s="1"/>
  <c r="N455" i="3" s="1"/>
  <c r="E455" i="3"/>
  <c r="H455" i="3" l="1"/>
  <c r="M455" i="3" s="1"/>
  <c r="K455" i="3" l="1"/>
  <c r="L455" i="3"/>
  <c r="C456" i="3" s="1"/>
  <c r="J456" i="3" s="1"/>
  <c r="N456" i="3" s="1"/>
  <c r="E456" i="3"/>
  <c r="H456" i="3" l="1"/>
  <c r="M456" i="3" s="1"/>
  <c r="K456" i="3" l="1"/>
  <c r="L456" i="3"/>
  <c r="C457" i="3" s="1"/>
  <c r="J457" i="3" s="1"/>
  <c r="E457" i="3"/>
  <c r="I457" i="3" s="1"/>
  <c r="H457" i="3" l="1"/>
  <c r="M457" i="3" s="1"/>
  <c r="K457" i="3" l="1"/>
  <c r="N457" i="3" s="1"/>
  <c r="E458" i="3" l="1"/>
  <c r="L457" i="3"/>
  <c r="C458" i="3" s="1"/>
  <c r="J458" i="3" s="1"/>
  <c r="N458" i="3" s="1"/>
  <c r="H458" i="3"/>
  <c r="M458" i="3" s="1"/>
  <c r="K458" i="3" l="1"/>
  <c r="E459" i="3" s="1"/>
  <c r="L458" i="3"/>
  <c r="C459" i="3" s="1"/>
  <c r="J459" i="3" s="1"/>
  <c r="N459" i="3" s="1"/>
  <c r="H459" i="3" l="1"/>
  <c r="M459" i="3" s="1"/>
  <c r="K459" i="3" l="1"/>
  <c r="L459" i="3"/>
  <c r="C460" i="3" s="1"/>
  <c r="J460" i="3" s="1"/>
  <c r="N460" i="3" s="1"/>
  <c r="E460" i="3"/>
  <c r="H460" i="3" l="1"/>
  <c r="M460" i="3" s="1"/>
  <c r="K460" i="3" l="1"/>
  <c r="L460" i="3"/>
  <c r="C461" i="3" s="1"/>
  <c r="J461" i="3" s="1"/>
  <c r="N461" i="3" s="1"/>
  <c r="E461" i="3"/>
  <c r="H461" i="3" l="1"/>
  <c r="M461" i="3" s="1"/>
  <c r="K461" i="3" l="1"/>
  <c r="L461" i="3"/>
  <c r="C462" i="3" s="1"/>
  <c r="J462" i="3" s="1"/>
  <c r="N462" i="3" s="1"/>
  <c r="E462" i="3"/>
  <c r="H462" i="3" l="1"/>
  <c r="M462" i="3" s="1"/>
  <c r="K462" i="3" l="1"/>
  <c r="L462" i="3"/>
  <c r="C463" i="3" s="1"/>
  <c r="J463" i="3" s="1"/>
  <c r="N463" i="3" s="1"/>
  <c r="E463" i="3"/>
  <c r="H463" i="3" l="1"/>
  <c r="M463" i="3" s="1"/>
  <c r="K463" i="3" l="1"/>
  <c r="L463" i="3"/>
  <c r="C464" i="3" s="1"/>
  <c r="J464" i="3" s="1"/>
  <c r="E464" i="3"/>
  <c r="I464" i="3" s="1"/>
  <c r="H464" i="3" l="1"/>
  <c r="M464" i="3" s="1"/>
  <c r="K464" i="3" l="1"/>
  <c r="N464" i="3" s="1"/>
  <c r="E465" i="3"/>
  <c r="L464" i="3" l="1"/>
  <c r="C465" i="3" s="1"/>
  <c r="J465" i="3" s="1"/>
  <c r="N465" i="3" s="1"/>
  <c r="H465" i="3"/>
  <c r="M465" i="3" s="1"/>
  <c r="K465" i="3" l="1"/>
  <c r="L465" i="3"/>
  <c r="C466" i="3" s="1"/>
  <c r="J466" i="3" s="1"/>
  <c r="N466" i="3" s="1"/>
  <c r="E466" i="3"/>
  <c r="H466" i="3" l="1"/>
  <c r="M466" i="3" s="1"/>
  <c r="K466" i="3" l="1"/>
  <c r="L466" i="3"/>
  <c r="C467" i="3" s="1"/>
  <c r="J467" i="3" s="1"/>
  <c r="N467" i="3" s="1"/>
  <c r="E467" i="3"/>
  <c r="H467" i="3" l="1"/>
  <c r="M467" i="3" s="1"/>
  <c r="K467" i="3" l="1"/>
  <c r="L467" i="3"/>
  <c r="C468" i="3" s="1"/>
  <c r="J468" i="3" s="1"/>
  <c r="N468" i="3" s="1"/>
  <c r="E468" i="3"/>
  <c r="H468" i="3" l="1"/>
  <c r="M468" i="3" s="1"/>
  <c r="K468" i="3" l="1"/>
  <c r="E469" i="3" s="1"/>
  <c r="L468" i="3"/>
  <c r="C469" i="3" s="1"/>
  <c r="J469" i="3" s="1"/>
  <c r="N469" i="3" s="1"/>
  <c r="H469" i="3" l="1"/>
  <c r="M469" i="3" s="1"/>
  <c r="K469" i="3" l="1"/>
  <c r="E470" i="3" s="1"/>
  <c r="L469" i="3"/>
  <c r="C470" i="3" s="1"/>
  <c r="J470" i="3" s="1"/>
  <c r="N470" i="3" s="1"/>
  <c r="H470" i="3" l="1"/>
  <c r="M470" i="3" s="1"/>
  <c r="K470" i="3" l="1"/>
  <c r="E471" i="3" s="1"/>
  <c r="I471" i="3" s="1"/>
  <c r="L470" i="3"/>
  <c r="C471" i="3" s="1"/>
  <c r="J471" i="3" s="1"/>
  <c r="H471" i="3" l="1"/>
  <c r="M471" i="3" s="1"/>
  <c r="K471" i="3" l="1"/>
  <c r="E472" i="3" l="1"/>
  <c r="N471" i="3"/>
  <c r="L471" i="3"/>
  <c r="C472" i="3" s="1"/>
  <c r="J472" i="3" s="1"/>
  <c r="N472" i="3" s="1"/>
  <c r="H472" i="3"/>
  <c r="M472" i="3" s="1"/>
  <c r="K472" i="3" l="1"/>
  <c r="L472" i="3"/>
  <c r="C473" i="3" s="1"/>
  <c r="J473" i="3" s="1"/>
  <c r="N473" i="3" s="1"/>
  <c r="E473" i="3"/>
  <c r="H473" i="3" l="1"/>
  <c r="M473" i="3" s="1"/>
  <c r="K473" i="3" l="1"/>
  <c r="L473" i="3"/>
  <c r="C474" i="3" s="1"/>
  <c r="J474" i="3" s="1"/>
  <c r="N474" i="3" s="1"/>
  <c r="E474" i="3"/>
  <c r="H474" i="3" l="1"/>
  <c r="M474" i="3" s="1"/>
  <c r="K474" i="3" l="1"/>
  <c r="L474" i="3"/>
  <c r="C475" i="3" s="1"/>
  <c r="J475" i="3" s="1"/>
  <c r="N475" i="3" s="1"/>
  <c r="E475" i="3"/>
  <c r="H475" i="3" l="1"/>
  <c r="M475" i="3" s="1"/>
  <c r="K475" i="3" l="1"/>
  <c r="L475" i="3"/>
  <c r="C476" i="3" s="1"/>
  <c r="J476" i="3" s="1"/>
  <c r="N476" i="3" s="1"/>
  <c r="E476" i="3"/>
  <c r="H476" i="3" l="1"/>
  <c r="M476" i="3" s="1"/>
  <c r="K476" i="3" l="1"/>
  <c r="L476" i="3"/>
  <c r="C477" i="3" s="1"/>
  <c r="J477" i="3" s="1"/>
  <c r="N477" i="3" s="1"/>
  <c r="E477" i="3"/>
  <c r="H477" i="3" l="1"/>
  <c r="M477" i="3" s="1"/>
  <c r="K477" i="3" l="1"/>
  <c r="L477" i="3"/>
  <c r="C478" i="3" s="1"/>
  <c r="J478" i="3" s="1"/>
  <c r="E478" i="3"/>
  <c r="I478" i="3" s="1"/>
  <c r="H478" i="3" l="1"/>
  <c r="M478" i="3" s="1"/>
  <c r="K478" i="3" l="1"/>
  <c r="N478" i="3" s="1"/>
  <c r="E479" i="3"/>
  <c r="L478" i="3" l="1"/>
  <c r="C479" i="3" s="1"/>
  <c r="J479" i="3" s="1"/>
  <c r="N479" i="3" s="1"/>
  <c r="H479" i="3"/>
  <c r="M479" i="3" s="1"/>
  <c r="K479" i="3" l="1"/>
  <c r="L479" i="3"/>
  <c r="C480" i="3" s="1"/>
  <c r="J480" i="3" s="1"/>
  <c r="N480" i="3" s="1"/>
  <c r="E480" i="3"/>
  <c r="H480" i="3" l="1"/>
  <c r="M480" i="3" s="1"/>
  <c r="K480" i="3" l="1"/>
  <c r="L480" i="3"/>
  <c r="C481" i="3" s="1"/>
  <c r="J481" i="3" s="1"/>
  <c r="N481" i="3" s="1"/>
  <c r="E481" i="3"/>
  <c r="H481" i="3" l="1"/>
  <c r="M481" i="3" s="1"/>
  <c r="K481" i="3" l="1"/>
  <c r="E482" i="3" s="1"/>
  <c r="L481" i="3"/>
  <c r="C482" i="3" s="1"/>
  <c r="J482" i="3" s="1"/>
  <c r="N482" i="3" s="1"/>
  <c r="H482" i="3" l="1"/>
  <c r="M482" i="3" s="1"/>
  <c r="K482" i="3" l="1"/>
  <c r="L482" i="3"/>
  <c r="C483" i="3" s="1"/>
  <c r="J483" i="3" s="1"/>
  <c r="N483" i="3" s="1"/>
  <c r="E483" i="3"/>
  <c r="H483" i="3" l="1"/>
  <c r="M483" i="3" s="1"/>
  <c r="K483" i="3" l="1"/>
  <c r="L483" i="3"/>
  <c r="C484" i="3" s="1"/>
  <c r="J484" i="3" s="1"/>
  <c r="N484" i="3" s="1"/>
  <c r="E484" i="3"/>
  <c r="H484" i="3" l="1"/>
  <c r="M484" i="3" s="1"/>
  <c r="K484" i="3" l="1"/>
  <c r="L484" i="3"/>
  <c r="C485" i="3" s="1"/>
  <c r="J485" i="3" s="1"/>
  <c r="E485" i="3"/>
  <c r="I485" i="3" s="1"/>
  <c r="H485" i="3" l="1"/>
  <c r="M485" i="3" s="1"/>
  <c r="K485" i="3" l="1"/>
  <c r="N485" i="3" s="1"/>
  <c r="E486" i="3" l="1"/>
  <c r="L485" i="3"/>
  <c r="C486" i="3" s="1"/>
  <c r="J486" i="3" s="1"/>
  <c r="N486" i="3" s="1"/>
  <c r="H486" i="3"/>
  <c r="M486" i="3" s="1"/>
  <c r="K486" i="3" l="1"/>
  <c r="L486" i="3"/>
  <c r="C487" i="3" s="1"/>
  <c r="J487" i="3" s="1"/>
  <c r="N487" i="3" s="1"/>
  <c r="E487" i="3"/>
  <c r="H487" i="3" l="1"/>
  <c r="M487" i="3" s="1"/>
  <c r="K487" i="3" l="1"/>
  <c r="L487" i="3"/>
  <c r="C488" i="3" s="1"/>
  <c r="J488" i="3" s="1"/>
  <c r="N488" i="3" s="1"/>
  <c r="E488" i="3"/>
  <c r="H488" i="3" l="1"/>
  <c r="M488" i="3" s="1"/>
  <c r="K488" i="3" l="1"/>
  <c r="L488" i="3"/>
  <c r="C489" i="3" s="1"/>
  <c r="J489" i="3" s="1"/>
  <c r="N489" i="3" s="1"/>
  <c r="E489" i="3"/>
  <c r="H489" i="3" l="1"/>
  <c r="M489" i="3" s="1"/>
  <c r="K489" i="3" l="1"/>
  <c r="L489" i="3"/>
  <c r="C490" i="3" s="1"/>
  <c r="J490" i="3" s="1"/>
  <c r="N490" i="3" s="1"/>
  <c r="E490" i="3"/>
  <c r="H490" i="3" l="1"/>
  <c r="M490" i="3" s="1"/>
  <c r="K490" i="3" l="1"/>
  <c r="L490" i="3"/>
  <c r="C491" i="3" s="1"/>
  <c r="J491" i="3" s="1"/>
  <c r="N491" i="3" s="1"/>
  <c r="E491" i="3"/>
  <c r="H491" i="3" l="1"/>
  <c r="M491" i="3" s="1"/>
  <c r="K491" i="3" l="1"/>
  <c r="L491" i="3"/>
  <c r="C492" i="3" s="1"/>
  <c r="J492" i="3" s="1"/>
  <c r="E492" i="3"/>
  <c r="I492" i="3" s="1"/>
  <c r="H492" i="3" l="1"/>
  <c r="M492" i="3" s="1"/>
  <c r="K492" i="3" l="1"/>
  <c r="N492" i="3" s="1"/>
  <c r="E493" i="3"/>
  <c r="L492" i="3" l="1"/>
  <c r="C493" i="3" s="1"/>
  <c r="J493" i="3" s="1"/>
  <c r="N493" i="3" s="1"/>
  <c r="H493" i="3"/>
  <c r="M493" i="3" s="1"/>
  <c r="K493" i="3" l="1"/>
  <c r="L493" i="3"/>
  <c r="C494" i="3" s="1"/>
  <c r="J494" i="3" s="1"/>
  <c r="N494" i="3" s="1"/>
  <c r="E494" i="3"/>
  <c r="H494" i="3" l="1"/>
  <c r="M494" i="3" s="1"/>
  <c r="K494" i="3" l="1"/>
  <c r="E495" i="3" s="1"/>
  <c r="L494" i="3"/>
  <c r="C495" i="3" s="1"/>
  <c r="J495" i="3" s="1"/>
  <c r="N495" i="3" s="1"/>
  <c r="H495" i="3" l="1"/>
  <c r="M495" i="3" s="1"/>
  <c r="K495" i="3" l="1"/>
  <c r="E496" i="3" s="1"/>
  <c r="L495" i="3"/>
  <c r="C496" i="3" s="1"/>
  <c r="J496" i="3" s="1"/>
  <c r="N496" i="3" s="1"/>
  <c r="H496" i="3" l="1"/>
  <c r="M496" i="3" s="1"/>
  <c r="K496" i="3" l="1"/>
  <c r="L496" i="3"/>
  <c r="C497" i="3" s="1"/>
  <c r="J497" i="3" s="1"/>
  <c r="N497" i="3" s="1"/>
  <c r="E497" i="3"/>
  <c r="H497" i="3" l="1"/>
  <c r="M497" i="3" s="1"/>
  <c r="K497" i="3" l="1"/>
  <c r="L497" i="3"/>
  <c r="C498" i="3" s="1"/>
  <c r="J498" i="3" s="1"/>
  <c r="N498" i="3" s="1"/>
  <c r="E498" i="3"/>
  <c r="H498" i="3" l="1"/>
  <c r="M498" i="3" s="1"/>
  <c r="K498" i="3" l="1"/>
  <c r="L498" i="3"/>
  <c r="C499" i="3" s="1"/>
  <c r="J499" i="3" s="1"/>
  <c r="E499" i="3"/>
  <c r="I499" i="3" s="1"/>
  <c r="H499" i="3" l="1"/>
  <c r="M499" i="3" s="1"/>
  <c r="K499" i="3" l="1"/>
  <c r="N499" i="3" s="1"/>
  <c r="E500" i="3"/>
  <c r="L499" i="3" l="1"/>
  <c r="C500" i="3" s="1"/>
  <c r="J500" i="3" s="1"/>
  <c r="N500" i="3" s="1"/>
  <c r="H500" i="3"/>
  <c r="M500" i="3" s="1"/>
  <c r="K500" i="3" l="1"/>
  <c r="L500" i="3"/>
  <c r="C501" i="3" s="1"/>
  <c r="J501" i="3" s="1"/>
  <c r="N501" i="3" s="1"/>
  <c r="E501" i="3"/>
  <c r="H501" i="3" l="1"/>
  <c r="M501" i="3" s="1"/>
  <c r="K501" i="3" l="1"/>
  <c r="L501" i="3"/>
  <c r="C502" i="3" s="1"/>
  <c r="J502" i="3" s="1"/>
  <c r="N502" i="3" s="1"/>
  <c r="E502" i="3"/>
  <c r="H502" i="3" l="1"/>
  <c r="M502" i="3" s="1"/>
  <c r="K502" i="3" l="1"/>
  <c r="L502" i="3"/>
  <c r="C503" i="3" s="1"/>
  <c r="J503" i="3" s="1"/>
  <c r="N503" i="3" s="1"/>
  <c r="E503" i="3"/>
  <c r="H503" i="3" l="1"/>
  <c r="M503" i="3" s="1"/>
  <c r="K503" i="3" l="1"/>
  <c r="L503" i="3"/>
  <c r="C504" i="3" s="1"/>
  <c r="J504" i="3" s="1"/>
  <c r="N504" i="3" s="1"/>
  <c r="E504" i="3"/>
  <c r="H504" i="3" l="1"/>
  <c r="M504" i="3" s="1"/>
  <c r="K504" i="3" l="1"/>
  <c r="L504" i="3"/>
  <c r="C505" i="3" s="1"/>
  <c r="J505" i="3" s="1"/>
  <c r="N505" i="3" s="1"/>
  <c r="E505" i="3"/>
  <c r="H505" i="3" l="1"/>
  <c r="M505" i="3" s="1"/>
  <c r="K505" i="3" l="1"/>
  <c r="L505" i="3"/>
  <c r="C506" i="3" s="1"/>
  <c r="J506" i="3" s="1"/>
  <c r="E506" i="3"/>
  <c r="I506" i="3" s="1"/>
  <c r="H506" i="3" l="1"/>
  <c r="M506" i="3" s="1"/>
  <c r="K506" i="3" l="1"/>
  <c r="E507" i="3" l="1"/>
  <c r="N506" i="3"/>
  <c r="L506" i="3"/>
  <c r="C507" i="3" s="1"/>
  <c r="J507" i="3" s="1"/>
  <c r="N507" i="3" s="1"/>
  <c r="H507" i="3"/>
  <c r="M507" i="3" s="1"/>
  <c r="K507" i="3" l="1"/>
  <c r="E508" i="3" s="1"/>
  <c r="L507" i="3"/>
  <c r="C508" i="3" s="1"/>
  <c r="J508" i="3" s="1"/>
  <c r="N508" i="3" s="1"/>
  <c r="H508" i="3" l="1"/>
  <c r="M508" i="3" s="1"/>
  <c r="K508" i="3" l="1"/>
  <c r="L508" i="3"/>
  <c r="C509" i="3" s="1"/>
  <c r="J509" i="3" s="1"/>
  <c r="N509" i="3" s="1"/>
  <c r="E509" i="3"/>
  <c r="H509" i="3" l="1"/>
  <c r="M509" i="3" s="1"/>
  <c r="K509" i="3" l="1"/>
  <c r="L509" i="3"/>
  <c r="C510" i="3" s="1"/>
  <c r="J510" i="3" s="1"/>
  <c r="N510" i="3" s="1"/>
  <c r="E510" i="3"/>
  <c r="H510" i="3" l="1"/>
  <c r="M510" i="3" s="1"/>
  <c r="K510" i="3" l="1"/>
  <c r="L510" i="3"/>
  <c r="C511" i="3" s="1"/>
  <c r="J511" i="3" s="1"/>
  <c r="N511" i="3" s="1"/>
  <c r="E511" i="3"/>
  <c r="H511" i="3" l="1"/>
  <c r="M511" i="3" s="1"/>
  <c r="K511" i="3" l="1"/>
  <c r="L511" i="3"/>
  <c r="C512" i="3" s="1"/>
  <c r="J512" i="3" s="1"/>
  <c r="N512" i="3" s="1"/>
  <c r="E512" i="3"/>
  <c r="H512" i="3" l="1"/>
  <c r="M512" i="3" s="1"/>
  <c r="K512" i="3" l="1"/>
  <c r="E513" i="3" s="1"/>
  <c r="I513" i="3" s="1"/>
  <c r="L512" i="3"/>
  <c r="C513" i="3" s="1"/>
  <c r="J513" i="3" s="1"/>
  <c r="H513" i="3" l="1"/>
  <c r="M513" i="3" s="1"/>
  <c r="K513" i="3" l="1"/>
  <c r="N513" i="3" s="1"/>
  <c r="E514" i="3"/>
  <c r="L513" i="3" l="1"/>
  <c r="C514" i="3" s="1"/>
  <c r="J514" i="3" s="1"/>
  <c r="N514" i="3" s="1"/>
  <c r="H514" i="3"/>
  <c r="M514" i="3" s="1"/>
  <c r="K514" i="3" l="1"/>
  <c r="L514" i="3"/>
  <c r="C515" i="3" s="1"/>
  <c r="J515" i="3" s="1"/>
  <c r="N515" i="3" s="1"/>
  <c r="E515" i="3"/>
  <c r="H515" i="3" l="1"/>
  <c r="M515" i="3" s="1"/>
  <c r="K515" i="3" l="1"/>
  <c r="L515" i="3"/>
  <c r="C516" i="3" s="1"/>
  <c r="J516" i="3" s="1"/>
  <c r="N516" i="3" s="1"/>
  <c r="E516" i="3"/>
  <c r="H516" i="3" l="1"/>
  <c r="M516" i="3" s="1"/>
  <c r="K516" i="3" l="1"/>
  <c r="E517" i="3" s="1"/>
  <c r="L516" i="3"/>
  <c r="C517" i="3" s="1"/>
  <c r="J517" i="3" s="1"/>
  <c r="N517" i="3" s="1"/>
  <c r="H517" i="3" l="1"/>
  <c r="M517" i="3" s="1"/>
  <c r="K517" i="3" l="1"/>
  <c r="L517" i="3"/>
  <c r="C518" i="3" s="1"/>
  <c r="J518" i="3" s="1"/>
  <c r="N518" i="3" s="1"/>
  <c r="E518" i="3"/>
  <c r="H518" i="3" l="1"/>
  <c r="M518" i="3" s="1"/>
  <c r="K518" i="3" l="1"/>
  <c r="L518" i="3"/>
  <c r="C519" i="3" s="1"/>
  <c r="J519" i="3" s="1"/>
  <c r="N519" i="3" s="1"/>
  <c r="E519" i="3"/>
  <c r="H519" i="3" l="1"/>
  <c r="M519" i="3" s="1"/>
  <c r="K519" i="3" l="1"/>
  <c r="E520" i="3" s="1"/>
  <c r="I520" i="3" s="1"/>
  <c r="L519" i="3"/>
  <c r="C520" i="3" s="1"/>
  <c r="J520" i="3" s="1"/>
  <c r="H520" i="3" l="1"/>
  <c r="M520" i="3" s="1"/>
  <c r="K520" i="3" l="1"/>
  <c r="E521" i="3" l="1"/>
  <c r="N520" i="3"/>
  <c r="L520" i="3"/>
  <c r="C521" i="3" s="1"/>
  <c r="H521" i="3"/>
  <c r="M521" i="3" s="1"/>
  <c r="J521" i="3" l="1"/>
  <c r="N521" i="3" s="1"/>
  <c r="L521" i="3" l="1"/>
  <c r="C522" i="3" s="1"/>
  <c r="J522" i="3" s="1"/>
  <c r="N522" i="3" s="1"/>
  <c r="K521" i="3"/>
  <c r="E522" i="3" s="1"/>
  <c r="H522" i="3" s="1"/>
  <c r="M522" i="3" s="1"/>
  <c r="K522" i="3" l="1"/>
  <c r="L522" i="3"/>
  <c r="C523" i="3" s="1"/>
  <c r="J523" i="3" s="1"/>
  <c r="N523" i="3" s="1"/>
  <c r="E523" i="3"/>
  <c r="H523" i="3" l="1"/>
  <c r="M523" i="3" s="1"/>
  <c r="K523" i="3" l="1"/>
  <c r="L523" i="3"/>
  <c r="C524" i="3" s="1"/>
  <c r="J524" i="3" s="1"/>
  <c r="N524" i="3" s="1"/>
  <c r="E524" i="3"/>
  <c r="H524" i="3" l="1"/>
  <c r="M524" i="3" s="1"/>
  <c r="K524" i="3" l="1"/>
  <c r="L524" i="3"/>
  <c r="C525" i="3" s="1"/>
  <c r="J525" i="3" s="1"/>
  <c r="N525" i="3" s="1"/>
  <c r="E525" i="3"/>
  <c r="H525" i="3" l="1"/>
  <c r="M525" i="3" s="1"/>
  <c r="K525" i="3" l="1"/>
  <c r="L525" i="3"/>
  <c r="C526" i="3" s="1"/>
  <c r="J526" i="3" s="1"/>
  <c r="N526" i="3" s="1"/>
  <c r="E526" i="3"/>
  <c r="H526" i="3" l="1"/>
  <c r="M526" i="3" s="1"/>
  <c r="K526" i="3" l="1"/>
  <c r="L526" i="3"/>
  <c r="C527" i="3" s="1"/>
  <c r="J527" i="3" s="1"/>
  <c r="E527" i="3"/>
  <c r="I527" i="3" s="1"/>
  <c r="H527" i="3" l="1"/>
  <c r="M527" i="3" s="1"/>
  <c r="K527" i="3" l="1"/>
  <c r="E528" i="3" l="1"/>
  <c r="N527" i="3"/>
  <c r="L527" i="3"/>
  <c r="C528" i="3" s="1"/>
  <c r="J528" i="3" s="1"/>
  <c r="N528" i="3" s="1"/>
  <c r="H528" i="3"/>
  <c r="M528" i="3" s="1"/>
  <c r="K528" i="3" l="1"/>
  <c r="L528" i="3"/>
  <c r="C529" i="3" s="1"/>
  <c r="J529" i="3" s="1"/>
  <c r="N529" i="3" s="1"/>
  <c r="E529" i="3"/>
  <c r="H529" i="3" l="1"/>
  <c r="M529" i="3" s="1"/>
  <c r="K529" i="3" l="1"/>
  <c r="L529" i="3"/>
  <c r="C530" i="3" s="1"/>
  <c r="J530" i="3" s="1"/>
  <c r="N530" i="3" s="1"/>
  <c r="E530" i="3"/>
  <c r="H530" i="3" l="1"/>
  <c r="M530" i="3" s="1"/>
  <c r="K530" i="3" l="1"/>
  <c r="L530" i="3"/>
  <c r="C531" i="3" s="1"/>
  <c r="J531" i="3" s="1"/>
  <c r="N531" i="3" s="1"/>
  <c r="E531" i="3"/>
  <c r="H531" i="3" l="1"/>
  <c r="M531" i="3" s="1"/>
  <c r="K531" i="3" l="1"/>
  <c r="L531" i="3"/>
  <c r="C532" i="3" s="1"/>
  <c r="J532" i="3" s="1"/>
  <c r="N532" i="3" s="1"/>
  <c r="E532" i="3"/>
  <c r="H532" i="3" l="1"/>
  <c r="M532" i="3" s="1"/>
  <c r="K532" i="3" l="1"/>
  <c r="L532" i="3"/>
  <c r="C533" i="3" s="1"/>
  <c r="J533" i="3" s="1"/>
  <c r="N533" i="3" s="1"/>
  <c r="E533" i="3"/>
  <c r="H533" i="3" l="1"/>
  <c r="M533" i="3" s="1"/>
  <c r="K533" i="3" l="1"/>
  <c r="L533" i="3"/>
  <c r="C534" i="3" s="1"/>
  <c r="J534" i="3" s="1"/>
  <c r="E534" i="3"/>
  <c r="I534" i="3" s="1"/>
  <c r="H534" i="3" l="1"/>
  <c r="M534" i="3" s="1"/>
  <c r="K534" i="3" l="1"/>
  <c r="N534" i="3" s="1"/>
  <c r="E535" i="3"/>
  <c r="L534" i="3" l="1"/>
  <c r="C535" i="3" s="1"/>
  <c r="J535" i="3" s="1"/>
  <c r="N535" i="3" s="1"/>
  <c r="H535" i="3"/>
  <c r="M535" i="3" s="1"/>
  <c r="K535" i="3" l="1"/>
  <c r="L535" i="3"/>
  <c r="C536" i="3" s="1"/>
  <c r="J536" i="3" s="1"/>
  <c r="N536" i="3" s="1"/>
  <c r="E536" i="3"/>
  <c r="H536" i="3" l="1"/>
  <c r="M536" i="3" s="1"/>
  <c r="K536" i="3" l="1"/>
  <c r="L536" i="3"/>
  <c r="C537" i="3" s="1"/>
  <c r="J537" i="3" s="1"/>
  <c r="N537" i="3" s="1"/>
  <c r="E537" i="3"/>
  <c r="H537" i="3" l="1"/>
  <c r="M537" i="3" s="1"/>
  <c r="K537" i="3" l="1"/>
  <c r="L537" i="3"/>
  <c r="C538" i="3" s="1"/>
  <c r="J538" i="3" s="1"/>
  <c r="N538" i="3" s="1"/>
  <c r="E538" i="3"/>
  <c r="H538" i="3" l="1"/>
  <c r="M538" i="3" s="1"/>
  <c r="K538" i="3" l="1"/>
  <c r="E539" i="3" s="1"/>
  <c r="L538" i="3"/>
  <c r="C539" i="3" s="1"/>
  <c r="J539" i="3" s="1"/>
  <c r="N539" i="3" s="1"/>
  <c r="H539" i="3" l="1"/>
  <c r="M539" i="3" s="1"/>
  <c r="K539" i="3" l="1"/>
  <c r="L539" i="3"/>
  <c r="C540" i="3" s="1"/>
  <c r="J540" i="3" s="1"/>
  <c r="N540" i="3" s="1"/>
  <c r="E540" i="3"/>
  <c r="H540" i="3" l="1"/>
  <c r="M540" i="3" s="1"/>
  <c r="K540" i="3" l="1"/>
  <c r="L540" i="3"/>
  <c r="C541" i="3" s="1"/>
  <c r="J541" i="3" s="1"/>
  <c r="E541" i="3"/>
  <c r="I541" i="3" s="1"/>
  <c r="H541" i="3" l="1"/>
  <c r="M541" i="3" s="1"/>
  <c r="K541" i="3" l="1"/>
  <c r="N541" i="3" s="1"/>
  <c r="E542" i="3"/>
  <c r="L541" i="3" l="1"/>
  <c r="C542" i="3" s="1"/>
  <c r="J542" i="3" s="1"/>
  <c r="N542" i="3" s="1"/>
  <c r="H542" i="3"/>
  <c r="M542" i="3" s="1"/>
  <c r="K542" i="3" l="1"/>
  <c r="L542" i="3"/>
  <c r="C543" i="3" s="1"/>
  <c r="J543" i="3" s="1"/>
  <c r="N543" i="3" s="1"/>
  <c r="E543" i="3"/>
  <c r="H543" i="3" l="1"/>
  <c r="M543" i="3" s="1"/>
  <c r="K543" i="3" l="1"/>
  <c r="L543" i="3"/>
  <c r="C544" i="3" s="1"/>
  <c r="J544" i="3" s="1"/>
  <c r="N544" i="3" s="1"/>
  <c r="E544" i="3"/>
  <c r="H544" i="3" l="1"/>
  <c r="M544" i="3" s="1"/>
  <c r="K544" i="3" l="1"/>
  <c r="L544" i="3"/>
  <c r="C545" i="3" s="1"/>
  <c r="J545" i="3" s="1"/>
  <c r="N545" i="3" s="1"/>
  <c r="E545" i="3"/>
  <c r="H545" i="3" l="1"/>
  <c r="M545" i="3" s="1"/>
  <c r="K545" i="3" l="1"/>
  <c r="L545" i="3"/>
  <c r="C546" i="3" s="1"/>
  <c r="J546" i="3" s="1"/>
  <c r="N546" i="3" s="1"/>
  <c r="E546" i="3"/>
  <c r="H546" i="3" l="1"/>
  <c r="M546" i="3" s="1"/>
  <c r="K546" i="3" l="1"/>
  <c r="E547" i="3" s="1"/>
  <c r="L546" i="3"/>
  <c r="C547" i="3" s="1"/>
  <c r="J547" i="3" s="1"/>
  <c r="N547" i="3" s="1"/>
  <c r="H547" i="3" l="1"/>
  <c r="M547" i="3" s="1"/>
  <c r="K547" i="3" l="1"/>
  <c r="L547" i="3"/>
  <c r="C548" i="3" s="1"/>
  <c r="J548" i="3" s="1"/>
  <c r="E548" i="3"/>
  <c r="I548" i="3" s="1"/>
  <c r="H548" i="3" l="1"/>
  <c r="M548" i="3" s="1"/>
  <c r="K548" i="3" l="1"/>
  <c r="N548" i="3" s="1"/>
  <c r="E549" i="3"/>
  <c r="L548" i="3" l="1"/>
  <c r="C549" i="3" s="1"/>
  <c r="J549" i="3" s="1"/>
  <c r="N549" i="3" s="1"/>
  <c r="H549" i="3"/>
  <c r="M549" i="3" s="1"/>
  <c r="K549" i="3" l="1"/>
  <c r="L549" i="3"/>
  <c r="C550" i="3" s="1"/>
  <c r="J550" i="3" s="1"/>
  <c r="N550" i="3" s="1"/>
  <c r="E550" i="3"/>
  <c r="H550" i="3" l="1"/>
  <c r="M550" i="3" s="1"/>
  <c r="K550" i="3" l="1"/>
  <c r="L550" i="3"/>
  <c r="C551" i="3" s="1"/>
  <c r="J551" i="3" s="1"/>
  <c r="N551" i="3" s="1"/>
  <c r="E551" i="3"/>
  <c r="H551" i="3" l="1"/>
  <c r="M551" i="3" s="1"/>
  <c r="K551" i="3" l="1"/>
  <c r="L551" i="3"/>
  <c r="C552" i="3" s="1"/>
  <c r="J552" i="3" s="1"/>
  <c r="N552" i="3" s="1"/>
  <c r="E552" i="3"/>
  <c r="H552" i="3" l="1"/>
  <c r="M552" i="3" s="1"/>
  <c r="K552" i="3" l="1"/>
  <c r="L552" i="3"/>
  <c r="C553" i="3" s="1"/>
  <c r="J553" i="3" s="1"/>
  <c r="N553" i="3" s="1"/>
  <c r="E553" i="3"/>
  <c r="H553" i="3" l="1"/>
  <c r="M553" i="3" s="1"/>
  <c r="K553" i="3" l="1"/>
  <c r="L553" i="3"/>
  <c r="C554" i="3" s="1"/>
  <c r="J554" i="3" s="1"/>
  <c r="N554" i="3" s="1"/>
  <c r="E554" i="3"/>
  <c r="H554" i="3" l="1"/>
  <c r="M554" i="3" s="1"/>
  <c r="K554" i="3" l="1"/>
  <c r="L554" i="3"/>
  <c r="C555" i="3" s="1"/>
  <c r="J555" i="3" s="1"/>
  <c r="E555" i="3"/>
  <c r="I555" i="3" s="1"/>
  <c r="H555" i="3" l="1"/>
  <c r="M555" i="3" s="1"/>
  <c r="K555" i="3" l="1"/>
  <c r="N555" i="3" s="1"/>
  <c r="E556" i="3"/>
  <c r="L555" i="3" l="1"/>
  <c r="C556" i="3" s="1"/>
  <c r="J556" i="3" s="1"/>
  <c r="N556" i="3" s="1"/>
  <c r="H556" i="3"/>
  <c r="M556" i="3" s="1"/>
  <c r="K556" i="3" l="1"/>
  <c r="E557" i="3" s="1"/>
  <c r="L556" i="3"/>
  <c r="C557" i="3" s="1"/>
  <c r="J557" i="3" s="1"/>
  <c r="N557" i="3" s="1"/>
  <c r="H557" i="3" l="1"/>
  <c r="M557" i="3" s="1"/>
  <c r="K557" i="3" l="1"/>
  <c r="L557" i="3"/>
  <c r="C558" i="3" s="1"/>
  <c r="J558" i="3" s="1"/>
  <c r="N558" i="3" s="1"/>
  <c r="E558" i="3"/>
  <c r="H558" i="3" l="1"/>
  <c r="M558" i="3" s="1"/>
  <c r="K558" i="3" l="1"/>
  <c r="L558" i="3"/>
  <c r="C559" i="3" s="1"/>
  <c r="J559" i="3" s="1"/>
  <c r="N559" i="3" s="1"/>
  <c r="E559" i="3"/>
  <c r="H559" i="3" l="1"/>
  <c r="M559" i="3" s="1"/>
  <c r="K559" i="3" l="1"/>
  <c r="L559" i="3"/>
  <c r="C560" i="3" s="1"/>
  <c r="J560" i="3" s="1"/>
  <c r="N560" i="3" s="1"/>
  <c r="E560" i="3"/>
  <c r="H560" i="3" l="1"/>
  <c r="M560" i="3" s="1"/>
  <c r="K560" i="3" l="1"/>
  <c r="L560" i="3"/>
  <c r="C561" i="3" s="1"/>
  <c r="J561" i="3" s="1"/>
  <c r="N561" i="3" s="1"/>
  <c r="E561" i="3"/>
  <c r="H561" i="3" l="1"/>
  <c r="M561" i="3" s="1"/>
  <c r="K561" i="3" l="1"/>
  <c r="L561" i="3"/>
  <c r="C562" i="3" s="1"/>
  <c r="J562" i="3" s="1"/>
  <c r="E562" i="3"/>
  <c r="I562" i="3" s="1"/>
  <c r="H562" i="3" l="1"/>
  <c r="M562" i="3" s="1"/>
  <c r="K562" i="3" l="1"/>
  <c r="N562" i="3" s="1"/>
  <c r="E563" i="3"/>
  <c r="L562" i="3" l="1"/>
  <c r="C563" i="3" s="1"/>
  <c r="J563" i="3" s="1"/>
  <c r="N563" i="3" s="1"/>
  <c r="H563" i="3"/>
  <c r="M563" i="3" s="1"/>
  <c r="K563" i="3" l="1"/>
  <c r="L563" i="3"/>
  <c r="C564" i="3" s="1"/>
  <c r="J564" i="3" s="1"/>
  <c r="N564" i="3" s="1"/>
  <c r="E564" i="3"/>
  <c r="H564" i="3" l="1"/>
  <c r="M564" i="3" s="1"/>
  <c r="K564" i="3" l="1"/>
  <c r="L564" i="3"/>
  <c r="C565" i="3" s="1"/>
  <c r="J565" i="3" s="1"/>
  <c r="N565" i="3" s="1"/>
  <c r="E565" i="3"/>
  <c r="H565" i="3" l="1"/>
  <c r="M565" i="3" s="1"/>
  <c r="K565" i="3" l="1"/>
  <c r="L565" i="3"/>
  <c r="C566" i="3" s="1"/>
  <c r="J566" i="3" s="1"/>
  <c r="N566" i="3" s="1"/>
  <c r="E566" i="3"/>
  <c r="H566" i="3" l="1"/>
  <c r="M566" i="3" s="1"/>
  <c r="K566" i="3" l="1"/>
  <c r="L566" i="3"/>
  <c r="C567" i="3" s="1"/>
  <c r="J567" i="3" s="1"/>
  <c r="N567" i="3" s="1"/>
  <c r="E567" i="3"/>
  <c r="H567" i="3" l="1"/>
  <c r="M567" i="3" s="1"/>
  <c r="K567" i="3" l="1"/>
  <c r="L567" i="3"/>
  <c r="C568" i="3" s="1"/>
  <c r="J568" i="3" s="1"/>
  <c r="N568" i="3" s="1"/>
  <c r="E568" i="3"/>
  <c r="H568" i="3" l="1"/>
  <c r="M568" i="3" s="1"/>
  <c r="K568" i="3" l="1"/>
  <c r="L568" i="3"/>
  <c r="C569" i="3" s="1"/>
  <c r="J569" i="3" s="1"/>
  <c r="E569" i="3"/>
  <c r="I569" i="3" s="1"/>
  <c r="H569" i="3" l="1"/>
  <c r="M569" i="3" s="1"/>
  <c r="K569" i="3" l="1"/>
  <c r="N569" i="3" s="1"/>
  <c r="E570" i="3"/>
  <c r="L569" i="3" l="1"/>
  <c r="C570" i="3" s="1"/>
  <c r="J570" i="3" s="1"/>
  <c r="N570" i="3" s="1"/>
  <c r="H570" i="3"/>
  <c r="M570" i="3" s="1"/>
  <c r="K570" i="3" l="1"/>
  <c r="L570" i="3"/>
  <c r="C571" i="3" s="1"/>
  <c r="J571" i="3" s="1"/>
  <c r="N571" i="3" s="1"/>
  <c r="E571" i="3"/>
  <c r="H571" i="3" l="1"/>
  <c r="M571" i="3" s="1"/>
  <c r="K571" i="3" l="1"/>
  <c r="L571" i="3"/>
  <c r="C572" i="3" s="1"/>
  <c r="J572" i="3" s="1"/>
  <c r="N572" i="3" s="1"/>
  <c r="E572" i="3"/>
  <c r="H572" i="3" l="1"/>
  <c r="M572" i="3" s="1"/>
  <c r="K572" i="3" l="1"/>
  <c r="L572" i="3"/>
  <c r="C573" i="3" s="1"/>
  <c r="J573" i="3" s="1"/>
  <c r="N573" i="3" s="1"/>
  <c r="E573" i="3"/>
  <c r="H573" i="3" l="1"/>
  <c r="M573" i="3" s="1"/>
  <c r="K573" i="3" l="1"/>
  <c r="L573" i="3"/>
  <c r="C574" i="3" s="1"/>
  <c r="J574" i="3" s="1"/>
  <c r="N574" i="3" s="1"/>
  <c r="E574" i="3"/>
  <c r="H574" i="3" l="1"/>
  <c r="M574" i="3" s="1"/>
  <c r="K574" i="3" l="1"/>
  <c r="L574" i="3"/>
  <c r="C575" i="3" s="1"/>
  <c r="J575" i="3" s="1"/>
  <c r="N575" i="3" s="1"/>
  <c r="E575" i="3"/>
  <c r="H575" i="3" l="1"/>
  <c r="M575" i="3" s="1"/>
  <c r="K575" i="3" l="1"/>
  <c r="L575" i="3"/>
  <c r="C576" i="3" s="1"/>
  <c r="J576" i="3" s="1"/>
  <c r="E576" i="3"/>
  <c r="I576" i="3" s="1"/>
  <c r="H576" i="3" l="1"/>
  <c r="M576" i="3" s="1"/>
  <c r="K576" i="3" l="1"/>
  <c r="E577" i="3" l="1"/>
  <c r="N576" i="3"/>
  <c r="L576" i="3"/>
  <c r="C577" i="3" s="1"/>
  <c r="J577" i="3" s="1"/>
  <c r="N577" i="3" s="1"/>
  <c r="H577" i="3"/>
  <c r="M577" i="3" s="1"/>
  <c r="K577" i="3" l="1"/>
  <c r="E578" i="3" s="1"/>
  <c r="L577" i="3"/>
  <c r="C578" i="3" s="1"/>
  <c r="J578" i="3" s="1"/>
  <c r="N578" i="3" s="1"/>
  <c r="H578" i="3" l="1"/>
  <c r="M578" i="3" s="1"/>
  <c r="K578" i="3" l="1"/>
  <c r="L578" i="3"/>
  <c r="C579" i="3" s="1"/>
  <c r="J579" i="3" s="1"/>
  <c r="N579" i="3" s="1"/>
  <c r="E579" i="3"/>
  <c r="H579" i="3" l="1"/>
  <c r="M579" i="3" s="1"/>
  <c r="K579" i="3" l="1"/>
  <c r="L579" i="3"/>
  <c r="C580" i="3" s="1"/>
  <c r="J580" i="3" s="1"/>
  <c r="N580" i="3" s="1"/>
  <c r="E580" i="3"/>
  <c r="H580" i="3" l="1"/>
  <c r="M580" i="3" s="1"/>
  <c r="K580" i="3" l="1"/>
  <c r="L580" i="3"/>
  <c r="C581" i="3" s="1"/>
  <c r="J581" i="3" s="1"/>
  <c r="N581" i="3" s="1"/>
  <c r="E581" i="3"/>
  <c r="H581" i="3" l="1"/>
  <c r="M581" i="3" s="1"/>
  <c r="K581" i="3" l="1"/>
  <c r="L581" i="3"/>
  <c r="C582" i="3" s="1"/>
  <c r="J582" i="3" s="1"/>
  <c r="N582" i="3" s="1"/>
  <c r="E582" i="3"/>
  <c r="H582" i="3" l="1"/>
  <c r="M582" i="3" s="1"/>
  <c r="K582" i="3" l="1"/>
  <c r="L582" i="3"/>
  <c r="C583" i="3" s="1"/>
  <c r="J583" i="3" s="1"/>
  <c r="E583" i="3"/>
  <c r="I583" i="3" s="1"/>
  <c r="H583" i="3" l="1"/>
  <c r="M583" i="3" s="1"/>
  <c r="K583" i="3" l="1"/>
  <c r="N583" i="3" s="1"/>
  <c r="E584" i="3"/>
  <c r="L583" i="3" l="1"/>
  <c r="C584" i="3" s="1"/>
  <c r="J584" i="3" s="1"/>
  <c r="N584" i="3" s="1"/>
  <c r="H584" i="3"/>
  <c r="M584" i="3" s="1"/>
  <c r="K584" i="3" l="1"/>
  <c r="L584" i="3"/>
  <c r="C585" i="3" s="1"/>
  <c r="J585" i="3" s="1"/>
  <c r="N585" i="3" s="1"/>
  <c r="E585" i="3"/>
  <c r="H585" i="3" l="1"/>
  <c r="M585" i="3" s="1"/>
  <c r="K585" i="3" l="1"/>
  <c r="L585" i="3"/>
  <c r="C586" i="3" s="1"/>
  <c r="J586" i="3" s="1"/>
  <c r="N586" i="3" s="1"/>
  <c r="E586" i="3"/>
  <c r="H586" i="3" l="1"/>
  <c r="M586" i="3" s="1"/>
  <c r="K586" i="3" l="1"/>
  <c r="L586" i="3"/>
  <c r="C587" i="3" s="1"/>
  <c r="J587" i="3" s="1"/>
  <c r="N587" i="3" s="1"/>
  <c r="E587" i="3"/>
  <c r="H587" i="3" l="1"/>
  <c r="M587" i="3" s="1"/>
  <c r="K587" i="3" l="1"/>
  <c r="L587" i="3"/>
  <c r="C588" i="3" s="1"/>
  <c r="J588" i="3" s="1"/>
  <c r="N588" i="3" s="1"/>
  <c r="E588" i="3"/>
  <c r="H588" i="3" l="1"/>
  <c r="M588" i="3" s="1"/>
  <c r="K588" i="3" l="1"/>
  <c r="L588" i="3"/>
  <c r="C589" i="3" s="1"/>
  <c r="J589" i="3" s="1"/>
  <c r="N589" i="3" s="1"/>
  <c r="E589" i="3"/>
  <c r="H589" i="3" l="1"/>
  <c r="M589" i="3" s="1"/>
  <c r="K589" i="3" l="1"/>
  <c r="L589" i="3"/>
  <c r="C590" i="3" s="1"/>
  <c r="J590" i="3" s="1"/>
  <c r="E590" i="3"/>
  <c r="I590" i="3" s="1"/>
  <c r="H590" i="3" l="1"/>
  <c r="M590" i="3" s="1"/>
  <c r="K590" i="3" l="1"/>
  <c r="N590" i="3" s="1"/>
  <c r="E591" i="3"/>
  <c r="L590" i="3" l="1"/>
  <c r="C591" i="3" s="1"/>
  <c r="J591" i="3" s="1"/>
  <c r="N591" i="3" s="1"/>
  <c r="H591" i="3"/>
  <c r="M591" i="3" s="1"/>
  <c r="K591" i="3" l="1"/>
  <c r="L591" i="3"/>
  <c r="C592" i="3" s="1"/>
  <c r="J592" i="3" s="1"/>
  <c r="N592" i="3" s="1"/>
  <c r="E592" i="3"/>
  <c r="H592" i="3" l="1"/>
  <c r="M592" i="3" s="1"/>
  <c r="K592" i="3" l="1"/>
  <c r="L592" i="3"/>
  <c r="C593" i="3" s="1"/>
  <c r="J593" i="3" s="1"/>
  <c r="N593" i="3" s="1"/>
  <c r="E593" i="3"/>
  <c r="H593" i="3" l="1"/>
  <c r="M593" i="3" s="1"/>
  <c r="K593" i="3" l="1"/>
  <c r="L593" i="3"/>
  <c r="C594" i="3" s="1"/>
  <c r="J594" i="3" s="1"/>
  <c r="N594" i="3" s="1"/>
  <c r="E594" i="3"/>
  <c r="H594" i="3" l="1"/>
  <c r="M594" i="3" s="1"/>
  <c r="K594" i="3" l="1"/>
  <c r="L594" i="3"/>
  <c r="C595" i="3" s="1"/>
  <c r="J595" i="3" s="1"/>
  <c r="N595" i="3" s="1"/>
  <c r="E595" i="3"/>
  <c r="H595" i="3" l="1"/>
  <c r="M595" i="3" s="1"/>
  <c r="K595" i="3" l="1"/>
  <c r="L595" i="3"/>
  <c r="C596" i="3" s="1"/>
  <c r="J596" i="3" s="1"/>
  <c r="N596" i="3" s="1"/>
  <c r="E596" i="3"/>
  <c r="H596" i="3" l="1"/>
  <c r="M596" i="3" s="1"/>
  <c r="K596" i="3" l="1"/>
  <c r="L596" i="3"/>
  <c r="C597" i="3" s="1"/>
  <c r="J597" i="3" s="1"/>
  <c r="E597" i="3"/>
  <c r="I597" i="3" s="1"/>
  <c r="H597" i="3" l="1"/>
  <c r="M597" i="3" s="1"/>
  <c r="K597" i="3" l="1"/>
  <c r="N597" i="3" s="1"/>
  <c r="E598" i="3"/>
  <c r="L597" i="3" l="1"/>
  <c r="C598" i="3" s="1"/>
  <c r="J598" i="3" s="1"/>
  <c r="N598" i="3" s="1"/>
  <c r="H598" i="3"/>
  <c r="M598" i="3" s="1"/>
  <c r="K598" i="3" l="1"/>
  <c r="L598" i="3"/>
  <c r="C599" i="3" s="1"/>
  <c r="J599" i="3" s="1"/>
  <c r="N599" i="3" s="1"/>
  <c r="E599" i="3"/>
  <c r="H599" i="3" l="1"/>
  <c r="M599" i="3" s="1"/>
  <c r="K599" i="3" l="1"/>
  <c r="L599" i="3"/>
  <c r="C600" i="3" s="1"/>
  <c r="J600" i="3" s="1"/>
  <c r="N600" i="3" s="1"/>
  <c r="E600" i="3"/>
  <c r="H600" i="3" l="1"/>
  <c r="M600" i="3" s="1"/>
  <c r="K600" i="3" l="1"/>
  <c r="L600" i="3"/>
  <c r="C601" i="3" s="1"/>
  <c r="J601" i="3" s="1"/>
  <c r="N601" i="3" s="1"/>
  <c r="E601" i="3"/>
  <c r="H601" i="3" l="1"/>
  <c r="M601" i="3" s="1"/>
  <c r="K601" i="3" l="1"/>
  <c r="L601" i="3"/>
  <c r="C602" i="3" s="1"/>
  <c r="J602" i="3" s="1"/>
  <c r="N602" i="3" s="1"/>
  <c r="E602" i="3"/>
  <c r="H602" i="3" l="1"/>
  <c r="M602" i="3" s="1"/>
  <c r="K602" i="3" l="1"/>
  <c r="L602" i="3"/>
  <c r="C603" i="3" s="1"/>
  <c r="J603" i="3" s="1"/>
  <c r="N603" i="3" s="1"/>
  <c r="E603" i="3"/>
  <c r="H603" i="3" l="1"/>
  <c r="M603" i="3" s="1"/>
  <c r="K603" i="3" l="1"/>
  <c r="L603" i="3"/>
  <c r="C604" i="3" s="1"/>
  <c r="J604" i="3" s="1"/>
  <c r="E604" i="3"/>
  <c r="I604" i="3" s="1"/>
  <c r="H604" i="3" l="1"/>
  <c r="M604" i="3" s="1"/>
  <c r="K604" i="3" l="1"/>
  <c r="N604" i="3" s="1"/>
  <c r="E605" i="3"/>
  <c r="L604" i="3" l="1"/>
  <c r="C605" i="3" s="1"/>
  <c r="J605" i="3" s="1"/>
  <c r="N605" i="3" s="1"/>
  <c r="H605" i="3"/>
  <c r="M605" i="3" s="1"/>
  <c r="K605" i="3" l="1"/>
  <c r="L605" i="3"/>
  <c r="C606" i="3" s="1"/>
  <c r="J606" i="3" s="1"/>
  <c r="N606" i="3" s="1"/>
  <c r="E606" i="3"/>
  <c r="H606" i="3" l="1"/>
  <c r="M606" i="3" s="1"/>
  <c r="K606" i="3" l="1"/>
  <c r="L606" i="3"/>
  <c r="C607" i="3" s="1"/>
  <c r="J607" i="3" s="1"/>
  <c r="N607" i="3" s="1"/>
  <c r="E607" i="3"/>
  <c r="H607" i="3" l="1"/>
  <c r="M607" i="3" s="1"/>
  <c r="K607" i="3" l="1"/>
  <c r="L607" i="3"/>
  <c r="C608" i="3" s="1"/>
  <c r="J608" i="3" s="1"/>
  <c r="N608" i="3" s="1"/>
  <c r="E608" i="3"/>
  <c r="H608" i="3" l="1"/>
  <c r="M608" i="3" s="1"/>
  <c r="K608" i="3" l="1"/>
  <c r="L608" i="3"/>
  <c r="C609" i="3" s="1"/>
  <c r="J609" i="3" s="1"/>
  <c r="N609" i="3" s="1"/>
  <c r="E609" i="3"/>
  <c r="H609" i="3" l="1"/>
  <c r="M609" i="3" s="1"/>
  <c r="K609" i="3" l="1"/>
  <c r="L609" i="3"/>
  <c r="C610" i="3" s="1"/>
  <c r="J610" i="3" s="1"/>
  <c r="N610" i="3" s="1"/>
  <c r="E610" i="3"/>
  <c r="H610" i="3" l="1"/>
  <c r="M610" i="3" s="1"/>
  <c r="K610" i="3" l="1"/>
  <c r="L610" i="3"/>
  <c r="C611" i="3" s="1"/>
  <c r="J611" i="3" s="1"/>
  <c r="E611" i="3"/>
  <c r="I611" i="3" s="1"/>
  <c r="H611" i="3" l="1"/>
  <c r="M611" i="3" s="1"/>
  <c r="K611" i="3" l="1"/>
  <c r="N611" i="3" s="1"/>
  <c r="E612" i="3"/>
  <c r="L611" i="3" l="1"/>
  <c r="C612" i="3" s="1"/>
  <c r="J612" i="3" s="1"/>
  <c r="N612" i="3" s="1"/>
  <c r="H612" i="3"/>
  <c r="M612" i="3" s="1"/>
  <c r="K612" i="3" l="1"/>
  <c r="L612" i="3"/>
  <c r="C613" i="3" s="1"/>
  <c r="J613" i="3" s="1"/>
  <c r="N613" i="3" s="1"/>
  <c r="E613" i="3"/>
  <c r="H613" i="3" l="1"/>
  <c r="M613" i="3" s="1"/>
  <c r="K613" i="3" l="1"/>
  <c r="L613" i="3"/>
  <c r="C614" i="3" s="1"/>
  <c r="J614" i="3" s="1"/>
  <c r="N614" i="3" s="1"/>
  <c r="E614" i="3"/>
  <c r="H614" i="3" l="1"/>
  <c r="M614" i="3" s="1"/>
  <c r="K614" i="3" l="1"/>
  <c r="E615" i="3" s="1"/>
  <c r="L614" i="3"/>
  <c r="C615" i="3" s="1"/>
  <c r="J615" i="3" s="1"/>
  <c r="N615" i="3" s="1"/>
  <c r="H615" i="3" l="1"/>
  <c r="M615" i="3" s="1"/>
  <c r="K615" i="3" l="1"/>
  <c r="L615" i="3"/>
  <c r="C616" i="3" s="1"/>
  <c r="J616" i="3" s="1"/>
  <c r="N616" i="3" s="1"/>
  <c r="E616" i="3"/>
  <c r="H616" i="3" l="1"/>
  <c r="M616" i="3" s="1"/>
  <c r="K616" i="3" l="1"/>
  <c r="L616" i="3"/>
  <c r="C617" i="3" s="1"/>
  <c r="J617" i="3" s="1"/>
  <c r="N617" i="3" s="1"/>
  <c r="E617" i="3"/>
  <c r="H617" i="3" l="1"/>
  <c r="M617" i="3" s="1"/>
  <c r="K617" i="3" l="1"/>
  <c r="L617" i="3"/>
  <c r="C618" i="3" s="1"/>
  <c r="J618" i="3" s="1"/>
  <c r="E618" i="3"/>
  <c r="I618" i="3" s="1"/>
  <c r="H618" i="3" l="1"/>
  <c r="M618" i="3" s="1"/>
  <c r="K618" i="3" l="1"/>
  <c r="N618" i="3" s="1"/>
  <c r="E619" i="3"/>
  <c r="L618" i="3" l="1"/>
  <c r="C619" i="3" s="1"/>
  <c r="J619" i="3" s="1"/>
  <c r="N619" i="3" s="1"/>
  <c r="H619" i="3"/>
  <c r="M619" i="3" s="1"/>
  <c r="K619" i="3" l="1"/>
  <c r="L619" i="3"/>
  <c r="C620" i="3" s="1"/>
  <c r="J620" i="3" s="1"/>
  <c r="N620" i="3" s="1"/>
  <c r="E620" i="3"/>
  <c r="H620" i="3" l="1"/>
  <c r="M620" i="3" s="1"/>
  <c r="K620" i="3" l="1"/>
  <c r="L620" i="3"/>
  <c r="C621" i="3" s="1"/>
  <c r="J621" i="3" s="1"/>
  <c r="N621" i="3" s="1"/>
  <c r="E621" i="3"/>
  <c r="H621" i="3" l="1"/>
  <c r="M621" i="3" s="1"/>
  <c r="K621" i="3" l="1"/>
  <c r="L621" i="3"/>
  <c r="C622" i="3" s="1"/>
  <c r="J622" i="3" s="1"/>
  <c r="N622" i="3" s="1"/>
  <c r="E622" i="3"/>
  <c r="H622" i="3" l="1"/>
  <c r="M622" i="3" s="1"/>
  <c r="K622" i="3" l="1"/>
  <c r="L622" i="3"/>
  <c r="C623" i="3" s="1"/>
  <c r="J623" i="3" s="1"/>
  <c r="N623" i="3" s="1"/>
  <c r="E623" i="3"/>
  <c r="H623" i="3" l="1"/>
  <c r="M623" i="3" s="1"/>
  <c r="K623" i="3" l="1"/>
  <c r="L623" i="3"/>
  <c r="C624" i="3" s="1"/>
  <c r="J624" i="3" s="1"/>
  <c r="N624" i="3" s="1"/>
  <c r="E624" i="3"/>
  <c r="H624" i="3" l="1"/>
  <c r="M624" i="3" s="1"/>
  <c r="K624" i="3" l="1"/>
  <c r="L624" i="3"/>
  <c r="C625" i="3" s="1"/>
  <c r="J625" i="3" s="1"/>
  <c r="E625" i="3"/>
  <c r="I625" i="3" s="1"/>
  <c r="H625" i="3" l="1"/>
  <c r="M625" i="3" s="1"/>
  <c r="K625" i="3" l="1"/>
  <c r="N625" i="3" s="1"/>
  <c r="E626" i="3" l="1"/>
  <c r="L625" i="3"/>
  <c r="C626" i="3" s="1"/>
  <c r="J626" i="3" s="1"/>
  <c r="N626" i="3" s="1"/>
  <c r="H626" i="3"/>
  <c r="M626" i="3" s="1"/>
  <c r="K626" i="3" l="1"/>
  <c r="L626" i="3"/>
  <c r="C627" i="3" s="1"/>
  <c r="J627" i="3" s="1"/>
  <c r="N627" i="3" s="1"/>
  <c r="E627" i="3"/>
  <c r="H627" i="3" l="1"/>
  <c r="M627" i="3" s="1"/>
  <c r="K627" i="3" l="1"/>
  <c r="L627" i="3"/>
  <c r="C628" i="3" s="1"/>
  <c r="J628" i="3" s="1"/>
  <c r="N628" i="3" s="1"/>
  <c r="E628" i="3"/>
  <c r="H628" i="3" l="1"/>
  <c r="M628" i="3" s="1"/>
  <c r="K628" i="3" l="1"/>
  <c r="L628" i="3"/>
  <c r="C629" i="3" s="1"/>
  <c r="J629" i="3" s="1"/>
  <c r="N629" i="3" s="1"/>
  <c r="E629" i="3"/>
  <c r="H629" i="3" l="1"/>
  <c r="M629" i="3" s="1"/>
  <c r="K629" i="3" l="1"/>
  <c r="L629" i="3"/>
  <c r="C630" i="3" s="1"/>
  <c r="J630" i="3" s="1"/>
  <c r="N630" i="3" s="1"/>
  <c r="E630" i="3"/>
  <c r="H630" i="3" l="1"/>
  <c r="M630" i="3" s="1"/>
  <c r="K630" i="3" l="1"/>
  <c r="L630" i="3"/>
  <c r="C631" i="3" s="1"/>
  <c r="J631" i="3" s="1"/>
  <c r="N631" i="3" s="1"/>
  <c r="E631" i="3"/>
  <c r="H631" i="3" l="1"/>
  <c r="M631" i="3" s="1"/>
  <c r="K631" i="3" l="1"/>
  <c r="L631" i="3"/>
  <c r="C632" i="3" s="1"/>
  <c r="J632" i="3" s="1"/>
  <c r="E632" i="3"/>
  <c r="I632" i="3" s="1"/>
  <c r="H632" i="3" l="1"/>
  <c r="M632" i="3" s="1"/>
  <c r="K632" i="3" l="1"/>
  <c r="E633" i="3" l="1"/>
  <c r="N632" i="3"/>
  <c r="L632" i="3"/>
  <c r="C633" i="3" s="1"/>
  <c r="H633" i="3"/>
  <c r="M633" i="3" s="1"/>
  <c r="J633" i="3" l="1"/>
  <c r="N633" i="3" s="1"/>
  <c r="L633" i="3"/>
  <c r="C634" i="3" s="1"/>
  <c r="J634" i="3" s="1"/>
  <c r="N634" i="3" s="1"/>
  <c r="K633" i="3" l="1"/>
  <c r="E634" i="3" s="1"/>
  <c r="H634" i="3"/>
  <c r="M634" i="3" s="1"/>
  <c r="K634" i="3" l="1"/>
  <c r="L634" i="3"/>
  <c r="C635" i="3" s="1"/>
  <c r="J635" i="3" s="1"/>
  <c r="N635" i="3" s="1"/>
  <c r="E635" i="3"/>
  <c r="H635" i="3" l="1"/>
  <c r="M635" i="3" s="1"/>
  <c r="K635" i="3" l="1"/>
  <c r="L635" i="3"/>
  <c r="C636" i="3" s="1"/>
  <c r="J636" i="3" s="1"/>
  <c r="N636" i="3" s="1"/>
  <c r="E636" i="3"/>
  <c r="H636" i="3" l="1"/>
  <c r="M636" i="3" s="1"/>
  <c r="K636" i="3" l="1"/>
  <c r="L636" i="3"/>
  <c r="C637" i="3" s="1"/>
  <c r="J637" i="3" s="1"/>
  <c r="N637" i="3" s="1"/>
  <c r="E637" i="3"/>
  <c r="H637" i="3" l="1"/>
  <c r="M637" i="3" s="1"/>
  <c r="K637" i="3" l="1"/>
  <c r="L637" i="3"/>
  <c r="C638" i="3" s="1"/>
  <c r="J638" i="3" s="1"/>
  <c r="N638" i="3" s="1"/>
  <c r="E638" i="3"/>
  <c r="H638" i="3" l="1"/>
  <c r="M638" i="3" s="1"/>
  <c r="K638" i="3" l="1"/>
  <c r="L638" i="3"/>
  <c r="C639" i="3" s="1"/>
  <c r="J639" i="3" s="1"/>
  <c r="E639" i="3"/>
  <c r="I639" i="3" s="1"/>
  <c r="H639" i="3" l="1"/>
  <c r="M639" i="3" s="1"/>
  <c r="K639" i="3" l="1"/>
  <c r="N639" i="3" s="1"/>
  <c r="E640" i="3"/>
  <c r="L639" i="3" l="1"/>
  <c r="C640" i="3" s="1"/>
  <c r="J640" i="3" s="1"/>
  <c r="N640" i="3" s="1"/>
  <c r="H640" i="3"/>
  <c r="M640" i="3" s="1"/>
  <c r="K640" i="3" l="1"/>
  <c r="L640" i="3"/>
  <c r="C641" i="3" s="1"/>
  <c r="J641" i="3" s="1"/>
  <c r="N641" i="3" s="1"/>
  <c r="E641" i="3"/>
  <c r="H641" i="3" l="1"/>
  <c r="M641" i="3" s="1"/>
  <c r="K641" i="3" l="1"/>
  <c r="E642" i="3" s="1"/>
  <c r="L641" i="3"/>
  <c r="C642" i="3" s="1"/>
  <c r="J642" i="3" s="1"/>
  <c r="N642" i="3" s="1"/>
  <c r="H642" i="3" l="1"/>
  <c r="M642" i="3" s="1"/>
  <c r="K642" i="3" l="1"/>
  <c r="L642" i="3"/>
  <c r="C643" i="3" s="1"/>
  <c r="J643" i="3" s="1"/>
  <c r="N643" i="3" s="1"/>
  <c r="E643" i="3"/>
  <c r="H643" i="3" l="1"/>
  <c r="M643" i="3" s="1"/>
  <c r="K643" i="3" l="1"/>
  <c r="L643" i="3"/>
  <c r="C644" i="3" s="1"/>
  <c r="J644" i="3" s="1"/>
  <c r="N644" i="3" s="1"/>
  <c r="E644" i="3"/>
  <c r="H644" i="3" l="1"/>
  <c r="M644" i="3" s="1"/>
  <c r="K644" i="3" l="1"/>
  <c r="L644" i="3"/>
  <c r="C645" i="3" s="1"/>
  <c r="J645" i="3" s="1"/>
  <c r="N645" i="3" s="1"/>
  <c r="E645" i="3"/>
  <c r="H645" i="3" l="1"/>
  <c r="M645" i="3" s="1"/>
  <c r="K645" i="3" l="1"/>
  <c r="L645" i="3"/>
  <c r="C646" i="3" s="1"/>
  <c r="J646" i="3" s="1"/>
  <c r="E646" i="3"/>
  <c r="I646" i="3" s="1"/>
  <c r="H646" i="3" l="1"/>
  <c r="M646" i="3" s="1"/>
  <c r="K646" i="3" l="1"/>
  <c r="N646" i="3" s="1"/>
  <c r="E647" i="3"/>
  <c r="L646" i="3" l="1"/>
  <c r="C647" i="3" s="1"/>
  <c r="J647" i="3" s="1"/>
  <c r="N647" i="3" s="1"/>
  <c r="H647" i="3"/>
  <c r="M647" i="3" s="1"/>
  <c r="K647" i="3" l="1"/>
  <c r="L647" i="3"/>
  <c r="C648" i="3" s="1"/>
  <c r="J648" i="3" s="1"/>
  <c r="N648" i="3" s="1"/>
  <c r="E648" i="3"/>
  <c r="H648" i="3" l="1"/>
  <c r="M648" i="3" s="1"/>
  <c r="K648" i="3" l="1"/>
  <c r="L648" i="3"/>
  <c r="C649" i="3" s="1"/>
  <c r="J649" i="3" s="1"/>
  <c r="N649" i="3" s="1"/>
  <c r="E649" i="3"/>
  <c r="H649" i="3" l="1"/>
  <c r="M649" i="3" s="1"/>
  <c r="K649" i="3" l="1"/>
  <c r="L649" i="3"/>
  <c r="C650" i="3" s="1"/>
  <c r="J650" i="3" s="1"/>
  <c r="N650" i="3" s="1"/>
  <c r="E650" i="3"/>
  <c r="H650" i="3" l="1"/>
  <c r="M650" i="3" s="1"/>
  <c r="K650" i="3" l="1"/>
  <c r="L650" i="3"/>
  <c r="C651" i="3" s="1"/>
  <c r="J651" i="3" s="1"/>
  <c r="N651" i="3" s="1"/>
  <c r="E651" i="3"/>
  <c r="H651" i="3" l="1"/>
  <c r="M651" i="3" s="1"/>
  <c r="K651" i="3" l="1"/>
  <c r="L651" i="3"/>
  <c r="C652" i="3" s="1"/>
  <c r="J652" i="3" s="1"/>
  <c r="N652" i="3" s="1"/>
  <c r="E652" i="3"/>
  <c r="H652" i="3" l="1"/>
  <c r="M652" i="3" s="1"/>
  <c r="K652" i="3" l="1"/>
  <c r="L652" i="3"/>
  <c r="C653" i="3" s="1"/>
  <c r="J653" i="3" s="1"/>
  <c r="E653" i="3"/>
  <c r="I653" i="3" s="1"/>
  <c r="H653" i="3" l="1"/>
  <c r="M653" i="3" s="1"/>
  <c r="K653" i="3" l="1"/>
  <c r="N653" i="3" s="1"/>
  <c r="E654" i="3"/>
  <c r="L653" i="3" l="1"/>
  <c r="C654" i="3" s="1"/>
  <c r="J654" i="3" s="1"/>
  <c r="N654" i="3" s="1"/>
  <c r="H654" i="3"/>
  <c r="M654" i="3" s="1"/>
  <c r="K654" i="3" l="1"/>
  <c r="L654" i="3"/>
  <c r="C655" i="3" s="1"/>
  <c r="J655" i="3" s="1"/>
  <c r="N655" i="3" s="1"/>
  <c r="E655" i="3"/>
  <c r="H655" i="3" l="1"/>
  <c r="M655" i="3" s="1"/>
  <c r="K655" i="3" l="1"/>
  <c r="L655" i="3"/>
  <c r="C656" i="3" s="1"/>
  <c r="J656" i="3" s="1"/>
  <c r="N656" i="3" s="1"/>
  <c r="E656" i="3"/>
  <c r="H656" i="3" l="1"/>
  <c r="M656" i="3" s="1"/>
  <c r="K656" i="3" l="1"/>
  <c r="E657" i="3" s="1"/>
  <c r="L656" i="3"/>
  <c r="C657" i="3" s="1"/>
  <c r="J657" i="3" s="1"/>
  <c r="N657" i="3" s="1"/>
  <c r="H657" i="3" l="1"/>
  <c r="M657" i="3" s="1"/>
  <c r="K657" i="3" l="1"/>
  <c r="L657" i="3"/>
  <c r="C658" i="3" s="1"/>
  <c r="J658" i="3" s="1"/>
  <c r="N658" i="3" s="1"/>
  <c r="E658" i="3"/>
  <c r="H658" i="3" l="1"/>
  <c r="M658" i="3" s="1"/>
  <c r="K658" i="3" l="1"/>
  <c r="E659" i="3" s="1"/>
  <c r="L658" i="3"/>
  <c r="C659" i="3" s="1"/>
  <c r="J659" i="3" s="1"/>
  <c r="N659" i="3" s="1"/>
  <c r="H659" i="3" l="1"/>
  <c r="M659" i="3" s="1"/>
  <c r="K659" i="3" l="1"/>
  <c r="L659" i="3"/>
  <c r="C660" i="3" s="1"/>
  <c r="J660" i="3" s="1"/>
  <c r="E660" i="3"/>
  <c r="I660" i="3" s="1"/>
  <c r="H660" i="3" l="1"/>
  <c r="M660" i="3" s="1"/>
  <c r="K660" i="3" l="1"/>
  <c r="N660" i="3" s="1"/>
  <c r="E661" i="3"/>
  <c r="L660" i="3" l="1"/>
  <c r="C661" i="3" s="1"/>
  <c r="J661" i="3" s="1"/>
  <c r="N661" i="3" s="1"/>
  <c r="H661" i="3"/>
  <c r="M661" i="3" s="1"/>
  <c r="K661" i="3" l="1"/>
  <c r="L661" i="3"/>
  <c r="C662" i="3" s="1"/>
  <c r="J662" i="3" s="1"/>
  <c r="N662" i="3" s="1"/>
  <c r="E662" i="3"/>
  <c r="H662" i="3" l="1"/>
  <c r="M662" i="3" s="1"/>
  <c r="K662" i="3" l="1"/>
  <c r="L662" i="3"/>
  <c r="C663" i="3" s="1"/>
  <c r="J663" i="3" s="1"/>
  <c r="N663" i="3" s="1"/>
  <c r="E663" i="3"/>
  <c r="H663" i="3" l="1"/>
  <c r="M663" i="3" s="1"/>
  <c r="K663" i="3" l="1"/>
  <c r="L663" i="3"/>
  <c r="C664" i="3" s="1"/>
  <c r="J664" i="3" s="1"/>
  <c r="N664" i="3" s="1"/>
  <c r="E664" i="3"/>
  <c r="H664" i="3" l="1"/>
  <c r="M664" i="3" s="1"/>
  <c r="K664" i="3" l="1"/>
  <c r="L664" i="3"/>
  <c r="C665" i="3" s="1"/>
  <c r="J665" i="3" s="1"/>
  <c r="N665" i="3" s="1"/>
  <c r="E665" i="3"/>
  <c r="H665" i="3" l="1"/>
  <c r="M665" i="3" s="1"/>
  <c r="K665" i="3" l="1"/>
  <c r="L665" i="3"/>
  <c r="C666" i="3" s="1"/>
  <c r="J666" i="3" s="1"/>
  <c r="N666" i="3" s="1"/>
  <c r="E666" i="3"/>
  <c r="H666" i="3" l="1"/>
  <c r="M666" i="3" s="1"/>
  <c r="K666" i="3" l="1"/>
  <c r="L666" i="3"/>
  <c r="C667" i="3" s="1"/>
  <c r="J667" i="3" s="1"/>
  <c r="E667" i="3"/>
  <c r="I667" i="3" s="1"/>
  <c r="H667" i="3" l="1"/>
  <c r="M667" i="3" s="1"/>
  <c r="K667" i="3" l="1"/>
  <c r="N667" i="3" s="1"/>
  <c r="E668" i="3"/>
  <c r="L667" i="3" l="1"/>
  <c r="C668" i="3" s="1"/>
  <c r="J668" i="3" s="1"/>
  <c r="N668" i="3" s="1"/>
  <c r="H668" i="3"/>
  <c r="M668" i="3" s="1"/>
  <c r="K668" i="3" l="1"/>
  <c r="L668" i="3"/>
  <c r="C669" i="3" s="1"/>
  <c r="J669" i="3" s="1"/>
  <c r="N669" i="3" s="1"/>
  <c r="E669" i="3"/>
  <c r="H669" i="3" l="1"/>
  <c r="M669" i="3" s="1"/>
  <c r="K669" i="3" l="1"/>
  <c r="L669" i="3"/>
  <c r="C670" i="3" s="1"/>
  <c r="J670" i="3" s="1"/>
  <c r="N670" i="3" s="1"/>
  <c r="E670" i="3"/>
  <c r="H670" i="3" l="1"/>
  <c r="M670" i="3" s="1"/>
  <c r="K670" i="3" l="1"/>
  <c r="L670" i="3"/>
  <c r="C671" i="3" s="1"/>
  <c r="J671" i="3" s="1"/>
  <c r="N671" i="3" s="1"/>
  <c r="E671" i="3"/>
  <c r="H671" i="3" l="1"/>
  <c r="M671" i="3" s="1"/>
  <c r="K671" i="3" l="1"/>
  <c r="E672" i="3" s="1"/>
  <c r="L671" i="3"/>
  <c r="C672" i="3" s="1"/>
  <c r="J672" i="3" s="1"/>
  <c r="N672" i="3" s="1"/>
  <c r="H672" i="3" l="1"/>
  <c r="M672" i="3" s="1"/>
  <c r="K672" i="3" l="1"/>
  <c r="E673" i="3" s="1"/>
  <c r="L672" i="3"/>
  <c r="C673" i="3" s="1"/>
  <c r="J673" i="3" s="1"/>
  <c r="N673" i="3" s="1"/>
  <c r="H673" i="3" l="1"/>
  <c r="M673" i="3" s="1"/>
  <c r="K673" i="3" l="1"/>
  <c r="L673" i="3"/>
  <c r="C674" i="3" s="1"/>
  <c r="J674" i="3" s="1"/>
  <c r="E674" i="3"/>
  <c r="I674" i="3" s="1"/>
  <c r="H674" i="3" l="1"/>
  <c r="M674" i="3" s="1"/>
  <c r="K674" i="3" l="1"/>
  <c r="E675" i="3" l="1"/>
  <c r="N674" i="3"/>
  <c r="L674" i="3"/>
  <c r="C675" i="3" s="1"/>
  <c r="J675" i="3" s="1"/>
  <c r="N675" i="3" s="1"/>
  <c r="H675" i="3"/>
  <c r="M675" i="3" s="1"/>
  <c r="K675" i="3" l="1"/>
  <c r="L675" i="3"/>
  <c r="C676" i="3" s="1"/>
  <c r="J676" i="3" s="1"/>
  <c r="N676" i="3" s="1"/>
  <c r="E676" i="3"/>
  <c r="H676" i="3" l="1"/>
  <c r="M676" i="3" s="1"/>
  <c r="K676" i="3" l="1"/>
  <c r="L676" i="3"/>
  <c r="C677" i="3" s="1"/>
  <c r="J677" i="3" s="1"/>
  <c r="N677" i="3" s="1"/>
  <c r="E677" i="3"/>
  <c r="H677" i="3" l="1"/>
  <c r="M677" i="3" s="1"/>
  <c r="K677" i="3" l="1"/>
  <c r="L677" i="3"/>
  <c r="C678" i="3" s="1"/>
  <c r="J678" i="3" s="1"/>
  <c r="N678" i="3" s="1"/>
  <c r="E678" i="3"/>
  <c r="H678" i="3" l="1"/>
  <c r="M678" i="3" s="1"/>
  <c r="K678" i="3" l="1"/>
  <c r="L678" i="3"/>
  <c r="C679" i="3" s="1"/>
  <c r="J679" i="3" s="1"/>
  <c r="N679" i="3" s="1"/>
  <c r="E679" i="3"/>
  <c r="H679" i="3" l="1"/>
  <c r="M679" i="3" s="1"/>
  <c r="K679" i="3" l="1"/>
  <c r="L679" i="3"/>
  <c r="C680" i="3" s="1"/>
  <c r="J680" i="3" s="1"/>
  <c r="N680" i="3" s="1"/>
  <c r="E680" i="3"/>
  <c r="H680" i="3" l="1"/>
  <c r="M680" i="3" s="1"/>
  <c r="K680" i="3" l="1"/>
  <c r="L680" i="3"/>
  <c r="C681" i="3" s="1"/>
  <c r="J681" i="3" s="1"/>
  <c r="E681" i="3"/>
  <c r="I681" i="3" s="1"/>
  <c r="H681" i="3" l="1"/>
  <c r="M681" i="3" s="1"/>
  <c r="K681" i="3" l="1"/>
  <c r="N681" i="3" s="1"/>
  <c r="E682" i="3"/>
  <c r="L681" i="3" l="1"/>
  <c r="C682" i="3" s="1"/>
  <c r="J682" i="3" s="1"/>
  <c r="N682" i="3" s="1"/>
  <c r="H682" i="3"/>
  <c r="M682" i="3" s="1"/>
  <c r="K682" i="3" l="1"/>
  <c r="L682" i="3"/>
  <c r="C683" i="3" s="1"/>
  <c r="J683" i="3" s="1"/>
  <c r="N683" i="3" s="1"/>
  <c r="E683" i="3"/>
  <c r="H683" i="3" l="1"/>
  <c r="M683" i="3" s="1"/>
  <c r="K683" i="3" l="1"/>
  <c r="E684" i="3" s="1"/>
  <c r="L683" i="3"/>
  <c r="C684" i="3" s="1"/>
  <c r="J684" i="3" s="1"/>
  <c r="N684" i="3" s="1"/>
  <c r="H684" i="3" l="1"/>
  <c r="M684" i="3" s="1"/>
  <c r="K684" i="3" l="1"/>
  <c r="L684" i="3"/>
  <c r="C685" i="3" s="1"/>
  <c r="J685" i="3" s="1"/>
  <c r="N685" i="3" s="1"/>
  <c r="E685" i="3"/>
  <c r="H685" i="3" l="1"/>
  <c r="M685" i="3" s="1"/>
  <c r="K685" i="3" l="1"/>
  <c r="L685" i="3"/>
  <c r="C686" i="3" s="1"/>
  <c r="J686" i="3" s="1"/>
  <c r="N686" i="3" s="1"/>
  <c r="E686" i="3"/>
  <c r="H686" i="3" l="1"/>
  <c r="M686" i="3" s="1"/>
  <c r="K686" i="3" l="1"/>
  <c r="L686" i="3"/>
  <c r="C687" i="3" s="1"/>
  <c r="J687" i="3" s="1"/>
  <c r="N687" i="3" s="1"/>
  <c r="E687" i="3"/>
  <c r="H687" i="3" l="1"/>
  <c r="M687" i="3" s="1"/>
  <c r="K687" i="3" l="1"/>
  <c r="L687" i="3"/>
  <c r="C688" i="3" s="1"/>
  <c r="J688" i="3" s="1"/>
  <c r="E688" i="3"/>
  <c r="I688" i="3" s="1"/>
  <c r="H688" i="3" l="1"/>
  <c r="M688" i="3" s="1"/>
  <c r="K688" i="3" l="1"/>
  <c r="N688" i="3" s="1"/>
  <c r="E689" i="3"/>
  <c r="L688" i="3" l="1"/>
  <c r="C689" i="3" s="1"/>
  <c r="J689" i="3" s="1"/>
  <c r="N689" i="3" s="1"/>
  <c r="H689" i="3"/>
  <c r="M689" i="3" s="1"/>
  <c r="K689" i="3" l="1"/>
  <c r="L689" i="3"/>
  <c r="C690" i="3" s="1"/>
  <c r="J690" i="3" s="1"/>
  <c r="N690" i="3" s="1"/>
  <c r="E690" i="3"/>
  <c r="H690" i="3" l="1"/>
  <c r="M690" i="3" s="1"/>
  <c r="K690" i="3" l="1"/>
  <c r="L690" i="3"/>
  <c r="C691" i="3" s="1"/>
  <c r="J691" i="3" s="1"/>
  <c r="N691" i="3" s="1"/>
  <c r="E691" i="3"/>
  <c r="H691" i="3" l="1"/>
  <c r="M691" i="3" s="1"/>
  <c r="K691" i="3" l="1"/>
  <c r="L691" i="3"/>
  <c r="C692" i="3" s="1"/>
  <c r="J692" i="3" s="1"/>
  <c r="N692" i="3" s="1"/>
  <c r="E692" i="3"/>
  <c r="H692" i="3" l="1"/>
  <c r="M692" i="3" s="1"/>
  <c r="K692" i="3" l="1"/>
  <c r="L692" i="3"/>
  <c r="C693" i="3" s="1"/>
  <c r="J693" i="3" s="1"/>
  <c r="N693" i="3" s="1"/>
  <c r="E693" i="3"/>
  <c r="H693" i="3" l="1"/>
  <c r="M693" i="3" s="1"/>
  <c r="K693" i="3" l="1"/>
  <c r="L693" i="3"/>
  <c r="C694" i="3" s="1"/>
  <c r="J694" i="3" s="1"/>
  <c r="N694" i="3" s="1"/>
  <c r="E694" i="3"/>
  <c r="H694" i="3" l="1"/>
  <c r="M694" i="3" s="1"/>
  <c r="K694" i="3" l="1"/>
  <c r="L694" i="3"/>
  <c r="C695" i="3" s="1"/>
  <c r="J695" i="3" s="1"/>
  <c r="E695" i="3"/>
  <c r="I695" i="3" s="1"/>
  <c r="H695" i="3" l="1"/>
  <c r="M695" i="3" s="1"/>
  <c r="K695" i="3" l="1"/>
  <c r="N695" i="3" s="1"/>
  <c r="E696" i="3"/>
  <c r="L695" i="3" l="1"/>
  <c r="C696" i="3" s="1"/>
  <c r="J696" i="3" s="1"/>
  <c r="N696" i="3" s="1"/>
  <c r="H696" i="3"/>
  <c r="M696" i="3" s="1"/>
  <c r="K696" i="3" l="1"/>
  <c r="L696" i="3"/>
  <c r="C697" i="3" s="1"/>
  <c r="J697" i="3" s="1"/>
  <c r="N697" i="3" s="1"/>
  <c r="E697" i="3"/>
  <c r="H697" i="3" l="1"/>
  <c r="M697" i="3" s="1"/>
  <c r="K697" i="3" l="1"/>
  <c r="E698" i="3" s="1"/>
  <c r="L697" i="3"/>
  <c r="C698" i="3" s="1"/>
  <c r="J698" i="3" s="1"/>
  <c r="N698" i="3" s="1"/>
  <c r="H698" i="3" l="1"/>
  <c r="M698" i="3" s="1"/>
  <c r="K698" i="3" l="1"/>
  <c r="L698" i="3"/>
  <c r="C699" i="3" s="1"/>
  <c r="J699" i="3" s="1"/>
  <c r="N699" i="3" s="1"/>
  <c r="E699" i="3"/>
  <c r="H699" i="3" l="1"/>
  <c r="M699" i="3" s="1"/>
  <c r="K699" i="3" l="1"/>
  <c r="L699" i="3"/>
  <c r="C700" i="3" s="1"/>
  <c r="J700" i="3" s="1"/>
  <c r="N700" i="3" s="1"/>
  <c r="E700" i="3"/>
  <c r="H700" i="3" l="1"/>
  <c r="M700" i="3" s="1"/>
  <c r="K700" i="3" l="1"/>
  <c r="L700" i="3"/>
  <c r="C701" i="3" s="1"/>
  <c r="J701" i="3" s="1"/>
  <c r="N701" i="3" s="1"/>
  <c r="E701" i="3"/>
  <c r="H701" i="3" l="1"/>
  <c r="M701" i="3" s="1"/>
  <c r="K701" i="3" l="1"/>
  <c r="L701" i="3"/>
  <c r="C702" i="3" s="1"/>
  <c r="J702" i="3" s="1"/>
  <c r="E702" i="3"/>
  <c r="I702" i="3" s="1"/>
  <c r="H702" i="3" l="1"/>
  <c r="M702" i="3" s="1"/>
  <c r="K702" i="3" l="1"/>
  <c r="N702" i="3" s="1"/>
  <c r="E703" i="3"/>
  <c r="L702" i="3" l="1"/>
  <c r="C703" i="3" s="1"/>
  <c r="J703" i="3" s="1"/>
  <c r="N703" i="3" s="1"/>
  <c r="H703" i="3"/>
  <c r="M703" i="3" s="1"/>
  <c r="K703" i="3" l="1"/>
  <c r="E704" i="3" s="1"/>
  <c r="L703" i="3"/>
  <c r="C704" i="3" s="1"/>
  <c r="J704" i="3" s="1"/>
  <c r="N704" i="3" s="1"/>
  <c r="H704" i="3" l="1"/>
  <c r="M704" i="3" s="1"/>
  <c r="K704" i="3" l="1"/>
  <c r="L704" i="3"/>
  <c r="C705" i="3" s="1"/>
  <c r="J705" i="3" s="1"/>
  <c r="N705" i="3" s="1"/>
  <c r="E705" i="3"/>
  <c r="H705" i="3" l="1"/>
  <c r="M705" i="3" s="1"/>
  <c r="K705" i="3" l="1"/>
  <c r="L705" i="3"/>
  <c r="C706" i="3" s="1"/>
  <c r="J706" i="3" s="1"/>
  <c r="N706" i="3" s="1"/>
  <c r="E706" i="3"/>
  <c r="H706" i="3" l="1"/>
  <c r="M706" i="3" s="1"/>
  <c r="K706" i="3" l="1"/>
  <c r="L706" i="3"/>
  <c r="C707" i="3" s="1"/>
  <c r="J707" i="3" s="1"/>
  <c r="N707" i="3" s="1"/>
  <c r="E707" i="3"/>
  <c r="H707" i="3" l="1"/>
  <c r="M707" i="3" s="1"/>
  <c r="K707" i="3" l="1"/>
  <c r="L707" i="3"/>
  <c r="C708" i="3" s="1"/>
  <c r="J708" i="3" s="1"/>
  <c r="N708" i="3" s="1"/>
  <c r="E708" i="3"/>
  <c r="H708" i="3" l="1"/>
  <c r="M708" i="3" s="1"/>
  <c r="K708" i="3" l="1"/>
  <c r="L708" i="3"/>
  <c r="C709" i="3" s="1"/>
  <c r="J709" i="3" s="1"/>
  <c r="E709" i="3"/>
  <c r="I709" i="3" s="1"/>
  <c r="H709" i="3" l="1"/>
  <c r="M709" i="3" s="1"/>
  <c r="K709" i="3" l="1"/>
  <c r="N709" i="3" s="1"/>
  <c r="E710" i="3"/>
  <c r="L709" i="3" l="1"/>
  <c r="C710" i="3" s="1"/>
  <c r="H710" i="3"/>
  <c r="M710" i="3" s="1"/>
  <c r="J710" i="3" l="1"/>
  <c r="N710" i="3" s="1"/>
  <c r="L710" i="3" l="1"/>
  <c r="C711" i="3" s="1"/>
  <c r="J711" i="3" s="1"/>
  <c r="N711" i="3" s="1"/>
  <c r="K710" i="3"/>
  <c r="E711" i="3" s="1"/>
  <c r="H711" i="3" s="1"/>
  <c r="M711" i="3" s="1"/>
  <c r="K711" i="3" l="1"/>
  <c r="L711" i="3"/>
  <c r="C712" i="3" s="1"/>
  <c r="J712" i="3" s="1"/>
  <c r="N712" i="3" s="1"/>
  <c r="E712" i="3"/>
  <c r="H712" i="3" l="1"/>
  <c r="M712" i="3" s="1"/>
  <c r="K712" i="3" l="1"/>
  <c r="L712" i="3"/>
  <c r="C713" i="3" s="1"/>
  <c r="J713" i="3" s="1"/>
  <c r="N713" i="3" s="1"/>
  <c r="E713" i="3"/>
  <c r="H713" i="3" l="1"/>
  <c r="M713" i="3" s="1"/>
  <c r="K713" i="3" l="1"/>
  <c r="L713" i="3"/>
  <c r="C714" i="3" s="1"/>
  <c r="J714" i="3" s="1"/>
  <c r="N714" i="3" s="1"/>
  <c r="E714" i="3"/>
  <c r="H714" i="3" l="1"/>
  <c r="M714" i="3" s="1"/>
  <c r="K714" i="3" l="1"/>
  <c r="L714" i="3"/>
  <c r="C715" i="3" s="1"/>
  <c r="J715" i="3" s="1"/>
  <c r="N715" i="3" s="1"/>
  <c r="E715" i="3"/>
  <c r="H715" i="3" l="1"/>
  <c r="M715" i="3" s="1"/>
  <c r="K715" i="3" l="1"/>
  <c r="E716" i="3" s="1"/>
  <c r="I716" i="3" s="1"/>
  <c r="L715" i="3"/>
  <c r="C716" i="3" s="1"/>
  <c r="J716" i="3" s="1"/>
  <c r="H716" i="3"/>
  <c r="M716" i="3" s="1"/>
  <c r="K716" i="3" l="1"/>
  <c r="E717" i="3" l="1"/>
  <c r="N716" i="3"/>
  <c r="L716" i="3" l="1"/>
  <c r="C717" i="3" s="1"/>
  <c r="H717" i="3"/>
  <c r="M717" i="3" s="1"/>
  <c r="J717" i="3" l="1"/>
  <c r="N717" i="3" s="1"/>
  <c r="L717" i="3"/>
  <c r="C718" i="3" s="1"/>
  <c r="J718" i="3" s="1"/>
  <c r="N718" i="3" s="1"/>
  <c r="K717" i="3" l="1"/>
  <c r="E718" i="3" s="1"/>
  <c r="H718" i="3" s="1"/>
  <c r="M718" i="3" l="1"/>
  <c r="L718" i="3"/>
  <c r="C719" i="3" s="1"/>
  <c r="J719" i="3" s="1"/>
  <c r="N719" i="3" s="1"/>
  <c r="K718" i="3"/>
  <c r="E719" i="3" s="1"/>
  <c r="H719" i="3" s="1"/>
  <c r="M719" i="3" s="1"/>
  <c r="L719" i="3" l="1"/>
  <c r="C720" i="3" s="1"/>
  <c r="J720" i="3" s="1"/>
  <c r="N720" i="3" s="1"/>
  <c r="K719" i="3"/>
  <c r="E720" i="3" s="1"/>
  <c r="H720" i="3" s="1"/>
  <c r="M720" i="3" s="1"/>
  <c r="K720" i="3" l="1"/>
  <c r="L720" i="3"/>
  <c r="C721" i="3" s="1"/>
  <c r="J721" i="3" s="1"/>
  <c r="N721" i="3" s="1"/>
  <c r="E721" i="3"/>
  <c r="H721" i="3" l="1"/>
  <c r="M721" i="3" s="1"/>
  <c r="K721" i="3" l="1"/>
  <c r="L721" i="3"/>
  <c r="C722" i="3" s="1"/>
  <c r="J722" i="3" s="1"/>
  <c r="N722" i="3" s="1"/>
  <c r="E722" i="3"/>
  <c r="H722" i="3" l="1"/>
  <c r="M722" i="3" s="1"/>
  <c r="K722" i="3" l="1"/>
  <c r="E723" i="3" s="1"/>
  <c r="I723" i="3" s="1"/>
  <c r="L722" i="3"/>
  <c r="C723" i="3" s="1"/>
  <c r="J723" i="3" s="1"/>
  <c r="H723" i="3" l="1"/>
  <c r="M723" i="3" s="1"/>
  <c r="K723" i="3" l="1"/>
  <c r="N723" i="3" s="1"/>
  <c r="E724" i="3"/>
  <c r="L723" i="3" l="1"/>
  <c r="C724" i="3" s="1"/>
  <c r="J724" i="3" s="1"/>
  <c r="N724" i="3" s="1"/>
  <c r="H724" i="3"/>
  <c r="M724" i="3" s="1"/>
  <c r="K724" i="3" l="1"/>
  <c r="L724" i="3"/>
  <c r="C725" i="3" s="1"/>
  <c r="J725" i="3" s="1"/>
  <c r="N725" i="3" s="1"/>
  <c r="E725" i="3"/>
  <c r="H725" i="3" l="1"/>
  <c r="M725" i="3" s="1"/>
  <c r="K725" i="3" l="1"/>
  <c r="L725" i="3"/>
  <c r="C726" i="3" s="1"/>
  <c r="J726" i="3" s="1"/>
  <c r="N726" i="3" s="1"/>
  <c r="E726" i="3"/>
  <c r="H726" i="3" l="1"/>
  <c r="M726" i="3" s="1"/>
  <c r="K726" i="3" l="1"/>
  <c r="L726" i="3"/>
  <c r="C727" i="3" s="1"/>
  <c r="J727" i="3" s="1"/>
  <c r="N727" i="3" s="1"/>
  <c r="E727" i="3"/>
  <c r="H727" i="3" l="1"/>
  <c r="M727" i="3" s="1"/>
  <c r="K727" i="3" l="1"/>
  <c r="L727" i="3"/>
  <c r="C728" i="3" s="1"/>
  <c r="J728" i="3" s="1"/>
  <c r="N728" i="3" s="1"/>
  <c r="E728" i="3"/>
  <c r="H728" i="3" l="1"/>
  <c r="M728" i="3" s="1"/>
  <c r="K728" i="3" l="1"/>
  <c r="L728" i="3"/>
  <c r="C729" i="3" s="1"/>
  <c r="J729" i="3" s="1"/>
  <c r="N729" i="3" s="1"/>
  <c r="E729" i="3"/>
  <c r="H729" i="3" l="1"/>
  <c r="M729" i="3" s="1"/>
  <c r="K729" i="3" l="1"/>
  <c r="L729" i="3"/>
  <c r="C730" i="3" s="1"/>
  <c r="J730" i="3" s="1"/>
  <c r="E730" i="3"/>
  <c r="I730" i="3" s="1"/>
  <c r="H730" i="3" l="1"/>
  <c r="M730" i="3" s="1"/>
  <c r="K730" i="3" l="1"/>
  <c r="N730" i="3" s="1"/>
  <c r="E731" i="3"/>
  <c r="L730" i="3" l="1"/>
  <c r="C731" i="3" s="1"/>
  <c r="J731" i="3" s="1"/>
  <c r="N731" i="3" s="1"/>
  <c r="H731" i="3"/>
  <c r="M731" i="3" s="1"/>
  <c r="K731" i="3" l="1"/>
  <c r="L731" i="3"/>
  <c r="C732" i="3" s="1"/>
  <c r="J732" i="3" s="1"/>
  <c r="N732" i="3" s="1"/>
  <c r="E732" i="3"/>
  <c r="H732" i="3" l="1"/>
  <c r="M732" i="3" s="1"/>
  <c r="R3" i="3" s="1"/>
  <c r="K732" i="3" l="1"/>
  <c r="L732" i="3"/>
  <c r="R4" i="3"/>
</calcChain>
</file>

<file path=xl/sharedStrings.xml><?xml version="1.0" encoding="utf-8"?>
<sst xmlns="http://schemas.openxmlformats.org/spreadsheetml/2006/main" count="1532" uniqueCount="50">
  <si>
    <t>DATA</t>
  </si>
  <si>
    <t>pora roku</t>
  </si>
  <si>
    <t>zima</t>
  </si>
  <si>
    <t>wiosna</t>
  </si>
  <si>
    <t>lato</t>
  </si>
  <si>
    <t>jesień</t>
  </si>
  <si>
    <t>procent wypozyczenia</t>
  </si>
  <si>
    <t>pieniądze</t>
  </si>
  <si>
    <t>serwis</t>
  </si>
  <si>
    <t>pieniądze po serwisie</t>
  </si>
  <si>
    <t>Dzień tygodnia</t>
  </si>
  <si>
    <t>rowery</t>
  </si>
  <si>
    <t>wyporzyczone rowery</t>
  </si>
  <si>
    <t>zarobione</t>
  </si>
  <si>
    <t>cena</t>
  </si>
  <si>
    <t xml:space="preserve">pieniadze po wyporzyczeniu - dochod </t>
  </si>
  <si>
    <t>a</t>
  </si>
  <si>
    <t>koszty</t>
  </si>
  <si>
    <t>czy serwis</t>
  </si>
  <si>
    <t>dochod</t>
  </si>
  <si>
    <t>przychody</t>
  </si>
  <si>
    <t>Etykiety wierszy</t>
  </si>
  <si>
    <t>Suma końcowa</t>
  </si>
  <si>
    <t>2023</t>
  </si>
  <si>
    <t>2024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</si>
  <si>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</si>
  <si>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</si>
  <si>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</si>
  <si>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</si>
  <si>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</si>
  <si>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</si>
  <si>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</si>
  <si>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</si>
  <si>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</si>
  <si>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</si>
  <si>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</si>
  <si>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</si>
  <si>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dochod</t>
  </si>
  <si>
    <t>c</t>
  </si>
  <si>
    <t>calkowity dochod</t>
  </si>
  <si>
    <t>a)</t>
  </si>
  <si>
    <t>b)</t>
  </si>
  <si>
    <t>c)</t>
  </si>
  <si>
    <t>flota</t>
  </si>
  <si>
    <t>przychod</t>
  </si>
  <si>
    <t>koszt</t>
  </si>
  <si>
    <t>kupno roweru</t>
  </si>
  <si>
    <t>ilosc po kupnie</t>
  </si>
  <si>
    <t>wypozyczenie</t>
  </si>
  <si>
    <t>zarobek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</si>
</sst>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color theme="9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" fontId="6" fillId="0" borderId="0" xfId="0" applyNumberFormat="1" applyFont="1"/>
    <xf numFmtId="14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aseline="0"/>
              <a:t>dochody w poszczególnych miesiącach w 2023 r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'6.1.2.3'!$AM$3:$AM$14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'6.1.2.3'!$AN$3:$AN$14</c:f>
              <c:numCache>
                <c:formatCode>General</c:formatCode>
                <c:ptCount val="12"/>
                <c:pt idx="0">
                  <c:v>-7430</c:v>
                </c:pt>
                <c:pt idx="1">
                  <c:v>600</c:v>
                </c:pt>
                <c:pt idx="2">
                  <c:v>1590</c:v>
                </c:pt>
                <c:pt idx="3">
                  <c:v>2250</c:v>
                </c:pt>
                <c:pt idx="4">
                  <c:v>2850</c:v>
                </c:pt>
                <c:pt idx="5">
                  <c:v>3660</c:v>
                </c:pt>
                <c:pt idx="6">
                  <c:v>4920</c:v>
                </c:pt>
                <c:pt idx="7">
                  <c:v>5610</c:v>
                </c:pt>
                <c:pt idx="8">
                  <c:v>4320</c:v>
                </c:pt>
                <c:pt idx="9">
                  <c:v>1890</c:v>
                </c:pt>
                <c:pt idx="10">
                  <c:v>2040</c:v>
                </c:pt>
                <c:pt idx="11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3-4BF8-A361-42FB942F53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6558016"/>
        <c:axId val="1416558976"/>
      </c:barChart>
      <c:catAx>
        <c:axId val="141655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6558976"/>
        <c:crosses val="autoZero"/>
        <c:auto val="1"/>
        <c:lblAlgn val="ctr"/>
        <c:lblOffset val="100"/>
        <c:noMultiLvlLbl val="0"/>
      </c:catAx>
      <c:valAx>
        <c:axId val="141655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655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333375</xdr:colOff>
      <xdr:row>18</xdr:row>
      <xdr:rowOff>52387</xdr:rowOff>
    </xdr:from>
    <xdr:to>
      <xdr:col>40</xdr:col>
      <xdr:colOff>333375</xdr:colOff>
      <xdr:row>32</xdr:row>
      <xdr:rowOff>128587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24F2D22-8085-5E94-1C13-3223CBCB7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3.00705104167" createdVersion="8" refreshedVersion="8" minRefreshableVersion="3" recordCount="731" xr:uid="{95350F6F-8844-4EA5-B7CE-1CE9E237E008}">
  <cacheSource type="worksheet">
    <worksheetSource ref="AF1:AG732" sheet="6.1.2.3"/>
  </cacheSource>
  <cacheFields count="5">
    <cacheField name="DATA" numFmtId="14">
      <sharedItems containsSemiMixedTypes="0" containsNonDate="0" containsDate="1" containsString="0" minDate="2023-01-01T00:00:00" maxDate="2025-01-01T00:00:00" count="73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par="4"/>
    </cacheField>
    <cacheField name="dochod" numFmtId="0">
      <sharedItems containsSemiMixedTypes="0" containsString="0" containsNumber="1" containsInteger="1" minValue="-8150" maxValue="270"/>
    </cacheField>
    <cacheField name="Miesiące (DATA)" numFmtId="0" databaseField="0">
      <fieldGroup base="0">
        <rangePr groupBy="months" startDate="2023-01-01T00:00:00" endDate="2025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5"/>
        </groupItems>
      </fieldGroup>
    </cacheField>
    <cacheField name="Kwartały (DATA)" numFmtId="0" databaseField="0">
      <fieldGroup base="0">
        <rangePr groupBy="quarters" startDate="2023-01-01T00:00:00" endDate="2025-01-01T00:00:00"/>
        <groupItems count="6">
          <s v="&lt;01.01.2023"/>
          <s v="Kwartał1"/>
          <s v="Kwartał2"/>
          <s v="Kwartał3"/>
          <s v="Kwartał4"/>
          <s v="&gt;01.01.2025"/>
        </groupItems>
      </fieldGroup>
    </cacheField>
    <cacheField name="Lata (DATA)" numFmtId="0" databaseField="0">
      <fieldGroup base="0">
        <rangePr groupBy="years" startDate="2023-01-01T00:00:00" endDate="2025-01-01T00:00:00"/>
        <groupItems count="5">
          <s v="&lt;01.01.2023"/>
          <s v="2023"/>
          <s v="2024"/>
          <s v="2025"/>
          <s v="&gt;01.0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n v="-8150"/>
  </r>
  <r>
    <x v="1"/>
    <n v="60"/>
  </r>
  <r>
    <x v="2"/>
    <n v="60"/>
  </r>
  <r>
    <x v="3"/>
    <n v="60"/>
  </r>
  <r>
    <x v="4"/>
    <n v="60"/>
  </r>
  <r>
    <x v="5"/>
    <n v="60"/>
  </r>
  <r>
    <x v="6"/>
    <n v="0"/>
  </r>
  <r>
    <x v="7"/>
    <n v="-150"/>
  </r>
  <r>
    <x v="8"/>
    <n v="60"/>
  </r>
  <r>
    <x v="9"/>
    <n v="60"/>
  </r>
  <r>
    <x v="10"/>
    <n v="60"/>
  </r>
  <r>
    <x v="11"/>
    <n v="60"/>
  </r>
  <r>
    <x v="12"/>
    <n v="60"/>
  </r>
  <r>
    <x v="13"/>
    <n v="0"/>
  </r>
  <r>
    <x v="14"/>
    <n v="-150"/>
  </r>
  <r>
    <x v="15"/>
    <n v="60"/>
  </r>
  <r>
    <x v="16"/>
    <n v="60"/>
  </r>
  <r>
    <x v="17"/>
    <n v="60"/>
  </r>
  <r>
    <x v="18"/>
    <n v="60"/>
  </r>
  <r>
    <x v="19"/>
    <n v="60"/>
  </r>
  <r>
    <x v="20"/>
    <n v="0"/>
  </r>
  <r>
    <x v="21"/>
    <n v="-150"/>
  </r>
  <r>
    <x v="22"/>
    <n v="60"/>
  </r>
  <r>
    <x v="23"/>
    <n v="60"/>
  </r>
  <r>
    <x v="24"/>
    <n v="60"/>
  </r>
  <r>
    <x v="25"/>
    <n v="60"/>
  </r>
  <r>
    <x v="26"/>
    <n v="60"/>
  </r>
  <r>
    <x v="27"/>
    <n v="0"/>
  </r>
  <r>
    <x v="28"/>
    <n v="-150"/>
  </r>
  <r>
    <x v="29"/>
    <n v="60"/>
  </r>
  <r>
    <x v="30"/>
    <n v="60"/>
  </r>
  <r>
    <x v="31"/>
    <n v="60"/>
  </r>
  <r>
    <x v="32"/>
    <n v="60"/>
  </r>
  <r>
    <x v="33"/>
    <n v="60"/>
  </r>
  <r>
    <x v="34"/>
    <n v="0"/>
  </r>
  <r>
    <x v="35"/>
    <n v="-150"/>
  </r>
  <r>
    <x v="36"/>
    <n v="60"/>
  </r>
  <r>
    <x v="37"/>
    <n v="60"/>
  </r>
  <r>
    <x v="38"/>
    <n v="60"/>
  </r>
  <r>
    <x v="39"/>
    <n v="60"/>
  </r>
  <r>
    <x v="40"/>
    <n v="60"/>
  </r>
  <r>
    <x v="41"/>
    <n v="0"/>
  </r>
  <r>
    <x v="42"/>
    <n v="-150"/>
  </r>
  <r>
    <x v="43"/>
    <n v="60"/>
  </r>
  <r>
    <x v="44"/>
    <n v="60"/>
  </r>
  <r>
    <x v="45"/>
    <n v="60"/>
  </r>
  <r>
    <x v="46"/>
    <n v="60"/>
  </r>
  <r>
    <x v="47"/>
    <n v="60"/>
  </r>
  <r>
    <x v="48"/>
    <n v="0"/>
  </r>
  <r>
    <x v="49"/>
    <n v="-150"/>
  </r>
  <r>
    <x v="50"/>
    <n v="60"/>
  </r>
  <r>
    <x v="51"/>
    <n v="60"/>
  </r>
  <r>
    <x v="52"/>
    <n v="60"/>
  </r>
  <r>
    <x v="53"/>
    <n v="60"/>
  </r>
  <r>
    <x v="54"/>
    <n v="60"/>
  </r>
  <r>
    <x v="55"/>
    <n v="0"/>
  </r>
  <r>
    <x v="56"/>
    <n v="-150"/>
  </r>
  <r>
    <x v="57"/>
    <n v="60"/>
  </r>
  <r>
    <x v="58"/>
    <n v="60"/>
  </r>
  <r>
    <x v="59"/>
    <n v="60"/>
  </r>
  <r>
    <x v="60"/>
    <n v="60"/>
  </r>
  <r>
    <x v="61"/>
    <n v="60"/>
  </r>
  <r>
    <x v="62"/>
    <n v="0"/>
  </r>
  <r>
    <x v="63"/>
    <n v="-150"/>
  </r>
  <r>
    <x v="64"/>
    <n v="60"/>
  </r>
  <r>
    <x v="65"/>
    <n v="60"/>
  </r>
  <r>
    <x v="66"/>
    <n v="60"/>
  </r>
  <r>
    <x v="67"/>
    <n v="60"/>
  </r>
  <r>
    <x v="68"/>
    <n v="60"/>
  </r>
  <r>
    <x v="69"/>
    <n v="0"/>
  </r>
  <r>
    <x v="70"/>
    <n v="-150"/>
  </r>
  <r>
    <x v="71"/>
    <n v="60"/>
  </r>
  <r>
    <x v="72"/>
    <n v="60"/>
  </r>
  <r>
    <x v="73"/>
    <n v="60"/>
  </r>
  <r>
    <x v="74"/>
    <n v="60"/>
  </r>
  <r>
    <x v="75"/>
    <n v="60"/>
  </r>
  <r>
    <x v="76"/>
    <n v="0"/>
  </r>
  <r>
    <x v="77"/>
    <n v="-150"/>
  </r>
  <r>
    <x v="78"/>
    <n v="60"/>
  </r>
  <r>
    <x v="79"/>
    <n v="150"/>
  </r>
  <r>
    <x v="80"/>
    <n v="150"/>
  </r>
  <r>
    <x v="81"/>
    <n v="150"/>
  </r>
  <r>
    <x v="82"/>
    <n v="150"/>
  </r>
  <r>
    <x v="83"/>
    <n v="0"/>
  </r>
  <r>
    <x v="84"/>
    <n v="-150"/>
  </r>
  <r>
    <x v="85"/>
    <n v="150"/>
  </r>
  <r>
    <x v="86"/>
    <n v="150"/>
  </r>
  <r>
    <x v="87"/>
    <n v="150"/>
  </r>
  <r>
    <x v="88"/>
    <n v="150"/>
  </r>
  <r>
    <x v="89"/>
    <n v="150"/>
  </r>
  <r>
    <x v="90"/>
    <n v="0"/>
  </r>
  <r>
    <x v="91"/>
    <n v="-150"/>
  </r>
  <r>
    <x v="92"/>
    <n v="150"/>
  </r>
  <r>
    <x v="93"/>
    <n v="150"/>
  </r>
  <r>
    <x v="94"/>
    <n v="150"/>
  </r>
  <r>
    <x v="95"/>
    <n v="150"/>
  </r>
  <r>
    <x v="96"/>
    <n v="150"/>
  </r>
  <r>
    <x v="97"/>
    <n v="0"/>
  </r>
  <r>
    <x v="98"/>
    <n v="-150"/>
  </r>
  <r>
    <x v="99"/>
    <n v="150"/>
  </r>
  <r>
    <x v="100"/>
    <n v="150"/>
  </r>
  <r>
    <x v="101"/>
    <n v="150"/>
  </r>
  <r>
    <x v="102"/>
    <n v="150"/>
  </r>
  <r>
    <x v="103"/>
    <n v="150"/>
  </r>
  <r>
    <x v="104"/>
    <n v="0"/>
  </r>
  <r>
    <x v="105"/>
    <n v="-150"/>
  </r>
  <r>
    <x v="106"/>
    <n v="150"/>
  </r>
  <r>
    <x v="107"/>
    <n v="150"/>
  </r>
  <r>
    <x v="108"/>
    <n v="150"/>
  </r>
  <r>
    <x v="109"/>
    <n v="150"/>
  </r>
  <r>
    <x v="110"/>
    <n v="150"/>
  </r>
  <r>
    <x v="111"/>
    <n v="0"/>
  </r>
  <r>
    <x v="112"/>
    <n v="-150"/>
  </r>
  <r>
    <x v="113"/>
    <n v="150"/>
  </r>
  <r>
    <x v="114"/>
    <n v="150"/>
  </r>
  <r>
    <x v="115"/>
    <n v="150"/>
  </r>
  <r>
    <x v="116"/>
    <n v="150"/>
  </r>
  <r>
    <x v="117"/>
    <n v="150"/>
  </r>
  <r>
    <x v="118"/>
    <n v="0"/>
  </r>
  <r>
    <x v="119"/>
    <n v="-150"/>
  </r>
  <r>
    <x v="120"/>
    <n v="150"/>
  </r>
  <r>
    <x v="121"/>
    <n v="150"/>
  </r>
  <r>
    <x v="122"/>
    <n v="150"/>
  </r>
  <r>
    <x v="123"/>
    <n v="150"/>
  </r>
  <r>
    <x v="124"/>
    <n v="150"/>
  </r>
  <r>
    <x v="125"/>
    <n v="0"/>
  </r>
  <r>
    <x v="126"/>
    <n v="-150"/>
  </r>
  <r>
    <x v="127"/>
    <n v="150"/>
  </r>
  <r>
    <x v="128"/>
    <n v="150"/>
  </r>
  <r>
    <x v="129"/>
    <n v="150"/>
  </r>
  <r>
    <x v="130"/>
    <n v="150"/>
  </r>
  <r>
    <x v="131"/>
    <n v="150"/>
  </r>
  <r>
    <x v="132"/>
    <n v="0"/>
  </r>
  <r>
    <x v="133"/>
    <n v="-150"/>
  </r>
  <r>
    <x v="134"/>
    <n v="150"/>
  </r>
  <r>
    <x v="135"/>
    <n v="150"/>
  </r>
  <r>
    <x v="136"/>
    <n v="150"/>
  </r>
  <r>
    <x v="137"/>
    <n v="150"/>
  </r>
  <r>
    <x v="138"/>
    <n v="150"/>
  </r>
  <r>
    <x v="139"/>
    <n v="0"/>
  </r>
  <r>
    <x v="140"/>
    <n v="-150"/>
  </r>
  <r>
    <x v="141"/>
    <n v="150"/>
  </r>
  <r>
    <x v="142"/>
    <n v="150"/>
  </r>
  <r>
    <x v="143"/>
    <n v="150"/>
  </r>
  <r>
    <x v="144"/>
    <n v="150"/>
  </r>
  <r>
    <x v="145"/>
    <n v="150"/>
  </r>
  <r>
    <x v="146"/>
    <n v="0"/>
  </r>
  <r>
    <x v="147"/>
    <n v="-150"/>
  </r>
  <r>
    <x v="148"/>
    <n v="150"/>
  </r>
  <r>
    <x v="149"/>
    <n v="150"/>
  </r>
  <r>
    <x v="150"/>
    <n v="150"/>
  </r>
  <r>
    <x v="151"/>
    <n v="150"/>
  </r>
  <r>
    <x v="152"/>
    <n v="150"/>
  </r>
  <r>
    <x v="153"/>
    <n v="0"/>
  </r>
  <r>
    <x v="154"/>
    <n v="-150"/>
  </r>
  <r>
    <x v="155"/>
    <n v="150"/>
  </r>
  <r>
    <x v="156"/>
    <n v="150"/>
  </r>
  <r>
    <x v="157"/>
    <n v="150"/>
  </r>
  <r>
    <x v="158"/>
    <n v="150"/>
  </r>
  <r>
    <x v="159"/>
    <n v="150"/>
  </r>
  <r>
    <x v="160"/>
    <n v="0"/>
  </r>
  <r>
    <x v="161"/>
    <n v="-150"/>
  </r>
  <r>
    <x v="162"/>
    <n v="150"/>
  </r>
  <r>
    <x v="163"/>
    <n v="150"/>
  </r>
  <r>
    <x v="164"/>
    <n v="150"/>
  </r>
  <r>
    <x v="165"/>
    <n v="150"/>
  </r>
  <r>
    <x v="166"/>
    <n v="150"/>
  </r>
  <r>
    <x v="167"/>
    <n v="0"/>
  </r>
  <r>
    <x v="168"/>
    <n v="-150"/>
  </r>
  <r>
    <x v="169"/>
    <n v="150"/>
  </r>
  <r>
    <x v="170"/>
    <n v="150"/>
  </r>
  <r>
    <x v="171"/>
    <n v="270"/>
  </r>
  <r>
    <x v="172"/>
    <n v="270"/>
  </r>
  <r>
    <x v="173"/>
    <n v="270"/>
  </r>
  <r>
    <x v="174"/>
    <n v="0"/>
  </r>
  <r>
    <x v="175"/>
    <n v="-150"/>
  </r>
  <r>
    <x v="176"/>
    <n v="270"/>
  </r>
  <r>
    <x v="177"/>
    <n v="270"/>
  </r>
  <r>
    <x v="178"/>
    <n v="270"/>
  </r>
  <r>
    <x v="179"/>
    <n v="270"/>
  </r>
  <r>
    <x v="180"/>
    <n v="270"/>
  </r>
  <r>
    <x v="181"/>
    <n v="0"/>
  </r>
  <r>
    <x v="182"/>
    <n v="-150"/>
  </r>
  <r>
    <x v="183"/>
    <n v="270"/>
  </r>
  <r>
    <x v="184"/>
    <n v="270"/>
  </r>
  <r>
    <x v="185"/>
    <n v="270"/>
  </r>
  <r>
    <x v="186"/>
    <n v="270"/>
  </r>
  <r>
    <x v="187"/>
    <n v="270"/>
  </r>
  <r>
    <x v="188"/>
    <n v="0"/>
  </r>
  <r>
    <x v="189"/>
    <n v="-150"/>
  </r>
  <r>
    <x v="190"/>
    <n v="270"/>
  </r>
  <r>
    <x v="191"/>
    <n v="270"/>
  </r>
  <r>
    <x v="192"/>
    <n v="270"/>
  </r>
  <r>
    <x v="193"/>
    <n v="270"/>
  </r>
  <r>
    <x v="194"/>
    <n v="270"/>
  </r>
  <r>
    <x v="195"/>
    <n v="0"/>
  </r>
  <r>
    <x v="196"/>
    <n v="-150"/>
  </r>
  <r>
    <x v="197"/>
    <n v="270"/>
  </r>
  <r>
    <x v="198"/>
    <n v="270"/>
  </r>
  <r>
    <x v="199"/>
    <n v="270"/>
  </r>
  <r>
    <x v="200"/>
    <n v="270"/>
  </r>
  <r>
    <x v="201"/>
    <n v="270"/>
  </r>
  <r>
    <x v="202"/>
    <n v="0"/>
  </r>
  <r>
    <x v="203"/>
    <n v="-150"/>
  </r>
  <r>
    <x v="204"/>
    <n v="270"/>
  </r>
  <r>
    <x v="205"/>
    <n v="270"/>
  </r>
  <r>
    <x v="206"/>
    <n v="270"/>
  </r>
  <r>
    <x v="207"/>
    <n v="270"/>
  </r>
  <r>
    <x v="208"/>
    <n v="270"/>
  </r>
  <r>
    <x v="209"/>
    <n v="0"/>
  </r>
  <r>
    <x v="210"/>
    <n v="-150"/>
  </r>
  <r>
    <x v="211"/>
    <n v="270"/>
  </r>
  <r>
    <x v="212"/>
    <n v="270"/>
  </r>
  <r>
    <x v="213"/>
    <n v="270"/>
  </r>
  <r>
    <x v="214"/>
    <n v="270"/>
  </r>
  <r>
    <x v="215"/>
    <n v="270"/>
  </r>
  <r>
    <x v="216"/>
    <n v="0"/>
  </r>
  <r>
    <x v="217"/>
    <n v="-150"/>
  </r>
  <r>
    <x v="218"/>
    <n v="270"/>
  </r>
  <r>
    <x v="219"/>
    <n v="270"/>
  </r>
  <r>
    <x v="220"/>
    <n v="270"/>
  </r>
  <r>
    <x v="221"/>
    <n v="270"/>
  </r>
  <r>
    <x v="222"/>
    <n v="270"/>
  </r>
  <r>
    <x v="223"/>
    <n v="0"/>
  </r>
  <r>
    <x v="224"/>
    <n v="-150"/>
  </r>
  <r>
    <x v="225"/>
    <n v="270"/>
  </r>
  <r>
    <x v="226"/>
    <n v="270"/>
  </r>
  <r>
    <x v="227"/>
    <n v="270"/>
  </r>
  <r>
    <x v="228"/>
    <n v="270"/>
  </r>
  <r>
    <x v="229"/>
    <n v="270"/>
  </r>
  <r>
    <x v="230"/>
    <n v="0"/>
  </r>
  <r>
    <x v="231"/>
    <n v="-150"/>
  </r>
  <r>
    <x v="232"/>
    <n v="270"/>
  </r>
  <r>
    <x v="233"/>
    <n v="270"/>
  </r>
  <r>
    <x v="234"/>
    <n v="270"/>
  </r>
  <r>
    <x v="235"/>
    <n v="270"/>
  </r>
  <r>
    <x v="236"/>
    <n v="270"/>
  </r>
  <r>
    <x v="237"/>
    <n v="0"/>
  </r>
  <r>
    <x v="238"/>
    <n v="-150"/>
  </r>
  <r>
    <x v="239"/>
    <n v="270"/>
  </r>
  <r>
    <x v="240"/>
    <n v="270"/>
  </r>
  <r>
    <x v="241"/>
    <n v="270"/>
  </r>
  <r>
    <x v="242"/>
    <n v="270"/>
  </r>
  <r>
    <x v="243"/>
    <n v="270"/>
  </r>
  <r>
    <x v="244"/>
    <n v="0"/>
  </r>
  <r>
    <x v="245"/>
    <n v="-150"/>
  </r>
  <r>
    <x v="246"/>
    <n v="270"/>
  </r>
  <r>
    <x v="247"/>
    <n v="270"/>
  </r>
  <r>
    <x v="248"/>
    <n v="270"/>
  </r>
  <r>
    <x v="249"/>
    <n v="270"/>
  </r>
  <r>
    <x v="250"/>
    <n v="270"/>
  </r>
  <r>
    <x v="251"/>
    <n v="0"/>
  </r>
  <r>
    <x v="252"/>
    <n v="-150"/>
  </r>
  <r>
    <x v="253"/>
    <n v="270"/>
  </r>
  <r>
    <x v="254"/>
    <n v="270"/>
  </r>
  <r>
    <x v="255"/>
    <n v="270"/>
  </r>
  <r>
    <x v="256"/>
    <n v="270"/>
  </r>
  <r>
    <x v="257"/>
    <n v="270"/>
  </r>
  <r>
    <x v="258"/>
    <n v="0"/>
  </r>
  <r>
    <x v="259"/>
    <n v="-150"/>
  </r>
  <r>
    <x v="260"/>
    <n v="270"/>
  </r>
  <r>
    <x v="261"/>
    <n v="270"/>
  </r>
  <r>
    <x v="262"/>
    <n v="270"/>
  </r>
  <r>
    <x v="263"/>
    <n v="270"/>
  </r>
  <r>
    <x v="264"/>
    <n v="270"/>
  </r>
  <r>
    <x v="265"/>
    <n v="0"/>
  </r>
  <r>
    <x v="266"/>
    <n v="-150"/>
  </r>
  <r>
    <x v="267"/>
    <n v="120"/>
  </r>
  <r>
    <x v="268"/>
    <n v="120"/>
  </r>
  <r>
    <x v="269"/>
    <n v="120"/>
  </r>
  <r>
    <x v="270"/>
    <n v="120"/>
  </r>
  <r>
    <x v="271"/>
    <n v="120"/>
  </r>
  <r>
    <x v="272"/>
    <n v="0"/>
  </r>
  <r>
    <x v="273"/>
    <n v="-150"/>
  </r>
  <r>
    <x v="274"/>
    <n v="120"/>
  </r>
  <r>
    <x v="275"/>
    <n v="120"/>
  </r>
  <r>
    <x v="276"/>
    <n v="120"/>
  </r>
  <r>
    <x v="277"/>
    <n v="120"/>
  </r>
  <r>
    <x v="278"/>
    <n v="120"/>
  </r>
  <r>
    <x v="279"/>
    <n v="0"/>
  </r>
  <r>
    <x v="280"/>
    <n v="-150"/>
  </r>
  <r>
    <x v="281"/>
    <n v="120"/>
  </r>
  <r>
    <x v="282"/>
    <n v="120"/>
  </r>
  <r>
    <x v="283"/>
    <n v="120"/>
  </r>
  <r>
    <x v="284"/>
    <n v="120"/>
  </r>
  <r>
    <x v="285"/>
    <n v="120"/>
  </r>
  <r>
    <x v="286"/>
    <n v="0"/>
  </r>
  <r>
    <x v="287"/>
    <n v="-150"/>
  </r>
  <r>
    <x v="288"/>
    <n v="120"/>
  </r>
  <r>
    <x v="289"/>
    <n v="120"/>
  </r>
  <r>
    <x v="290"/>
    <n v="120"/>
  </r>
  <r>
    <x v="291"/>
    <n v="120"/>
  </r>
  <r>
    <x v="292"/>
    <n v="120"/>
  </r>
  <r>
    <x v="293"/>
    <n v="0"/>
  </r>
  <r>
    <x v="294"/>
    <n v="-150"/>
  </r>
  <r>
    <x v="295"/>
    <n v="120"/>
  </r>
  <r>
    <x v="296"/>
    <n v="120"/>
  </r>
  <r>
    <x v="297"/>
    <n v="120"/>
  </r>
  <r>
    <x v="298"/>
    <n v="120"/>
  </r>
  <r>
    <x v="299"/>
    <n v="120"/>
  </r>
  <r>
    <x v="300"/>
    <n v="0"/>
  </r>
  <r>
    <x v="301"/>
    <n v="-150"/>
  </r>
  <r>
    <x v="302"/>
    <n v="120"/>
  </r>
  <r>
    <x v="303"/>
    <n v="120"/>
  </r>
  <r>
    <x v="304"/>
    <n v="120"/>
  </r>
  <r>
    <x v="305"/>
    <n v="120"/>
  </r>
  <r>
    <x v="306"/>
    <n v="120"/>
  </r>
  <r>
    <x v="307"/>
    <n v="0"/>
  </r>
  <r>
    <x v="308"/>
    <n v="-150"/>
  </r>
  <r>
    <x v="309"/>
    <n v="120"/>
  </r>
  <r>
    <x v="310"/>
    <n v="120"/>
  </r>
  <r>
    <x v="311"/>
    <n v="120"/>
  </r>
  <r>
    <x v="312"/>
    <n v="120"/>
  </r>
  <r>
    <x v="313"/>
    <n v="120"/>
  </r>
  <r>
    <x v="314"/>
    <n v="0"/>
  </r>
  <r>
    <x v="315"/>
    <n v="-150"/>
  </r>
  <r>
    <x v="316"/>
    <n v="120"/>
  </r>
  <r>
    <x v="317"/>
    <n v="120"/>
  </r>
  <r>
    <x v="318"/>
    <n v="120"/>
  </r>
  <r>
    <x v="319"/>
    <n v="120"/>
  </r>
  <r>
    <x v="320"/>
    <n v="120"/>
  </r>
  <r>
    <x v="321"/>
    <n v="0"/>
  </r>
  <r>
    <x v="322"/>
    <n v="-150"/>
  </r>
  <r>
    <x v="323"/>
    <n v="120"/>
  </r>
  <r>
    <x v="324"/>
    <n v="120"/>
  </r>
  <r>
    <x v="325"/>
    <n v="120"/>
  </r>
  <r>
    <x v="326"/>
    <n v="120"/>
  </r>
  <r>
    <x v="327"/>
    <n v="120"/>
  </r>
  <r>
    <x v="328"/>
    <n v="0"/>
  </r>
  <r>
    <x v="329"/>
    <n v="-150"/>
  </r>
  <r>
    <x v="330"/>
    <n v="120"/>
  </r>
  <r>
    <x v="331"/>
    <n v="120"/>
  </r>
  <r>
    <x v="332"/>
    <n v="120"/>
  </r>
  <r>
    <x v="333"/>
    <n v="120"/>
  </r>
  <r>
    <x v="334"/>
    <n v="120"/>
  </r>
  <r>
    <x v="335"/>
    <n v="0"/>
  </r>
  <r>
    <x v="336"/>
    <n v="-150"/>
  </r>
  <r>
    <x v="337"/>
    <n v="120"/>
  </r>
  <r>
    <x v="338"/>
    <n v="120"/>
  </r>
  <r>
    <x v="339"/>
    <n v="120"/>
  </r>
  <r>
    <x v="340"/>
    <n v="120"/>
  </r>
  <r>
    <x v="341"/>
    <n v="120"/>
  </r>
  <r>
    <x v="342"/>
    <n v="0"/>
  </r>
  <r>
    <x v="343"/>
    <n v="-150"/>
  </r>
  <r>
    <x v="344"/>
    <n v="120"/>
  </r>
  <r>
    <x v="345"/>
    <n v="120"/>
  </r>
  <r>
    <x v="346"/>
    <n v="120"/>
  </r>
  <r>
    <x v="347"/>
    <n v="120"/>
  </r>
  <r>
    <x v="348"/>
    <n v="120"/>
  </r>
  <r>
    <x v="349"/>
    <n v="0"/>
  </r>
  <r>
    <x v="350"/>
    <n v="-150"/>
  </r>
  <r>
    <x v="351"/>
    <n v="120"/>
  </r>
  <r>
    <x v="352"/>
    <n v="120"/>
  </r>
  <r>
    <x v="353"/>
    <n v="120"/>
  </r>
  <r>
    <x v="354"/>
    <n v="60"/>
  </r>
  <r>
    <x v="355"/>
    <n v="60"/>
  </r>
  <r>
    <x v="356"/>
    <n v="0"/>
  </r>
  <r>
    <x v="357"/>
    <n v="-150"/>
  </r>
  <r>
    <x v="358"/>
    <n v="60"/>
  </r>
  <r>
    <x v="359"/>
    <n v="60"/>
  </r>
  <r>
    <x v="360"/>
    <n v="60"/>
  </r>
  <r>
    <x v="361"/>
    <n v="60"/>
  </r>
  <r>
    <x v="362"/>
    <n v="60"/>
  </r>
  <r>
    <x v="363"/>
    <n v="0"/>
  </r>
  <r>
    <x v="364"/>
    <n v="-150"/>
  </r>
  <r>
    <x v="365"/>
    <n v="60"/>
  </r>
  <r>
    <x v="366"/>
    <n v="60"/>
  </r>
  <r>
    <x v="367"/>
    <n v="60"/>
  </r>
  <r>
    <x v="368"/>
    <n v="60"/>
  </r>
  <r>
    <x v="369"/>
    <n v="60"/>
  </r>
  <r>
    <x v="370"/>
    <n v="0"/>
  </r>
  <r>
    <x v="371"/>
    <n v="-150"/>
  </r>
  <r>
    <x v="372"/>
    <n v="60"/>
  </r>
  <r>
    <x v="373"/>
    <n v="60"/>
  </r>
  <r>
    <x v="374"/>
    <n v="60"/>
  </r>
  <r>
    <x v="375"/>
    <n v="60"/>
  </r>
  <r>
    <x v="376"/>
    <n v="60"/>
  </r>
  <r>
    <x v="377"/>
    <n v="0"/>
  </r>
  <r>
    <x v="378"/>
    <n v="-150"/>
  </r>
  <r>
    <x v="379"/>
    <n v="60"/>
  </r>
  <r>
    <x v="380"/>
    <n v="60"/>
  </r>
  <r>
    <x v="381"/>
    <n v="60"/>
  </r>
  <r>
    <x v="382"/>
    <n v="60"/>
  </r>
  <r>
    <x v="383"/>
    <n v="60"/>
  </r>
  <r>
    <x v="384"/>
    <n v="0"/>
  </r>
  <r>
    <x v="385"/>
    <n v="-150"/>
  </r>
  <r>
    <x v="386"/>
    <n v="60"/>
  </r>
  <r>
    <x v="387"/>
    <n v="60"/>
  </r>
  <r>
    <x v="388"/>
    <n v="60"/>
  </r>
  <r>
    <x v="389"/>
    <n v="60"/>
  </r>
  <r>
    <x v="390"/>
    <n v="60"/>
  </r>
  <r>
    <x v="391"/>
    <n v="0"/>
  </r>
  <r>
    <x v="392"/>
    <n v="-150"/>
  </r>
  <r>
    <x v="393"/>
    <n v="60"/>
  </r>
  <r>
    <x v="394"/>
    <n v="60"/>
  </r>
  <r>
    <x v="395"/>
    <n v="60"/>
  </r>
  <r>
    <x v="396"/>
    <n v="60"/>
  </r>
  <r>
    <x v="397"/>
    <n v="60"/>
  </r>
  <r>
    <x v="398"/>
    <n v="0"/>
  </r>
  <r>
    <x v="399"/>
    <n v="-150"/>
  </r>
  <r>
    <x v="400"/>
    <n v="60"/>
  </r>
  <r>
    <x v="401"/>
    <n v="60"/>
  </r>
  <r>
    <x v="402"/>
    <n v="60"/>
  </r>
  <r>
    <x v="403"/>
    <n v="60"/>
  </r>
  <r>
    <x v="404"/>
    <n v="60"/>
  </r>
  <r>
    <x v="405"/>
    <n v="0"/>
  </r>
  <r>
    <x v="406"/>
    <n v="-150"/>
  </r>
  <r>
    <x v="407"/>
    <n v="60"/>
  </r>
  <r>
    <x v="408"/>
    <n v="60"/>
  </r>
  <r>
    <x v="409"/>
    <n v="60"/>
  </r>
  <r>
    <x v="410"/>
    <n v="60"/>
  </r>
  <r>
    <x v="411"/>
    <n v="60"/>
  </r>
  <r>
    <x v="412"/>
    <n v="0"/>
  </r>
  <r>
    <x v="413"/>
    <n v="-150"/>
  </r>
  <r>
    <x v="414"/>
    <n v="60"/>
  </r>
  <r>
    <x v="415"/>
    <n v="60"/>
  </r>
  <r>
    <x v="416"/>
    <n v="60"/>
  </r>
  <r>
    <x v="417"/>
    <n v="60"/>
  </r>
  <r>
    <x v="418"/>
    <n v="60"/>
  </r>
  <r>
    <x v="419"/>
    <n v="0"/>
  </r>
  <r>
    <x v="420"/>
    <n v="-150"/>
  </r>
  <r>
    <x v="421"/>
    <n v="60"/>
  </r>
  <r>
    <x v="422"/>
    <n v="60"/>
  </r>
  <r>
    <x v="423"/>
    <n v="60"/>
  </r>
  <r>
    <x v="424"/>
    <n v="60"/>
  </r>
  <r>
    <x v="425"/>
    <n v="60"/>
  </r>
  <r>
    <x v="426"/>
    <n v="0"/>
  </r>
  <r>
    <x v="427"/>
    <n v="-150"/>
  </r>
  <r>
    <x v="428"/>
    <n v="60"/>
  </r>
  <r>
    <x v="429"/>
    <n v="60"/>
  </r>
  <r>
    <x v="430"/>
    <n v="60"/>
  </r>
  <r>
    <x v="431"/>
    <n v="60"/>
  </r>
  <r>
    <x v="432"/>
    <n v="60"/>
  </r>
  <r>
    <x v="433"/>
    <n v="0"/>
  </r>
  <r>
    <x v="434"/>
    <n v="-150"/>
  </r>
  <r>
    <x v="435"/>
    <n v="60"/>
  </r>
  <r>
    <x v="436"/>
    <n v="60"/>
  </r>
  <r>
    <x v="437"/>
    <n v="60"/>
  </r>
  <r>
    <x v="438"/>
    <n v="60"/>
  </r>
  <r>
    <x v="439"/>
    <n v="60"/>
  </r>
  <r>
    <x v="440"/>
    <n v="0"/>
  </r>
  <r>
    <x v="441"/>
    <n v="-150"/>
  </r>
  <r>
    <x v="442"/>
    <n v="60"/>
  </r>
  <r>
    <x v="443"/>
    <n v="60"/>
  </r>
  <r>
    <x v="444"/>
    <n v="60"/>
  </r>
  <r>
    <x v="445"/>
    <n v="150"/>
  </r>
  <r>
    <x v="446"/>
    <n v="150"/>
  </r>
  <r>
    <x v="447"/>
    <n v="0"/>
  </r>
  <r>
    <x v="448"/>
    <n v="-150"/>
  </r>
  <r>
    <x v="449"/>
    <n v="150"/>
  </r>
  <r>
    <x v="450"/>
    <n v="150"/>
  </r>
  <r>
    <x v="451"/>
    <n v="150"/>
  </r>
  <r>
    <x v="452"/>
    <n v="150"/>
  </r>
  <r>
    <x v="453"/>
    <n v="150"/>
  </r>
  <r>
    <x v="454"/>
    <n v="0"/>
  </r>
  <r>
    <x v="455"/>
    <n v="-150"/>
  </r>
  <r>
    <x v="456"/>
    <n v="150"/>
  </r>
  <r>
    <x v="457"/>
    <n v="150"/>
  </r>
  <r>
    <x v="458"/>
    <n v="150"/>
  </r>
  <r>
    <x v="459"/>
    <n v="150"/>
  </r>
  <r>
    <x v="460"/>
    <n v="150"/>
  </r>
  <r>
    <x v="461"/>
    <n v="0"/>
  </r>
  <r>
    <x v="462"/>
    <n v="-150"/>
  </r>
  <r>
    <x v="463"/>
    <n v="150"/>
  </r>
  <r>
    <x v="464"/>
    <n v="150"/>
  </r>
  <r>
    <x v="465"/>
    <n v="150"/>
  </r>
  <r>
    <x v="466"/>
    <n v="150"/>
  </r>
  <r>
    <x v="467"/>
    <n v="150"/>
  </r>
  <r>
    <x v="468"/>
    <n v="0"/>
  </r>
  <r>
    <x v="469"/>
    <n v="-150"/>
  </r>
  <r>
    <x v="470"/>
    <n v="150"/>
  </r>
  <r>
    <x v="471"/>
    <n v="150"/>
  </r>
  <r>
    <x v="472"/>
    <n v="150"/>
  </r>
  <r>
    <x v="473"/>
    <n v="150"/>
  </r>
  <r>
    <x v="474"/>
    <n v="150"/>
  </r>
  <r>
    <x v="475"/>
    <n v="0"/>
  </r>
  <r>
    <x v="476"/>
    <n v="-150"/>
  </r>
  <r>
    <x v="477"/>
    <n v="150"/>
  </r>
  <r>
    <x v="478"/>
    <n v="150"/>
  </r>
  <r>
    <x v="479"/>
    <n v="150"/>
  </r>
  <r>
    <x v="480"/>
    <n v="150"/>
  </r>
  <r>
    <x v="481"/>
    <n v="150"/>
  </r>
  <r>
    <x v="482"/>
    <n v="0"/>
  </r>
  <r>
    <x v="483"/>
    <n v="-150"/>
  </r>
  <r>
    <x v="484"/>
    <n v="150"/>
  </r>
  <r>
    <x v="485"/>
    <n v="150"/>
  </r>
  <r>
    <x v="486"/>
    <n v="150"/>
  </r>
  <r>
    <x v="487"/>
    <n v="150"/>
  </r>
  <r>
    <x v="488"/>
    <n v="150"/>
  </r>
  <r>
    <x v="489"/>
    <n v="0"/>
  </r>
  <r>
    <x v="490"/>
    <n v="-150"/>
  </r>
  <r>
    <x v="491"/>
    <n v="150"/>
  </r>
  <r>
    <x v="492"/>
    <n v="150"/>
  </r>
  <r>
    <x v="493"/>
    <n v="150"/>
  </r>
  <r>
    <x v="494"/>
    <n v="150"/>
  </r>
  <r>
    <x v="495"/>
    <n v="150"/>
  </r>
  <r>
    <x v="496"/>
    <n v="0"/>
  </r>
  <r>
    <x v="497"/>
    <n v="-150"/>
  </r>
  <r>
    <x v="498"/>
    <n v="150"/>
  </r>
  <r>
    <x v="499"/>
    <n v="150"/>
  </r>
  <r>
    <x v="500"/>
    <n v="150"/>
  </r>
  <r>
    <x v="501"/>
    <n v="150"/>
  </r>
  <r>
    <x v="502"/>
    <n v="150"/>
  </r>
  <r>
    <x v="503"/>
    <n v="0"/>
  </r>
  <r>
    <x v="504"/>
    <n v="-150"/>
  </r>
  <r>
    <x v="505"/>
    <n v="150"/>
  </r>
  <r>
    <x v="506"/>
    <n v="150"/>
  </r>
  <r>
    <x v="507"/>
    <n v="150"/>
  </r>
  <r>
    <x v="508"/>
    <n v="150"/>
  </r>
  <r>
    <x v="509"/>
    <n v="150"/>
  </r>
  <r>
    <x v="510"/>
    <n v="0"/>
  </r>
  <r>
    <x v="511"/>
    <n v="-150"/>
  </r>
  <r>
    <x v="512"/>
    <n v="150"/>
  </r>
  <r>
    <x v="513"/>
    <n v="150"/>
  </r>
  <r>
    <x v="514"/>
    <n v="150"/>
  </r>
  <r>
    <x v="515"/>
    <n v="150"/>
  </r>
  <r>
    <x v="516"/>
    <n v="150"/>
  </r>
  <r>
    <x v="517"/>
    <n v="0"/>
  </r>
  <r>
    <x v="518"/>
    <n v="-150"/>
  </r>
  <r>
    <x v="519"/>
    <n v="150"/>
  </r>
  <r>
    <x v="520"/>
    <n v="150"/>
  </r>
  <r>
    <x v="521"/>
    <n v="150"/>
  </r>
  <r>
    <x v="522"/>
    <n v="150"/>
  </r>
  <r>
    <x v="523"/>
    <n v="150"/>
  </r>
  <r>
    <x v="524"/>
    <n v="0"/>
  </r>
  <r>
    <x v="525"/>
    <n v="-150"/>
  </r>
  <r>
    <x v="526"/>
    <n v="150"/>
  </r>
  <r>
    <x v="527"/>
    <n v="150"/>
  </r>
  <r>
    <x v="528"/>
    <n v="150"/>
  </r>
  <r>
    <x v="529"/>
    <n v="150"/>
  </r>
  <r>
    <x v="530"/>
    <n v="150"/>
  </r>
  <r>
    <x v="531"/>
    <n v="0"/>
  </r>
  <r>
    <x v="532"/>
    <n v="-150"/>
  </r>
  <r>
    <x v="533"/>
    <n v="150"/>
  </r>
  <r>
    <x v="534"/>
    <n v="150"/>
  </r>
  <r>
    <x v="535"/>
    <n v="150"/>
  </r>
  <r>
    <x v="536"/>
    <n v="150"/>
  </r>
  <r>
    <x v="537"/>
    <n v="270"/>
  </r>
  <r>
    <x v="538"/>
    <n v="0"/>
  </r>
  <r>
    <x v="539"/>
    <n v="-150"/>
  </r>
  <r>
    <x v="540"/>
    <n v="270"/>
  </r>
  <r>
    <x v="541"/>
    <n v="270"/>
  </r>
  <r>
    <x v="542"/>
    <n v="270"/>
  </r>
  <r>
    <x v="543"/>
    <n v="270"/>
  </r>
  <r>
    <x v="544"/>
    <n v="270"/>
  </r>
  <r>
    <x v="545"/>
    <n v="0"/>
  </r>
  <r>
    <x v="546"/>
    <n v="-150"/>
  </r>
  <r>
    <x v="547"/>
    <n v="270"/>
  </r>
  <r>
    <x v="548"/>
    <n v="270"/>
  </r>
  <r>
    <x v="549"/>
    <n v="270"/>
  </r>
  <r>
    <x v="550"/>
    <n v="270"/>
  </r>
  <r>
    <x v="551"/>
    <n v="270"/>
  </r>
  <r>
    <x v="552"/>
    <n v="0"/>
  </r>
  <r>
    <x v="553"/>
    <n v="-150"/>
  </r>
  <r>
    <x v="554"/>
    <n v="270"/>
  </r>
  <r>
    <x v="555"/>
    <n v="270"/>
  </r>
  <r>
    <x v="556"/>
    <n v="270"/>
  </r>
  <r>
    <x v="557"/>
    <n v="270"/>
  </r>
  <r>
    <x v="558"/>
    <n v="270"/>
  </r>
  <r>
    <x v="559"/>
    <n v="0"/>
  </r>
  <r>
    <x v="560"/>
    <n v="-150"/>
  </r>
  <r>
    <x v="561"/>
    <n v="270"/>
  </r>
  <r>
    <x v="562"/>
    <n v="270"/>
  </r>
  <r>
    <x v="563"/>
    <n v="270"/>
  </r>
  <r>
    <x v="564"/>
    <n v="270"/>
  </r>
  <r>
    <x v="565"/>
    <n v="270"/>
  </r>
  <r>
    <x v="566"/>
    <n v="0"/>
  </r>
  <r>
    <x v="567"/>
    <n v="-150"/>
  </r>
  <r>
    <x v="568"/>
    <n v="270"/>
  </r>
  <r>
    <x v="569"/>
    <n v="270"/>
  </r>
  <r>
    <x v="570"/>
    <n v="270"/>
  </r>
  <r>
    <x v="571"/>
    <n v="270"/>
  </r>
  <r>
    <x v="572"/>
    <n v="270"/>
  </r>
  <r>
    <x v="573"/>
    <n v="0"/>
  </r>
  <r>
    <x v="574"/>
    <n v="-150"/>
  </r>
  <r>
    <x v="575"/>
    <n v="270"/>
  </r>
  <r>
    <x v="576"/>
    <n v="270"/>
  </r>
  <r>
    <x v="577"/>
    <n v="270"/>
  </r>
  <r>
    <x v="578"/>
    <n v="270"/>
  </r>
  <r>
    <x v="579"/>
    <n v="270"/>
  </r>
  <r>
    <x v="580"/>
    <n v="0"/>
  </r>
  <r>
    <x v="581"/>
    <n v="-150"/>
  </r>
  <r>
    <x v="582"/>
    <n v="270"/>
  </r>
  <r>
    <x v="583"/>
    <n v="270"/>
  </r>
  <r>
    <x v="584"/>
    <n v="270"/>
  </r>
  <r>
    <x v="585"/>
    <n v="270"/>
  </r>
  <r>
    <x v="586"/>
    <n v="270"/>
  </r>
  <r>
    <x v="587"/>
    <n v="0"/>
  </r>
  <r>
    <x v="588"/>
    <n v="-150"/>
  </r>
  <r>
    <x v="589"/>
    <n v="270"/>
  </r>
  <r>
    <x v="590"/>
    <n v="270"/>
  </r>
  <r>
    <x v="591"/>
    <n v="270"/>
  </r>
  <r>
    <x v="592"/>
    <n v="270"/>
  </r>
  <r>
    <x v="593"/>
    <n v="270"/>
  </r>
  <r>
    <x v="594"/>
    <n v="0"/>
  </r>
  <r>
    <x v="595"/>
    <n v="-150"/>
  </r>
  <r>
    <x v="596"/>
    <n v="270"/>
  </r>
  <r>
    <x v="597"/>
    <n v="270"/>
  </r>
  <r>
    <x v="598"/>
    <n v="270"/>
  </r>
  <r>
    <x v="599"/>
    <n v="270"/>
  </r>
  <r>
    <x v="600"/>
    <n v="270"/>
  </r>
  <r>
    <x v="601"/>
    <n v="0"/>
  </r>
  <r>
    <x v="602"/>
    <n v="-150"/>
  </r>
  <r>
    <x v="603"/>
    <n v="270"/>
  </r>
  <r>
    <x v="604"/>
    <n v="270"/>
  </r>
  <r>
    <x v="605"/>
    <n v="270"/>
  </r>
  <r>
    <x v="606"/>
    <n v="270"/>
  </r>
  <r>
    <x v="607"/>
    <n v="270"/>
  </r>
  <r>
    <x v="608"/>
    <n v="0"/>
  </r>
  <r>
    <x v="609"/>
    <n v="-150"/>
  </r>
  <r>
    <x v="610"/>
    <n v="270"/>
  </r>
  <r>
    <x v="611"/>
    <n v="270"/>
  </r>
  <r>
    <x v="612"/>
    <n v="270"/>
  </r>
  <r>
    <x v="613"/>
    <n v="270"/>
  </r>
  <r>
    <x v="614"/>
    <n v="270"/>
  </r>
  <r>
    <x v="615"/>
    <n v="0"/>
  </r>
  <r>
    <x v="616"/>
    <n v="-150"/>
  </r>
  <r>
    <x v="617"/>
    <n v="270"/>
  </r>
  <r>
    <x v="618"/>
    <n v="270"/>
  </r>
  <r>
    <x v="619"/>
    <n v="270"/>
  </r>
  <r>
    <x v="620"/>
    <n v="270"/>
  </r>
  <r>
    <x v="621"/>
    <n v="270"/>
  </r>
  <r>
    <x v="622"/>
    <n v="0"/>
  </r>
  <r>
    <x v="623"/>
    <n v="-150"/>
  </r>
  <r>
    <x v="624"/>
    <n v="270"/>
  </r>
  <r>
    <x v="625"/>
    <n v="270"/>
  </r>
  <r>
    <x v="626"/>
    <n v="270"/>
  </r>
  <r>
    <x v="627"/>
    <n v="270"/>
  </r>
  <r>
    <x v="628"/>
    <n v="270"/>
  </r>
  <r>
    <x v="629"/>
    <n v="0"/>
  </r>
  <r>
    <x v="630"/>
    <n v="-150"/>
  </r>
  <r>
    <x v="631"/>
    <n v="120"/>
  </r>
  <r>
    <x v="632"/>
    <n v="120"/>
  </r>
  <r>
    <x v="633"/>
    <n v="120"/>
  </r>
  <r>
    <x v="634"/>
    <n v="120"/>
  </r>
  <r>
    <x v="635"/>
    <n v="120"/>
  </r>
  <r>
    <x v="636"/>
    <n v="0"/>
  </r>
  <r>
    <x v="637"/>
    <n v="-150"/>
  </r>
  <r>
    <x v="638"/>
    <n v="120"/>
  </r>
  <r>
    <x v="639"/>
    <n v="120"/>
  </r>
  <r>
    <x v="640"/>
    <n v="120"/>
  </r>
  <r>
    <x v="641"/>
    <n v="120"/>
  </r>
  <r>
    <x v="642"/>
    <n v="120"/>
  </r>
  <r>
    <x v="643"/>
    <n v="0"/>
  </r>
  <r>
    <x v="644"/>
    <n v="-150"/>
  </r>
  <r>
    <x v="645"/>
    <n v="120"/>
  </r>
  <r>
    <x v="646"/>
    <n v="120"/>
  </r>
  <r>
    <x v="647"/>
    <n v="120"/>
  </r>
  <r>
    <x v="648"/>
    <n v="120"/>
  </r>
  <r>
    <x v="649"/>
    <n v="120"/>
  </r>
  <r>
    <x v="650"/>
    <n v="0"/>
  </r>
  <r>
    <x v="651"/>
    <n v="-150"/>
  </r>
  <r>
    <x v="652"/>
    <n v="120"/>
  </r>
  <r>
    <x v="653"/>
    <n v="120"/>
  </r>
  <r>
    <x v="654"/>
    <n v="120"/>
  </r>
  <r>
    <x v="655"/>
    <n v="120"/>
  </r>
  <r>
    <x v="656"/>
    <n v="120"/>
  </r>
  <r>
    <x v="657"/>
    <n v="0"/>
  </r>
  <r>
    <x v="658"/>
    <n v="-150"/>
  </r>
  <r>
    <x v="659"/>
    <n v="120"/>
  </r>
  <r>
    <x v="660"/>
    <n v="120"/>
  </r>
  <r>
    <x v="661"/>
    <n v="120"/>
  </r>
  <r>
    <x v="662"/>
    <n v="120"/>
  </r>
  <r>
    <x v="663"/>
    <n v="120"/>
  </r>
  <r>
    <x v="664"/>
    <n v="0"/>
  </r>
  <r>
    <x v="665"/>
    <n v="-150"/>
  </r>
  <r>
    <x v="666"/>
    <n v="120"/>
  </r>
  <r>
    <x v="667"/>
    <n v="120"/>
  </r>
  <r>
    <x v="668"/>
    <n v="120"/>
  </r>
  <r>
    <x v="669"/>
    <n v="120"/>
  </r>
  <r>
    <x v="670"/>
    <n v="120"/>
  </r>
  <r>
    <x v="671"/>
    <n v="0"/>
  </r>
  <r>
    <x v="672"/>
    <n v="-150"/>
  </r>
  <r>
    <x v="673"/>
    <n v="120"/>
  </r>
  <r>
    <x v="674"/>
    <n v="120"/>
  </r>
  <r>
    <x v="675"/>
    <n v="120"/>
  </r>
  <r>
    <x v="676"/>
    <n v="120"/>
  </r>
  <r>
    <x v="677"/>
    <n v="120"/>
  </r>
  <r>
    <x v="678"/>
    <n v="0"/>
  </r>
  <r>
    <x v="679"/>
    <n v="-150"/>
  </r>
  <r>
    <x v="680"/>
    <n v="120"/>
  </r>
  <r>
    <x v="681"/>
    <n v="120"/>
  </r>
  <r>
    <x v="682"/>
    <n v="120"/>
  </r>
  <r>
    <x v="683"/>
    <n v="120"/>
  </r>
  <r>
    <x v="684"/>
    <n v="120"/>
  </r>
  <r>
    <x v="685"/>
    <n v="0"/>
  </r>
  <r>
    <x v="686"/>
    <n v="-150"/>
  </r>
  <r>
    <x v="687"/>
    <n v="120"/>
  </r>
  <r>
    <x v="688"/>
    <n v="120"/>
  </r>
  <r>
    <x v="689"/>
    <n v="120"/>
  </r>
  <r>
    <x v="690"/>
    <n v="120"/>
  </r>
  <r>
    <x v="691"/>
    <n v="120"/>
  </r>
  <r>
    <x v="692"/>
    <n v="0"/>
  </r>
  <r>
    <x v="693"/>
    <n v="-150"/>
  </r>
  <r>
    <x v="694"/>
    <n v="120"/>
  </r>
  <r>
    <x v="695"/>
    <n v="120"/>
  </r>
  <r>
    <x v="696"/>
    <n v="120"/>
  </r>
  <r>
    <x v="697"/>
    <n v="120"/>
  </r>
  <r>
    <x v="698"/>
    <n v="120"/>
  </r>
  <r>
    <x v="699"/>
    <n v="0"/>
  </r>
  <r>
    <x v="700"/>
    <n v="-150"/>
  </r>
  <r>
    <x v="701"/>
    <n v="120"/>
  </r>
  <r>
    <x v="702"/>
    <n v="120"/>
  </r>
  <r>
    <x v="703"/>
    <n v="120"/>
  </r>
  <r>
    <x v="704"/>
    <n v="120"/>
  </r>
  <r>
    <x v="705"/>
    <n v="120"/>
  </r>
  <r>
    <x v="706"/>
    <n v="0"/>
  </r>
  <r>
    <x v="707"/>
    <n v="-150"/>
  </r>
  <r>
    <x v="708"/>
    <n v="120"/>
  </r>
  <r>
    <x v="709"/>
    <n v="120"/>
  </r>
  <r>
    <x v="710"/>
    <n v="120"/>
  </r>
  <r>
    <x v="711"/>
    <n v="120"/>
  </r>
  <r>
    <x v="712"/>
    <n v="120"/>
  </r>
  <r>
    <x v="713"/>
    <n v="0"/>
  </r>
  <r>
    <x v="714"/>
    <n v="-150"/>
  </r>
  <r>
    <x v="715"/>
    <n v="120"/>
  </r>
  <r>
    <x v="716"/>
    <n v="120"/>
  </r>
  <r>
    <x v="717"/>
    <n v="120"/>
  </r>
  <r>
    <x v="718"/>
    <n v="120"/>
  </r>
  <r>
    <x v="719"/>
    <n v="120"/>
  </r>
  <r>
    <x v="720"/>
    <n v="0"/>
  </r>
  <r>
    <x v="721"/>
    <n v="-150"/>
  </r>
  <r>
    <x v="722"/>
    <n v="120"/>
  </r>
  <r>
    <x v="723"/>
    <n v="120"/>
  </r>
  <r>
    <x v="724"/>
    <n v="120"/>
  </r>
  <r>
    <x v="725"/>
    <n v="120"/>
  </r>
  <r>
    <x v="726"/>
    <n v="120"/>
  </r>
  <r>
    <x v="727"/>
    <n v="0"/>
  </r>
  <r>
    <x v="728"/>
    <n v="-150"/>
  </r>
  <r>
    <x v="729"/>
    <n v="120"/>
  </r>
  <r>
    <x v="7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C7AFE-70FF-47DE-BB5C-9592D0723081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I1:AJ16" firstHeaderRow="1" firstDataRow="1" firstDataCol="1"/>
  <pivotFields count="5">
    <pivotField axis="axisRow"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sd="0" x="2"/>
        <item sd="0" x="3"/>
        <item sd="0" x="4"/>
        <item t="default"/>
      </items>
    </pivotField>
  </pivotFields>
  <rowFields count="3">
    <field x="4"/>
    <field x="2"/>
    <field x="0"/>
  </rowFields>
  <rowItems count="1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t="grand">
      <x/>
    </i>
  </rowItems>
  <colItems count="1">
    <i/>
  </colItems>
  <dataFields count="1">
    <dataField name="Suma z docho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39EB-A292-4BE5-877B-DD545C121633}">
  <dimension ref="A1:AN732"/>
  <sheetViews>
    <sheetView topLeftCell="A696" zoomScaleNormal="100" workbookViewId="0">
      <selection sqref="A1:D732"/>
    </sheetView>
  </sheetViews>
  <sheetFormatPr defaultRowHeight="15" x14ac:dyDescent="0.25"/>
  <cols>
    <col min="1" max="1" width="11.140625" bestFit="1" customWidth="1"/>
    <col min="2" max="2" width="9.42578125" bestFit="1" customWidth="1"/>
    <col min="3" max="3" width="20.85546875" bestFit="1" customWidth="1"/>
    <col min="4" max="4" width="14.28515625" bestFit="1" customWidth="1"/>
    <col min="5" max="6" width="20.5703125" bestFit="1" customWidth="1"/>
    <col min="7" max="7" width="26.5703125" bestFit="1" customWidth="1"/>
    <col min="8" max="8" width="9.85546875" bestFit="1" customWidth="1"/>
    <col min="9" max="10" width="35.42578125" bestFit="1" customWidth="1"/>
    <col min="11" max="11" width="9.85546875" bestFit="1" customWidth="1"/>
    <col min="12" max="13" width="10.140625" bestFit="1" customWidth="1"/>
    <col min="14" max="14" width="11.140625" bestFit="1" customWidth="1"/>
    <col min="29" max="29" width="16.5703125" bestFit="1" customWidth="1"/>
    <col min="32" max="32" width="11.140625" bestFit="1" customWidth="1"/>
    <col min="33" max="33" width="35.42578125" bestFit="1" customWidth="1"/>
    <col min="35" max="35" width="17.7109375" bestFit="1" customWidth="1"/>
    <col min="36" max="36" width="14.28515625" bestFit="1" customWidth="1"/>
  </cols>
  <sheetData>
    <row r="1" spans="1:40" x14ac:dyDescent="0.25">
      <c r="A1" t="s">
        <v>0</v>
      </c>
      <c r="B1" t="s">
        <v>1</v>
      </c>
      <c r="C1" t="s">
        <v>6</v>
      </c>
      <c r="D1" t="s">
        <v>10</v>
      </c>
      <c r="E1" t="s">
        <v>43</v>
      </c>
      <c r="F1" t="s">
        <v>7</v>
      </c>
      <c r="G1" t="s">
        <v>9</v>
      </c>
      <c r="H1" t="s">
        <v>12</v>
      </c>
      <c r="I1" t="s">
        <v>13</v>
      </c>
      <c r="J1" s="3" t="s">
        <v>15</v>
      </c>
      <c r="K1" t="s">
        <v>18</v>
      </c>
      <c r="L1" s="4" t="s">
        <v>17</v>
      </c>
      <c r="N1" s="5" t="s">
        <v>20</v>
      </c>
      <c r="AC1" t="s">
        <v>11</v>
      </c>
      <c r="AD1" t="s">
        <v>14</v>
      </c>
      <c r="AF1" t="s">
        <v>0</v>
      </c>
      <c r="AG1" t="s">
        <v>19</v>
      </c>
      <c r="AI1" s="9" t="s">
        <v>21</v>
      </c>
      <c r="AJ1" t="s">
        <v>37</v>
      </c>
    </row>
    <row r="2" spans="1:40" x14ac:dyDescent="0.25">
      <c r="A2" s="1">
        <v>44927</v>
      </c>
      <c r="B2" t="s">
        <v>2</v>
      </c>
      <c r="C2">
        <f>IF(B2="zima",20%,IF(B2="wiosna",50%,IF(B2="lato",90%,40%)))</f>
        <v>0.2</v>
      </c>
      <c r="D2">
        <f>WEEKDAY(A2,2)</f>
        <v>7</v>
      </c>
      <c r="E2">
        <v>10</v>
      </c>
      <c r="F2">
        <v>-8000</v>
      </c>
      <c r="G2">
        <f t="shared" ref="G2:G65" si="0">IF(D2=7,F2-150,F2)</f>
        <v>-8150</v>
      </c>
      <c r="H2">
        <f t="shared" ref="H2:H65" si="1">ROUNDDOWN($AC$2*C2,0)</f>
        <v>2</v>
      </c>
      <c r="I2">
        <f t="shared" ref="I2:I65" si="2">H2*$AD$2</f>
        <v>60</v>
      </c>
      <c r="J2" s="3">
        <f t="shared" ref="J2:J65" si="3">IF(AND(D2&gt;=1,D2&lt;=5),G2+I2,G2)</f>
        <v>-8150</v>
      </c>
      <c r="K2">
        <f t="shared" ref="K2:K65" si="4">IF(D2=7,150,0)</f>
        <v>150</v>
      </c>
      <c r="L2" s="4">
        <f>150+8000</f>
        <v>8150</v>
      </c>
      <c r="M2">
        <f>IF(AND(D2&gt;=1,D2&lt;=5),H2*I2,0)</f>
        <v>0</v>
      </c>
      <c r="N2" s="5">
        <v>0</v>
      </c>
      <c r="AC2">
        <v>10</v>
      </c>
      <c r="AD2">
        <v>30</v>
      </c>
      <c r="AF2" s="1">
        <v>44927</v>
      </c>
      <c r="AG2">
        <v>-8150</v>
      </c>
      <c r="AI2" s="10" t="s">
        <v>23</v>
      </c>
      <c r="AJ2">
        <v>23650</v>
      </c>
    </row>
    <row r="3" spans="1:40" x14ac:dyDescent="0.25">
      <c r="A3" s="1">
        <v>44928</v>
      </c>
      <c r="B3" t="s">
        <v>2</v>
      </c>
      <c r="C3">
        <f t="shared" ref="C3:C66" si="5">IF(B3="zima",20%,IF(B3="wiosna",50%,IF(B3="lato",90%,40%)))</f>
        <v>0.2</v>
      </c>
      <c r="D3">
        <f t="shared" ref="D3:D66" si="6">WEEKDAY(A3,2)</f>
        <v>1</v>
      </c>
      <c r="F3">
        <f>J2</f>
        <v>-8150</v>
      </c>
      <c r="G3">
        <f t="shared" si="0"/>
        <v>-8150</v>
      </c>
      <c r="H3">
        <f t="shared" si="1"/>
        <v>2</v>
      </c>
      <c r="I3">
        <f t="shared" si="2"/>
        <v>60</v>
      </c>
      <c r="J3" s="3">
        <f t="shared" si="3"/>
        <v>-8090</v>
      </c>
      <c r="K3">
        <f t="shared" si="4"/>
        <v>0</v>
      </c>
      <c r="L3" s="4">
        <f>K3+L2</f>
        <v>8150</v>
      </c>
      <c r="M3">
        <f t="shared" ref="M3:M66" si="7">IF(AND(D3&gt;=1,D3&lt;=5),I3,0)</f>
        <v>60</v>
      </c>
      <c r="N3" s="5">
        <f>N2+M3</f>
        <v>60</v>
      </c>
      <c r="AF3" s="1">
        <v>44928</v>
      </c>
      <c r="AG3">
        <f t="shared" ref="AG3:AG66" si="8">M3-K3</f>
        <v>60</v>
      </c>
      <c r="AI3" s="11" t="s">
        <v>25</v>
      </c>
      <c r="AJ3">
        <v>-7430</v>
      </c>
      <c r="AM3" s="12" t="s">
        <v>25</v>
      </c>
      <c r="AN3" s="13">
        <v>-7430</v>
      </c>
    </row>
    <row r="4" spans="1:40" x14ac:dyDescent="0.25">
      <c r="A4" s="1">
        <v>44929</v>
      </c>
      <c r="B4" t="s">
        <v>2</v>
      </c>
      <c r="C4">
        <f t="shared" si="5"/>
        <v>0.2</v>
      </c>
      <c r="D4">
        <f t="shared" si="6"/>
        <v>2</v>
      </c>
      <c r="F4">
        <f t="shared" ref="F4:F67" si="9">J3</f>
        <v>-8090</v>
      </c>
      <c r="G4">
        <f t="shared" si="0"/>
        <v>-8090</v>
      </c>
      <c r="H4">
        <f t="shared" si="1"/>
        <v>2</v>
      </c>
      <c r="I4">
        <f t="shared" si="2"/>
        <v>60</v>
      </c>
      <c r="J4" s="3">
        <f t="shared" si="3"/>
        <v>-8030</v>
      </c>
      <c r="K4">
        <f t="shared" si="4"/>
        <v>0</v>
      </c>
      <c r="L4" s="4">
        <f t="shared" ref="L4:L67" si="10">K4+L3</f>
        <v>8150</v>
      </c>
      <c r="M4">
        <f t="shared" si="7"/>
        <v>60</v>
      </c>
      <c r="N4" s="5">
        <f t="shared" ref="N4:N67" si="11">N3+M4</f>
        <v>120</v>
      </c>
      <c r="AF4" s="1">
        <v>44929</v>
      </c>
      <c r="AG4">
        <f t="shared" si="8"/>
        <v>60</v>
      </c>
      <c r="AI4" s="11" t="s">
        <v>26</v>
      </c>
      <c r="AJ4">
        <v>600</v>
      </c>
      <c r="AM4" s="12" t="s">
        <v>26</v>
      </c>
      <c r="AN4" s="13">
        <v>600</v>
      </c>
    </row>
    <row r="5" spans="1:40" x14ac:dyDescent="0.25">
      <c r="A5" s="1">
        <v>44930</v>
      </c>
      <c r="B5" t="s">
        <v>2</v>
      </c>
      <c r="C5">
        <f t="shared" si="5"/>
        <v>0.2</v>
      </c>
      <c r="D5">
        <f t="shared" si="6"/>
        <v>3</v>
      </c>
      <c r="F5">
        <f t="shared" si="9"/>
        <v>-8030</v>
      </c>
      <c r="G5">
        <f t="shared" si="0"/>
        <v>-8030</v>
      </c>
      <c r="H5">
        <f t="shared" si="1"/>
        <v>2</v>
      </c>
      <c r="I5">
        <f t="shared" si="2"/>
        <v>60</v>
      </c>
      <c r="J5" s="3">
        <f t="shared" si="3"/>
        <v>-7970</v>
      </c>
      <c r="K5">
        <f t="shared" si="4"/>
        <v>0</v>
      </c>
      <c r="L5" s="4">
        <f t="shared" si="10"/>
        <v>8150</v>
      </c>
      <c r="M5">
        <f t="shared" si="7"/>
        <v>60</v>
      </c>
      <c r="N5" s="5">
        <f t="shared" si="11"/>
        <v>180</v>
      </c>
      <c r="AF5" s="1">
        <v>44930</v>
      </c>
      <c r="AG5">
        <f t="shared" si="8"/>
        <v>60</v>
      </c>
      <c r="AI5" s="11" t="s">
        <v>27</v>
      </c>
      <c r="AJ5">
        <v>1590</v>
      </c>
      <c r="AM5" s="12" t="s">
        <v>27</v>
      </c>
      <c r="AN5" s="13">
        <v>1590</v>
      </c>
    </row>
    <row r="6" spans="1:40" x14ac:dyDescent="0.25">
      <c r="A6" s="1">
        <v>44931</v>
      </c>
      <c r="B6" t="s">
        <v>2</v>
      </c>
      <c r="C6">
        <f t="shared" si="5"/>
        <v>0.2</v>
      </c>
      <c r="D6">
        <f t="shared" si="6"/>
        <v>4</v>
      </c>
      <c r="F6">
        <f t="shared" si="9"/>
        <v>-7970</v>
      </c>
      <c r="G6">
        <f t="shared" si="0"/>
        <v>-7970</v>
      </c>
      <c r="H6">
        <f t="shared" si="1"/>
        <v>2</v>
      </c>
      <c r="I6">
        <f t="shared" si="2"/>
        <v>60</v>
      </c>
      <c r="J6" s="3">
        <f t="shared" si="3"/>
        <v>-7910</v>
      </c>
      <c r="K6">
        <f t="shared" si="4"/>
        <v>0</v>
      </c>
      <c r="L6" s="4">
        <f t="shared" si="10"/>
        <v>8150</v>
      </c>
      <c r="M6">
        <f t="shared" si="7"/>
        <v>60</v>
      </c>
      <c r="N6" s="5">
        <f t="shared" si="11"/>
        <v>240</v>
      </c>
      <c r="AF6" s="1">
        <v>44931</v>
      </c>
      <c r="AG6">
        <f t="shared" si="8"/>
        <v>60</v>
      </c>
      <c r="AI6" s="11" t="s">
        <v>28</v>
      </c>
      <c r="AJ6">
        <v>2250</v>
      </c>
      <c r="AM6" s="12" t="s">
        <v>28</v>
      </c>
      <c r="AN6" s="13">
        <v>2250</v>
      </c>
    </row>
    <row r="7" spans="1:40" x14ac:dyDescent="0.25">
      <c r="A7" s="1">
        <v>44932</v>
      </c>
      <c r="B7" t="s">
        <v>2</v>
      </c>
      <c r="C7">
        <f t="shared" si="5"/>
        <v>0.2</v>
      </c>
      <c r="D7">
        <f t="shared" si="6"/>
        <v>5</v>
      </c>
      <c r="F7">
        <f t="shared" si="9"/>
        <v>-7910</v>
      </c>
      <c r="G7">
        <f t="shared" si="0"/>
        <v>-7910</v>
      </c>
      <c r="H7">
        <f t="shared" si="1"/>
        <v>2</v>
      </c>
      <c r="I7">
        <f t="shared" si="2"/>
        <v>60</v>
      </c>
      <c r="J7" s="3">
        <f t="shared" si="3"/>
        <v>-7850</v>
      </c>
      <c r="K7">
        <f t="shared" si="4"/>
        <v>0</v>
      </c>
      <c r="L7" s="4">
        <f t="shared" si="10"/>
        <v>8150</v>
      </c>
      <c r="M7">
        <f t="shared" si="7"/>
        <v>60</v>
      </c>
      <c r="N7" s="5">
        <f t="shared" si="11"/>
        <v>300</v>
      </c>
      <c r="AC7" s="6" t="s">
        <v>16</v>
      </c>
      <c r="AD7" s="6"/>
      <c r="AF7" s="1">
        <v>44932</v>
      </c>
      <c r="AG7">
        <f t="shared" si="8"/>
        <v>60</v>
      </c>
      <c r="AI7" s="11" t="s">
        <v>29</v>
      </c>
      <c r="AJ7">
        <v>2850</v>
      </c>
      <c r="AM7" s="12" t="s">
        <v>29</v>
      </c>
      <c r="AN7" s="13">
        <v>2850</v>
      </c>
    </row>
    <row r="8" spans="1:40" x14ac:dyDescent="0.25">
      <c r="A8" s="1">
        <v>44933</v>
      </c>
      <c r="B8" t="s">
        <v>2</v>
      </c>
      <c r="C8">
        <f t="shared" si="5"/>
        <v>0.2</v>
      </c>
      <c r="D8">
        <f t="shared" si="6"/>
        <v>6</v>
      </c>
      <c r="F8">
        <f t="shared" si="9"/>
        <v>-7850</v>
      </c>
      <c r="G8">
        <f t="shared" si="0"/>
        <v>-7850</v>
      </c>
      <c r="H8">
        <f t="shared" si="1"/>
        <v>2</v>
      </c>
      <c r="I8">
        <f t="shared" si="2"/>
        <v>60</v>
      </c>
      <c r="J8" s="3">
        <f t="shared" si="3"/>
        <v>-7850</v>
      </c>
      <c r="K8">
        <f t="shared" si="4"/>
        <v>0</v>
      </c>
      <c r="L8" s="4">
        <f t="shared" si="10"/>
        <v>8150</v>
      </c>
      <c r="M8">
        <f t="shared" si="7"/>
        <v>0</v>
      </c>
      <c r="N8" s="5">
        <f t="shared" si="11"/>
        <v>300</v>
      </c>
      <c r="AC8" s="6" t="s">
        <v>20</v>
      </c>
      <c r="AD8" s="6">
        <v>39600</v>
      </c>
      <c r="AF8" s="1">
        <v>44933</v>
      </c>
      <c r="AG8">
        <f t="shared" si="8"/>
        <v>0</v>
      </c>
      <c r="AI8" s="11" t="s">
        <v>30</v>
      </c>
      <c r="AJ8">
        <v>3660</v>
      </c>
      <c r="AM8" s="12" t="s">
        <v>30</v>
      </c>
      <c r="AN8" s="13">
        <v>3660</v>
      </c>
    </row>
    <row r="9" spans="1:40" x14ac:dyDescent="0.25">
      <c r="A9" s="1">
        <v>44934</v>
      </c>
      <c r="B9" t="s">
        <v>2</v>
      </c>
      <c r="C9">
        <f t="shared" si="5"/>
        <v>0.2</v>
      </c>
      <c r="D9">
        <f t="shared" si="6"/>
        <v>7</v>
      </c>
      <c r="F9">
        <f t="shared" si="9"/>
        <v>-7850</v>
      </c>
      <c r="G9">
        <f t="shared" si="0"/>
        <v>-8000</v>
      </c>
      <c r="H9">
        <f t="shared" si="1"/>
        <v>2</v>
      </c>
      <c r="I9">
        <f t="shared" si="2"/>
        <v>60</v>
      </c>
      <c r="J9" s="3">
        <f t="shared" si="3"/>
        <v>-8000</v>
      </c>
      <c r="K9">
        <f t="shared" si="4"/>
        <v>150</v>
      </c>
      <c r="L9" s="4">
        <f t="shared" si="10"/>
        <v>8300</v>
      </c>
      <c r="M9">
        <f t="shared" si="7"/>
        <v>0</v>
      </c>
      <c r="N9" s="5">
        <f t="shared" si="11"/>
        <v>300</v>
      </c>
      <c r="AC9" s="6" t="s">
        <v>17</v>
      </c>
      <c r="AD9" s="6">
        <v>15950</v>
      </c>
      <c r="AF9" s="1">
        <v>44934</v>
      </c>
      <c r="AG9">
        <f t="shared" si="8"/>
        <v>-150</v>
      </c>
      <c r="AI9" s="11" t="s">
        <v>31</v>
      </c>
      <c r="AJ9">
        <v>4920</v>
      </c>
      <c r="AM9" s="12" t="s">
        <v>31</v>
      </c>
      <c r="AN9" s="13">
        <v>4920</v>
      </c>
    </row>
    <row r="10" spans="1:40" x14ac:dyDescent="0.25">
      <c r="A10" s="1">
        <v>44935</v>
      </c>
      <c r="B10" t="s">
        <v>2</v>
      </c>
      <c r="C10">
        <f t="shared" si="5"/>
        <v>0.2</v>
      </c>
      <c r="D10">
        <f t="shared" si="6"/>
        <v>1</v>
      </c>
      <c r="F10">
        <f t="shared" si="9"/>
        <v>-8000</v>
      </c>
      <c r="G10">
        <f t="shared" si="0"/>
        <v>-8000</v>
      </c>
      <c r="H10">
        <f t="shared" si="1"/>
        <v>2</v>
      </c>
      <c r="I10">
        <f t="shared" si="2"/>
        <v>60</v>
      </c>
      <c r="J10" s="3">
        <f t="shared" si="3"/>
        <v>-7940</v>
      </c>
      <c r="K10">
        <f t="shared" si="4"/>
        <v>0</v>
      </c>
      <c r="L10" s="4">
        <f t="shared" si="10"/>
        <v>8300</v>
      </c>
      <c r="M10">
        <f t="shared" si="7"/>
        <v>60</v>
      </c>
      <c r="N10" s="5">
        <f t="shared" si="11"/>
        <v>360</v>
      </c>
      <c r="AC10" s="7"/>
      <c r="AD10" s="6"/>
      <c r="AF10" s="1">
        <v>44935</v>
      </c>
      <c r="AG10">
        <f t="shared" si="8"/>
        <v>60</v>
      </c>
      <c r="AI10" s="11" t="s">
        <v>32</v>
      </c>
      <c r="AJ10">
        <v>5610</v>
      </c>
      <c r="AM10" s="12" t="s">
        <v>32</v>
      </c>
      <c r="AN10" s="13">
        <v>5610</v>
      </c>
    </row>
    <row r="11" spans="1:40" x14ac:dyDescent="0.25">
      <c r="A11" s="1">
        <v>44936</v>
      </c>
      <c r="B11" t="s">
        <v>2</v>
      </c>
      <c r="C11">
        <f t="shared" si="5"/>
        <v>0.2</v>
      </c>
      <c r="D11">
        <f t="shared" si="6"/>
        <v>2</v>
      </c>
      <c r="F11">
        <f t="shared" si="9"/>
        <v>-7940</v>
      </c>
      <c r="G11">
        <f t="shared" si="0"/>
        <v>-7940</v>
      </c>
      <c r="H11">
        <f t="shared" si="1"/>
        <v>2</v>
      </c>
      <c r="I11">
        <f t="shared" si="2"/>
        <v>60</v>
      </c>
      <c r="J11" s="3">
        <f t="shared" si="3"/>
        <v>-7880</v>
      </c>
      <c r="K11">
        <f t="shared" si="4"/>
        <v>0</v>
      </c>
      <c r="L11" s="4">
        <f t="shared" si="10"/>
        <v>8300</v>
      </c>
      <c r="M11">
        <f t="shared" si="7"/>
        <v>60</v>
      </c>
      <c r="N11" s="5">
        <f t="shared" si="11"/>
        <v>420</v>
      </c>
      <c r="AC11" s="8">
        <v>45078</v>
      </c>
      <c r="AD11" s="6"/>
      <c r="AF11" s="1">
        <v>44936</v>
      </c>
      <c r="AG11">
        <f t="shared" si="8"/>
        <v>60</v>
      </c>
      <c r="AI11" s="11" t="s">
        <v>33</v>
      </c>
      <c r="AJ11">
        <v>4320</v>
      </c>
      <c r="AM11" s="12" t="s">
        <v>33</v>
      </c>
      <c r="AN11" s="13">
        <v>4320</v>
      </c>
    </row>
    <row r="12" spans="1:40" x14ac:dyDescent="0.25">
      <c r="A12" s="1">
        <v>44937</v>
      </c>
      <c r="B12" t="s">
        <v>2</v>
      </c>
      <c r="C12">
        <f t="shared" si="5"/>
        <v>0.2</v>
      </c>
      <c r="D12">
        <f t="shared" si="6"/>
        <v>3</v>
      </c>
      <c r="F12">
        <f t="shared" si="9"/>
        <v>-7880</v>
      </c>
      <c r="G12">
        <f t="shared" si="0"/>
        <v>-7880</v>
      </c>
      <c r="H12">
        <f t="shared" si="1"/>
        <v>2</v>
      </c>
      <c r="I12">
        <f t="shared" si="2"/>
        <v>60</v>
      </c>
      <c r="J12" s="3">
        <f t="shared" si="3"/>
        <v>-7820</v>
      </c>
      <c r="K12">
        <f t="shared" si="4"/>
        <v>0</v>
      </c>
      <c r="L12" s="4">
        <f t="shared" si="10"/>
        <v>8300</v>
      </c>
      <c r="M12">
        <f t="shared" si="7"/>
        <v>60</v>
      </c>
      <c r="N12" s="5">
        <f t="shared" si="11"/>
        <v>480</v>
      </c>
      <c r="AF12" s="1">
        <v>44937</v>
      </c>
      <c r="AG12">
        <f t="shared" si="8"/>
        <v>60</v>
      </c>
      <c r="AI12" s="11" t="s">
        <v>34</v>
      </c>
      <c r="AJ12">
        <v>1890</v>
      </c>
      <c r="AM12" s="12" t="s">
        <v>34</v>
      </c>
      <c r="AN12" s="13">
        <v>1890</v>
      </c>
    </row>
    <row r="13" spans="1:40" x14ac:dyDescent="0.25">
      <c r="A13" s="1">
        <v>44938</v>
      </c>
      <c r="B13" t="s">
        <v>2</v>
      </c>
      <c r="C13">
        <f t="shared" si="5"/>
        <v>0.2</v>
      </c>
      <c r="D13">
        <f t="shared" si="6"/>
        <v>4</v>
      </c>
      <c r="F13">
        <f t="shared" si="9"/>
        <v>-7820</v>
      </c>
      <c r="G13">
        <f t="shared" si="0"/>
        <v>-7820</v>
      </c>
      <c r="H13">
        <f t="shared" si="1"/>
        <v>2</v>
      </c>
      <c r="I13">
        <f t="shared" si="2"/>
        <v>60</v>
      </c>
      <c r="J13" s="3">
        <f t="shared" si="3"/>
        <v>-7760</v>
      </c>
      <c r="K13">
        <f t="shared" si="4"/>
        <v>0</v>
      </c>
      <c r="L13" s="4">
        <f t="shared" si="10"/>
        <v>8300</v>
      </c>
      <c r="M13">
        <f t="shared" si="7"/>
        <v>60</v>
      </c>
      <c r="N13" s="5">
        <f t="shared" si="11"/>
        <v>540</v>
      </c>
      <c r="AF13" s="1">
        <v>44938</v>
      </c>
      <c r="AG13">
        <f t="shared" si="8"/>
        <v>60</v>
      </c>
      <c r="AI13" s="11" t="s">
        <v>35</v>
      </c>
      <c r="AJ13">
        <v>2040</v>
      </c>
      <c r="AM13" s="12" t="s">
        <v>35</v>
      </c>
      <c r="AN13" s="13">
        <v>2040</v>
      </c>
    </row>
    <row r="14" spans="1:40" x14ac:dyDescent="0.25">
      <c r="A14" s="1">
        <v>44939</v>
      </c>
      <c r="B14" t="s">
        <v>2</v>
      </c>
      <c r="C14">
        <f t="shared" si="5"/>
        <v>0.2</v>
      </c>
      <c r="D14">
        <f t="shared" si="6"/>
        <v>5</v>
      </c>
      <c r="F14">
        <f t="shared" si="9"/>
        <v>-7760</v>
      </c>
      <c r="G14">
        <f t="shared" si="0"/>
        <v>-7760</v>
      </c>
      <c r="H14">
        <f t="shared" si="1"/>
        <v>2</v>
      </c>
      <c r="I14">
        <f t="shared" si="2"/>
        <v>60</v>
      </c>
      <c r="J14" s="3">
        <f t="shared" si="3"/>
        <v>-7700</v>
      </c>
      <c r="K14">
        <f t="shared" si="4"/>
        <v>0</v>
      </c>
      <c r="L14" s="4">
        <f t="shared" si="10"/>
        <v>8300</v>
      </c>
      <c r="M14">
        <f t="shared" si="7"/>
        <v>60</v>
      </c>
      <c r="N14" s="5">
        <f t="shared" si="11"/>
        <v>600</v>
      </c>
      <c r="AF14" s="1">
        <v>44939</v>
      </c>
      <c r="AG14">
        <f t="shared" si="8"/>
        <v>60</v>
      </c>
      <c r="AI14" s="11" t="s">
        <v>36</v>
      </c>
      <c r="AJ14">
        <v>1350</v>
      </c>
      <c r="AM14" s="12" t="s">
        <v>36</v>
      </c>
      <c r="AN14" s="13">
        <v>1350</v>
      </c>
    </row>
    <row r="15" spans="1:40" x14ac:dyDescent="0.25">
      <c r="A15" s="1">
        <v>44940</v>
      </c>
      <c r="B15" t="s">
        <v>2</v>
      </c>
      <c r="C15">
        <f t="shared" si="5"/>
        <v>0.2</v>
      </c>
      <c r="D15">
        <f t="shared" si="6"/>
        <v>6</v>
      </c>
      <c r="F15">
        <f t="shared" si="9"/>
        <v>-7700</v>
      </c>
      <c r="G15">
        <f t="shared" si="0"/>
        <v>-7700</v>
      </c>
      <c r="H15">
        <f t="shared" si="1"/>
        <v>2</v>
      </c>
      <c r="I15">
        <f t="shared" si="2"/>
        <v>60</v>
      </c>
      <c r="J15" s="3">
        <f t="shared" si="3"/>
        <v>-7700</v>
      </c>
      <c r="K15">
        <f t="shared" si="4"/>
        <v>0</v>
      </c>
      <c r="L15" s="4">
        <f t="shared" si="10"/>
        <v>8300</v>
      </c>
      <c r="M15">
        <f t="shared" si="7"/>
        <v>0</v>
      </c>
      <c r="N15" s="5">
        <f t="shared" si="11"/>
        <v>600</v>
      </c>
      <c r="AC15" t="s">
        <v>38</v>
      </c>
      <c r="AF15" s="1">
        <v>44940</v>
      </c>
      <c r="AG15">
        <f t="shared" si="8"/>
        <v>0</v>
      </c>
      <c r="AI15" s="10" t="s">
        <v>24</v>
      </c>
      <c r="AJ15">
        <v>32040</v>
      </c>
    </row>
    <row r="16" spans="1:40" x14ac:dyDescent="0.25">
      <c r="A16" s="1">
        <v>44941</v>
      </c>
      <c r="B16" t="s">
        <v>2</v>
      </c>
      <c r="C16">
        <f t="shared" si="5"/>
        <v>0.2</v>
      </c>
      <c r="D16">
        <f t="shared" si="6"/>
        <v>7</v>
      </c>
      <c r="F16">
        <f t="shared" si="9"/>
        <v>-7700</v>
      </c>
      <c r="G16">
        <f t="shared" si="0"/>
        <v>-7850</v>
      </c>
      <c r="H16">
        <f t="shared" si="1"/>
        <v>2</v>
      </c>
      <c r="I16">
        <f t="shared" si="2"/>
        <v>60</v>
      </c>
      <c r="J16" s="3">
        <f t="shared" si="3"/>
        <v>-7850</v>
      </c>
      <c r="K16">
        <f t="shared" si="4"/>
        <v>150</v>
      </c>
      <c r="L16" s="4">
        <f t="shared" si="10"/>
        <v>8450</v>
      </c>
      <c r="M16">
        <f t="shared" si="7"/>
        <v>0</v>
      </c>
      <c r="N16" s="5">
        <f t="shared" si="11"/>
        <v>600</v>
      </c>
      <c r="AC16">
        <v>100000</v>
      </c>
      <c r="AF16" s="1">
        <v>44941</v>
      </c>
      <c r="AG16">
        <f t="shared" si="8"/>
        <v>-150</v>
      </c>
      <c r="AI16" s="10" t="s">
        <v>22</v>
      </c>
      <c r="AJ16">
        <v>55690</v>
      </c>
    </row>
    <row r="17" spans="1:33" x14ac:dyDescent="0.25">
      <c r="A17" s="1">
        <v>44942</v>
      </c>
      <c r="B17" t="s">
        <v>2</v>
      </c>
      <c r="C17">
        <f t="shared" si="5"/>
        <v>0.2</v>
      </c>
      <c r="D17">
        <f t="shared" si="6"/>
        <v>1</v>
      </c>
      <c r="F17">
        <f t="shared" si="9"/>
        <v>-7850</v>
      </c>
      <c r="G17">
        <f t="shared" si="0"/>
        <v>-7850</v>
      </c>
      <c r="H17">
        <f t="shared" si="1"/>
        <v>2</v>
      </c>
      <c r="I17">
        <f t="shared" si="2"/>
        <v>60</v>
      </c>
      <c r="J17" s="3">
        <f t="shared" si="3"/>
        <v>-7790</v>
      </c>
      <c r="K17">
        <f t="shared" si="4"/>
        <v>0</v>
      </c>
      <c r="L17" s="4">
        <f t="shared" si="10"/>
        <v>8450</v>
      </c>
      <c r="M17">
        <f t="shared" si="7"/>
        <v>60</v>
      </c>
      <c r="N17" s="5">
        <f t="shared" si="11"/>
        <v>660</v>
      </c>
      <c r="AF17" s="1">
        <v>44942</v>
      </c>
      <c r="AG17">
        <f t="shared" si="8"/>
        <v>60</v>
      </c>
    </row>
    <row r="18" spans="1:33" x14ac:dyDescent="0.25">
      <c r="A18" s="1">
        <v>44943</v>
      </c>
      <c r="B18" t="s">
        <v>2</v>
      </c>
      <c r="C18">
        <f t="shared" si="5"/>
        <v>0.2</v>
      </c>
      <c r="D18">
        <f t="shared" si="6"/>
        <v>2</v>
      </c>
      <c r="F18">
        <f t="shared" si="9"/>
        <v>-7790</v>
      </c>
      <c r="G18">
        <f t="shared" si="0"/>
        <v>-7790</v>
      </c>
      <c r="H18">
        <f t="shared" si="1"/>
        <v>2</v>
      </c>
      <c r="I18">
        <f t="shared" si="2"/>
        <v>60</v>
      </c>
      <c r="J18" s="3">
        <f t="shared" si="3"/>
        <v>-7730</v>
      </c>
      <c r="K18">
        <f t="shared" si="4"/>
        <v>0</v>
      </c>
      <c r="L18" s="4">
        <f t="shared" si="10"/>
        <v>8450</v>
      </c>
      <c r="M18">
        <f t="shared" si="7"/>
        <v>60</v>
      </c>
      <c r="N18" s="5">
        <f t="shared" si="11"/>
        <v>720</v>
      </c>
      <c r="AC18" t="s">
        <v>39</v>
      </c>
      <c r="AD18">
        <f>J732</f>
        <v>55690</v>
      </c>
      <c r="AF18" s="1">
        <v>44943</v>
      </c>
      <c r="AG18">
        <f t="shared" si="8"/>
        <v>60</v>
      </c>
    </row>
    <row r="19" spans="1:33" x14ac:dyDescent="0.25">
      <c r="A19" s="1">
        <v>44944</v>
      </c>
      <c r="B19" t="s">
        <v>2</v>
      </c>
      <c r="C19">
        <f t="shared" si="5"/>
        <v>0.2</v>
      </c>
      <c r="D19">
        <f t="shared" si="6"/>
        <v>3</v>
      </c>
      <c r="F19">
        <f t="shared" si="9"/>
        <v>-7730</v>
      </c>
      <c r="G19">
        <f t="shared" si="0"/>
        <v>-7730</v>
      </c>
      <c r="H19">
        <f t="shared" si="1"/>
        <v>2</v>
      </c>
      <c r="I19">
        <f t="shared" si="2"/>
        <v>60</v>
      </c>
      <c r="J19" s="3">
        <f t="shared" si="3"/>
        <v>-7670</v>
      </c>
      <c r="K19">
        <f t="shared" si="4"/>
        <v>0</v>
      </c>
      <c r="L19" s="4">
        <f t="shared" si="10"/>
        <v>8450</v>
      </c>
      <c r="M19">
        <f t="shared" si="7"/>
        <v>60</v>
      </c>
      <c r="N19" s="5">
        <f t="shared" si="11"/>
        <v>780</v>
      </c>
      <c r="AF19" s="1">
        <v>44944</v>
      </c>
      <c r="AG19">
        <f t="shared" si="8"/>
        <v>60</v>
      </c>
    </row>
    <row r="20" spans="1:33" x14ac:dyDescent="0.25">
      <c r="A20" s="1">
        <v>44945</v>
      </c>
      <c r="B20" t="s">
        <v>2</v>
      </c>
      <c r="C20">
        <f t="shared" si="5"/>
        <v>0.2</v>
      </c>
      <c r="D20">
        <f t="shared" si="6"/>
        <v>4</v>
      </c>
      <c r="F20">
        <f t="shared" si="9"/>
        <v>-7670</v>
      </c>
      <c r="G20">
        <f t="shared" si="0"/>
        <v>-7670</v>
      </c>
      <c r="H20">
        <f t="shared" si="1"/>
        <v>2</v>
      </c>
      <c r="I20">
        <f t="shared" si="2"/>
        <v>60</v>
      </c>
      <c r="J20" s="3">
        <f t="shared" si="3"/>
        <v>-7610</v>
      </c>
      <c r="K20">
        <f t="shared" si="4"/>
        <v>0</v>
      </c>
      <c r="L20" s="4">
        <f t="shared" si="10"/>
        <v>8450</v>
      </c>
      <c r="M20">
        <f t="shared" si="7"/>
        <v>60</v>
      </c>
      <c r="N20" s="5">
        <f t="shared" si="11"/>
        <v>840</v>
      </c>
      <c r="AC20" t="s">
        <v>40</v>
      </c>
      <c r="AD20">
        <v>47</v>
      </c>
      <c r="AF20" s="1">
        <v>44945</v>
      </c>
      <c r="AG20">
        <f t="shared" si="8"/>
        <v>60</v>
      </c>
    </row>
    <row r="21" spans="1:33" x14ac:dyDescent="0.25">
      <c r="A21" s="1">
        <v>44946</v>
      </c>
      <c r="B21" t="s">
        <v>2</v>
      </c>
      <c r="C21">
        <f t="shared" si="5"/>
        <v>0.2</v>
      </c>
      <c r="D21">
        <f t="shared" si="6"/>
        <v>5</v>
      </c>
      <c r="F21">
        <f t="shared" si="9"/>
        <v>-7610</v>
      </c>
      <c r="G21">
        <f t="shared" si="0"/>
        <v>-7610</v>
      </c>
      <c r="H21">
        <f t="shared" si="1"/>
        <v>2</v>
      </c>
      <c r="I21">
        <f t="shared" si="2"/>
        <v>60</v>
      </c>
      <c r="J21" s="3">
        <f t="shared" si="3"/>
        <v>-7550</v>
      </c>
      <c r="K21">
        <f t="shared" si="4"/>
        <v>0</v>
      </c>
      <c r="L21" s="4">
        <f t="shared" si="10"/>
        <v>8450</v>
      </c>
      <c r="M21">
        <f t="shared" si="7"/>
        <v>60</v>
      </c>
      <c r="N21" s="5">
        <f t="shared" si="11"/>
        <v>900</v>
      </c>
      <c r="AC21" t="s">
        <v>41</v>
      </c>
      <c r="AD21">
        <v>57</v>
      </c>
      <c r="AF21" s="1">
        <v>44946</v>
      </c>
      <c r="AG21">
        <f t="shared" si="8"/>
        <v>60</v>
      </c>
    </row>
    <row r="22" spans="1:33" x14ac:dyDescent="0.25">
      <c r="A22" s="1">
        <v>44947</v>
      </c>
      <c r="B22" t="s">
        <v>2</v>
      </c>
      <c r="C22">
        <f t="shared" si="5"/>
        <v>0.2</v>
      </c>
      <c r="D22">
        <f t="shared" si="6"/>
        <v>6</v>
      </c>
      <c r="F22">
        <f t="shared" si="9"/>
        <v>-7550</v>
      </c>
      <c r="G22">
        <f t="shared" si="0"/>
        <v>-7550</v>
      </c>
      <c r="H22">
        <f t="shared" si="1"/>
        <v>2</v>
      </c>
      <c r="I22">
        <f t="shared" si="2"/>
        <v>60</v>
      </c>
      <c r="J22" s="3">
        <f t="shared" si="3"/>
        <v>-7550</v>
      </c>
      <c r="K22">
        <f t="shared" si="4"/>
        <v>0</v>
      </c>
      <c r="L22" s="4">
        <f t="shared" si="10"/>
        <v>8450</v>
      </c>
      <c r="M22">
        <f t="shared" si="7"/>
        <v>0</v>
      </c>
      <c r="N22" s="5">
        <f t="shared" si="11"/>
        <v>900</v>
      </c>
      <c r="AC22" t="s">
        <v>42</v>
      </c>
      <c r="AD22">
        <v>66</v>
      </c>
      <c r="AF22" s="1">
        <v>44947</v>
      </c>
      <c r="AG22">
        <f t="shared" si="8"/>
        <v>0</v>
      </c>
    </row>
    <row r="23" spans="1:33" x14ac:dyDescent="0.25">
      <c r="A23" s="1">
        <v>44948</v>
      </c>
      <c r="B23" t="s">
        <v>2</v>
      </c>
      <c r="C23">
        <f t="shared" si="5"/>
        <v>0.2</v>
      </c>
      <c r="D23">
        <f t="shared" si="6"/>
        <v>7</v>
      </c>
      <c r="F23">
        <f t="shared" si="9"/>
        <v>-7550</v>
      </c>
      <c r="G23">
        <f t="shared" si="0"/>
        <v>-7700</v>
      </c>
      <c r="H23">
        <f t="shared" si="1"/>
        <v>2</v>
      </c>
      <c r="I23">
        <f t="shared" si="2"/>
        <v>60</v>
      </c>
      <c r="J23" s="3">
        <f t="shared" si="3"/>
        <v>-7700</v>
      </c>
      <c r="K23">
        <f t="shared" si="4"/>
        <v>150</v>
      </c>
      <c r="L23" s="4">
        <f t="shared" si="10"/>
        <v>8600</v>
      </c>
      <c r="M23">
        <f t="shared" si="7"/>
        <v>0</v>
      </c>
      <c r="N23" s="5">
        <f t="shared" si="11"/>
        <v>900</v>
      </c>
      <c r="AF23" s="1">
        <v>44948</v>
      </c>
      <c r="AG23">
        <f t="shared" si="8"/>
        <v>-150</v>
      </c>
    </row>
    <row r="24" spans="1:33" x14ac:dyDescent="0.25">
      <c r="A24" s="1">
        <v>44949</v>
      </c>
      <c r="B24" t="s">
        <v>2</v>
      </c>
      <c r="C24">
        <f t="shared" si="5"/>
        <v>0.2</v>
      </c>
      <c r="D24">
        <f t="shared" si="6"/>
        <v>1</v>
      </c>
      <c r="F24">
        <f t="shared" si="9"/>
        <v>-7700</v>
      </c>
      <c r="G24">
        <f t="shared" si="0"/>
        <v>-7700</v>
      </c>
      <c r="H24">
        <f t="shared" si="1"/>
        <v>2</v>
      </c>
      <c r="I24">
        <f t="shared" si="2"/>
        <v>60</v>
      </c>
      <c r="J24" s="3">
        <f t="shared" si="3"/>
        <v>-7640</v>
      </c>
      <c r="K24">
        <f t="shared" si="4"/>
        <v>0</v>
      </c>
      <c r="L24" s="4">
        <f t="shared" si="10"/>
        <v>8600</v>
      </c>
      <c r="M24">
        <f t="shared" si="7"/>
        <v>60</v>
      </c>
      <c r="N24" s="5">
        <f t="shared" si="11"/>
        <v>960</v>
      </c>
      <c r="AF24" s="1">
        <v>44949</v>
      </c>
      <c r="AG24">
        <f t="shared" si="8"/>
        <v>60</v>
      </c>
    </row>
    <row r="25" spans="1:33" x14ac:dyDescent="0.25">
      <c r="A25" s="1">
        <v>44950</v>
      </c>
      <c r="B25" t="s">
        <v>2</v>
      </c>
      <c r="C25">
        <f t="shared" si="5"/>
        <v>0.2</v>
      </c>
      <c r="D25">
        <f t="shared" si="6"/>
        <v>2</v>
      </c>
      <c r="F25">
        <f t="shared" si="9"/>
        <v>-7640</v>
      </c>
      <c r="G25">
        <f t="shared" si="0"/>
        <v>-7640</v>
      </c>
      <c r="H25">
        <f t="shared" si="1"/>
        <v>2</v>
      </c>
      <c r="I25">
        <f t="shared" si="2"/>
        <v>60</v>
      </c>
      <c r="J25" s="3">
        <f t="shared" si="3"/>
        <v>-7580</v>
      </c>
      <c r="K25">
        <f t="shared" si="4"/>
        <v>0</v>
      </c>
      <c r="L25" s="4">
        <f t="shared" si="10"/>
        <v>8600</v>
      </c>
      <c r="M25">
        <f t="shared" si="7"/>
        <v>60</v>
      </c>
      <c r="N25" s="5">
        <f t="shared" si="11"/>
        <v>1020</v>
      </c>
      <c r="AF25" s="1">
        <v>44950</v>
      </c>
      <c r="AG25">
        <f t="shared" si="8"/>
        <v>60</v>
      </c>
    </row>
    <row r="26" spans="1:33" x14ac:dyDescent="0.25">
      <c r="A26" s="1">
        <v>44951</v>
      </c>
      <c r="B26" t="s">
        <v>2</v>
      </c>
      <c r="C26">
        <f t="shared" si="5"/>
        <v>0.2</v>
      </c>
      <c r="D26">
        <f t="shared" si="6"/>
        <v>3</v>
      </c>
      <c r="F26">
        <f t="shared" si="9"/>
        <v>-7580</v>
      </c>
      <c r="G26">
        <f t="shared" si="0"/>
        <v>-7580</v>
      </c>
      <c r="H26">
        <f t="shared" si="1"/>
        <v>2</v>
      </c>
      <c r="I26">
        <f t="shared" si="2"/>
        <v>60</v>
      </c>
      <c r="J26" s="3">
        <f t="shared" si="3"/>
        <v>-7520</v>
      </c>
      <c r="K26">
        <f t="shared" si="4"/>
        <v>0</v>
      </c>
      <c r="L26" s="4">
        <f t="shared" si="10"/>
        <v>8600</v>
      </c>
      <c r="M26">
        <f t="shared" si="7"/>
        <v>60</v>
      </c>
      <c r="N26" s="5">
        <f t="shared" si="11"/>
        <v>1080</v>
      </c>
      <c r="AF26" s="1">
        <v>44951</v>
      </c>
      <c r="AG26">
        <f t="shared" si="8"/>
        <v>60</v>
      </c>
    </row>
    <row r="27" spans="1:33" x14ac:dyDescent="0.25">
      <c r="A27" s="1">
        <v>44952</v>
      </c>
      <c r="B27" t="s">
        <v>2</v>
      </c>
      <c r="C27">
        <f t="shared" si="5"/>
        <v>0.2</v>
      </c>
      <c r="D27">
        <f t="shared" si="6"/>
        <v>4</v>
      </c>
      <c r="F27">
        <f t="shared" si="9"/>
        <v>-7520</v>
      </c>
      <c r="G27">
        <f t="shared" si="0"/>
        <v>-7520</v>
      </c>
      <c r="H27">
        <f t="shared" si="1"/>
        <v>2</v>
      </c>
      <c r="I27">
        <f t="shared" si="2"/>
        <v>60</v>
      </c>
      <c r="J27" s="3">
        <f t="shared" si="3"/>
        <v>-7460</v>
      </c>
      <c r="K27">
        <f t="shared" si="4"/>
        <v>0</v>
      </c>
      <c r="L27" s="4">
        <f t="shared" si="10"/>
        <v>8600</v>
      </c>
      <c r="M27">
        <f t="shared" si="7"/>
        <v>60</v>
      </c>
      <c r="N27" s="5">
        <f t="shared" si="11"/>
        <v>1140</v>
      </c>
      <c r="AF27" s="1">
        <v>44952</v>
      </c>
      <c r="AG27">
        <f t="shared" si="8"/>
        <v>60</v>
      </c>
    </row>
    <row r="28" spans="1:33" x14ac:dyDescent="0.25">
      <c r="A28" s="1">
        <v>44953</v>
      </c>
      <c r="B28" t="s">
        <v>2</v>
      </c>
      <c r="C28">
        <f t="shared" si="5"/>
        <v>0.2</v>
      </c>
      <c r="D28">
        <f t="shared" si="6"/>
        <v>5</v>
      </c>
      <c r="F28">
        <f t="shared" si="9"/>
        <v>-7460</v>
      </c>
      <c r="G28">
        <f t="shared" si="0"/>
        <v>-7460</v>
      </c>
      <c r="H28">
        <f t="shared" si="1"/>
        <v>2</v>
      </c>
      <c r="I28">
        <f t="shared" si="2"/>
        <v>60</v>
      </c>
      <c r="J28" s="3">
        <f t="shared" si="3"/>
        <v>-7400</v>
      </c>
      <c r="K28">
        <f t="shared" si="4"/>
        <v>0</v>
      </c>
      <c r="L28" s="4">
        <f t="shared" si="10"/>
        <v>8600</v>
      </c>
      <c r="M28">
        <f t="shared" si="7"/>
        <v>60</v>
      </c>
      <c r="N28" s="5">
        <f t="shared" si="11"/>
        <v>1200</v>
      </c>
      <c r="AF28" s="1">
        <v>44953</v>
      </c>
      <c r="AG28">
        <f t="shared" si="8"/>
        <v>60</v>
      </c>
    </row>
    <row r="29" spans="1:33" x14ac:dyDescent="0.25">
      <c r="A29" s="1">
        <v>44954</v>
      </c>
      <c r="B29" t="s">
        <v>2</v>
      </c>
      <c r="C29">
        <f t="shared" si="5"/>
        <v>0.2</v>
      </c>
      <c r="D29">
        <f t="shared" si="6"/>
        <v>6</v>
      </c>
      <c r="F29">
        <f t="shared" si="9"/>
        <v>-7400</v>
      </c>
      <c r="G29">
        <f t="shared" si="0"/>
        <v>-7400</v>
      </c>
      <c r="H29">
        <f t="shared" si="1"/>
        <v>2</v>
      </c>
      <c r="I29">
        <f t="shared" si="2"/>
        <v>60</v>
      </c>
      <c r="J29" s="3">
        <f t="shared" si="3"/>
        <v>-7400</v>
      </c>
      <c r="K29">
        <f t="shared" si="4"/>
        <v>0</v>
      </c>
      <c r="L29" s="4">
        <f t="shared" si="10"/>
        <v>8600</v>
      </c>
      <c r="M29">
        <f t="shared" si="7"/>
        <v>0</v>
      </c>
      <c r="N29" s="5">
        <f t="shared" si="11"/>
        <v>1200</v>
      </c>
      <c r="AF29" s="1">
        <v>44954</v>
      </c>
      <c r="AG29">
        <f t="shared" si="8"/>
        <v>0</v>
      </c>
    </row>
    <row r="30" spans="1:33" x14ac:dyDescent="0.25">
      <c r="A30" s="1">
        <v>44955</v>
      </c>
      <c r="B30" t="s">
        <v>2</v>
      </c>
      <c r="C30">
        <f t="shared" si="5"/>
        <v>0.2</v>
      </c>
      <c r="D30">
        <f t="shared" si="6"/>
        <v>7</v>
      </c>
      <c r="F30">
        <f t="shared" si="9"/>
        <v>-7400</v>
      </c>
      <c r="G30">
        <f t="shared" si="0"/>
        <v>-7550</v>
      </c>
      <c r="H30">
        <f t="shared" si="1"/>
        <v>2</v>
      </c>
      <c r="I30">
        <f t="shared" si="2"/>
        <v>60</v>
      </c>
      <c r="J30" s="3">
        <f t="shared" si="3"/>
        <v>-7550</v>
      </c>
      <c r="K30">
        <f t="shared" si="4"/>
        <v>150</v>
      </c>
      <c r="L30" s="4">
        <f t="shared" si="10"/>
        <v>8750</v>
      </c>
      <c r="M30">
        <f t="shared" si="7"/>
        <v>0</v>
      </c>
      <c r="N30" s="5">
        <f t="shared" si="11"/>
        <v>1200</v>
      </c>
      <c r="AF30" s="1">
        <v>44955</v>
      </c>
      <c r="AG30">
        <f t="shared" si="8"/>
        <v>-150</v>
      </c>
    </row>
    <row r="31" spans="1:33" x14ac:dyDescent="0.25">
      <c r="A31" s="1">
        <v>44956</v>
      </c>
      <c r="B31" t="s">
        <v>2</v>
      </c>
      <c r="C31">
        <f t="shared" si="5"/>
        <v>0.2</v>
      </c>
      <c r="D31">
        <f t="shared" si="6"/>
        <v>1</v>
      </c>
      <c r="F31">
        <f t="shared" si="9"/>
        <v>-7550</v>
      </c>
      <c r="G31">
        <f t="shared" si="0"/>
        <v>-7550</v>
      </c>
      <c r="H31">
        <f t="shared" si="1"/>
        <v>2</v>
      </c>
      <c r="I31">
        <f t="shared" si="2"/>
        <v>60</v>
      </c>
      <c r="J31" s="3">
        <f t="shared" si="3"/>
        <v>-7490</v>
      </c>
      <c r="K31">
        <f t="shared" si="4"/>
        <v>0</v>
      </c>
      <c r="L31" s="4">
        <f t="shared" si="10"/>
        <v>8750</v>
      </c>
      <c r="M31">
        <f t="shared" si="7"/>
        <v>60</v>
      </c>
      <c r="N31" s="5">
        <f t="shared" si="11"/>
        <v>1260</v>
      </c>
      <c r="AF31" s="1">
        <v>44956</v>
      </c>
      <c r="AG31">
        <f t="shared" si="8"/>
        <v>60</v>
      </c>
    </row>
    <row r="32" spans="1:33" x14ac:dyDescent="0.25">
      <c r="A32" s="1">
        <v>44957</v>
      </c>
      <c r="B32" t="s">
        <v>2</v>
      </c>
      <c r="C32">
        <f t="shared" si="5"/>
        <v>0.2</v>
      </c>
      <c r="D32">
        <f t="shared" si="6"/>
        <v>2</v>
      </c>
      <c r="F32">
        <f t="shared" si="9"/>
        <v>-7490</v>
      </c>
      <c r="G32">
        <f t="shared" si="0"/>
        <v>-7490</v>
      </c>
      <c r="H32">
        <f t="shared" si="1"/>
        <v>2</v>
      </c>
      <c r="I32">
        <f t="shared" si="2"/>
        <v>60</v>
      </c>
      <c r="J32" s="3">
        <f t="shared" si="3"/>
        <v>-7430</v>
      </c>
      <c r="K32">
        <f t="shared" si="4"/>
        <v>0</v>
      </c>
      <c r="L32" s="4">
        <f t="shared" si="10"/>
        <v>8750</v>
      </c>
      <c r="M32">
        <f t="shared" si="7"/>
        <v>60</v>
      </c>
      <c r="N32" s="5">
        <f t="shared" si="11"/>
        <v>1320</v>
      </c>
      <c r="AF32" s="1">
        <v>44957</v>
      </c>
      <c r="AG32">
        <f t="shared" si="8"/>
        <v>60</v>
      </c>
    </row>
    <row r="33" spans="1:33" x14ac:dyDescent="0.25">
      <c r="A33" s="1">
        <v>44958</v>
      </c>
      <c r="B33" t="s">
        <v>2</v>
      </c>
      <c r="C33">
        <f t="shared" si="5"/>
        <v>0.2</v>
      </c>
      <c r="D33">
        <f t="shared" si="6"/>
        <v>3</v>
      </c>
      <c r="F33">
        <f t="shared" si="9"/>
        <v>-7430</v>
      </c>
      <c r="G33">
        <f t="shared" si="0"/>
        <v>-7430</v>
      </c>
      <c r="H33">
        <f t="shared" si="1"/>
        <v>2</v>
      </c>
      <c r="I33">
        <f t="shared" si="2"/>
        <v>60</v>
      </c>
      <c r="J33" s="3">
        <f t="shared" si="3"/>
        <v>-7370</v>
      </c>
      <c r="K33">
        <f t="shared" si="4"/>
        <v>0</v>
      </c>
      <c r="L33" s="4">
        <f t="shared" si="10"/>
        <v>8750</v>
      </c>
      <c r="M33">
        <f t="shared" si="7"/>
        <v>60</v>
      </c>
      <c r="N33" s="5">
        <f t="shared" si="11"/>
        <v>1380</v>
      </c>
      <c r="AF33" s="1">
        <v>44958</v>
      </c>
      <c r="AG33">
        <f t="shared" si="8"/>
        <v>60</v>
      </c>
    </row>
    <row r="34" spans="1:33" x14ac:dyDescent="0.25">
      <c r="A34" s="1">
        <v>44959</v>
      </c>
      <c r="B34" t="s">
        <v>2</v>
      </c>
      <c r="C34">
        <f t="shared" si="5"/>
        <v>0.2</v>
      </c>
      <c r="D34">
        <f t="shared" si="6"/>
        <v>4</v>
      </c>
      <c r="F34">
        <f t="shared" si="9"/>
        <v>-7370</v>
      </c>
      <c r="G34">
        <f t="shared" si="0"/>
        <v>-7370</v>
      </c>
      <c r="H34">
        <f t="shared" si="1"/>
        <v>2</v>
      </c>
      <c r="I34">
        <f t="shared" si="2"/>
        <v>60</v>
      </c>
      <c r="J34" s="3">
        <f t="shared" si="3"/>
        <v>-7310</v>
      </c>
      <c r="K34">
        <f t="shared" si="4"/>
        <v>0</v>
      </c>
      <c r="L34" s="4">
        <f t="shared" si="10"/>
        <v>8750</v>
      </c>
      <c r="M34">
        <f t="shared" si="7"/>
        <v>60</v>
      </c>
      <c r="N34" s="5">
        <f t="shared" si="11"/>
        <v>1440</v>
      </c>
      <c r="AF34" s="1">
        <v>44959</v>
      </c>
      <c r="AG34">
        <f t="shared" si="8"/>
        <v>60</v>
      </c>
    </row>
    <row r="35" spans="1:33" x14ac:dyDescent="0.25">
      <c r="A35" s="1">
        <v>44960</v>
      </c>
      <c r="B35" t="s">
        <v>2</v>
      </c>
      <c r="C35">
        <f t="shared" si="5"/>
        <v>0.2</v>
      </c>
      <c r="D35">
        <f t="shared" si="6"/>
        <v>5</v>
      </c>
      <c r="F35">
        <f t="shared" si="9"/>
        <v>-7310</v>
      </c>
      <c r="G35">
        <f t="shared" si="0"/>
        <v>-7310</v>
      </c>
      <c r="H35">
        <f t="shared" si="1"/>
        <v>2</v>
      </c>
      <c r="I35">
        <f t="shared" si="2"/>
        <v>60</v>
      </c>
      <c r="J35" s="3">
        <f t="shared" si="3"/>
        <v>-7250</v>
      </c>
      <c r="K35">
        <f t="shared" si="4"/>
        <v>0</v>
      </c>
      <c r="L35" s="4">
        <f t="shared" si="10"/>
        <v>8750</v>
      </c>
      <c r="M35">
        <f t="shared" si="7"/>
        <v>60</v>
      </c>
      <c r="N35" s="5">
        <f t="shared" si="11"/>
        <v>1500</v>
      </c>
      <c r="AF35" s="1">
        <v>44960</v>
      </c>
      <c r="AG35">
        <f t="shared" si="8"/>
        <v>60</v>
      </c>
    </row>
    <row r="36" spans="1:33" x14ac:dyDescent="0.25">
      <c r="A36" s="1">
        <v>44961</v>
      </c>
      <c r="B36" t="s">
        <v>2</v>
      </c>
      <c r="C36">
        <f t="shared" si="5"/>
        <v>0.2</v>
      </c>
      <c r="D36">
        <f t="shared" si="6"/>
        <v>6</v>
      </c>
      <c r="F36">
        <f t="shared" si="9"/>
        <v>-7250</v>
      </c>
      <c r="G36">
        <f t="shared" si="0"/>
        <v>-7250</v>
      </c>
      <c r="H36">
        <f t="shared" si="1"/>
        <v>2</v>
      </c>
      <c r="I36">
        <f t="shared" si="2"/>
        <v>60</v>
      </c>
      <c r="J36" s="3">
        <f t="shared" si="3"/>
        <v>-7250</v>
      </c>
      <c r="K36">
        <f t="shared" si="4"/>
        <v>0</v>
      </c>
      <c r="L36" s="4">
        <f t="shared" si="10"/>
        <v>8750</v>
      </c>
      <c r="M36">
        <f t="shared" si="7"/>
        <v>0</v>
      </c>
      <c r="N36" s="5">
        <f t="shared" si="11"/>
        <v>1500</v>
      </c>
      <c r="AF36" s="1">
        <v>44961</v>
      </c>
      <c r="AG36">
        <f t="shared" si="8"/>
        <v>0</v>
      </c>
    </row>
    <row r="37" spans="1:33" x14ac:dyDescent="0.25">
      <c r="A37" s="1">
        <v>44962</v>
      </c>
      <c r="B37" t="s">
        <v>2</v>
      </c>
      <c r="C37">
        <f t="shared" si="5"/>
        <v>0.2</v>
      </c>
      <c r="D37">
        <f t="shared" si="6"/>
        <v>7</v>
      </c>
      <c r="F37">
        <f t="shared" si="9"/>
        <v>-7250</v>
      </c>
      <c r="G37">
        <f t="shared" si="0"/>
        <v>-7400</v>
      </c>
      <c r="H37">
        <f t="shared" si="1"/>
        <v>2</v>
      </c>
      <c r="I37">
        <f t="shared" si="2"/>
        <v>60</v>
      </c>
      <c r="J37" s="3">
        <f t="shared" si="3"/>
        <v>-7400</v>
      </c>
      <c r="K37">
        <f t="shared" si="4"/>
        <v>150</v>
      </c>
      <c r="L37" s="4">
        <f t="shared" si="10"/>
        <v>8900</v>
      </c>
      <c r="M37">
        <f t="shared" si="7"/>
        <v>0</v>
      </c>
      <c r="N37" s="5">
        <f t="shared" si="11"/>
        <v>1500</v>
      </c>
      <c r="AF37" s="1">
        <v>44962</v>
      </c>
      <c r="AG37">
        <f t="shared" si="8"/>
        <v>-150</v>
      </c>
    </row>
    <row r="38" spans="1:33" x14ac:dyDescent="0.25">
      <c r="A38" s="1">
        <v>44963</v>
      </c>
      <c r="B38" t="s">
        <v>2</v>
      </c>
      <c r="C38">
        <f t="shared" si="5"/>
        <v>0.2</v>
      </c>
      <c r="D38">
        <f t="shared" si="6"/>
        <v>1</v>
      </c>
      <c r="F38">
        <f t="shared" si="9"/>
        <v>-7400</v>
      </c>
      <c r="G38">
        <f t="shared" si="0"/>
        <v>-7400</v>
      </c>
      <c r="H38">
        <f t="shared" si="1"/>
        <v>2</v>
      </c>
      <c r="I38">
        <f t="shared" si="2"/>
        <v>60</v>
      </c>
      <c r="J38" s="3">
        <f t="shared" si="3"/>
        <v>-7340</v>
      </c>
      <c r="K38">
        <f t="shared" si="4"/>
        <v>0</v>
      </c>
      <c r="L38" s="4">
        <f t="shared" si="10"/>
        <v>8900</v>
      </c>
      <c r="M38">
        <f t="shared" si="7"/>
        <v>60</v>
      </c>
      <c r="N38" s="5">
        <f t="shared" si="11"/>
        <v>1560</v>
      </c>
      <c r="AF38" s="1">
        <v>44963</v>
      </c>
      <c r="AG38">
        <f t="shared" si="8"/>
        <v>60</v>
      </c>
    </row>
    <row r="39" spans="1:33" x14ac:dyDescent="0.25">
      <c r="A39" s="1">
        <v>44964</v>
      </c>
      <c r="B39" t="s">
        <v>2</v>
      </c>
      <c r="C39">
        <f t="shared" si="5"/>
        <v>0.2</v>
      </c>
      <c r="D39">
        <f t="shared" si="6"/>
        <v>2</v>
      </c>
      <c r="F39">
        <f t="shared" si="9"/>
        <v>-7340</v>
      </c>
      <c r="G39">
        <f t="shared" si="0"/>
        <v>-7340</v>
      </c>
      <c r="H39">
        <f t="shared" si="1"/>
        <v>2</v>
      </c>
      <c r="I39">
        <f t="shared" si="2"/>
        <v>60</v>
      </c>
      <c r="J39" s="3">
        <f t="shared" si="3"/>
        <v>-7280</v>
      </c>
      <c r="K39">
        <f t="shared" si="4"/>
        <v>0</v>
      </c>
      <c r="L39" s="4">
        <f t="shared" si="10"/>
        <v>8900</v>
      </c>
      <c r="M39">
        <f t="shared" si="7"/>
        <v>60</v>
      </c>
      <c r="N39" s="5">
        <f t="shared" si="11"/>
        <v>1620</v>
      </c>
      <c r="AF39" s="1">
        <v>44964</v>
      </c>
      <c r="AG39">
        <f t="shared" si="8"/>
        <v>60</v>
      </c>
    </row>
    <row r="40" spans="1:33" x14ac:dyDescent="0.25">
      <c r="A40" s="1">
        <v>44965</v>
      </c>
      <c r="B40" t="s">
        <v>2</v>
      </c>
      <c r="C40">
        <f t="shared" si="5"/>
        <v>0.2</v>
      </c>
      <c r="D40">
        <f t="shared" si="6"/>
        <v>3</v>
      </c>
      <c r="F40">
        <f t="shared" si="9"/>
        <v>-7280</v>
      </c>
      <c r="G40">
        <f t="shared" si="0"/>
        <v>-7280</v>
      </c>
      <c r="H40">
        <f t="shared" si="1"/>
        <v>2</v>
      </c>
      <c r="I40">
        <f t="shared" si="2"/>
        <v>60</v>
      </c>
      <c r="J40" s="3">
        <f t="shared" si="3"/>
        <v>-7220</v>
      </c>
      <c r="K40">
        <f t="shared" si="4"/>
        <v>0</v>
      </c>
      <c r="L40" s="4">
        <f t="shared" si="10"/>
        <v>8900</v>
      </c>
      <c r="M40">
        <f t="shared" si="7"/>
        <v>60</v>
      </c>
      <c r="N40" s="5">
        <f t="shared" si="11"/>
        <v>1680</v>
      </c>
      <c r="AF40" s="1">
        <v>44965</v>
      </c>
      <c r="AG40">
        <f t="shared" si="8"/>
        <v>60</v>
      </c>
    </row>
    <row r="41" spans="1:33" x14ac:dyDescent="0.25">
      <c r="A41" s="1">
        <v>44966</v>
      </c>
      <c r="B41" t="s">
        <v>2</v>
      </c>
      <c r="C41">
        <f t="shared" si="5"/>
        <v>0.2</v>
      </c>
      <c r="D41">
        <f t="shared" si="6"/>
        <v>4</v>
      </c>
      <c r="F41">
        <f t="shared" si="9"/>
        <v>-7220</v>
      </c>
      <c r="G41">
        <f t="shared" si="0"/>
        <v>-7220</v>
      </c>
      <c r="H41">
        <f t="shared" si="1"/>
        <v>2</v>
      </c>
      <c r="I41">
        <f t="shared" si="2"/>
        <v>60</v>
      </c>
      <c r="J41" s="3">
        <f t="shared" si="3"/>
        <v>-7160</v>
      </c>
      <c r="K41">
        <f t="shared" si="4"/>
        <v>0</v>
      </c>
      <c r="L41" s="4">
        <f t="shared" si="10"/>
        <v>8900</v>
      </c>
      <c r="M41">
        <f t="shared" si="7"/>
        <v>60</v>
      </c>
      <c r="N41" s="5">
        <f t="shared" si="11"/>
        <v>1740</v>
      </c>
      <c r="AF41" s="1">
        <v>44966</v>
      </c>
      <c r="AG41">
        <f t="shared" si="8"/>
        <v>60</v>
      </c>
    </row>
    <row r="42" spans="1:33" x14ac:dyDescent="0.25">
      <c r="A42" s="1">
        <v>44967</v>
      </c>
      <c r="B42" t="s">
        <v>2</v>
      </c>
      <c r="C42">
        <f t="shared" si="5"/>
        <v>0.2</v>
      </c>
      <c r="D42">
        <f t="shared" si="6"/>
        <v>5</v>
      </c>
      <c r="F42">
        <f t="shared" si="9"/>
        <v>-7160</v>
      </c>
      <c r="G42">
        <f t="shared" si="0"/>
        <v>-7160</v>
      </c>
      <c r="H42">
        <f t="shared" si="1"/>
        <v>2</v>
      </c>
      <c r="I42">
        <f t="shared" si="2"/>
        <v>60</v>
      </c>
      <c r="J42" s="3">
        <f t="shared" si="3"/>
        <v>-7100</v>
      </c>
      <c r="K42">
        <f t="shared" si="4"/>
        <v>0</v>
      </c>
      <c r="L42" s="4">
        <f t="shared" si="10"/>
        <v>8900</v>
      </c>
      <c r="M42">
        <f t="shared" si="7"/>
        <v>60</v>
      </c>
      <c r="N42" s="5">
        <f t="shared" si="11"/>
        <v>1800</v>
      </c>
      <c r="AF42" s="1">
        <v>44967</v>
      </c>
      <c r="AG42">
        <f t="shared" si="8"/>
        <v>60</v>
      </c>
    </row>
    <row r="43" spans="1:33" x14ac:dyDescent="0.25">
      <c r="A43" s="1">
        <v>44968</v>
      </c>
      <c r="B43" t="s">
        <v>2</v>
      </c>
      <c r="C43">
        <f t="shared" si="5"/>
        <v>0.2</v>
      </c>
      <c r="D43">
        <f t="shared" si="6"/>
        <v>6</v>
      </c>
      <c r="F43">
        <f t="shared" si="9"/>
        <v>-7100</v>
      </c>
      <c r="G43">
        <f t="shared" si="0"/>
        <v>-7100</v>
      </c>
      <c r="H43">
        <f t="shared" si="1"/>
        <v>2</v>
      </c>
      <c r="I43">
        <f t="shared" si="2"/>
        <v>60</v>
      </c>
      <c r="J43" s="3">
        <f t="shared" si="3"/>
        <v>-7100</v>
      </c>
      <c r="K43">
        <f t="shared" si="4"/>
        <v>0</v>
      </c>
      <c r="L43" s="4">
        <f t="shared" si="10"/>
        <v>8900</v>
      </c>
      <c r="M43">
        <f t="shared" si="7"/>
        <v>0</v>
      </c>
      <c r="N43" s="5">
        <f t="shared" si="11"/>
        <v>1800</v>
      </c>
      <c r="AF43" s="1">
        <v>44968</v>
      </c>
      <c r="AG43">
        <f t="shared" si="8"/>
        <v>0</v>
      </c>
    </row>
    <row r="44" spans="1:33" x14ac:dyDescent="0.25">
      <c r="A44" s="1">
        <v>44969</v>
      </c>
      <c r="B44" t="s">
        <v>2</v>
      </c>
      <c r="C44">
        <f t="shared" si="5"/>
        <v>0.2</v>
      </c>
      <c r="D44">
        <f t="shared" si="6"/>
        <v>7</v>
      </c>
      <c r="F44">
        <f t="shared" si="9"/>
        <v>-7100</v>
      </c>
      <c r="G44">
        <f t="shared" si="0"/>
        <v>-7250</v>
      </c>
      <c r="H44">
        <f t="shared" si="1"/>
        <v>2</v>
      </c>
      <c r="I44">
        <f t="shared" si="2"/>
        <v>60</v>
      </c>
      <c r="J44" s="3">
        <f t="shared" si="3"/>
        <v>-7250</v>
      </c>
      <c r="K44">
        <f t="shared" si="4"/>
        <v>150</v>
      </c>
      <c r="L44" s="4">
        <f t="shared" si="10"/>
        <v>9050</v>
      </c>
      <c r="M44">
        <f t="shared" si="7"/>
        <v>0</v>
      </c>
      <c r="N44" s="5">
        <f t="shared" si="11"/>
        <v>1800</v>
      </c>
      <c r="AF44" s="1">
        <v>44969</v>
      </c>
      <c r="AG44">
        <f t="shared" si="8"/>
        <v>-150</v>
      </c>
    </row>
    <row r="45" spans="1:33" x14ac:dyDescent="0.25">
      <c r="A45" s="1">
        <v>44970</v>
      </c>
      <c r="B45" t="s">
        <v>2</v>
      </c>
      <c r="C45">
        <f t="shared" si="5"/>
        <v>0.2</v>
      </c>
      <c r="D45">
        <f t="shared" si="6"/>
        <v>1</v>
      </c>
      <c r="F45">
        <f t="shared" si="9"/>
        <v>-7250</v>
      </c>
      <c r="G45">
        <f t="shared" si="0"/>
        <v>-7250</v>
      </c>
      <c r="H45">
        <f t="shared" si="1"/>
        <v>2</v>
      </c>
      <c r="I45">
        <f t="shared" si="2"/>
        <v>60</v>
      </c>
      <c r="J45" s="3">
        <f t="shared" si="3"/>
        <v>-7190</v>
      </c>
      <c r="K45">
        <f t="shared" si="4"/>
        <v>0</v>
      </c>
      <c r="L45" s="4">
        <f t="shared" si="10"/>
        <v>9050</v>
      </c>
      <c r="M45">
        <f t="shared" si="7"/>
        <v>60</v>
      </c>
      <c r="N45" s="5">
        <f t="shared" si="11"/>
        <v>1860</v>
      </c>
      <c r="AF45" s="1">
        <v>44970</v>
      </c>
      <c r="AG45">
        <f t="shared" si="8"/>
        <v>60</v>
      </c>
    </row>
    <row r="46" spans="1:33" x14ac:dyDescent="0.25">
      <c r="A46" s="1">
        <v>44971</v>
      </c>
      <c r="B46" t="s">
        <v>2</v>
      </c>
      <c r="C46">
        <f t="shared" si="5"/>
        <v>0.2</v>
      </c>
      <c r="D46">
        <f t="shared" si="6"/>
        <v>2</v>
      </c>
      <c r="F46">
        <f t="shared" si="9"/>
        <v>-7190</v>
      </c>
      <c r="G46">
        <f t="shared" si="0"/>
        <v>-7190</v>
      </c>
      <c r="H46">
        <f t="shared" si="1"/>
        <v>2</v>
      </c>
      <c r="I46">
        <f t="shared" si="2"/>
        <v>60</v>
      </c>
      <c r="J46" s="3">
        <f t="shared" si="3"/>
        <v>-7130</v>
      </c>
      <c r="K46">
        <f t="shared" si="4"/>
        <v>0</v>
      </c>
      <c r="L46" s="4">
        <f t="shared" si="10"/>
        <v>9050</v>
      </c>
      <c r="M46">
        <f t="shared" si="7"/>
        <v>60</v>
      </c>
      <c r="N46" s="5">
        <f t="shared" si="11"/>
        <v>1920</v>
      </c>
      <c r="AF46" s="1">
        <v>44971</v>
      </c>
      <c r="AG46">
        <f t="shared" si="8"/>
        <v>60</v>
      </c>
    </row>
    <row r="47" spans="1:33" x14ac:dyDescent="0.25">
      <c r="A47" s="1">
        <v>44972</v>
      </c>
      <c r="B47" t="s">
        <v>2</v>
      </c>
      <c r="C47">
        <f t="shared" si="5"/>
        <v>0.2</v>
      </c>
      <c r="D47">
        <f t="shared" si="6"/>
        <v>3</v>
      </c>
      <c r="F47">
        <f t="shared" si="9"/>
        <v>-7130</v>
      </c>
      <c r="G47">
        <f t="shared" si="0"/>
        <v>-7130</v>
      </c>
      <c r="H47">
        <f t="shared" si="1"/>
        <v>2</v>
      </c>
      <c r="I47">
        <f t="shared" si="2"/>
        <v>60</v>
      </c>
      <c r="J47" s="3">
        <f t="shared" si="3"/>
        <v>-7070</v>
      </c>
      <c r="K47">
        <f t="shared" si="4"/>
        <v>0</v>
      </c>
      <c r="L47" s="4">
        <f t="shared" si="10"/>
        <v>9050</v>
      </c>
      <c r="M47">
        <f t="shared" si="7"/>
        <v>60</v>
      </c>
      <c r="N47" s="5">
        <f t="shared" si="11"/>
        <v>1980</v>
      </c>
      <c r="AF47" s="1">
        <v>44972</v>
      </c>
      <c r="AG47">
        <f t="shared" si="8"/>
        <v>60</v>
      </c>
    </row>
    <row r="48" spans="1:33" x14ac:dyDescent="0.25">
      <c r="A48" s="1">
        <v>44973</v>
      </c>
      <c r="B48" t="s">
        <v>2</v>
      </c>
      <c r="C48">
        <f t="shared" si="5"/>
        <v>0.2</v>
      </c>
      <c r="D48">
        <f t="shared" si="6"/>
        <v>4</v>
      </c>
      <c r="F48">
        <f t="shared" si="9"/>
        <v>-7070</v>
      </c>
      <c r="G48">
        <f t="shared" si="0"/>
        <v>-7070</v>
      </c>
      <c r="H48">
        <f t="shared" si="1"/>
        <v>2</v>
      </c>
      <c r="I48">
        <f t="shared" si="2"/>
        <v>60</v>
      </c>
      <c r="J48" s="3">
        <f t="shared" si="3"/>
        <v>-7010</v>
      </c>
      <c r="K48">
        <f t="shared" si="4"/>
        <v>0</v>
      </c>
      <c r="L48" s="4">
        <f t="shared" si="10"/>
        <v>9050</v>
      </c>
      <c r="M48">
        <f t="shared" si="7"/>
        <v>60</v>
      </c>
      <c r="N48" s="5">
        <f t="shared" si="11"/>
        <v>2040</v>
      </c>
      <c r="AF48" s="1">
        <v>44973</v>
      </c>
      <c r="AG48">
        <f t="shared" si="8"/>
        <v>60</v>
      </c>
    </row>
    <row r="49" spans="1:33" x14ac:dyDescent="0.25">
      <c r="A49" s="1">
        <v>44974</v>
      </c>
      <c r="B49" t="s">
        <v>2</v>
      </c>
      <c r="C49">
        <f t="shared" si="5"/>
        <v>0.2</v>
      </c>
      <c r="D49">
        <f t="shared" si="6"/>
        <v>5</v>
      </c>
      <c r="F49">
        <f t="shared" si="9"/>
        <v>-7010</v>
      </c>
      <c r="G49">
        <f t="shared" si="0"/>
        <v>-7010</v>
      </c>
      <c r="H49">
        <f t="shared" si="1"/>
        <v>2</v>
      </c>
      <c r="I49">
        <f t="shared" si="2"/>
        <v>60</v>
      </c>
      <c r="J49" s="3">
        <f t="shared" si="3"/>
        <v>-6950</v>
      </c>
      <c r="K49">
        <f t="shared" si="4"/>
        <v>0</v>
      </c>
      <c r="L49" s="4">
        <f t="shared" si="10"/>
        <v>9050</v>
      </c>
      <c r="M49">
        <f t="shared" si="7"/>
        <v>60</v>
      </c>
      <c r="N49" s="5">
        <f t="shared" si="11"/>
        <v>2100</v>
      </c>
      <c r="AF49" s="1">
        <v>44974</v>
      </c>
      <c r="AG49">
        <f t="shared" si="8"/>
        <v>60</v>
      </c>
    </row>
    <row r="50" spans="1:33" x14ac:dyDescent="0.25">
      <c r="A50" s="1">
        <v>44975</v>
      </c>
      <c r="B50" t="s">
        <v>2</v>
      </c>
      <c r="C50">
        <f t="shared" si="5"/>
        <v>0.2</v>
      </c>
      <c r="D50">
        <f t="shared" si="6"/>
        <v>6</v>
      </c>
      <c r="F50">
        <f t="shared" si="9"/>
        <v>-6950</v>
      </c>
      <c r="G50">
        <f t="shared" si="0"/>
        <v>-6950</v>
      </c>
      <c r="H50">
        <f t="shared" si="1"/>
        <v>2</v>
      </c>
      <c r="I50">
        <f t="shared" si="2"/>
        <v>60</v>
      </c>
      <c r="J50" s="3">
        <f t="shared" si="3"/>
        <v>-6950</v>
      </c>
      <c r="K50">
        <f t="shared" si="4"/>
        <v>0</v>
      </c>
      <c r="L50" s="4">
        <f t="shared" si="10"/>
        <v>9050</v>
      </c>
      <c r="M50">
        <f t="shared" si="7"/>
        <v>0</v>
      </c>
      <c r="N50" s="5">
        <f t="shared" si="11"/>
        <v>2100</v>
      </c>
      <c r="AF50" s="1">
        <v>44975</v>
      </c>
      <c r="AG50">
        <f t="shared" si="8"/>
        <v>0</v>
      </c>
    </row>
    <row r="51" spans="1:33" x14ac:dyDescent="0.25">
      <c r="A51" s="1">
        <v>44976</v>
      </c>
      <c r="B51" t="s">
        <v>2</v>
      </c>
      <c r="C51">
        <f t="shared" si="5"/>
        <v>0.2</v>
      </c>
      <c r="D51">
        <f t="shared" si="6"/>
        <v>7</v>
      </c>
      <c r="F51">
        <f t="shared" si="9"/>
        <v>-6950</v>
      </c>
      <c r="G51">
        <f t="shared" si="0"/>
        <v>-7100</v>
      </c>
      <c r="H51">
        <f t="shared" si="1"/>
        <v>2</v>
      </c>
      <c r="I51">
        <f t="shared" si="2"/>
        <v>60</v>
      </c>
      <c r="J51" s="3">
        <f t="shared" si="3"/>
        <v>-7100</v>
      </c>
      <c r="K51">
        <f t="shared" si="4"/>
        <v>150</v>
      </c>
      <c r="L51" s="4">
        <f t="shared" si="10"/>
        <v>9200</v>
      </c>
      <c r="M51">
        <f t="shared" si="7"/>
        <v>0</v>
      </c>
      <c r="N51" s="5">
        <f t="shared" si="11"/>
        <v>2100</v>
      </c>
      <c r="AF51" s="1">
        <v>44976</v>
      </c>
      <c r="AG51">
        <f t="shared" si="8"/>
        <v>-150</v>
      </c>
    </row>
    <row r="52" spans="1:33" x14ac:dyDescent="0.25">
      <c r="A52" s="1">
        <v>44977</v>
      </c>
      <c r="B52" t="s">
        <v>2</v>
      </c>
      <c r="C52">
        <f t="shared" si="5"/>
        <v>0.2</v>
      </c>
      <c r="D52">
        <f t="shared" si="6"/>
        <v>1</v>
      </c>
      <c r="F52">
        <f t="shared" si="9"/>
        <v>-7100</v>
      </c>
      <c r="G52">
        <f t="shared" si="0"/>
        <v>-7100</v>
      </c>
      <c r="H52">
        <f t="shared" si="1"/>
        <v>2</v>
      </c>
      <c r="I52">
        <f t="shared" si="2"/>
        <v>60</v>
      </c>
      <c r="J52" s="3">
        <f t="shared" si="3"/>
        <v>-7040</v>
      </c>
      <c r="K52">
        <f t="shared" si="4"/>
        <v>0</v>
      </c>
      <c r="L52" s="4">
        <f t="shared" si="10"/>
        <v>9200</v>
      </c>
      <c r="M52">
        <f t="shared" si="7"/>
        <v>60</v>
      </c>
      <c r="N52" s="5">
        <f t="shared" si="11"/>
        <v>2160</v>
      </c>
      <c r="AF52" s="1">
        <v>44977</v>
      </c>
      <c r="AG52">
        <f t="shared" si="8"/>
        <v>60</v>
      </c>
    </row>
    <row r="53" spans="1:33" x14ac:dyDescent="0.25">
      <c r="A53" s="1">
        <v>44978</v>
      </c>
      <c r="B53" t="s">
        <v>2</v>
      </c>
      <c r="C53">
        <f t="shared" si="5"/>
        <v>0.2</v>
      </c>
      <c r="D53">
        <f t="shared" si="6"/>
        <v>2</v>
      </c>
      <c r="F53">
        <f t="shared" si="9"/>
        <v>-7040</v>
      </c>
      <c r="G53">
        <f t="shared" si="0"/>
        <v>-7040</v>
      </c>
      <c r="H53">
        <f t="shared" si="1"/>
        <v>2</v>
      </c>
      <c r="I53">
        <f t="shared" si="2"/>
        <v>60</v>
      </c>
      <c r="J53" s="3">
        <f t="shared" si="3"/>
        <v>-6980</v>
      </c>
      <c r="K53">
        <f t="shared" si="4"/>
        <v>0</v>
      </c>
      <c r="L53" s="4">
        <f t="shared" si="10"/>
        <v>9200</v>
      </c>
      <c r="M53">
        <f t="shared" si="7"/>
        <v>60</v>
      </c>
      <c r="N53" s="5">
        <f t="shared" si="11"/>
        <v>2220</v>
      </c>
      <c r="AF53" s="1">
        <v>44978</v>
      </c>
      <c r="AG53">
        <f t="shared" si="8"/>
        <v>60</v>
      </c>
    </row>
    <row r="54" spans="1:33" x14ac:dyDescent="0.25">
      <c r="A54" s="1">
        <v>44979</v>
      </c>
      <c r="B54" t="s">
        <v>2</v>
      </c>
      <c r="C54">
        <f t="shared" si="5"/>
        <v>0.2</v>
      </c>
      <c r="D54">
        <f t="shared" si="6"/>
        <v>3</v>
      </c>
      <c r="F54">
        <f t="shared" si="9"/>
        <v>-6980</v>
      </c>
      <c r="G54">
        <f t="shared" si="0"/>
        <v>-6980</v>
      </c>
      <c r="H54">
        <f t="shared" si="1"/>
        <v>2</v>
      </c>
      <c r="I54">
        <f t="shared" si="2"/>
        <v>60</v>
      </c>
      <c r="J54" s="3">
        <f t="shared" si="3"/>
        <v>-6920</v>
      </c>
      <c r="K54">
        <f t="shared" si="4"/>
        <v>0</v>
      </c>
      <c r="L54" s="4">
        <f t="shared" si="10"/>
        <v>9200</v>
      </c>
      <c r="M54">
        <f t="shared" si="7"/>
        <v>60</v>
      </c>
      <c r="N54" s="5">
        <f t="shared" si="11"/>
        <v>2280</v>
      </c>
      <c r="AF54" s="1">
        <v>44979</v>
      </c>
      <c r="AG54">
        <f t="shared" si="8"/>
        <v>60</v>
      </c>
    </row>
    <row r="55" spans="1:33" x14ac:dyDescent="0.25">
      <c r="A55" s="1">
        <v>44980</v>
      </c>
      <c r="B55" t="s">
        <v>2</v>
      </c>
      <c r="C55">
        <f t="shared" si="5"/>
        <v>0.2</v>
      </c>
      <c r="D55">
        <f t="shared" si="6"/>
        <v>4</v>
      </c>
      <c r="F55">
        <f t="shared" si="9"/>
        <v>-6920</v>
      </c>
      <c r="G55">
        <f t="shared" si="0"/>
        <v>-6920</v>
      </c>
      <c r="H55">
        <f t="shared" si="1"/>
        <v>2</v>
      </c>
      <c r="I55">
        <f t="shared" si="2"/>
        <v>60</v>
      </c>
      <c r="J55" s="3">
        <f t="shared" si="3"/>
        <v>-6860</v>
      </c>
      <c r="K55">
        <f t="shared" si="4"/>
        <v>0</v>
      </c>
      <c r="L55" s="4">
        <f t="shared" si="10"/>
        <v>9200</v>
      </c>
      <c r="M55">
        <f t="shared" si="7"/>
        <v>60</v>
      </c>
      <c r="N55" s="5">
        <f t="shared" si="11"/>
        <v>2340</v>
      </c>
      <c r="AF55" s="1">
        <v>44980</v>
      </c>
      <c r="AG55">
        <f t="shared" si="8"/>
        <v>60</v>
      </c>
    </row>
    <row r="56" spans="1:33" x14ac:dyDescent="0.25">
      <c r="A56" s="1">
        <v>44981</v>
      </c>
      <c r="B56" t="s">
        <v>2</v>
      </c>
      <c r="C56">
        <f t="shared" si="5"/>
        <v>0.2</v>
      </c>
      <c r="D56">
        <f t="shared" si="6"/>
        <v>5</v>
      </c>
      <c r="F56">
        <f t="shared" si="9"/>
        <v>-6860</v>
      </c>
      <c r="G56">
        <f t="shared" si="0"/>
        <v>-6860</v>
      </c>
      <c r="H56">
        <f t="shared" si="1"/>
        <v>2</v>
      </c>
      <c r="I56">
        <f t="shared" si="2"/>
        <v>60</v>
      </c>
      <c r="J56" s="3">
        <f t="shared" si="3"/>
        <v>-6800</v>
      </c>
      <c r="K56">
        <f t="shared" si="4"/>
        <v>0</v>
      </c>
      <c r="L56" s="4">
        <f t="shared" si="10"/>
        <v>9200</v>
      </c>
      <c r="M56">
        <f t="shared" si="7"/>
        <v>60</v>
      </c>
      <c r="N56" s="5">
        <f t="shared" si="11"/>
        <v>2400</v>
      </c>
      <c r="AF56" s="1">
        <v>44981</v>
      </c>
      <c r="AG56">
        <f t="shared" si="8"/>
        <v>60</v>
      </c>
    </row>
    <row r="57" spans="1:33" x14ac:dyDescent="0.25">
      <c r="A57" s="1">
        <v>44982</v>
      </c>
      <c r="B57" t="s">
        <v>2</v>
      </c>
      <c r="C57">
        <f t="shared" si="5"/>
        <v>0.2</v>
      </c>
      <c r="D57">
        <f t="shared" si="6"/>
        <v>6</v>
      </c>
      <c r="F57">
        <f t="shared" si="9"/>
        <v>-6800</v>
      </c>
      <c r="G57">
        <f t="shared" si="0"/>
        <v>-6800</v>
      </c>
      <c r="H57">
        <f t="shared" si="1"/>
        <v>2</v>
      </c>
      <c r="I57">
        <f t="shared" si="2"/>
        <v>60</v>
      </c>
      <c r="J57" s="3">
        <f t="shared" si="3"/>
        <v>-6800</v>
      </c>
      <c r="K57">
        <f t="shared" si="4"/>
        <v>0</v>
      </c>
      <c r="L57" s="4">
        <f t="shared" si="10"/>
        <v>9200</v>
      </c>
      <c r="M57">
        <f t="shared" si="7"/>
        <v>0</v>
      </c>
      <c r="N57" s="5">
        <f t="shared" si="11"/>
        <v>2400</v>
      </c>
      <c r="AF57" s="1">
        <v>44982</v>
      </c>
      <c r="AG57">
        <f t="shared" si="8"/>
        <v>0</v>
      </c>
    </row>
    <row r="58" spans="1:33" x14ac:dyDescent="0.25">
      <c r="A58" s="1">
        <v>44983</v>
      </c>
      <c r="B58" t="s">
        <v>2</v>
      </c>
      <c r="C58">
        <f t="shared" si="5"/>
        <v>0.2</v>
      </c>
      <c r="D58">
        <f t="shared" si="6"/>
        <v>7</v>
      </c>
      <c r="F58">
        <f t="shared" si="9"/>
        <v>-6800</v>
      </c>
      <c r="G58">
        <f t="shared" si="0"/>
        <v>-6950</v>
      </c>
      <c r="H58">
        <f t="shared" si="1"/>
        <v>2</v>
      </c>
      <c r="I58">
        <f t="shared" si="2"/>
        <v>60</v>
      </c>
      <c r="J58" s="3">
        <f t="shared" si="3"/>
        <v>-6950</v>
      </c>
      <c r="K58">
        <f t="shared" si="4"/>
        <v>150</v>
      </c>
      <c r="L58" s="4">
        <f t="shared" si="10"/>
        <v>9350</v>
      </c>
      <c r="M58">
        <f t="shared" si="7"/>
        <v>0</v>
      </c>
      <c r="N58" s="5">
        <f t="shared" si="11"/>
        <v>2400</v>
      </c>
      <c r="AF58" s="1">
        <v>44983</v>
      </c>
      <c r="AG58">
        <f t="shared" si="8"/>
        <v>-150</v>
      </c>
    </row>
    <row r="59" spans="1:33" x14ac:dyDescent="0.25">
      <c r="A59" s="1">
        <v>44984</v>
      </c>
      <c r="B59" t="s">
        <v>2</v>
      </c>
      <c r="C59">
        <f t="shared" si="5"/>
        <v>0.2</v>
      </c>
      <c r="D59">
        <f t="shared" si="6"/>
        <v>1</v>
      </c>
      <c r="F59">
        <f t="shared" si="9"/>
        <v>-6950</v>
      </c>
      <c r="G59">
        <f t="shared" si="0"/>
        <v>-6950</v>
      </c>
      <c r="H59">
        <f t="shared" si="1"/>
        <v>2</v>
      </c>
      <c r="I59">
        <f t="shared" si="2"/>
        <v>60</v>
      </c>
      <c r="J59" s="3">
        <f t="shared" si="3"/>
        <v>-6890</v>
      </c>
      <c r="K59">
        <f t="shared" si="4"/>
        <v>0</v>
      </c>
      <c r="L59" s="4">
        <f t="shared" si="10"/>
        <v>9350</v>
      </c>
      <c r="M59">
        <f t="shared" si="7"/>
        <v>60</v>
      </c>
      <c r="N59" s="5">
        <f t="shared" si="11"/>
        <v>2460</v>
      </c>
      <c r="AF59" s="1">
        <v>44984</v>
      </c>
      <c r="AG59">
        <f t="shared" si="8"/>
        <v>60</v>
      </c>
    </row>
    <row r="60" spans="1:33" x14ac:dyDescent="0.25">
      <c r="A60" s="1">
        <v>44985</v>
      </c>
      <c r="B60" t="s">
        <v>2</v>
      </c>
      <c r="C60">
        <f t="shared" si="5"/>
        <v>0.2</v>
      </c>
      <c r="D60">
        <f t="shared" si="6"/>
        <v>2</v>
      </c>
      <c r="F60">
        <f t="shared" si="9"/>
        <v>-6890</v>
      </c>
      <c r="G60">
        <f t="shared" si="0"/>
        <v>-6890</v>
      </c>
      <c r="H60">
        <f t="shared" si="1"/>
        <v>2</v>
      </c>
      <c r="I60">
        <f t="shared" si="2"/>
        <v>60</v>
      </c>
      <c r="J60" s="3">
        <f t="shared" si="3"/>
        <v>-6830</v>
      </c>
      <c r="K60">
        <f t="shared" si="4"/>
        <v>0</v>
      </c>
      <c r="L60" s="4">
        <f t="shared" si="10"/>
        <v>9350</v>
      </c>
      <c r="M60">
        <f t="shared" si="7"/>
        <v>60</v>
      </c>
      <c r="N60" s="5">
        <f t="shared" si="11"/>
        <v>2520</v>
      </c>
      <c r="AF60" s="1">
        <v>44985</v>
      </c>
      <c r="AG60">
        <f t="shared" si="8"/>
        <v>60</v>
      </c>
    </row>
    <row r="61" spans="1:33" x14ac:dyDescent="0.25">
      <c r="A61" s="1">
        <v>44986</v>
      </c>
      <c r="B61" t="s">
        <v>2</v>
      </c>
      <c r="C61">
        <f t="shared" si="5"/>
        <v>0.2</v>
      </c>
      <c r="D61">
        <f t="shared" si="6"/>
        <v>3</v>
      </c>
      <c r="F61">
        <f t="shared" si="9"/>
        <v>-6830</v>
      </c>
      <c r="G61">
        <f t="shared" si="0"/>
        <v>-6830</v>
      </c>
      <c r="H61">
        <f t="shared" si="1"/>
        <v>2</v>
      </c>
      <c r="I61">
        <f t="shared" si="2"/>
        <v>60</v>
      </c>
      <c r="J61" s="3">
        <f t="shared" si="3"/>
        <v>-6770</v>
      </c>
      <c r="K61">
        <f t="shared" si="4"/>
        <v>0</v>
      </c>
      <c r="L61" s="4">
        <f t="shared" si="10"/>
        <v>9350</v>
      </c>
      <c r="M61">
        <f t="shared" si="7"/>
        <v>60</v>
      </c>
      <c r="N61" s="5">
        <f t="shared" si="11"/>
        <v>2580</v>
      </c>
      <c r="AF61" s="1">
        <v>44986</v>
      </c>
      <c r="AG61">
        <f t="shared" si="8"/>
        <v>60</v>
      </c>
    </row>
    <row r="62" spans="1:33" x14ac:dyDescent="0.25">
      <c r="A62" s="1">
        <v>44987</v>
      </c>
      <c r="B62" t="s">
        <v>2</v>
      </c>
      <c r="C62">
        <f t="shared" si="5"/>
        <v>0.2</v>
      </c>
      <c r="D62">
        <f t="shared" si="6"/>
        <v>4</v>
      </c>
      <c r="F62">
        <f t="shared" si="9"/>
        <v>-6770</v>
      </c>
      <c r="G62">
        <f t="shared" si="0"/>
        <v>-6770</v>
      </c>
      <c r="H62">
        <f t="shared" si="1"/>
        <v>2</v>
      </c>
      <c r="I62">
        <f t="shared" si="2"/>
        <v>60</v>
      </c>
      <c r="J62" s="3">
        <f t="shared" si="3"/>
        <v>-6710</v>
      </c>
      <c r="K62">
        <f t="shared" si="4"/>
        <v>0</v>
      </c>
      <c r="L62" s="4">
        <f t="shared" si="10"/>
        <v>9350</v>
      </c>
      <c r="M62">
        <f t="shared" si="7"/>
        <v>60</v>
      </c>
      <c r="N62" s="5">
        <f t="shared" si="11"/>
        <v>2640</v>
      </c>
      <c r="AF62" s="1">
        <v>44987</v>
      </c>
      <c r="AG62">
        <f t="shared" si="8"/>
        <v>60</v>
      </c>
    </row>
    <row r="63" spans="1:33" x14ac:dyDescent="0.25">
      <c r="A63" s="1">
        <v>44988</v>
      </c>
      <c r="B63" t="s">
        <v>2</v>
      </c>
      <c r="C63">
        <f t="shared" si="5"/>
        <v>0.2</v>
      </c>
      <c r="D63">
        <f t="shared" si="6"/>
        <v>5</v>
      </c>
      <c r="F63">
        <f t="shared" si="9"/>
        <v>-6710</v>
      </c>
      <c r="G63">
        <f t="shared" si="0"/>
        <v>-6710</v>
      </c>
      <c r="H63">
        <f t="shared" si="1"/>
        <v>2</v>
      </c>
      <c r="I63">
        <f t="shared" si="2"/>
        <v>60</v>
      </c>
      <c r="J63" s="3">
        <f t="shared" si="3"/>
        <v>-6650</v>
      </c>
      <c r="K63">
        <f t="shared" si="4"/>
        <v>0</v>
      </c>
      <c r="L63" s="4">
        <f t="shared" si="10"/>
        <v>9350</v>
      </c>
      <c r="M63">
        <f t="shared" si="7"/>
        <v>60</v>
      </c>
      <c r="N63" s="5">
        <f t="shared" si="11"/>
        <v>2700</v>
      </c>
      <c r="AF63" s="1">
        <v>44988</v>
      </c>
      <c r="AG63">
        <f t="shared" si="8"/>
        <v>60</v>
      </c>
    </row>
    <row r="64" spans="1:33" x14ac:dyDescent="0.25">
      <c r="A64" s="1">
        <v>44989</v>
      </c>
      <c r="B64" t="s">
        <v>2</v>
      </c>
      <c r="C64">
        <f t="shared" si="5"/>
        <v>0.2</v>
      </c>
      <c r="D64">
        <f t="shared" si="6"/>
        <v>6</v>
      </c>
      <c r="F64">
        <f t="shared" si="9"/>
        <v>-6650</v>
      </c>
      <c r="G64">
        <f t="shared" si="0"/>
        <v>-6650</v>
      </c>
      <c r="H64">
        <f t="shared" si="1"/>
        <v>2</v>
      </c>
      <c r="I64">
        <f t="shared" si="2"/>
        <v>60</v>
      </c>
      <c r="J64" s="3">
        <f t="shared" si="3"/>
        <v>-6650</v>
      </c>
      <c r="K64">
        <f t="shared" si="4"/>
        <v>0</v>
      </c>
      <c r="L64" s="4">
        <f t="shared" si="10"/>
        <v>9350</v>
      </c>
      <c r="M64">
        <f t="shared" si="7"/>
        <v>0</v>
      </c>
      <c r="N64" s="5">
        <f t="shared" si="11"/>
        <v>2700</v>
      </c>
      <c r="AF64" s="1">
        <v>44989</v>
      </c>
      <c r="AG64">
        <f t="shared" si="8"/>
        <v>0</v>
      </c>
    </row>
    <row r="65" spans="1:33" x14ac:dyDescent="0.25">
      <c r="A65" s="1">
        <v>44990</v>
      </c>
      <c r="B65" t="s">
        <v>2</v>
      </c>
      <c r="C65">
        <f t="shared" si="5"/>
        <v>0.2</v>
      </c>
      <c r="D65">
        <f t="shared" si="6"/>
        <v>7</v>
      </c>
      <c r="F65">
        <f t="shared" si="9"/>
        <v>-6650</v>
      </c>
      <c r="G65">
        <f t="shared" si="0"/>
        <v>-6800</v>
      </c>
      <c r="H65">
        <f t="shared" si="1"/>
        <v>2</v>
      </c>
      <c r="I65">
        <f t="shared" si="2"/>
        <v>60</v>
      </c>
      <c r="J65" s="3">
        <f t="shared" si="3"/>
        <v>-6800</v>
      </c>
      <c r="K65">
        <f t="shared" si="4"/>
        <v>150</v>
      </c>
      <c r="L65" s="4">
        <f t="shared" si="10"/>
        <v>9500</v>
      </c>
      <c r="M65">
        <f t="shared" si="7"/>
        <v>0</v>
      </c>
      <c r="N65" s="5">
        <f t="shared" si="11"/>
        <v>2700</v>
      </c>
      <c r="AF65" s="1">
        <v>44990</v>
      </c>
      <c r="AG65">
        <f t="shared" si="8"/>
        <v>-150</v>
      </c>
    </row>
    <row r="66" spans="1:33" x14ac:dyDescent="0.25">
      <c r="A66" s="1">
        <v>44991</v>
      </c>
      <c r="B66" t="s">
        <v>2</v>
      </c>
      <c r="C66">
        <f t="shared" si="5"/>
        <v>0.2</v>
      </c>
      <c r="D66">
        <f t="shared" si="6"/>
        <v>1</v>
      </c>
      <c r="F66">
        <f t="shared" si="9"/>
        <v>-6800</v>
      </c>
      <c r="G66">
        <f t="shared" ref="G66:G129" si="12">IF(D66=7,F66-150,F66)</f>
        <v>-6800</v>
      </c>
      <c r="H66">
        <f t="shared" ref="H66:H129" si="13">ROUNDDOWN($AC$2*C66,0)</f>
        <v>2</v>
      </c>
      <c r="I66">
        <f t="shared" ref="I66:I129" si="14">H66*$AD$2</f>
        <v>60</v>
      </c>
      <c r="J66" s="3">
        <f t="shared" ref="J66:J129" si="15">IF(AND(D66&gt;=1,D66&lt;=5),G66+I66,G66)</f>
        <v>-6740</v>
      </c>
      <c r="K66">
        <f t="shared" ref="K66:K129" si="16">IF(D66=7,150,0)</f>
        <v>0</v>
      </c>
      <c r="L66" s="4">
        <f t="shared" si="10"/>
        <v>9500</v>
      </c>
      <c r="M66">
        <f t="shared" si="7"/>
        <v>60</v>
      </c>
      <c r="N66" s="5">
        <f t="shared" si="11"/>
        <v>2760</v>
      </c>
      <c r="AF66" s="1">
        <v>44991</v>
      </c>
      <c r="AG66">
        <f t="shared" si="8"/>
        <v>60</v>
      </c>
    </row>
    <row r="67" spans="1:33" x14ac:dyDescent="0.25">
      <c r="A67" s="1">
        <v>44992</v>
      </c>
      <c r="B67" t="s">
        <v>2</v>
      </c>
      <c r="C67">
        <f t="shared" ref="C67:C130" si="17">IF(B67="zima",20%,IF(B67="wiosna",50%,IF(B67="lato",90%,40%)))</f>
        <v>0.2</v>
      </c>
      <c r="D67">
        <f t="shared" ref="D67:D130" si="18">WEEKDAY(A67,2)</f>
        <v>2</v>
      </c>
      <c r="F67">
        <f t="shared" si="9"/>
        <v>-6740</v>
      </c>
      <c r="G67">
        <f t="shared" si="12"/>
        <v>-6740</v>
      </c>
      <c r="H67">
        <f t="shared" si="13"/>
        <v>2</v>
      </c>
      <c r="I67">
        <f t="shared" si="14"/>
        <v>60</v>
      </c>
      <c r="J67" s="3">
        <f t="shared" si="15"/>
        <v>-6680</v>
      </c>
      <c r="K67">
        <f t="shared" si="16"/>
        <v>0</v>
      </c>
      <c r="L67" s="4">
        <f t="shared" si="10"/>
        <v>9500</v>
      </c>
      <c r="M67">
        <f t="shared" ref="M67:M130" si="19">IF(AND(D67&gt;=1,D67&lt;=5),I67,0)</f>
        <v>60</v>
      </c>
      <c r="N67" s="5">
        <f t="shared" si="11"/>
        <v>2820</v>
      </c>
      <c r="AF67" s="1">
        <v>44992</v>
      </c>
      <c r="AG67">
        <f t="shared" ref="AG67:AG130" si="20">M67-K67</f>
        <v>60</v>
      </c>
    </row>
    <row r="68" spans="1:33" x14ac:dyDescent="0.25">
      <c r="A68" s="1">
        <v>44993</v>
      </c>
      <c r="B68" t="s">
        <v>2</v>
      </c>
      <c r="C68">
        <f t="shared" si="17"/>
        <v>0.2</v>
      </c>
      <c r="D68">
        <f t="shared" si="18"/>
        <v>3</v>
      </c>
      <c r="F68">
        <f t="shared" ref="F68:F131" si="21">J67</f>
        <v>-6680</v>
      </c>
      <c r="G68">
        <f t="shared" si="12"/>
        <v>-6680</v>
      </c>
      <c r="H68">
        <f t="shared" si="13"/>
        <v>2</v>
      </c>
      <c r="I68">
        <f t="shared" si="14"/>
        <v>60</v>
      </c>
      <c r="J68" s="3">
        <f t="shared" si="15"/>
        <v>-6620</v>
      </c>
      <c r="K68">
        <f t="shared" si="16"/>
        <v>0</v>
      </c>
      <c r="L68" s="4">
        <f t="shared" ref="L68:L131" si="22">K68+L67</f>
        <v>9500</v>
      </c>
      <c r="M68">
        <f t="shared" si="19"/>
        <v>60</v>
      </c>
      <c r="N68" s="5">
        <f t="shared" ref="N68:N131" si="23">N67+M68</f>
        <v>2880</v>
      </c>
      <c r="AF68" s="1">
        <v>44993</v>
      </c>
      <c r="AG68">
        <f t="shared" si="20"/>
        <v>60</v>
      </c>
    </row>
    <row r="69" spans="1:33" x14ac:dyDescent="0.25">
      <c r="A69" s="1">
        <v>44994</v>
      </c>
      <c r="B69" t="s">
        <v>2</v>
      </c>
      <c r="C69">
        <f t="shared" si="17"/>
        <v>0.2</v>
      </c>
      <c r="D69">
        <f t="shared" si="18"/>
        <v>4</v>
      </c>
      <c r="F69">
        <f t="shared" si="21"/>
        <v>-6620</v>
      </c>
      <c r="G69">
        <f t="shared" si="12"/>
        <v>-6620</v>
      </c>
      <c r="H69">
        <f t="shared" si="13"/>
        <v>2</v>
      </c>
      <c r="I69">
        <f t="shared" si="14"/>
        <v>60</v>
      </c>
      <c r="J69" s="3">
        <f t="shared" si="15"/>
        <v>-6560</v>
      </c>
      <c r="K69">
        <f t="shared" si="16"/>
        <v>0</v>
      </c>
      <c r="L69" s="4">
        <f t="shared" si="22"/>
        <v>9500</v>
      </c>
      <c r="M69">
        <f t="shared" si="19"/>
        <v>60</v>
      </c>
      <c r="N69" s="5">
        <f t="shared" si="23"/>
        <v>2940</v>
      </c>
      <c r="AF69" s="1">
        <v>44994</v>
      </c>
      <c r="AG69">
        <f t="shared" si="20"/>
        <v>60</v>
      </c>
    </row>
    <row r="70" spans="1:33" x14ac:dyDescent="0.25">
      <c r="A70" s="1">
        <v>44995</v>
      </c>
      <c r="B70" t="s">
        <v>2</v>
      </c>
      <c r="C70">
        <f t="shared" si="17"/>
        <v>0.2</v>
      </c>
      <c r="D70">
        <f t="shared" si="18"/>
        <v>5</v>
      </c>
      <c r="F70">
        <f t="shared" si="21"/>
        <v>-6560</v>
      </c>
      <c r="G70">
        <f t="shared" si="12"/>
        <v>-6560</v>
      </c>
      <c r="H70">
        <f t="shared" si="13"/>
        <v>2</v>
      </c>
      <c r="I70">
        <f t="shared" si="14"/>
        <v>60</v>
      </c>
      <c r="J70" s="3">
        <f t="shared" si="15"/>
        <v>-6500</v>
      </c>
      <c r="K70">
        <f t="shared" si="16"/>
        <v>0</v>
      </c>
      <c r="L70" s="4">
        <f t="shared" si="22"/>
        <v>9500</v>
      </c>
      <c r="M70">
        <f t="shared" si="19"/>
        <v>60</v>
      </c>
      <c r="N70" s="5">
        <f t="shared" si="23"/>
        <v>3000</v>
      </c>
      <c r="AF70" s="1">
        <v>44995</v>
      </c>
      <c r="AG70">
        <f t="shared" si="20"/>
        <v>60</v>
      </c>
    </row>
    <row r="71" spans="1:33" x14ac:dyDescent="0.25">
      <c r="A71" s="1">
        <v>44996</v>
      </c>
      <c r="B71" t="s">
        <v>2</v>
      </c>
      <c r="C71">
        <f t="shared" si="17"/>
        <v>0.2</v>
      </c>
      <c r="D71">
        <f t="shared" si="18"/>
        <v>6</v>
      </c>
      <c r="F71">
        <f t="shared" si="21"/>
        <v>-6500</v>
      </c>
      <c r="G71">
        <f t="shared" si="12"/>
        <v>-6500</v>
      </c>
      <c r="H71">
        <f t="shared" si="13"/>
        <v>2</v>
      </c>
      <c r="I71">
        <f t="shared" si="14"/>
        <v>60</v>
      </c>
      <c r="J71" s="3">
        <f t="shared" si="15"/>
        <v>-6500</v>
      </c>
      <c r="K71">
        <f t="shared" si="16"/>
        <v>0</v>
      </c>
      <c r="L71" s="4">
        <f t="shared" si="22"/>
        <v>9500</v>
      </c>
      <c r="M71">
        <f t="shared" si="19"/>
        <v>0</v>
      </c>
      <c r="N71" s="5">
        <f t="shared" si="23"/>
        <v>3000</v>
      </c>
      <c r="AF71" s="1">
        <v>44996</v>
      </c>
      <c r="AG71">
        <f t="shared" si="20"/>
        <v>0</v>
      </c>
    </row>
    <row r="72" spans="1:33" x14ac:dyDescent="0.25">
      <c r="A72" s="1">
        <v>44997</v>
      </c>
      <c r="B72" t="s">
        <v>2</v>
      </c>
      <c r="C72">
        <f t="shared" si="17"/>
        <v>0.2</v>
      </c>
      <c r="D72">
        <f t="shared" si="18"/>
        <v>7</v>
      </c>
      <c r="F72">
        <f t="shared" si="21"/>
        <v>-6500</v>
      </c>
      <c r="G72">
        <f t="shared" si="12"/>
        <v>-6650</v>
      </c>
      <c r="H72">
        <f t="shared" si="13"/>
        <v>2</v>
      </c>
      <c r="I72">
        <f t="shared" si="14"/>
        <v>60</v>
      </c>
      <c r="J72" s="3">
        <f t="shared" si="15"/>
        <v>-6650</v>
      </c>
      <c r="K72">
        <f t="shared" si="16"/>
        <v>150</v>
      </c>
      <c r="L72" s="4">
        <f t="shared" si="22"/>
        <v>9650</v>
      </c>
      <c r="M72">
        <f t="shared" si="19"/>
        <v>0</v>
      </c>
      <c r="N72" s="5">
        <f t="shared" si="23"/>
        <v>3000</v>
      </c>
      <c r="AF72" s="1">
        <v>44997</v>
      </c>
      <c r="AG72">
        <f t="shared" si="20"/>
        <v>-150</v>
      </c>
    </row>
    <row r="73" spans="1:33" x14ac:dyDescent="0.25">
      <c r="A73" s="1">
        <v>44998</v>
      </c>
      <c r="B73" t="s">
        <v>2</v>
      </c>
      <c r="C73">
        <f t="shared" si="17"/>
        <v>0.2</v>
      </c>
      <c r="D73">
        <f t="shared" si="18"/>
        <v>1</v>
      </c>
      <c r="F73">
        <f t="shared" si="21"/>
        <v>-6650</v>
      </c>
      <c r="G73">
        <f t="shared" si="12"/>
        <v>-6650</v>
      </c>
      <c r="H73">
        <f t="shared" si="13"/>
        <v>2</v>
      </c>
      <c r="I73">
        <f t="shared" si="14"/>
        <v>60</v>
      </c>
      <c r="J73" s="3">
        <f t="shared" si="15"/>
        <v>-6590</v>
      </c>
      <c r="K73">
        <f t="shared" si="16"/>
        <v>0</v>
      </c>
      <c r="L73" s="4">
        <f t="shared" si="22"/>
        <v>9650</v>
      </c>
      <c r="M73">
        <f t="shared" si="19"/>
        <v>60</v>
      </c>
      <c r="N73" s="5">
        <f t="shared" si="23"/>
        <v>3060</v>
      </c>
      <c r="AF73" s="1">
        <v>44998</v>
      </c>
      <c r="AG73">
        <f t="shared" si="20"/>
        <v>60</v>
      </c>
    </row>
    <row r="74" spans="1:33" x14ac:dyDescent="0.25">
      <c r="A74" s="1">
        <v>44999</v>
      </c>
      <c r="B74" t="s">
        <v>2</v>
      </c>
      <c r="C74">
        <f t="shared" si="17"/>
        <v>0.2</v>
      </c>
      <c r="D74">
        <f t="shared" si="18"/>
        <v>2</v>
      </c>
      <c r="F74">
        <f t="shared" si="21"/>
        <v>-6590</v>
      </c>
      <c r="G74">
        <f t="shared" si="12"/>
        <v>-6590</v>
      </c>
      <c r="H74">
        <f t="shared" si="13"/>
        <v>2</v>
      </c>
      <c r="I74">
        <f t="shared" si="14"/>
        <v>60</v>
      </c>
      <c r="J74" s="3">
        <f t="shared" si="15"/>
        <v>-6530</v>
      </c>
      <c r="K74">
        <f t="shared" si="16"/>
        <v>0</v>
      </c>
      <c r="L74" s="4">
        <f t="shared" si="22"/>
        <v>9650</v>
      </c>
      <c r="M74">
        <f t="shared" si="19"/>
        <v>60</v>
      </c>
      <c r="N74" s="5">
        <f t="shared" si="23"/>
        <v>3120</v>
      </c>
      <c r="AF74" s="1">
        <v>44999</v>
      </c>
      <c r="AG74">
        <f t="shared" si="20"/>
        <v>60</v>
      </c>
    </row>
    <row r="75" spans="1:33" x14ac:dyDescent="0.25">
      <c r="A75" s="1">
        <v>45000</v>
      </c>
      <c r="B75" t="s">
        <v>2</v>
      </c>
      <c r="C75">
        <f t="shared" si="17"/>
        <v>0.2</v>
      </c>
      <c r="D75">
        <f t="shared" si="18"/>
        <v>3</v>
      </c>
      <c r="F75">
        <f t="shared" si="21"/>
        <v>-6530</v>
      </c>
      <c r="G75">
        <f t="shared" si="12"/>
        <v>-6530</v>
      </c>
      <c r="H75">
        <f t="shared" si="13"/>
        <v>2</v>
      </c>
      <c r="I75">
        <f t="shared" si="14"/>
        <v>60</v>
      </c>
      <c r="J75" s="3">
        <f t="shared" si="15"/>
        <v>-6470</v>
      </c>
      <c r="K75">
        <f t="shared" si="16"/>
        <v>0</v>
      </c>
      <c r="L75" s="4">
        <f t="shared" si="22"/>
        <v>9650</v>
      </c>
      <c r="M75">
        <f t="shared" si="19"/>
        <v>60</v>
      </c>
      <c r="N75" s="5">
        <f t="shared" si="23"/>
        <v>3180</v>
      </c>
      <c r="AF75" s="1">
        <v>45000</v>
      </c>
      <c r="AG75">
        <f t="shared" si="20"/>
        <v>60</v>
      </c>
    </row>
    <row r="76" spans="1:33" x14ac:dyDescent="0.25">
      <c r="A76" s="1">
        <v>45001</v>
      </c>
      <c r="B76" t="s">
        <v>2</v>
      </c>
      <c r="C76">
        <f t="shared" si="17"/>
        <v>0.2</v>
      </c>
      <c r="D76">
        <f t="shared" si="18"/>
        <v>4</v>
      </c>
      <c r="F76">
        <f t="shared" si="21"/>
        <v>-6470</v>
      </c>
      <c r="G76">
        <f t="shared" si="12"/>
        <v>-6470</v>
      </c>
      <c r="H76">
        <f t="shared" si="13"/>
        <v>2</v>
      </c>
      <c r="I76">
        <f t="shared" si="14"/>
        <v>60</v>
      </c>
      <c r="J76" s="3">
        <f t="shared" si="15"/>
        <v>-6410</v>
      </c>
      <c r="K76">
        <f t="shared" si="16"/>
        <v>0</v>
      </c>
      <c r="L76" s="4">
        <f t="shared" si="22"/>
        <v>9650</v>
      </c>
      <c r="M76">
        <f t="shared" si="19"/>
        <v>60</v>
      </c>
      <c r="N76" s="5">
        <f t="shared" si="23"/>
        <v>3240</v>
      </c>
      <c r="AF76" s="1">
        <v>45001</v>
      </c>
      <c r="AG76">
        <f t="shared" si="20"/>
        <v>60</v>
      </c>
    </row>
    <row r="77" spans="1:33" x14ac:dyDescent="0.25">
      <c r="A77" s="1">
        <v>45002</v>
      </c>
      <c r="B77" t="s">
        <v>2</v>
      </c>
      <c r="C77">
        <f t="shared" si="17"/>
        <v>0.2</v>
      </c>
      <c r="D77">
        <f t="shared" si="18"/>
        <v>5</v>
      </c>
      <c r="F77">
        <f t="shared" si="21"/>
        <v>-6410</v>
      </c>
      <c r="G77">
        <f t="shared" si="12"/>
        <v>-6410</v>
      </c>
      <c r="H77">
        <f t="shared" si="13"/>
        <v>2</v>
      </c>
      <c r="I77">
        <f t="shared" si="14"/>
        <v>60</v>
      </c>
      <c r="J77" s="3">
        <f t="shared" si="15"/>
        <v>-6350</v>
      </c>
      <c r="K77">
        <f t="shared" si="16"/>
        <v>0</v>
      </c>
      <c r="L77" s="4">
        <f t="shared" si="22"/>
        <v>9650</v>
      </c>
      <c r="M77">
        <f t="shared" si="19"/>
        <v>60</v>
      </c>
      <c r="N77" s="5">
        <f t="shared" si="23"/>
        <v>3300</v>
      </c>
      <c r="AF77" s="1">
        <v>45002</v>
      </c>
      <c r="AG77">
        <f t="shared" si="20"/>
        <v>60</v>
      </c>
    </row>
    <row r="78" spans="1:33" x14ac:dyDescent="0.25">
      <c r="A78" s="1">
        <v>45003</v>
      </c>
      <c r="B78" t="s">
        <v>2</v>
      </c>
      <c r="C78">
        <f t="shared" si="17"/>
        <v>0.2</v>
      </c>
      <c r="D78">
        <f t="shared" si="18"/>
        <v>6</v>
      </c>
      <c r="F78">
        <f t="shared" si="21"/>
        <v>-6350</v>
      </c>
      <c r="G78">
        <f t="shared" si="12"/>
        <v>-6350</v>
      </c>
      <c r="H78">
        <f t="shared" si="13"/>
        <v>2</v>
      </c>
      <c r="I78">
        <f t="shared" si="14"/>
        <v>60</v>
      </c>
      <c r="J78" s="3">
        <f t="shared" si="15"/>
        <v>-6350</v>
      </c>
      <c r="K78">
        <f t="shared" si="16"/>
        <v>0</v>
      </c>
      <c r="L78" s="4">
        <f t="shared" si="22"/>
        <v>9650</v>
      </c>
      <c r="M78">
        <f t="shared" si="19"/>
        <v>0</v>
      </c>
      <c r="N78" s="5">
        <f t="shared" si="23"/>
        <v>3300</v>
      </c>
      <c r="AF78" s="1">
        <v>45003</v>
      </c>
      <c r="AG78">
        <f t="shared" si="20"/>
        <v>0</v>
      </c>
    </row>
    <row r="79" spans="1:33" x14ac:dyDescent="0.25">
      <c r="A79" s="1">
        <v>45004</v>
      </c>
      <c r="B79" t="s">
        <v>2</v>
      </c>
      <c r="C79">
        <f t="shared" si="17"/>
        <v>0.2</v>
      </c>
      <c r="D79">
        <f t="shared" si="18"/>
        <v>7</v>
      </c>
      <c r="F79">
        <f t="shared" si="21"/>
        <v>-6350</v>
      </c>
      <c r="G79">
        <f t="shared" si="12"/>
        <v>-6500</v>
      </c>
      <c r="H79">
        <f t="shared" si="13"/>
        <v>2</v>
      </c>
      <c r="I79">
        <f t="shared" si="14"/>
        <v>60</v>
      </c>
      <c r="J79" s="3">
        <f t="shared" si="15"/>
        <v>-6500</v>
      </c>
      <c r="K79">
        <f t="shared" si="16"/>
        <v>150</v>
      </c>
      <c r="L79" s="4">
        <f t="shared" si="22"/>
        <v>9800</v>
      </c>
      <c r="M79">
        <f t="shared" si="19"/>
        <v>0</v>
      </c>
      <c r="N79" s="5">
        <f t="shared" si="23"/>
        <v>3300</v>
      </c>
      <c r="AF79" s="1">
        <v>45004</v>
      </c>
      <c r="AG79">
        <f t="shared" si="20"/>
        <v>-150</v>
      </c>
    </row>
    <row r="80" spans="1:33" x14ac:dyDescent="0.25">
      <c r="A80" s="1">
        <v>45005</v>
      </c>
      <c r="B80" t="s">
        <v>2</v>
      </c>
      <c r="C80">
        <f t="shared" si="17"/>
        <v>0.2</v>
      </c>
      <c r="D80">
        <f t="shared" si="18"/>
        <v>1</v>
      </c>
      <c r="F80">
        <f t="shared" si="21"/>
        <v>-6500</v>
      </c>
      <c r="G80">
        <f t="shared" si="12"/>
        <v>-6500</v>
      </c>
      <c r="H80">
        <f t="shared" si="13"/>
        <v>2</v>
      </c>
      <c r="I80">
        <f t="shared" si="14"/>
        <v>60</v>
      </c>
      <c r="J80" s="3">
        <f t="shared" si="15"/>
        <v>-6440</v>
      </c>
      <c r="K80">
        <f t="shared" si="16"/>
        <v>0</v>
      </c>
      <c r="L80" s="4">
        <f t="shared" si="22"/>
        <v>9800</v>
      </c>
      <c r="M80">
        <f t="shared" si="19"/>
        <v>60</v>
      </c>
      <c r="N80" s="5">
        <f t="shared" si="23"/>
        <v>3360</v>
      </c>
      <c r="AF80" s="1">
        <v>45005</v>
      </c>
      <c r="AG80">
        <f t="shared" si="20"/>
        <v>60</v>
      </c>
    </row>
    <row r="81" spans="1:33" x14ac:dyDescent="0.25">
      <c r="A81" s="1">
        <v>45006</v>
      </c>
      <c r="B81" t="s">
        <v>3</v>
      </c>
      <c r="C81">
        <f t="shared" si="17"/>
        <v>0.5</v>
      </c>
      <c r="D81">
        <f t="shared" si="18"/>
        <v>2</v>
      </c>
      <c r="F81">
        <f t="shared" si="21"/>
        <v>-6440</v>
      </c>
      <c r="G81">
        <f t="shared" si="12"/>
        <v>-6440</v>
      </c>
      <c r="H81">
        <f t="shared" si="13"/>
        <v>5</v>
      </c>
      <c r="I81">
        <f t="shared" si="14"/>
        <v>150</v>
      </c>
      <c r="J81" s="3">
        <f t="shared" si="15"/>
        <v>-6290</v>
      </c>
      <c r="K81">
        <f t="shared" si="16"/>
        <v>0</v>
      </c>
      <c r="L81" s="4">
        <f t="shared" si="22"/>
        <v>9800</v>
      </c>
      <c r="M81">
        <f t="shared" si="19"/>
        <v>150</v>
      </c>
      <c r="N81" s="5">
        <f t="shared" si="23"/>
        <v>3510</v>
      </c>
      <c r="AF81" s="1">
        <v>45006</v>
      </c>
      <c r="AG81">
        <f t="shared" si="20"/>
        <v>150</v>
      </c>
    </row>
    <row r="82" spans="1:33" x14ac:dyDescent="0.25">
      <c r="A82" s="1">
        <v>45007</v>
      </c>
      <c r="B82" t="s">
        <v>3</v>
      </c>
      <c r="C82">
        <f t="shared" si="17"/>
        <v>0.5</v>
      </c>
      <c r="D82">
        <f t="shared" si="18"/>
        <v>3</v>
      </c>
      <c r="F82">
        <f t="shared" si="21"/>
        <v>-6290</v>
      </c>
      <c r="G82">
        <f t="shared" si="12"/>
        <v>-6290</v>
      </c>
      <c r="H82">
        <f t="shared" si="13"/>
        <v>5</v>
      </c>
      <c r="I82">
        <f t="shared" si="14"/>
        <v>150</v>
      </c>
      <c r="J82" s="3">
        <f t="shared" si="15"/>
        <v>-6140</v>
      </c>
      <c r="K82">
        <f t="shared" si="16"/>
        <v>0</v>
      </c>
      <c r="L82" s="4">
        <f t="shared" si="22"/>
        <v>9800</v>
      </c>
      <c r="M82">
        <f t="shared" si="19"/>
        <v>150</v>
      </c>
      <c r="N82" s="5">
        <f t="shared" si="23"/>
        <v>3660</v>
      </c>
      <c r="AF82" s="1">
        <v>45007</v>
      </c>
      <c r="AG82">
        <f t="shared" si="20"/>
        <v>150</v>
      </c>
    </row>
    <row r="83" spans="1:33" x14ac:dyDescent="0.25">
      <c r="A83" s="1">
        <v>45008</v>
      </c>
      <c r="B83" t="s">
        <v>3</v>
      </c>
      <c r="C83">
        <f t="shared" si="17"/>
        <v>0.5</v>
      </c>
      <c r="D83">
        <f t="shared" si="18"/>
        <v>4</v>
      </c>
      <c r="F83">
        <f t="shared" si="21"/>
        <v>-6140</v>
      </c>
      <c r="G83">
        <f t="shared" si="12"/>
        <v>-6140</v>
      </c>
      <c r="H83">
        <f t="shared" si="13"/>
        <v>5</v>
      </c>
      <c r="I83">
        <f t="shared" si="14"/>
        <v>150</v>
      </c>
      <c r="J83" s="3">
        <f t="shared" si="15"/>
        <v>-5990</v>
      </c>
      <c r="K83">
        <f t="shared" si="16"/>
        <v>0</v>
      </c>
      <c r="L83" s="4">
        <f t="shared" si="22"/>
        <v>9800</v>
      </c>
      <c r="M83">
        <f t="shared" si="19"/>
        <v>150</v>
      </c>
      <c r="N83" s="5">
        <f t="shared" si="23"/>
        <v>3810</v>
      </c>
      <c r="AF83" s="1">
        <v>45008</v>
      </c>
      <c r="AG83">
        <f t="shared" si="20"/>
        <v>150</v>
      </c>
    </row>
    <row r="84" spans="1:33" x14ac:dyDescent="0.25">
      <c r="A84" s="1">
        <v>45009</v>
      </c>
      <c r="B84" t="s">
        <v>3</v>
      </c>
      <c r="C84">
        <f t="shared" si="17"/>
        <v>0.5</v>
      </c>
      <c r="D84">
        <f t="shared" si="18"/>
        <v>5</v>
      </c>
      <c r="F84">
        <f t="shared" si="21"/>
        <v>-5990</v>
      </c>
      <c r="G84">
        <f t="shared" si="12"/>
        <v>-5990</v>
      </c>
      <c r="H84">
        <f t="shared" si="13"/>
        <v>5</v>
      </c>
      <c r="I84">
        <f t="shared" si="14"/>
        <v>150</v>
      </c>
      <c r="J84" s="3">
        <f t="shared" si="15"/>
        <v>-5840</v>
      </c>
      <c r="K84">
        <f t="shared" si="16"/>
        <v>0</v>
      </c>
      <c r="L84" s="4">
        <f t="shared" si="22"/>
        <v>9800</v>
      </c>
      <c r="M84">
        <f t="shared" si="19"/>
        <v>150</v>
      </c>
      <c r="N84" s="5">
        <f t="shared" si="23"/>
        <v>3960</v>
      </c>
      <c r="AF84" s="1">
        <v>45009</v>
      </c>
      <c r="AG84">
        <f t="shared" si="20"/>
        <v>150</v>
      </c>
    </row>
    <row r="85" spans="1:33" x14ac:dyDescent="0.25">
      <c r="A85" s="1">
        <v>45010</v>
      </c>
      <c r="B85" t="s">
        <v>3</v>
      </c>
      <c r="C85">
        <f t="shared" si="17"/>
        <v>0.5</v>
      </c>
      <c r="D85">
        <f t="shared" si="18"/>
        <v>6</v>
      </c>
      <c r="F85">
        <f t="shared" si="21"/>
        <v>-5840</v>
      </c>
      <c r="G85">
        <f t="shared" si="12"/>
        <v>-5840</v>
      </c>
      <c r="H85">
        <f t="shared" si="13"/>
        <v>5</v>
      </c>
      <c r="I85">
        <f t="shared" si="14"/>
        <v>150</v>
      </c>
      <c r="J85" s="3">
        <f t="shared" si="15"/>
        <v>-5840</v>
      </c>
      <c r="K85">
        <f t="shared" si="16"/>
        <v>0</v>
      </c>
      <c r="L85" s="4">
        <f t="shared" si="22"/>
        <v>9800</v>
      </c>
      <c r="M85">
        <f t="shared" si="19"/>
        <v>0</v>
      </c>
      <c r="N85" s="5">
        <f t="shared" si="23"/>
        <v>3960</v>
      </c>
      <c r="AF85" s="1">
        <v>45010</v>
      </c>
      <c r="AG85">
        <f t="shared" si="20"/>
        <v>0</v>
      </c>
    </row>
    <row r="86" spans="1:33" x14ac:dyDescent="0.25">
      <c r="A86" s="1">
        <v>45011</v>
      </c>
      <c r="B86" t="s">
        <v>3</v>
      </c>
      <c r="C86">
        <f t="shared" si="17"/>
        <v>0.5</v>
      </c>
      <c r="D86">
        <f t="shared" si="18"/>
        <v>7</v>
      </c>
      <c r="F86">
        <f t="shared" si="21"/>
        <v>-5840</v>
      </c>
      <c r="G86">
        <f t="shared" si="12"/>
        <v>-5990</v>
      </c>
      <c r="H86">
        <f t="shared" si="13"/>
        <v>5</v>
      </c>
      <c r="I86">
        <f t="shared" si="14"/>
        <v>150</v>
      </c>
      <c r="J86" s="3">
        <f t="shared" si="15"/>
        <v>-5990</v>
      </c>
      <c r="K86">
        <f t="shared" si="16"/>
        <v>150</v>
      </c>
      <c r="L86" s="4">
        <f t="shared" si="22"/>
        <v>9950</v>
      </c>
      <c r="M86">
        <f t="shared" si="19"/>
        <v>0</v>
      </c>
      <c r="N86" s="5">
        <f t="shared" si="23"/>
        <v>3960</v>
      </c>
      <c r="AF86" s="1">
        <v>45011</v>
      </c>
      <c r="AG86">
        <f t="shared" si="20"/>
        <v>-150</v>
      </c>
    </row>
    <row r="87" spans="1:33" x14ac:dyDescent="0.25">
      <c r="A87" s="1">
        <v>45012</v>
      </c>
      <c r="B87" t="s">
        <v>3</v>
      </c>
      <c r="C87">
        <f t="shared" si="17"/>
        <v>0.5</v>
      </c>
      <c r="D87">
        <f t="shared" si="18"/>
        <v>1</v>
      </c>
      <c r="F87">
        <f t="shared" si="21"/>
        <v>-5990</v>
      </c>
      <c r="G87">
        <f t="shared" si="12"/>
        <v>-5990</v>
      </c>
      <c r="H87">
        <f t="shared" si="13"/>
        <v>5</v>
      </c>
      <c r="I87">
        <f t="shared" si="14"/>
        <v>150</v>
      </c>
      <c r="J87" s="3">
        <f t="shared" si="15"/>
        <v>-5840</v>
      </c>
      <c r="K87">
        <f t="shared" si="16"/>
        <v>0</v>
      </c>
      <c r="L87" s="4">
        <f t="shared" si="22"/>
        <v>9950</v>
      </c>
      <c r="M87">
        <f t="shared" si="19"/>
        <v>150</v>
      </c>
      <c r="N87" s="5">
        <f t="shared" si="23"/>
        <v>4110</v>
      </c>
      <c r="AF87" s="1">
        <v>45012</v>
      </c>
      <c r="AG87">
        <f t="shared" si="20"/>
        <v>150</v>
      </c>
    </row>
    <row r="88" spans="1:33" x14ac:dyDescent="0.25">
      <c r="A88" s="1">
        <v>45013</v>
      </c>
      <c r="B88" t="s">
        <v>3</v>
      </c>
      <c r="C88">
        <f t="shared" si="17"/>
        <v>0.5</v>
      </c>
      <c r="D88">
        <f t="shared" si="18"/>
        <v>2</v>
      </c>
      <c r="F88">
        <f t="shared" si="21"/>
        <v>-5840</v>
      </c>
      <c r="G88">
        <f t="shared" si="12"/>
        <v>-5840</v>
      </c>
      <c r="H88">
        <f t="shared" si="13"/>
        <v>5</v>
      </c>
      <c r="I88">
        <f t="shared" si="14"/>
        <v>150</v>
      </c>
      <c r="J88" s="3">
        <f t="shared" si="15"/>
        <v>-5690</v>
      </c>
      <c r="K88">
        <f t="shared" si="16"/>
        <v>0</v>
      </c>
      <c r="L88" s="4">
        <f t="shared" si="22"/>
        <v>9950</v>
      </c>
      <c r="M88">
        <f t="shared" si="19"/>
        <v>150</v>
      </c>
      <c r="N88" s="5">
        <f t="shared" si="23"/>
        <v>4260</v>
      </c>
      <c r="AF88" s="1">
        <v>45013</v>
      </c>
      <c r="AG88">
        <f t="shared" si="20"/>
        <v>150</v>
      </c>
    </row>
    <row r="89" spans="1:33" x14ac:dyDescent="0.25">
      <c r="A89" s="1">
        <v>45014</v>
      </c>
      <c r="B89" t="s">
        <v>3</v>
      </c>
      <c r="C89">
        <f t="shared" si="17"/>
        <v>0.5</v>
      </c>
      <c r="D89">
        <f t="shared" si="18"/>
        <v>3</v>
      </c>
      <c r="F89">
        <f t="shared" si="21"/>
        <v>-5690</v>
      </c>
      <c r="G89">
        <f t="shared" si="12"/>
        <v>-5690</v>
      </c>
      <c r="H89">
        <f t="shared" si="13"/>
        <v>5</v>
      </c>
      <c r="I89">
        <f t="shared" si="14"/>
        <v>150</v>
      </c>
      <c r="J89" s="3">
        <f t="shared" si="15"/>
        <v>-5540</v>
      </c>
      <c r="K89">
        <f t="shared" si="16"/>
        <v>0</v>
      </c>
      <c r="L89" s="4">
        <f t="shared" si="22"/>
        <v>9950</v>
      </c>
      <c r="M89">
        <f t="shared" si="19"/>
        <v>150</v>
      </c>
      <c r="N89" s="5">
        <f t="shared" si="23"/>
        <v>4410</v>
      </c>
      <c r="AF89" s="1">
        <v>45014</v>
      </c>
      <c r="AG89">
        <f t="shared" si="20"/>
        <v>150</v>
      </c>
    </row>
    <row r="90" spans="1:33" x14ac:dyDescent="0.25">
      <c r="A90" s="1">
        <v>45015</v>
      </c>
      <c r="B90" t="s">
        <v>3</v>
      </c>
      <c r="C90">
        <f t="shared" si="17"/>
        <v>0.5</v>
      </c>
      <c r="D90">
        <f t="shared" si="18"/>
        <v>4</v>
      </c>
      <c r="F90">
        <f t="shared" si="21"/>
        <v>-5540</v>
      </c>
      <c r="G90">
        <f t="shared" si="12"/>
        <v>-5540</v>
      </c>
      <c r="H90">
        <f t="shared" si="13"/>
        <v>5</v>
      </c>
      <c r="I90">
        <f t="shared" si="14"/>
        <v>150</v>
      </c>
      <c r="J90" s="3">
        <f t="shared" si="15"/>
        <v>-5390</v>
      </c>
      <c r="K90">
        <f t="shared" si="16"/>
        <v>0</v>
      </c>
      <c r="L90" s="4">
        <f t="shared" si="22"/>
        <v>9950</v>
      </c>
      <c r="M90">
        <f t="shared" si="19"/>
        <v>150</v>
      </c>
      <c r="N90" s="5">
        <f t="shared" si="23"/>
        <v>4560</v>
      </c>
      <c r="AF90" s="1">
        <v>45015</v>
      </c>
      <c r="AG90">
        <f t="shared" si="20"/>
        <v>150</v>
      </c>
    </row>
    <row r="91" spans="1:33" x14ac:dyDescent="0.25">
      <c r="A91" s="1">
        <v>45016</v>
      </c>
      <c r="B91" t="s">
        <v>3</v>
      </c>
      <c r="C91">
        <f t="shared" si="17"/>
        <v>0.5</v>
      </c>
      <c r="D91">
        <f t="shared" si="18"/>
        <v>5</v>
      </c>
      <c r="F91">
        <f t="shared" si="21"/>
        <v>-5390</v>
      </c>
      <c r="G91">
        <f t="shared" si="12"/>
        <v>-5390</v>
      </c>
      <c r="H91">
        <f t="shared" si="13"/>
        <v>5</v>
      </c>
      <c r="I91">
        <f t="shared" si="14"/>
        <v>150</v>
      </c>
      <c r="J91" s="3">
        <f t="shared" si="15"/>
        <v>-5240</v>
      </c>
      <c r="K91">
        <f t="shared" si="16"/>
        <v>0</v>
      </c>
      <c r="L91" s="4">
        <f t="shared" si="22"/>
        <v>9950</v>
      </c>
      <c r="M91">
        <f t="shared" si="19"/>
        <v>150</v>
      </c>
      <c r="N91" s="5">
        <f t="shared" si="23"/>
        <v>4710</v>
      </c>
      <c r="AF91" s="1">
        <v>45016</v>
      </c>
      <c r="AG91">
        <f t="shared" si="20"/>
        <v>150</v>
      </c>
    </row>
    <row r="92" spans="1:33" x14ac:dyDescent="0.25">
      <c r="A92" s="1">
        <v>45017</v>
      </c>
      <c r="B92" t="s">
        <v>3</v>
      </c>
      <c r="C92">
        <f t="shared" si="17"/>
        <v>0.5</v>
      </c>
      <c r="D92">
        <f t="shared" si="18"/>
        <v>6</v>
      </c>
      <c r="F92">
        <f t="shared" si="21"/>
        <v>-5240</v>
      </c>
      <c r="G92">
        <f t="shared" si="12"/>
        <v>-5240</v>
      </c>
      <c r="H92">
        <f t="shared" si="13"/>
        <v>5</v>
      </c>
      <c r="I92">
        <f t="shared" si="14"/>
        <v>150</v>
      </c>
      <c r="J92" s="3">
        <f t="shared" si="15"/>
        <v>-5240</v>
      </c>
      <c r="K92">
        <f t="shared" si="16"/>
        <v>0</v>
      </c>
      <c r="L92" s="4">
        <f t="shared" si="22"/>
        <v>9950</v>
      </c>
      <c r="M92">
        <f t="shared" si="19"/>
        <v>0</v>
      </c>
      <c r="N92" s="5">
        <f t="shared" si="23"/>
        <v>4710</v>
      </c>
      <c r="AF92" s="1">
        <v>45017</v>
      </c>
      <c r="AG92">
        <f t="shared" si="20"/>
        <v>0</v>
      </c>
    </row>
    <row r="93" spans="1:33" x14ac:dyDescent="0.25">
      <c r="A93" s="1">
        <v>45018</v>
      </c>
      <c r="B93" t="s">
        <v>3</v>
      </c>
      <c r="C93">
        <f t="shared" si="17"/>
        <v>0.5</v>
      </c>
      <c r="D93">
        <f t="shared" si="18"/>
        <v>7</v>
      </c>
      <c r="F93">
        <f t="shared" si="21"/>
        <v>-5240</v>
      </c>
      <c r="G93">
        <f t="shared" si="12"/>
        <v>-5390</v>
      </c>
      <c r="H93">
        <f t="shared" si="13"/>
        <v>5</v>
      </c>
      <c r="I93">
        <f t="shared" si="14"/>
        <v>150</v>
      </c>
      <c r="J93" s="3">
        <f t="shared" si="15"/>
        <v>-5390</v>
      </c>
      <c r="K93">
        <f t="shared" si="16"/>
        <v>150</v>
      </c>
      <c r="L93" s="4">
        <f t="shared" si="22"/>
        <v>10100</v>
      </c>
      <c r="M93">
        <f t="shared" si="19"/>
        <v>0</v>
      </c>
      <c r="N93" s="5">
        <f t="shared" si="23"/>
        <v>4710</v>
      </c>
      <c r="AF93" s="1">
        <v>45018</v>
      </c>
      <c r="AG93">
        <f t="shared" si="20"/>
        <v>-150</v>
      </c>
    </row>
    <row r="94" spans="1:33" x14ac:dyDescent="0.25">
      <c r="A94" s="1">
        <v>45019</v>
      </c>
      <c r="B94" t="s">
        <v>3</v>
      </c>
      <c r="C94">
        <f t="shared" si="17"/>
        <v>0.5</v>
      </c>
      <c r="D94">
        <f t="shared" si="18"/>
        <v>1</v>
      </c>
      <c r="F94">
        <f t="shared" si="21"/>
        <v>-5390</v>
      </c>
      <c r="G94">
        <f t="shared" si="12"/>
        <v>-5390</v>
      </c>
      <c r="H94">
        <f t="shared" si="13"/>
        <v>5</v>
      </c>
      <c r="I94">
        <f t="shared" si="14"/>
        <v>150</v>
      </c>
      <c r="J94" s="3">
        <f t="shared" si="15"/>
        <v>-5240</v>
      </c>
      <c r="K94">
        <f t="shared" si="16"/>
        <v>0</v>
      </c>
      <c r="L94" s="4">
        <f t="shared" si="22"/>
        <v>10100</v>
      </c>
      <c r="M94">
        <f t="shared" si="19"/>
        <v>150</v>
      </c>
      <c r="N94" s="5">
        <f t="shared" si="23"/>
        <v>4860</v>
      </c>
      <c r="AF94" s="1">
        <v>45019</v>
      </c>
      <c r="AG94">
        <f t="shared" si="20"/>
        <v>150</v>
      </c>
    </row>
    <row r="95" spans="1:33" x14ac:dyDescent="0.25">
      <c r="A95" s="1">
        <v>45020</v>
      </c>
      <c r="B95" t="s">
        <v>3</v>
      </c>
      <c r="C95">
        <f t="shared" si="17"/>
        <v>0.5</v>
      </c>
      <c r="D95">
        <f t="shared" si="18"/>
        <v>2</v>
      </c>
      <c r="F95">
        <f t="shared" si="21"/>
        <v>-5240</v>
      </c>
      <c r="G95">
        <f t="shared" si="12"/>
        <v>-5240</v>
      </c>
      <c r="H95">
        <f t="shared" si="13"/>
        <v>5</v>
      </c>
      <c r="I95">
        <f t="shared" si="14"/>
        <v>150</v>
      </c>
      <c r="J95" s="3">
        <f t="shared" si="15"/>
        <v>-5090</v>
      </c>
      <c r="K95">
        <f t="shared" si="16"/>
        <v>0</v>
      </c>
      <c r="L95" s="4">
        <f t="shared" si="22"/>
        <v>10100</v>
      </c>
      <c r="M95">
        <f t="shared" si="19"/>
        <v>150</v>
      </c>
      <c r="N95" s="5">
        <f t="shared" si="23"/>
        <v>5010</v>
      </c>
      <c r="AF95" s="1">
        <v>45020</v>
      </c>
      <c r="AG95">
        <f t="shared" si="20"/>
        <v>150</v>
      </c>
    </row>
    <row r="96" spans="1:33" x14ac:dyDescent="0.25">
      <c r="A96" s="1">
        <v>45021</v>
      </c>
      <c r="B96" t="s">
        <v>3</v>
      </c>
      <c r="C96">
        <f t="shared" si="17"/>
        <v>0.5</v>
      </c>
      <c r="D96">
        <f t="shared" si="18"/>
        <v>3</v>
      </c>
      <c r="F96">
        <f t="shared" si="21"/>
        <v>-5090</v>
      </c>
      <c r="G96">
        <f t="shared" si="12"/>
        <v>-5090</v>
      </c>
      <c r="H96">
        <f t="shared" si="13"/>
        <v>5</v>
      </c>
      <c r="I96">
        <f t="shared" si="14"/>
        <v>150</v>
      </c>
      <c r="J96" s="3">
        <f t="shared" si="15"/>
        <v>-4940</v>
      </c>
      <c r="K96">
        <f t="shared" si="16"/>
        <v>0</v>
      </c>
      <c r="L96" s="4">
        <f t="shared" si="22"/>
        <v>10100</v>
      </c>
      <c r="M96">
        <f t="shared" si="19"/>
        <v>150</v>
      </c>
      <c r="N96" s="5">
        <f t="shared" si="23"/>
        <v>5160</v>
      </c>
      <c r="AF96" s="1">
        <v>45021</v>
      </c>
      <c r="AG96">
        <f t="shared" si="20"/>
        <v>150</v>
      </c>
    </row>
    <row r="97" spans="1:33" x14ac:dyDescent="0.25">
      <c r="A97" s="1">
        <v>45022</v>
      </c>
      <c r="B97" t="s">
        <v>3</v>
      </c>
      <c r="C97">
        <f t="shared" si="17"/>
        <v>0.5</v>
      </c>
      <c r="D97">
        <f t="shared" si="18"/>
        <v>4</v>
      </c>
      <c r="F97">
        <f t="shared" si="21"/>
        <v>-4940</v>
      </c>
      <c r="G97">
        <f t="shared" si="12"/>
        <v>-4940</v>
      </c>
      <c r="H97">
        <f t="shared" si="13"/>
        <v>5</v>
      </c>
      <c r="I97">
        <f t="shared" si="14"/>
        <v>150</v>
      </c>
      <c r="J97" s="3">
        <f t="shared" si="15"/>
        <v>-4790</v>
      </c>
      <c r="K97">
        <f t="shared" si="16"/>
        <v>0</v>
      </c>
      <c r="L97" s="4">
        <f t="shared" si="22"/>
        <v>10100</v>
      </c>
      <c r="M97">
        <f t="shared" si="19"/>
        <v>150</v>
      </c>
      <c r="N97" s="5">
        <f t="shared" si="23"/>
        <v>5310</v>
      </c>
      <c r="AF97" s="1">
        <v>45022</v>
      </c>
      <c r="AG97">
        <f t="shared" si="20"/>
        <v>150</v>
      </c>
    </row>
    <row r="98" spans="1:33" x14ac:dyDescent="0.25">
      <c r="A98" s="1">
        <v>45023</v>
      </c>
      <c r="B98" t="s">
        <v>3</v>
      </c>
      <c r="C98">
        <f t="shared" si="17"/>
        <v>0.5</v>
      </c>
      <c r="D98">
        <f t="shared" si="18"/>
        <v>5</v>
      </c>
      <c r="F98">
        <f t="shared" si="21"/>
        <v>-4790</v>
      </c>
      <c r="G98">
        <f t="shared" si="12"/>
        <v>-4790</v>
      </c>
      <c r="H98">
        <f t="shared" si="13"/>
        <v>5</v>
      </c>
      <c r="I98">
        <f t="shared" si="14"/>
        <v>150</v>
      </c>
      <c r="J98" s="3">
        <f t="shared" si="15"/>
        <v>-4640</v>
      </c>
      <c r="K98">
        <f t="shared" si="16"/>
        <v>0</v>
      </c>
      <c r="L98" s="4">
        <f t="shared" si="22"/>
        <v>10100</v>
      </c>
      <c r="M98">
        <f t="shared" si="19"/>
        <v>150</v>
      </c>
      <c r="N98" s="5">
        <f t="shared" si="23"/>
        <v>5460</v>
      </c>
      <c r="AF98" s="1">
        <v>45023</v>
      </c>
      <c r="AG98">
        <f t="shared" si="20"/>
        <v>150</v>
      </c>
    </row>
    <row r="99" spans="1:33" x14ac:dyDescent="0.25">
      <c r="A99" s="1">
        <v>45024</v>
      </c>
      <c r="B99" t="s">
        <v>3</v>
      </c>
      <c r="C99">
        <f t="shared" si="17"/>
        <v>0.5</v>
      </c>
      <c r="D99">
        <f t="shared" si="18"/>
        <v>6</v>
      </c>
      <c r="F99">
        <f t="shared" si="21"/>
        <v>-4640</v>
      </c>
      <c r="G99">
        <f t="shared" si="12"/>
        <v>-4640</v>
      </c>
      <c r="H99">
        <f t="shared" si="13"/>
        <v>5</v>
      </c>
      <c r="I99">
        <f t="shared" si="14"/>
        <v>150</v>
      </c>
      <c r="J99" s="3">
        <f t="shared" si="15"/>
        <v>-4640</v>
      </c>
      <c r="K99">
        <f t="shared" si="16"/>
        <v>0</v>
      </c>
      <c r="L99" s="4">
        <f t="shared" si="22"/>
        <v>10100</v>
      </c>
      <c r="M99">
        <f t="shared" si="19"/>
        <v>0</v>
      </c>
      <c r="N99" s="5">
        <f t="shared" si="23"/>
        <v>5460</v>
      </c>
      <c r="AF99" s="1">
        <v>45024</v>
      </c>
      <c r="AG99">
        <f t="shared" si="20"/>
        <v>0</v>
      </c>
    </row>
    <row r="100" spans="1:33" x14ac:dyDescent="0.25">
      <c r="A100" s="1">
        <v>45025</v>
      </c>
      <c r="B100" t="s">
        <v>3</v>
      </c>
      <c r="C100">
        <f t="shared" si="17"/>
        <v>0.5</v>
      </c>
      <c r="D100">
        <f t="shared" si="18"/>
        <v>7</v>
      </c>
      <c r="F100">
        <f t="shared" si="21"/>
        <v>-4640</v>
      </c>
      <c r="G100">
        <f t="shared" si="12"/>
        <v>-4790</v>
      </c>
      <c r="H100">
        <f t="shared" si="13"/>
        <v>5</v>
      </c>
      <c r="I100">
        <f t="shared" si="14"/>
        <v>150</v>
      </c>
      <c r="J100" s="3">
        <f t="shared" si="15"/>
        <v>-4790</v>
      </c>
      <c r="K100">
        <f t="shared" si="16"/>
        <v>150</v>
      </c>
      <c r="L100" s="4">
        <f t="shared" si="22"/>
        <v>10250</v>
      </c>
      <c r="M100">
        <f t="shared" si="19"/>
        <v>0</v>
      </c>
      <c r="N100" s="5">
        <f t="shared" si="23"/>
        <v>5460</v>
      </c>
      <c r="AF100" s="1">
        <v>45025</v>
      </c>
      <c r="AG100">
        <f t="shared" si="20"/>
        <v>-150</v>
      </c>
    </row>
    <row r="101" spans="1:33" x14ac:dyDescent="0.25">
      <c r="A101" s="1">
        <v>45026</v>
      </c>
      <c r="B101" t="s">
        <v>3</v>
      </c>
      <c r="C101">
        <f t="shared" si="17"/>
        <v>0.5</v>
      </c>
      <c r="D101">
        <f t="shared" si="18"/>
        <v>1</v>
      </c>
      <c r="F101">
        <f t="shared" si="21"/>
        <v>-4790</v>
      </c>
      <c r="G101">
        <f t="shared" si="12"/>
        <v>-4790</v>
      </c>
      <c r="H101">
        <f t="shared" si="13"/>
        <v>5</v>
      </c>
      <c r="I101">
        <f t="shared" si="14"/>
        <v>150</v>
      </c>
      <c r="J101" s="3">
        <f t="shared" si="15"/>
        <v>-4640</v>
      </c>
      <c r="K101">
        <f t="shared" si="16"/>
        <v>0</v>
      </c>
      <c r="L101" s="4">
        <f t="shared" si="22"/>
        <v>10250</v>
      </c>
      <c r="M101">
        <f t="shared" si="19"/>
        <v>150</v>
      </c>
      <c r="N101" s="5">
        <f t="shared" si="23"/>
        <v>5610</v>
      </c>
      <c r="AF101" s="1">
        <v>45026</v>
      </c>
      <c r="AG101">
        <f t="shared" si="20"/>
        <v>150</v>
      </c>
    </row>
    <row r="102" spans="1:33" x14ac:dyDescent="0.25">
      <c r="A102" s="1">
        <v>45027</v>
      </c>
      <c r="B102" t="s">
        <v>3</v>
      </c>
      <c r="C102">
        <f t="shared" si="17"/>
        <v>0.5</v>
      </c>
      <c r="D102">
        <f t="shared" si="18"/>
        <v>2</v>
      </c>
      <c r="F102">
        <f t="shared" si="21"/>
        <v>-4640</v>
      </c>
      <c r="G102">
        <f t="shared" si="12"/>
        <v>-4640</v>
      </c>
      <c r="H102">
        <f t="shared" si="13"/>
        <v>5</v>
      </c>
      <c r="I102">
        <f t="shared" si="14"/>
        <v>150</v>
      </c>
      <c r="J102" s="3">
        <f t="shared" si="15"/>
        <v>-4490</v>
      </c>
      <c r="K102">
        <f t="shared" si="16"/>
        <v>0</v>
      </c>
      <c r="L102" s="4">
        <f t="shared" si="22"/>
        <v>10250</v>
      </c>
      <c r="M102">
        <f t="shared" si="19"/>
        <v>150</v>
      </c>
      <c r="N102" s="5">
        <f t="shared" si="23"/>
        <v>5760</v>
      </c>
      <c r="AF102" s="1">
        <v>45027</v>
      </c>
      <c r="AG102">
        <f t="shared" si="20"/>
        <v>150</v>
      </c>
    </row>
    <row r="103" spans="1:33" x14ac:dyDescent="0.25">
      <c r="A103" s="1">
        <v>45028</v>
      </c>
      <c r="B103" t="s">
        <v>3</v>
      </c>
      <c r="C103">
        <f t="shared" si="17"/>
        <v>0.5</v>
      </c>
      <c r="D103">
        <f t="shared" si="18"/>
        <v>3</v>
      </c>
      <c r="F103">
        <f t="shared" si="21"/>
        <v>-4490</v>
      </c>
      <c r="G103">
        <f t="shared" si="12"/>
        <v>-4490</v>
      </c>
      <c r="H103">
        <f t="shared" si="13"/>
        <v>5</v>
      </c>
      <c r="I103">
        <f t="shared" si="14"/>
        <v>150</v>
      </c>
      <c r="J103" s="3">
        <f t="shared" si="15"/>
        <v>-4340</v>
      </c>
      <c r="K103">
        <f t="shared" si="16"/>
        <v>0</v>
      </c>
      <c r="L103" s="4">
        <f t="shared" si="22"/>
        <v>10250</v>
      </c>
      <c r="M103">
        <f t="shared" si="19"/>
        <v>150</v>
      </c>
      <c r="N103" s="5">
        <f t="shared" si="23"/>
        <v>5910</v>
      </c>
      <c r="AF103" s="1">
        <v>45028</v>
      </c>
      <c r="AG103">
        <f t="shared" si="20"/>
        <v>150</v>
      </c>
    </row>
    <row r="104" spans="1:33" x14ac:dyDescent="0.25">
      <c r="A104" s="1">
        <v>45029</v>
      </c>
      <c r="B104" t="s">
        <v>3</v>
      </c>
      <c r="C104">
        <f t="shared" si="17"/>
        <v>0.5</v>
      </c>
      <c r="D104">
        <f t="shared" si="18"/>
        <v>4</v>
      </c>
      <c r="F104">
        <f t="shared" si="21"/>
        <v>-4340</v>
      </c>
      <c r="G104">
        <f t="shared" si="12"/>
        <v>-4340</v>
      </c>
      <c r="H104">
        <f t="shared" si="13"/>
        <v>5</v>
      </c>
      <c r="I104">
        <f t="shared" si="14"/>
        <v>150</v>
      </c>
      <c r="J104" s="3">
        <f t="shared" si="15"/>
        <v>-4190</v>
      </c>
      <c r="K104">
        <f t="shared" si="16"/>
        <v>0</v>
      </c>
      <c r="L104" s="4">
        <f t="shared" si="22"/>
        <v>10250</v>
      </c>
      <c r="M104">
        <f t="shared" si="19"/>
        <v>150</v>
      </c>
      <c r="N104" s="5">
        <f t="shared" si="23"/>
        <v>6060</v>
      </c>
      <c r="AF104" s="1">
        <v>45029</v>
      </c>
      <c r="AG104">
        <f t="shared" si="20"/>
        <v>150</v>
      </c>
    </row>
    <row r="105" spans="1:33" x14ac:dyDescent="0.25">
      <c r="A105" s="1">
        <v>45030</v>
      </c>
      <c r="B105" t="s">
        <v>3</v>
      </c>
      <c r="C105">
        <f t="shared" si="17"/>
        <v>0.5</v>
      </c>
      <c r="D105">
        <f t="shared" si="18"/>
        <v>5</v>
      </c>
      <c r="F105">
        <f t="shared" si="21"/>
        <v>-4190</v>
      </c>
      <c r="G105">
        <f t="shared" si="12"/>
        <v>-4190</v>
      </c>
      <c r="H105">
        <f t="shared" si="13"/>
        <v>5</v>
      </c>
      <c r="I105">
        <f t="shared" si="14"/>
        <v>150</v>
      </c>
      <c r="J105" s="3">
        <f t="shared" si="15"/>
        <v>-4040</v>
      </c>
      <c r="K105">
        <f t="shared" si="16"/>
        <v>0</v>
      </c>
      <c r="L105" s="4">
        <f t="shared" si="22"/>
        <v>10250</v>
      </c>
      <c r="M105">
        <f t="shared" si="19"/>
        <v>150</v>
      </c>
      <c r="N105" s="5">
        <f t="shared" si="23"/>
        <v>6210</v>
      </c>
      <c r="AF105" s="1">
        <v>45030</v>
      </c>
      <c r="AG105">
        <f t="shared" si="20"/>
        <v>150</v>
      </c>
    </row>
    <row r="106" spans="1:33" x14ac:dyDescent="0.25">
      <c r="A106" s="1">
        <v>45031</v>
      </c>
      <c r="B106" t="s">
        <v>3</v>
      </c>
      <c r="C106">
        <f t="shared" si="17"/>
        <v>0.5</v>
      </c>
      <c r="D106">
        <f t="shared" si="18"/>
        <v>6</v>
      </c>
      <c r="F106">
        <f t="shared" si="21"/>
        <v>-4040</v>
      </c>
      <c r="G106">
        <f t="shared" si="12"/>
        <v>-4040</v>
      </c>
      <c r="H106">
        <f t="shared" si="13"/>
        <v>5</v>
      </c>
      <c r="I106">
        <f t="shared" si="14"/>
        <v>150</v>
      </c>
      <c r="J106" s="3">
        <f t="shared" si="15"/>
        <v>-4040</v>
      </c>
      <c r="K106">
        <f t="shared" si="16"/>
        <v>0</v>
      </c>
      <c r="L106" s="4">
        <f t="shared" si="22"/>
        <v>10250</v>
      </c>
      <c r="M106">
        <f t="shared" si="19"/>
        <v>0</v>
      </c>
      <c r="N106" s="5">
        <f t="shared" si="23"/>
        <v>6210</v>
      </c>
      <c r="AF106" s="1">
        <v>45031</v>
      </c>
      <c r="AG106">
        <f t="shared" si="20"/>
        <v>0</v>
      </c>
    </row>
    <row r="107" spans="1:33" x14ac:dyDescent="0.25">
      <c r="A107" s="1">
        <v>45032</v>
      </c>
      <c r="B107" t="s">
        <v>3</v>
      </c>
      <c r="C107">
        <f t="shared" si="17"/>
        <v>0.5</v>
      </c>
      <c r="D107">
        <f t="shared" si="18"/>
        <v>7</v>
      </c>
      <c r="F107">
        <f t="shared" si="21"/>
        <v>-4040</v>
      </c>
      <c r="G107">
        <f t="shared" si="12"/>
        <v>-4190</v>
      </c>
      <c r="H107">
        <f t="shared" si="13"/>
        <v>5</v>
      </c>
      <c r="I107">
        <f t="shared" si="14"/>
        <v>150</v>
      </c>
      <c r="J107" s="3">
        <f t="shared" si="15"/>
        <v>-4190</v>
      </c>
      <c r="K107">
        <f t="shared" si="16"/>
        <v>150</v>
      </c>
      <c r="L107" s="4">
        <f t="shared" si="22"/>
        <v>10400</v>
      </c>
      <c r="M107">
        <f t="shared" si="19"/>
        <v>0</v>
      </c>
      <c r="N107" s="5">
        <f t="shared" si="23"/>
        <v>6210</v>
      </c>
      <c r="AF107" s="1">
        <v>45032</v>
      </c>
      <c r="AG107">
        <f t="shared" si="20"/>
        <v>-150</v>
      </c>
    </row>
    <row r="108" spans="1:33" x14ac:dyDescent="0.25">
      <c r="A108" s="1">
        <v>45033</v>
      </c>
      <c r="B108" t="s">
        <v>3</v>
      </c>
      <c r="C108">
        <f t="shared" si="17"/>
        <v>0.5</v>
      </c>
      <c r="D108">
        <f t="shared" si="18"/>
        <v>1</v>
      </c>
      <c r="F108">
        <f t="shared" si="21"/>
        <v>-4190</v>
      </c>
      <c r="G108">
        <f t="shared" si="12"/>
        <v>-4190</v>
      </c>
      <c r="H108">
        <f t="shared" si="13"/>
        <v>5</v>
      </c>
      <c r="I108">
        <f t="shared" si="14"/>
        <v>150</v>
      </c>
      <c r="J108" s="3">
        <f t="shared" si="15"/>
        <v>-4040</v>
      </c>
      <c r="K108">
        <f t="shared" si="16"/>
        <v>0</v>
      </c>
      <c r="L108" s="4">
        <f t="shared" si="22"/>
        <v>10400</v>
      </c>
      <c r="M108">
        <f t="shared" si="19"/>
        <v>150</v>
      </c>
      <c r="N108" s="5">
        <f t="shared" si="23"/>
        <v>6360</v>
      </c>
      <c r="AF108" s="1">
        <v>45033</v>
      </c>
      <c r="AG108">
        <f t="shared" si="20"/>
        <v>150</v>
      </c>
    </row>
    <row r="109" spans="1:33" x14ac:dyDescent="0.25">
      <c r="A109" s="1">
        <v>45034</v>
      </c>
      <c r="B109" t="s">
        <v>3</v>
      </c>
      <c r="C109">
        <f t="shared" si="17"/>
        <v>0.5</v>
      </c>
      <c r="D109">
        <f t="shared" si="18"/>
        <v>2</v>
      </c>
      <c r="F109">
        <f t="shared" si="21"/>
        <v>-4040</v>
      </c>
      <c r="G109">
        <f t="shared" si="12"/>
        <v>-4040</v>
      </c>
      <c r="H109">
        <f t="shared" si="13"/>
        <v>5</v>
      </c>
      <c r="I109">
        <f t="shared" si="14"/>
        <v>150</v>
      </c>
      <c r="J109" s="3">
        <f t="shared" si="15"/>
        <v>-3890</v>
      </c>
      <c r="K109">
        <f t="shared" si="16"/>
        <v>0</v>
      </c>
      <c r="L109" s="4">
        <f t="shared" si="22"/>
        <v>10400</v>
      </c>
      <c r="M109">
        <f t="shared" si="19"/>
        <v>150</v>
      </c>
      <c r="N109" s="5">
        <f t="shared" si="23"/>
        <v>6510</v>
      </c>
      <c r="AF109" s="1">
        <v>45034</v>
      </c>
      <c r="AG109">
        <f t="shared" si="20"/>
        <v>150</v>
      </c>
    </row>
    <row r="110" spans="1:33" x14ac:dyDescent="0.25">
      <c r="A110" s="1">
        <v>45035</v>
      </c>
      <c r="B110" t="s">
        <v>3</v>
      </c>
      <c r="C110">
        <f t="shared" si="17"/>
        <v>0.5</v>
      </c>
      <c r="D110">
        <f t="shared" si="18"/>
        <v>3</v>
      </c>
      <c r="F110">
        <f t="shared" si="21"/>
        <v>-3890</v>
      </c>
      <c r="G110">
        <f t="shared" si="12"/>
        <v>-3890</v>
      </c>
      <c r="H110">
        <f t="shared" si="13"/>
        <v>5</v>
      </c>
      <c r="I110">
        <f t="shared" si="14"/>
        <v>150</v>
      </c>
      <c r="J110" s="3">
        <f t="shared" si="15"/>
        <v>-3740</v>
      </c>
      <c r="K110">
        <f t="shared" si="16"/>
        <v>0</v>
      </c>
      <c r="L110" s="4">
        <f t="shared" si="22"/>
        <v>10400</v>
      </c>
      <c r="M110">
        <f t="shared" si="19"/>
        <v>150</v>
      </c>
      <c r="N110" s="5">
        <f t="shared" si="23"/>
        <v>6660</v>
      </c>
      <c r="AF110" s="1">
        <v>45035</v>
      </c>
      <c r="AG110">
        <f t="shared" si="20"/>
        <v>150</v>
      </c>
    </row>
    <row r="111" spans="1:33" x14ac:dyDescent="0.25">
      <c r="A111" s="1">
        <v>45036</v>
      </c>
      <c r="B111" t="s">
        <v>3</v>
      </c>
      <c r="C111">
        <f t="shared" si="17"/>
        <v>0.5</v>
      </c>
      <c r="D111">
        <f t="shared" si="18"/>
        <v>4</v>
      </c>
      <c r="F111">
        <f t="shared" si="21"/>
        <v>-3740</v>
      </c>
      <c r="G111">
        <f t="shared" si="12"/>
        <v>-3740</v>
      </c>
      <c r="H111">
        <f t="shared" si="13"/>
        <v>5</v>
      </c>
      <c r="I111">
        <f t="shared" si="14"/>
        <v>150</v>
      </c>
      <c r="J111" s="3">
        <f t="shared" si="15"/>
        <v>-3590</v>
      </c>
      <c r="K111">
        <f t="shared" si="16"/>
        <v>0</v>
      </c>
      <c r="L111" s="4">
        <f t="shared" si="22"/>
        <v>10400</v>
      </c>
      <c r="M111">
        <f t="shared" si="19"/>
        <v>150</v>
      </c>
      <c r="N111" s="5">
        <f t="shared" si="23"/>
        <v>6810</v>
      </c>
      <c r="AF111" s="1">
        <v>45036</v>
      </c>
      <c r="AG111">
        <f t="shared" si="20"/>
        <v>150</v>
      </c>
    </row>
    <row r="112" spans="1:33" x14ac:dyDescent="0.25">
      <c r="A112" s="1">
        <v>45037</v>
      </c>
      <c r="B112" t="s">
        <v>3</v>
      </c>
      <c r="C112">
        <f t="shared" si="17"/>
        <v>0.5</v>
      </c>
      <c r="D112">
        <f t="shared" si="18"/>
        <v>5</v>
      </c>
      <c r="F112">
        <f t="shared" si="21"/>
        <v>-3590</v>
      </c>
      <c r="G112">
        <f t="shared" si="12"/>
        <v>-3590</v>
      </c>
      <c r="H112">
        <f t="shared" si="13"/>
        <v>5</v>
      </c>
      <c r="I112">
        <f t="shared" si="14"/>
        <v>150</v>
      </c>
      <c r="J112" s="3">
        <f t="shared" si="15"/>
        <v>-3440</v>
      </c>
      <c r="K112">
        <f t="shared" si="16"/>
        <v>0</v>
      </c>
      <c r="L112" s="4">
        <f t="shared" si="22"/>
        <v>10400</v>
      </c>
      <c r="M112">
        <f t="shared" si="19"/>
        <v>150</v>
      </c>
      <c r="N112" s="5">
        <f t="shared" si="23"/>
        <v>6960</v>
      </c>
      <c r="AF112" s="1">
        <v>45037</v>
      </c>
      <c r="AG112">
        <f t="shared" si="20"/>
        <v>150</v>
      </c>
    </row>
    <row r="113" spans="1:33" x14ac:dyDescent="0.25">
      <c r="A113" s="1">
        <v>45038</v>
      </c>
      <c r="B113" t="s">
        <v>3</v>
      </c>
      <c r="C113">
        <f t="shared" si="17"/>
        <v>0.5</v>
      </c>
      <c r="D113">
        <f t="shared" si="18"/>
        <v>6</v>
      </c>
      <c r="F113">
        <f t="shared" si="21"/>
        <v>-3440</v>
      </c>
      <c r="G113">
        <f t="shared" si="12"/>
        <v>-3440</v>
      </c>
      <c r="H113">
        <f t="shared" si="13"/>
        <v>5</v>
      </c>
      <c r="I113">
        <f t="shared" si="14"/>
        <v>150</v>
      </c>
      <c r="J113" s="3">
        <f t="shared" si="15"/>
        <v>-3440</v>
      </c>
      <c r="K113">
        <f t="shared" si="16"/>
        <v>0</v>
      </c>
      <c r="L113" s="4">
        <f t="shared" si="22"/>
        <v>10400</v>
      </c>
      <c r="M113">
        <f t="shared" si="19"/>
        <v>0</v>
      </c>
      <c r="N113" s="5">
        <f t="shared" si="23"/>
        <v>6960</v>
      </c>
      <c r="AF113" s="1">
        <v>45038</v>
      </c>
      <c r="AG113">
        <f t="shared" si="20"/>
        <v>0</v>
      </c>
    </row>
    <row r="114" spans="1:33" x14ac:dyDescent="0.25">
      <c r="A114" s="1">
        <v>45039</v>
      </c>
      <c r="B114" t="s">
        <v>3</v>
      </c>
      <c r="C114">
        <f t="shared" si="17"/>
        <v>0.5</v>
      </c>
      <c r="D114">
        <f t="shared" si="18"/>
        <v>7</v>
      </c>
      <c r="F114">
        <f t="shared" si="21"/>
        <v>-3440</v>
      </c>
      <c r="G114">
        <f t="shared" si="12"/>
        <v>-3590</v>
      </c>
      <c r="H114">
        <f t="shared" si="13"/>
        <v>5</v>
      </c>
      <c r="I114">
        <f t="shared" si="14"/>
        <v>150</v>
      </c>
      <c r="J114" s="3">
        <f t="shared" si="15"/>
        <v>-3590</v>
      </c>
      <c r="K114">
        <f t="shared" si="16"/>
        <v>150</v>
      </c>
      <c r="L114" s="4">
        <f t="shared" si="22"/>
        <v>10550</v>
      </c>
      <c r="M114">
        <f t="shared" si="19"/>
        <v>0</v>
      </c>
      <c r="N114" s="5">
        <f t="shared" si="23"/>
        <v>6960</v>
      </c>
      <c r="AF114" s="1">
        <v>45039</v>
      </c>
      <c r="AG114">
        <f t="shared" si="20"/>
        <v>-150</v>
      </c>
    </row>
    <row r="115" spans="1:33" x14ac:dyDescent="0.25">
      <c r="A115" s="1">
        <v>45040</v>
      </c>
      <c r="B115" t="s">
        <v>3</v>
      </c>
      <c r="C115">
        <f t="shared" si="17"/>
        <v>0.5</v>
      </c>
      <c r="D115">
        <f t="shared" si="18"/>
        <v>1</v>
      </c>
      <c r="F115">
        <f t="shared" si="21"/>
        <v>-3590</v>
      </c>
      <c r="G115">
        <f t="shared" si="12"/>
        <v>-3590</v>
      </c>
      <c r="H115">
        <f t="shared" si="13"/>
        <v>5</v>
      </c>
      <c r="I115">
        <f t="shared" si="14"/>
        <v>150</v>
      </c>
      <c r="J115" s="3">
        <f t="shared" si="15"/>
        <v>-3440</v>
      </c>
      <c r="K115">
        <f t="shared" si="16"/>
        <v>0</v>
      </c>
      <c r="L115" s="4">
        <f t="shared" si="22"/>
        <v>10550</v>
      </c>
      <c r="M115">
        <f t="shared" si="19"/>
        <v>150</v>
      </c>
      <c r="N115" s="5">
        <f t="shared" si="23"/>
        <v>7110</v>
      </c>
      <c r="AF115" s="1">
        <v>45040</v>
      </c>
      <c r="AG115">
        <f t="shared" si="20"/>
        <v>150</v>
      </c>
    </row>
    <row r="116" spans="1:33" x14ac:dyDescent="0.25">
      <c r="A116" s="1">
        <v>45041</v>
      </c>
      <c r="B116" t="s">
        <v>3</v>
      </c>
      <c r="C116">
        <f t="shared" si="17"/>
        <v>0.5</v>
      </c>
      <c r="D116">
        <f t="shared" si="18"/>
        <v>2</v>
      </c>
      <c r="F116">
        <f t="shared" si="21"/>
        <v>-3440</v>
      </c>
      <c r="G116">
        <f t="shared" si="12"/>
        <v>-3440</v>
      </c>
      <c r="H116">
        <f t="shared" si="13"/>
        <v>5</v>
      </c>
      <c r="I116">
        <f t="shared" si="14"/>
        <v>150</v>
      </c>
      <c r="J116" s="3">
        <f t="shared" si="15"/>
        <v>-3290</v>
      </c>
      <c r="K116">
        <f t="shared" si="16"/>
        <v>0</v>
      </c>
      <c r="L116" s="4">
        <f t="shared" si="22"/>
        <v>10550</v>
      </c>
      <c r="M116">
        <f t="shared" si="19"/>
        <v>150</v>
      </c>
      <c r="N116" s="5">
        <f t="shared" si="23"/>
        <v>7260</v>
      </c>
      <c r="AF116" s="1">
        <v>45041</v>
      </c>
      <c r="AG116">
        <f t="shared" si="20"/>
        <v>150</v>
      </c>
    </row>
    <row r="117" spans="1:33" x14ac:dyDescent="0.25">
      <c r="A117" s="1">
        <v>45042</v>
      </c>
      <c r="B117" t="s">
        <v>3</v>
      </c>
      <c r="C117">
        <f t="shared" si="17"/>
        <v>0.5</v>
      </c>
      <c r="D117">
        <f t="shared" si="18"/>
        <v>3</v>
      </c>
      <c r="F117">
        <f t="shared" si="21"/>
        <v>-3290</v>
      </c>
      <c r="G117">
        <f t="shared" si="12"/>
        <v>-3290</v>
      </c>
      <c r="H117">
        <f t="shared" si="13"/>
        <v>5</v>
      </c>
      <c r="I117">
        <f t="shared" si="14"/>
        <v>150</v>
      </c>
      <c r="J117" s="3">
        <f t="shared" si="15"/>
        <v>-3140</v>
      </c>
      <c r="K117">
        <f t="shared" si="16"/>
        <v>0</v>
      </c>
      <c r="L117" s="4">
        <f t="shared" si="22"/>
        <v>10550</v>
      </c>
      <c r="M117">
        <f t="shared" si="19"/>
        <v>150</v>
      </c>
      <c r="N117" s="5">
        <f t="shared" si="23"/>
        <v>7410</v>
      </c>
      <c r="AF117" s="1">
        <v>45042</v>
      </c>
      <c r="AG117">
        <f t="shared" si="20"/>
        <v>150</v>
      </c>
    </row>
    <row r="118" spans="1:33" x14ac:dyDescent="0.25">
      <c r="A118" s="1">
        <v>45043</v>
      </c>
      <c r="B118" t="s">
        <v>3</v>
      </c>
      <c r="C118">
        <f t="shared" si="17"/>
        <v>0.5</v>
      </c>
      <c r="D118">
        <f t="shared" si="18"/>
        <v>4</v>
      </c>
      <c r="F118">
        <f t="shared" si="21"/>
        <v>-3140</v>
      </c>
      <c r="G118">
        <f t="shared" si="12"/>
        <v>-3140</v>
      </c>
      <c r="H118">
        <f t="shared" si="13"/>
        <v>5</v>
      </c>
      <c r="I118">
        <f t="shared" si="14"/>
        <v>150</v>
      </c>
      <c r="J118" s="3">
        <f t="shared" si="15"/>
        <v>-2990</v>
      </c>
      <c r="K118">
        <f t="shared" si="16"/>
        <v>0</v>
      </c>
      <c r="L118" s="4">
        <f t="shared" si="22"/>
        <v>10550</v>
      </c>
      <c r="M118">
        <f t="shared" si="19"/>
        <v>150</v>
      </c>
      <c r="N118" s="5">
        <f t="shared" si="23"/>
        <v>7560</v>
      </c>
      <c r="AF118" s="1">
        <v>45043</v>
      </c>
      <c r="AG118">
        <f t="shared" si="20"/>
        <v>150</v>
      </c>
    </row>
    <row r="119" spans="1:33" x14ac:dyDescent="0.25">
      <c r="A119" s="1">
        <v>45044</v>
      </c>
      <c r="B119" t="s">
        <v>3</v>
      </c>
      <c r="C119">
        <f t="shared" si="17"/>
        <v>0.5</v>
      </c>
      <c r="D119">
        <f t="shared" si="18"/>
        <v>5</v>
      </c>
      <c r="F119">
        <f t="shared" si="21"/>
        <v>-2990</v>
      </c>
      <c r="G119">
        <f t="shared" si="12"/>
        <v>-2990</v>
      </c>
      <c r="H119">
        <f t="shared" si="13"/>
        <v>5</v>
      </c>
      <c r="I119">
        <f t="shared" si="14"/>
        <v>150</v>
      </c>
      <c r="J119" s="3">
        <f t="shared" si="15"/>
        <v>-2840</v>
      </c>
      <c r="K119">
        <f t="shared" si="16"/>
        <v>0</v>
      </c>
      <c r="L119" s="4">
        <f t="shared" si="22"/>
        <v>10550</v>
      </c>
      <c r="M119">
        <f t="shared" si="19"/>
        <v>150</v>
      </c>
      <c r="N119" s="5">
        <f t="shared" si="23"/>
        <v>7710</v>
      </c>
      <c r="AF119" s="1">
        <v>45044</v>
      </c>
      <c r="AG119">
        <f t="shared" si="20"/>
        <v>150</v>
      </c>
    </row>
    <row r="120" spans="1:33" x14ac:dyDescent="0.25">
      <c r="A120" s="1">
        <v>45045</v>
      </c>
      <c r="B120" t="s">
        <v>3</v>
      </c>
      <c r="C120">
        <f t="shared" si="17"/>
        <v>0.5</v>
      </c>
      <c r="D120">
        <f t="shared" si="18"/>
        <v>6</v>
      </c>
      <c r="F120">
        <f t="shared" si="21"/>
        <v>-2840</v>
      </c>
      <c r="G120">
        <f t="shared" si="12"/>
        <v>-2840</v>
      </c>
      <c r="H120">
        <f t="shared" si="13"/>
        <v>5</v>
      </c>
      <c r="I120">
        <f t="shared" si="14"/>
        <v>150</v>
      </c>
      <c r="J120" s="3">
        <f t="shared" si="15"/>
        <v>-2840</v>
      </c>
      <c r="K120">
        <f t="shared" si="16"/>
        <v>0</v>
      </c>
      <c r="L120" s="4">
        <f t="shared" si="22"/>
        <v>10550</v>
      </c>
      <c r="M120">
        <f t="shared" si="19"/>
        <v>0</v>
      </c>
      <c r="N120" s="5">
        <f t="shared" si="23"/>
        <v>7710</v>
      </c>
      <c r="AF120" s="1">
        <v>45045</v>
      </c>
      <c r="AG120">
        <f t="shared" si="20"/>
        <v>0</v>
      </c>
    </row>
    <row r="121" spans="1:33" x14ac:dyDescent="0.25">
      <c r="A121" s="1">
        <v>45046</v>
      </c>
      <c r="B121" t="s">
        <v>3</v>
      </c>
      <c r="C121">
        <f t="shared" si="17"/>
        <v>0.5</v>
      </c>
      <c r="D121">
        <f t="shared" si="18"/>
        <v>7</v>
      </c>
      <c r="F121">
        <f t="shared" si="21"/>
        <v>-2840</v>
      </c>
      <c r="G121">
        <f t="shared" si="12"/>
        <v>-2990</v>
      </c>
      <c r="H121">
        <f t="shared" si="13"/>
        <v>5</v>
      </c>
      <c r="I121">
        <f t="shared" si="14"/>
        <v>150</v>
      </c>
      <c r="J121" s="3">
        <f t="shared" si="15"/>
        <v>-2990</v>
      </c>
      <c r="K121">
        <f t="shared" si="16"/>
        <v>150</v>
      </c>
      <c r="L121" s="4">
        <f t="shared" si="22"/>
        <v>10700</v>
      </c>
      <c r="M121">
        <f t="shared" si="19"/>
        <v>0</v>
      </c>
      <c r="N121" s="5">
        <f t="shared" si="23"/>
        <v>7710</v>
      </c>
      <c r="AF121" s="1">
        <v>45046</v>
      </c>
      <c r="AG121">
        <f t="shared" si="20"/>
        <v>-150</v>
      </c>
    </row>
    <row r="122" spans="1:33" x14ac:dyDescent="0.25">
      <c r="A122" s="1">
        <v>45047</v>
      </c>
      <c r="B122" t="s">
        <v>3</v>
      </c>
      <c r="C122">
        <f t="shared" si="17"/>
        <v>0.5</v>
      </c>
      <c r="D122">
        <f t="shared" si="18"/>
        <v>1</v>
      </c>
      <c r="F122">
        <f t="shared" si="21"/>
        <v>-2990</v>
      </c>
      <c r="G122">
        <f t="shared" si="12"/>
        <v>-2990</v>
      </c>
      <c r="H122">
        <f t="shared" si="13"/>
        <v>5</v>
      </c>
      <c r="I122">
        <f t="shared" si="14"/>
        <v>150</v>
      </c>
      <c r="J122" s="3">
        <f t="shared" si="15"/>
        <v>-2840</v>
      </c>
      <c r="K122">
        <f t="shared" si="16"/>
        <v>0</v>
      </c>
      <c r="L122" s="4">
        <f t="shared" si="22"/>
        <v>10700</v>
      </c>
      <c r="M122">
        <f t="shared" si="19"/>
        <v>150</v>
      </c>
      <c r="N122" s="5">
        <f t="shared" si="23"/>
        <v>7860</v>
      </c>
      <c r="AF122" s="1">
        <v>45047</v>
      </c>
      <c r="AG122">
        <f t="shared" si="20"/>
        <v>150</v>
      </c>
    </row>
    <row r="123" spans="1:33" x14ac:dyDescent="0.25">
      <c r="A123" s="1">
        <v>45048</v>
      </c>
      <c r="B123" t="s">
        <v>3</v>
      </c>
      <c r="C123">
        <f t="shared" si="17"/>
        <v>0.5</v>
      </c>
      <c r="D123">
        <f t="shared" si="18"/>
        <v>2</v>
      </c>
      <c r="F123">
        <f t="shared" si="21"/>
        <v>-2840</v>
      </c>
      <c r="G123">
        <f t="shared" si="12"/>
        <v>-2840</v>
      </c>
      <c r="H123">
        <f t="shared" si="13"/>
        <v>5</v>
      </c>
      <c r="I123">
        <f t="shared" si="14"/>
        <v>150</v>
      </c>
      <c r="J123" s="3">
        <f t="shared" si="15"/>
        <v>-2690</v>
      </c>
      <c r="K123">
        <f t="shared" si="16"/>
        <v>0</v>
      </c>
      <c r="L123" s="4">
        <f t="shared" si="22"/>
        <v>10700</v>
      </c>
      <c r="M123">
        <f t="shared" si="19"/>
        <v>150</v>
      </c>
      <c r="N123" s="5">
        <f t="shared" si="23"/>
        <v>8010</v>
      </c>
      <c r="AF123" s="1">
        <v>45048</v>
      </c>
      <c r="AG123">
        <f t="shared" si="20"/>
        <v>150</v>
      </c>
    </row>
    <row r="124" spans="1:33" x14ac:dyDescent="0.25">
      <c r="A124" s="1">
        <v>45049</v>
      </c>
      <c r="B124" t="s">
        <v>3</v>
      </c>
      <c r="C124">
        <f t="shared" si="17"/>
        <v>0.5</v>
      </c>
      <c r="D124">
        <f t="shared" si="18"/>
        <v>3</v>
      </c>
      <c r="F124">
        <f t="shared" si="21"/>
        <v>-2690</v>
      </c>
      <c r="G124">
        <f t="shared" si="12"/>
        <v>-2690</v>
      </c>
      <c r="H124">
        <f t="shared" si="13"/>
        <v>5</v>
      </c>
      <c r="I124">
        <f t="shared" si="14"/>
        <v>150</v>
      </c>
      <c r="J124" s="3">
        <f t="shared" si="15"/>
        <v>-2540</v>
      </c>
      <c r="K124">
        <f t="shared" si="16"/>
        <v>0</v>
      </c>
      <c r="L124" s="4">
        <f t="shared" si="22"/>
        <v>10700</v>
      </c>
      <c r="M124">
        <f t="shared" si="19"/>
        <v>150</v>
      </c>
      <c r="N124" s="5">
        <f t="shared" si="23"/>
        <v>8160</v>
      </c>
      <c r="AF124" s="1">
        <v>45049</v>
      </c>
      <c r="AG124">
        <f t="shared" si="20"/>
        <v>150</v>
      </c>
    </row>
    <row r="125" spans="1:33" x14ac:dyDescent="0.25">
      <c r="A125" s="1">
        <v>45050</v>
      </c>
      <c r="B125" t="s">
        <v>3</v>
      </c>
      <c r="C125">
        <f t="shared" si="17"/>
        <v>0.5</v>
      </c>
      <c r="D125">
        <f t="shared" si="18"/>
        <v>4</v>
      </c>
      <c r="F125">
        <f t="shared" si="21"/>
        <v>-2540</v>
      </c>
      <c r="G125">
        <f t="shared" si="12"/>
        <v>-2540</v>
      </c>
      <c r="H125">
        <f t="shared" si="13"/>
        <v>5</v>
      </c>
      <c r="I125">
        <f t="shared" si="14"/>
        <v>150</v>
      </c>
      <c r="J125" s="3">
        <f t="shared" si="15"/>
        <v>-2390</v>
      </c>
      <c r="K125">
        <f t="shared" si="16"/>
        <v>0</v>
      </c>
      <c r="L125" s="4">
        <f t="shared" si="22"/>
        <v>10700</v>
      </c>
      <c r="M125">
        <f t="shared" si="19"/>
        <v>150</v>
      </c>
      <c r="N125" s="5">
        <f t="shared" si="23"/>
        <v>8310</v>
      </c>
      <c r="AF125" s="1">
        <v>45050</v>
      </c>
      <c r="AG125">
        <f t="shared" si="20"/>
        <v>150</v>
      </c>
    </row>
    <row r="126" spans="1:33" x14ac:dyDescent="0.25">
      <c r="A126" s="1">
        <v>45051</v>
      </c>
      <c r="B126" t="s">
        <v>3</v>
      </c>
      <c r="C126">
        <f t="shared" si="17"/>
        <v>0.5</v>
      </c>
      <c r="D126">
        <f t="shared" si="18"/>
        <v>5</v>
      </c>
      <c r="F126">
        <f t="shared" si="21"/>
        <v>-2390</v>
      </c>
      <c r="G126">
        <f t="shared" si="12"/>
        <v>-2390</v>
      </c>
      <c r="H126">
        <f t="shared" si="13"/>
        <v>5</v>
      </c>
      <c r="I126">
        <f t="shared" si="14"/>
        <v>150</v>
      </c>
      <c r="J126" s="3">
        <f t="shared" si="15"/>
        <v>-2240</v>
      </c>
      <c r="K126">
        <f t="shared" si="16"/>
        <v>0</v>
      </c>
      <c r="L126" s="4">
        <f t="shared" si="22"/>
        <v>10700</v>
      </c>
      <c r="M126">
        <f t="shared" si="19"/>
        <v>150</v>
      </c>
      <c r="N126" s="5">
        <f t="shared" si="23"/>
        <v>8460</v>
      </c>
      <c r="AF126" s="1">
        <v>45051</v>
      </c>
      <c r="AG126">
        <f t="shared" si="20"/>
        <v>150</v>
      </c>
    </row>
    <row r="127" spans="1:33" x14ac:dyDescent="0.25">
      <c r="A127" s="1">
        <v>45052</v>
      </c>
      <c r="B127" t="s">
        <v>3</v>
      </c>
      <c r="C127">
        <f t="shared" si="17"/>
        <v>0.5</v>
      </c>
      <c r="D127">
        <f t="shared" si="18"/>
        <v>6</v>
      </c>
      <c r="F127">
        <f t="shared" si="21"/>
        <v>-2240</v>
      </c>
      <c r="G127">
        <f t="shared" si="12"/>
        <v>-2240</v>
      </c>
      <c r="H127">
        <f t="shared" si="13"/>
        <v>5</v>
      </c>
      <c r="I127">
        <f t="shared" si="14"/>
        <v>150</v>
      </c>
      <c r="J127" s="3">
        <f t="shared" si="15"/>
        <v>-2240</v>
      </c>
      <c r="K127">
        <f t="shared" si="16"/>
        <v>0</v>
      </c>
      <c r="L127" s="4">
        <f t="shared" si="22"/>
        <v>10700</v>
      </c>
      <c r="M127">
        <f t="shared" si="19"/>
        <v>0</v>
      </c>
      <c r="N127" s="5">
        <f t="shared" si="23"/>
        <v>8460</v>
      </c>
      <c r="AF127" s="1">
        <v>45052</v>
      </c>
      <c r="AG127">
        <f t="shared" si="20"/>
        <v>0</v>
      </c>
    </row>
    <row r="128" spans="1:33" x14ac:dyDescent="0.25">
      <c r="A128" s="1">
        <v>45053</v>
      </c>
      <c r="B128" t="s">
        <v>3</v>
      </c>
      <c r="C128">
        <f t="shared" si="17"/>
        <v>0.5</v>
      </c>
      <c r="D128">
        <f t="shared" si="18"/>
        <v>7</v>
      </c>
      <c r="F128">
        <f t="shared" si="21"/>
        <v>-2240</v>
      </c>
      <c r="G128">
        <f t="shared" si="12"/>
        <v>-2390</v>
      </c>
      <c r="H128">
        <f t="shared" si="13"/>
        <v>5</v>
      </c>
      <c r="I128">
        <f t="shared" si="14"/>
        <v>150</v>
      </c>
      <c r="J128" s="3">
        <f t="shared" si="15"/>
        <v>-2390</v>
      </c>
      <c r="K128">
        <f t="shared" si="16"/>
        <v>150</v>
      </c>
      <c r="L128" s="4">
        <f t="shared" si="22"/>
        <v>10850</v>
      </c>
      <c r="M128">
        <f t="shared" si="19"/>
        <v>0</v>
      </c>
      <c r="N128" s="5">
        <f t="shared" si="23"/>
        <v>8460</v>
      </c>
      <c r="AF128" s="1">
        <v>45053</v>
      </c>
      <c r="AG128">
        <f t="shared" si="20"/>
        <v>-150</v>
      </c>
    </row>
    <row r="129" spans="1:33" x14ac:dyDescent="0.25">
      <c r="A129" s="1">
        <v>45054</v>
      </c>
      <c r="B129" t="s">
        <v>3</v>
      </c>
      <c r="C129">
        <f t="shared" si="17"/>
        <v>0.5</v>
      </c>
      <c r="D129">
        <f t="shared" si="18"/>
        <v>1</v>
      </c>
      <c r="F129">
        <f t="shared" si="21"/>
        <v>-2390</v>
      </c>
      <c r="G129">
        <f t="shared" si="12"/>
        <v>-2390</v>
      </c>
      <c r="H129">
        <f t="shared" si="13"/>
        <v>5</v>
      </c>
      <c r="I129">
        <f t="shared" si="14"/>
        <v>150</v>
      </c>
      <c r="J129" s="3">
        <f t="shared" si="15"/>
        <v>-2240</v>
      </c>
      <c r="K129">
        <f t="shared" si="16"/>
        <v>0</v>
      </c>
      <c r="L129" s="4">
        <f t="shared" si="22"/>
        <v>10850</v>
      </c>
      <c r="M129">
        <f t="shared" si="19"/>
        <v>150</v>
      </c>
      <c r="N129" s="5">
        <f t="shared" si="23"/>
        <v>8610</v>
      </c>
      <c r="AF129" s="1">
        <v>45054</v>
      </c>
      <c r="AG129">
        <f t="shared" si="20"/>
        <v>150</v>
      </c>
    </row>
    <row r="130" spans="1:33" x14ac:dyDescent="0.25">
      <c r="A130" s="1">
        <v>45055</v>
      </c>
      <c r="B130" t="s">
        <v>3</v>
      </c>
      <c r="C130">
        <f t="shared" si="17"/>
        <v>0.5</v>
      </c>
      <c r="D130">
        <f t="shared" si="18"/>
        <v>2</v>
      </c>
      <c r="F130">
        <f t="shared" si="21"/>
        <v>-2240</v>
      </c>
      <c r="G130">
        <f t="shared" ref="G130:G193" si="24">IF(D130=7,F130-150,F130)</f>
        <v>-2240</v>
      </c>
      <c r="H130">
        <f t="shared" ref="H130:H193" si="25">ROUNDDOWN($AC$2*C130,0)</f>
        <v>5</v>
      </c>
      <c r="I130">
        <f t="shared" ref="I130:I193" si="26">H130*$AD$2</f>
        <v>150</v>
      </c>
      <c r="J130" s="3">
        <f t="shared" ref="J130:J193" si="27">IF(AND(D130&gt;=1,D130&lt;=5),G130+I130,G130)</f>
        <v>-2090</v>
      </c>
      <c r="K130">
        <f t="shared" ref="K130:K193" si="28">IF(D130=7,150,0)</f>
        <v>0</v>
      </c>
      <c r="L130" s="4">
        <f t="shared" si="22"/>
        <v>10850</v>
      </c>
      <c r="M130">
        <f t="shared" si="19"/>
        <v>150</v>
      </c>
      <c r="N130" s="5">
        <f t="shared" si="23"/>
        <v>8760</v>
      </c>
      <c r="AF130" s="1">
        <v>45055</v>
      </c>
      <c r="AG130">
        <f t="shared" si="20"/>
        <v>150</v>
      </c>
    </row>
    <row r="131" spans="1:33" x14ac:dyDescent="0.25">
      <c r="A131" s="1">
        <v>45056</v>
      </c>
      <c r="B131" t="s">
        <v>3</v>
      </c>
      <c r="C131">
        <f t="shared" ref="C131:C194" si="29">IF(B131="zima",20%,IF(B131="wiosna",50%,IF(B131="lato",90%,40%)))</f>
        <v>0.5</v>
      </c>
      <c r="D131">
        <f t="shared" ref="D131:D194" si="30">WEEKDAY(A131,2)</f>
        <v>3</v>
      </c>
      <c r="F131">
        <f t="shared" si="21"/>
        <v>-2090</v>
      </c>
      <c r="G131">
        <f t="shared" si="24"/>
        <v>-2090</v>
      </c>
      <c r="H131">
        <f t="shared" si="25"/>
        <v>5</v>
      </c>
      <c r="I131">
        <f t="shared" si="26"/>
        <v>150</v>
      </c>
      <c r="J131" s="3">
        <f t="shared" si="27"/>
        <v>-1940</v>
      </c>
      <c r="K131">
        <f t="shared" si="28"/>
        <v>0</v>
      </c>
      <c r="L131" s="4">
        <f t="shared" si="22"/>
        <v>10850</v>
      </c>
      <c r="M131">
        <f t="shared" ref="M131:M194" si="31">IF(AND(D131&gt;=1,D131&lt;=5),I131,0)</f>
        <v>150</v>
      </c>
      <c r="N131" s="5">
        <f t="shared" si="23"/>
        <v>8910</v>
      </c>
      <c r="AF131" s="1">
        <v>45056</v>
      </c>
      <c r="AG131">
        <f t="shared" ref="AG131:AG194" si="32">M131-K131</f>
        <v>150</v>
      </c>
    </row>
    <row r="132" spans="1:33" x14ac:dyDescent="0.25">
      <c r="A132" s="1">
        <v>45057</v>
      </c>
      <c r="B132" t="s">
        <v>3</v>
      </c>
      <c r="C132">
        <f t="shared" si="29"/>
        <v>0.5</v>
      </c>
      <c r="D132">
        <f t="shared" si="30"/>
        <v>4</v>
      </c>
      <c r="F132">
        <f t="shared" ref="F132:F195" si="33">J131</f>
        <v>-1940</v>
      </c>
      <c r="G132">
        <f t="shared" si="24"/>
        <v>-1940</v>
      </c>
      <c r="H132">
        <f t="shared" si="25"/>
        <v>5</v>
      </c>
      <c r="I132">
        <f t="shared" si="26"/>
        <v>150</v>
      </c>
      <c r="J132" s="3">
        <f t="shared" si="27"/>
        <v>-1790</v>
      </c>
      <c r="K132">
        <f t="shared" si="28"/>
        <v>0</v>
      </c>
      <c r="L132" s="4">
        <f t="shared" ref="L132:L195" si="34">K132+L131</f>
        <v>10850</v>
      </c>
      <c r="M132">
        <f t="shared" si="31"/>
        <v>150</v>
      </c>
      <c r="N132" s="5">
        <f t="shared" ref="N132:N195" si="35">N131+M132</f>
        <v>9060</v>
      </c>
      <c r="AF132" s="1">
        <v>45057</v>
      </c>
      <c r="AG132">
        <f t="shared" si="32"/>
        <v>150</v>
      </c>
    </row>
    <row r="133" spans="1:33" x14ac:dyDescent="0.25">
      <c r="A133" s="1">
        <v>45058</v>
      </c>
      <c r="B133" t="s">
        <v>3</v>
      </c>
      <c r="C133">
        <f t="shared" si="29"/>
        <v>0.5</v>
      </c>
      <c r="D133">
        <f t="shared" si="30"/>
        <v>5</v>
      </c>
      <c r="F133">
        <f t="shared" si="33"/>
        <v>-1790</v>
      </c>
      <c r="G133">
        <f t="shared" si="24"/>
        <v>-1790</v>
      </c>
      <c r="H133">
        <f t="shared" si="25"/>
        <v>5</v>
      </c>
      <c r="I133">
        <f t="shared" si="26"/>
        <v>150</v>
      </c>
      <c r="J133" s="3">
        <f t="shared" si="27"/>
        <v>-1640</v>
      </c>
      <c r="K133">
        <f t="shared" si="28"/>
        <v>0</v>
      </c>
      <c r="L133" s="4">
        <f t="shared" si="34"/>
        <v>10850</v>
      </c>
      <c r="M133">
        <f t="shared" si="31"/>
        <v>150</v>
      </c>
      <c r="N133" s="5">
        <f t="shared" si="35"/>
        <v>9210</v>
      </c>
      <c r="AF133" s="1">
        <v>45058</v>
      </c>
      <c r="AG133">
        <f t="shared" si="32"/>
        <v>150</v>
      </c>
    </row>
    <row r="134" spans="1:33" x14ac:dyDescent="0.25">
      <c r="A134" s="1">
        <v>45059</v>
      </c>
      <c r="B134" t="s">
        <v>3</v>
      </c>
      <c r="C134">
        <f t="shared" si="29"/>
        <v>0.5</v>
      </c>
      <c r="D134">
        <f t="shared" si="30"/>
        <v>6</v>
      </c>
      <c r="F134">
        <f t="shared" si="33"/>
        <v>-1640</v>
      </c>
      <c r="G134">
        <f t="shared" si="24"/>
        <v>-1640</v>
      </c>
      <c r="H134">
        <f t="shared" si="25"/>
        <v>5</v>
      </c>
      <c r="I134">
        <f t="shared" si="26"/>
        <v>150</v>
      </c>
      <c r="J134" s="3">
        <f t="shared" si="27"/>
        <v>-1640</v>
      </c>
      <c r="K134">
        <f t="shared" si="28"/>
        <v>0</v>
      </c>
      <c r="L134" s="4">
        <f t="shared" si="34"/>
        <v>10850</v>
      </c>
      <c r="M134">
        <f t="shared" si="31"/>
        <v>0</v>
      </c>
      <c r="N134" s="5">
        <f t="shared" si="35"/>
        <v>9210</v>
      </c>
      <c r="AF134" s="1">
        <v>45059</v>
      </c>
      <c r="AG134">
        <f t="shared" si="32"/>
        <v>0</v>
      </c>
    </row>
    <row r="135" spans="1:33" x14ac:dyDescent="0.25">
      <c r="A135" s="1">
        <v>45060</v>
      </c>
      <c r="B135" t="s">
        <v>3</v>
      </c>
      <c r="C135">
        <f t="shared" si="29"/>
        <v>0.5</v>
      </c>
      <c r="D135">
        <f t="shared" si="30"/>
        <v>7</v>
      </c>
      <c r="F135">
        <f t="shared" si="33"/>
        <v>-1640</v>
      </c>
      <c r="G135">
        <f t="shared" si="24"/>
        <v>-1790</v>
      </c>
      <c r="H135">
        <f t="shared" si="25"/>
        <v>5</v>
      </c>
      <c r="I135">
        <f t="shared" si="26"/>
        <v>150</v>
      </c>
      <c r="J135" s="3">
        <f t="shared" si="27"/>
        <v>-1790</v>
      </c>
      <c r="K135">
        <f t="shared" si="28"/>
        <v>150</v>
      </c>
      <c r="L135" s="4">
        <f t="shared" si="34"/>
        <v>11000</v>
      </c>
      <c r="M135">
        <f t="shared" si="31"/>
        <v>0</v>
      </c>
      <c r="N135" s="5">
        <f t="shared" si="35"/>
        <v>9210</v>
      </c>
      <c r="AF135" s="1">
        <v>45060</v>
      </c>
      <c r="AG135">
        <f t="shared" si="32"/>
        <v>-150</v>
      </c>
    </row>
    <row r="136" spans="1:33" x14ac:dyDescent="0.25">
      <c r="A136" s="1">
        <v>45061</v>
      </c>
      <c r="B136" t="s">
        <v>3</v>
      </c>
      <c r="C136">
        <f t="shared" si="29"/>
        <v>0.5</v>
      </c>
      <c r="D136">
        <f t="shared" si="30"/>
        <v>1</v>
      </c>
      <c r="F136">
        <f t="shared" si="33"/>
        <v>-1790</v>
      </c>
      <c r="G136">
        <f t="shared" si="24"/>
        <v>-1790</v>
      </c>
      <c r="H136">
        <f t="shared" si="25"/>
        <v>5</v>
      </c>
      <c r="I136">
        <f t="shared" si="26"/>
        <v>150</v>
      </c>
      <c r="J136" s="3">
        <f t="shared" si="27"/>
        <v>-1640</v>
      </c>
      <c r="K136">
        <f t="shared" si="28"/>
        <v>0</v>
      </c>
      <c r="L136" s="4">
        <f t="shared" si="34"/>
        <v>11000</v>
      </c>
      <c r="M136">
        <f t="shared" si="31"/>
        <v>150</v>
      </c>
      <c r="N136" s="5">
        <f t="shared" si="35"/>
        <v>9360</v>
      </c>
      <c r="AF136" s="1">
        <v>45061</v>
      </c>
      <c r="AG136">
        <f t="shared" si="32"/>
        <v>150</v>
      </c>
    </row>
    <row r="137" spans="1:33" x14ac:dyDescent="0.25">
      <c r="A137" s="1">
        <v>45062</v>
      </c>
      <c r="B137" t="s">
        <v>3</v>
      </c>
      <c r="C137">
        <f t="shared" si="29"/>
        <v>0.5</v>
      </c>
      <c r="D137">
        <f t="shared" si="30"/>
        <v>2</v>
      </c>
      <c r="F137">
        <f t="shared" si="33"/>
        <v>-1640</v>
      </c>
      <c r="G137">
        <f t="shared" si="24"/>
        <v>-1640</v>
      </c>
      <c r="H137">
        <f t="shared" si="25"/>
        <v>5</v>
      </c>
      <c r="I137">
        <f t="shared" si="26"/>
        <v>150</v>
      </c>
      <c r="J137" s="3">
        <f t="shared" si="27"/>
        <v>-1490</v>
      </c>
      <c r="K137">
        <f t="shared" si="28"/>
        <v>0</v>
      </c>
      <c r="L137" s="4">
        <f t="shared" si="34"/>
        <v>11000</v>
      </c>
      <c r="M137">
        <f t="shared" si="31"/>
        <v>150</v>
      </c>
      <c r="N137" s="5">
        <f t="shared" si="35"/>
        <v>9510</v>
      </c>
      <c r="AF137" s="1">
        <v>45062</v>
      </c>
      <c r="AG137">
        <f t="shared" si="32"/>
        <v>150</v>
      </c>
    </row>
    <row r="138" spans="1:33" x14ac:dyDescent="0.25">
      <c r="A138" s="1">
        <v>45063</v>
      </c>
      <c r="B138" t="s">
        <v>3</v>
      </c>
      <c r="C138">
        <f t="shared" si="29"/>
        <v>0.5</v>
      </c>
      <c r="D138">
        <f t="shared" si="30"/>
        <v>3</v>
      </c>
      <c r="F138">
        <f t="shared" si="33"/>
        <v>-1490</v>
      </c>
      <c r="G138">
        <f t="shared" si="24"/>
        <v>-1490</v>
      </c>
      <c r="H138">
        <f t="shared" si="25"/>
        <v>5</v>
      </c>
      <c r="I138">
        <f t="shared" si="26"/>
        <v>150</v>
      </c>
      <c r="J138" s="3">
        <f t="shared" si="27"/>
        <v>-1340</v>
      </c>
      <c r="K138">
        <f t="shared" si="28"/>
        <v>0</v>
      </c>
      <c r="L138" s="4">
        <f t="shared" si="34"/>
        <v>11000</v>
      </c>
      <c r="M138">
        <f t="shared" si="31"/>
        <v>150</v>
      </c>
      <c r="N138" s="5">
        <f t="shared" si="35"/>
        <v>9660</v>
      </c>
      <c r="AF138" s="1">
        <v>45063</v>
      </c>
      <c r="AG138">
        <f t="shared" si="32"/>
        <v>150</v>
      </c>
    </row>
    <row r="139" spans="1:33" x14ac:dyDescent="0.25">
      <c r="A139" s="1">
        <v>45064</v>
      </c>
      <c r="B139" t="s">
        <v>3</v>
      </c>
      <c r="C139">
        <f t="shared" si="29"/>
        <v>0.5</v>
      </c>
      <c r="D139">
        <f t="shared" si="30"/>
        <v>4</v>
      </c>
      <c r="F139">
        <f t="shared" si="33"/>
        <v>-1340</v>
      </c>
      <c r="G139">
        <f t="shared" si="24"/>
        <v>-1340</v>
      </c>
      <c r="H139">
        <f t="shared" si="25"/>
        <v>5</v>
      </c>
      <c r="I139">
        <f t="shared" si="26"/>
        <v>150</v>
      </c>
      <c r="J139" s="3">
        <f t="shared" si="27"/>
        <v>-1190</v>
      </c>
      <c r="K139">
        <f t="shared" si="28"/>
        <v>0</v>
      </c>
      <c r="L139" s="4">
        <f t="shared" si="34"/>
        <v>11000</v>
      </c>
      <c r="M139">
        <f t="shared" si="31"/>
        <v>150</v>
      </c>
      <c r="N139" s="5">
        <f t="shared" si="35"/>
        <v>9810</v>
      </c>
      <c r="AF139" s="1">
        <v>45064</v>
      </c>
      <c r="AG139">
        <f t="shared" si="32"/>
        <v>150</v>
      </c>
    </row>
    <row r="140" spans="1:33" x14ac:dyDescent="0.25">
      <c r="A140" s="1">
        <v>45065</v>
      </c>
      <c r="B140" t="s">
        <v>3</v>
      </c>
      <c r="C140">
        <f t="shared" si="29"/>
        <v>0.5</v>
      </c>
      <c r="D140">
        <f t="shared" si="30"/>
        <v>5</v>
      </c>
      <c r="F140">
        <f t="shared" si="33"/>
        <v>-1190</v>
      </c>
      <c r="G140">
        <f t="shared" si="24"/>
        <v>-1190</v>
      </c>
      <c r="H140">
        <f t="shared" si="25"/>
        <v>5</v>
      </c>
      <c r="I140">
        <f t="shared" si="26"/>
        <v>150</v>
      </c>
      <c r="J140" s="3">
        <f t="shared" si="27"/>
        <v>-1040</v>
      </c>
      <c r="K140">
        <f t="shared" si="28"/>
        <v>0</v>
      </c>
      <c r="L140" s="4">
        <f t="shared" si="34"/>
        <v>11000</v>
      </c>
      <c r="M140">
        <f t="shared" si="31"/>
        <v>150</v>
      </c>
      <c r="N140" s="5">
        <f t="shared" si="35"/>
        <v>9960</v>
      </c>
      <c r="AF140" s="1">
        <v>45065</v>
      </c>
      <c r="AG140">
        <f t="shared" si="32"/>
        <v>150</v>
      </c>
    </row>
    <row r="141" spans="1:33" x14ac:dyDescent="0.25">
      <c r="A141" s="1">
        <v>45066</v>
      </c>
      <c r="B141" t="s">
        <v>3</v>
      </c>
      <c r="C141">
        <f t="shared" si="29"/>
        <v>0.5</v>
      </c>
      <c r="D141">
        <f t="shared" si="30"/>
        <v>6</v>
      </c>
      <c r="F141">
        <f t="shared" si="33"/>
        <v>-1040</v>
      </c>
      <c r="G141">
        <f t="shared" si="24"/>
        <v>-1040</v>
      </c>
      <c r="H141">
        <f t="shared" si="25"/>
        <v>5</v>
      </c>
      <c r="I141">
        <f t="shared" si="26"/>
        <v>150</v>
      </c>
      <c r="J141" s="3">
        <f t="shared" si="27"/>
        <v>-1040</v>
      </c>
      <c r="K141">
        <f t="shared" si="28"/>
        <v>0</v>
      </c>
      <c r="L141" s="4">
        <f t="shared" si="34"/>
        <v>11000</v>
      </c>
      <c r="M141">
        <f t="shared" si="31"/>
        <v>0</v>
      </c>
      <c r="N141" s="5">
        <f t="shared" si="35"/>
        <v>9960</v>
      </c>
      <c r="AF141" s="1">
        <v>45066</v>
      </c>
      <c r="AG141">
        <f t="shared" si="32"/>
        <v>0</v>
      </c>
    </row>
    <row r="142" spans="1:33" x14ac:dyDescent="0.25">
      <c r="A142" s="1">
        <v>45067</v>
      </c>
      <c r="B142" t="s">
        <v>3</v>
      </c>
      <c r="C142">
        <f t="shared" si="29"/>
        <v>0.5</v>
      </c>
      <c r="D142">
        <f t="shared" si="30"/>
        <v>7</v>
      </c>
      <c r="F142">
        <f t="shared" si="33"/>
        <v>-1040</v>
      </c>
      <c r="G142">
        <f t="shared" si="24"/>
        <v>-1190</v>
      </c>
      <c r="H142">
        <f t="shared" si="25"/>
        <v>5</v>
      </c>
      <c r="I142">
        <f t="shared" si="26"/>
        <v>150</v>
      </c>
      <c r="J142" s="3">
        <f t="shared" si="27"/>
        <v>-1190</v>
      </c>
      <c r="K142">
        <f t="shared" si="28"/>
        <v>150</v>
      </c>
      <c r="L142" s="4">
        <f t="shared" si="34"/>
        <v>11150</v>
      </c>
      <c r="M142">
        <f t="shared" si="31"/>
        <v>0</v>
      </c>
      <c r="N142" s="5">
        <f t="shared" si="35"/>
        <v>9960</v>
      </c>
      <c r="AF142" s="1">
        <v>45067</v>
      </c>
      <c r="AG142">
        <f t="shared" si="32"/>
        <v>-150</v>
      </c>
    </row>
    <row r="143" spans="1:33" x14ac:dyDescent="0.25">
      <c r="A143" s="1">
        <v>45068</v>
      </c>
      <c r="B143" t="s">
        <v>3</v>
      </c>
      <c r="C143">
        <f t="shared" si="29"/>
        <v>0.5</v>
      </c>
      <c r="D143">
        <f t="shared" si="30"/>
        <v>1</v>
      </c>
      <c r="F143">
        <f t="shared" si="33"/>
        <v>-1190</v>
      </c>
      <c r="G143">
        <f t="shared" si="24"/>
        <v>-1190</v>
      </c>
      <c r="H143">
        <f t="shared" si="25"/>
        <v>5</v>
      </c>
      <c r="I143">
        <f t="shared" si="26"/>
        <v>150</v>
      </c>
      <c r="J143" s="3">
        <f t="shared" si="27"/>
        <v>-1040</v>
      </c>
      <c r="K143">
        <f t="shared" si="28"/>
        <v>0</v>
      </c>
      <c r="L143" s="4">
        <f t="shared" si="34"/>
        <v>11150</v>
      </c>
      <c r="M143">
        <f t="shared" si="31"/>
        <v>150</v>
      </c>
      <c r="N143" s="5">
        <f t="shared" si="35"/>
        <v>10110</v>
      </c>
      <c r="AF143" s="1">
        <v>45068</v>
      </c>
      <c r="AG143">
        <f t="shared" si="32"/>
        <v>150</v>
      </c>
    </row>
    <row r="144" spans="1:33" x14ac:dyDescent="0.25">
      <c r="A144" s="1">
        <v>45069</v>
      </c>
      <c r="B144" t="s">
        <v>3</v>
      </c>
      <c r="C144">
        <f t="shared" si="29"/>
        <v>0.5</v>
      </c>
      <c r="D144">
        <f t="shared" si="30"/>
        <v>2</v>
      </c>
      <c r="F144">
        <f t="shared" si="33"/>
        <v>-1040</v>
      </c>
      <c r="G144">
        <f t="shared" si="24"/>
        <v>-1040</v>
      </c>
      <c r="H144">
        <f t="shared" si="25"/>
        <v>5</v>
      </c>
      <c r="I144">
        <f t="shared" si="26"/>
        <v>150</v>
      </c>
      <c r="J144" s="3">
        <f t="shared" si="27"/>
        <v>-890</v>
      </c>
      <c r="K144">
        <f t="shared" si="28"/>
        <v>0</v>
      </c>
      <c r="L144" s="4">
        <f t="shared" si="34"/>
        <v>11150</v>
      </c>
      <c r="M144">
        <f t="shared" si="31"/>
        <v>150</v>
      </c>
      <c r="N144" s="5">
        <f t="shared" si="35"/>
        <v>10260</v>
      </c>
      <c r="AF144" s="1">
        <v>45069</v>
      </c>
      <c r="AG144">
        <f t="shared" si="32"/>
        <v>150</v>
      </c>
    </row>
    <row r="145" spans="1:35" x14ac:dyDescent="0.25">
      <c r="A145" s="1">
        <v>45070</v>
      </c>
      <c r="B145" t="s">
        <v>3</v>
      </c>
      <c r="C145">
        <f t="shared" si="29"/>
        <v>0.5</v>
      </c>
      <c r="D145">
        <f t="shared" si="30"/>
        <v>3</v>
      </c>
      <c r="F145">
        <f t="shared" si="33"/>
        <v>-890</v>
      </c>
      <c r="G145">
        <f t="shared" si="24"/>
        <v>-890</v>
      </c>
      <c r="H145">
        <f t="shared" si="25"/>
        <v>5</v>
      </c>
      <c r="I145">
        <f t="shared" si="26"/>
        <v>150</v>
      </c>
      <c r="J145" s="3">
        <f t="shared" si="27"/>
        <v>-740</v>
      </c>
      <c r="K145">
        <f t="shared" si="28"/>
        <v>0</v>
      </c>
      <c r="L145" s="4">
        <f t="shared" si="34"/>
        <v>11150</v>
      </c>
      <c r="M145">
        <f t="shared" si="31"/>
        <v>150</v>
      </c>
      <c r="N145" s="5">
        <f t="shared" si="35"/>
        <v>10410</v>
      </c>
      <c r="AF145" s="1">
        <v>45070</v>
      </c>
      <c r="AG145">
        <f t="shared" si="32"/>
        <v>150</v>
      </c>
    </row>
    <row r="146" spans="1:35" x14ac:dyDescent="0.25">
      <c r="A146" s="1">
        <v>45071</v>
      </c>
      <c r="B146" t="s">
        <v>3</v>
      </c>
      <c r="C146">
        <f t="shared" si="29"/>
        <v>0.5</v>
      </c>
      <c r="D146">
        <f t="shared" si="30"/>
        <v>4</v>
      </c>
      <c r="F146">
        <f t="shared" si="33"/>
        <v>-740</v>
      </c>
      <c r="G146">
        <f t="shared" si="24"/>
        <v>-740</v>
      </c>
      <c r="H146">
        <f t="shared" si="25"/>
        <v>5</v>
      </c>
      <c r="I146">
        <f t="shared" si="26"/>
        <v>150</v>
      </c>
      <c r="J146" s="3">
        <f t="shared" si="27"/>
        <v>-590</v>
      </c>
      <c r="K146">
        <f t="shared" si="28"/>
        <v>0</v>
      </c>
      <c r="L146" s="4">
        <f t="shared" si="34"/>
        <v>11150</v>
      </c>
      <c r="M146">
        <f t="shared" si="31"/>
        <v>150</v>
      </c>
      <c r="N146" s="5">
        <f t="shared" si="35"/>
        <v>10560</v>
      </c>
      <c r="AF146" s="1">
        <v>45071</v>
      </c>
      <c r="AG146">
        <f t="shared" si="32"/>
        <v>150</v>
      </c>
    </row>
    <row r="147" spans="1:35" x14ac:dyDescent="0.25">
      <c r="A147" s="1">
        <v>45072</v>
      </c>
      <c r="B147" t="s">
        <v>3</v>
      </c>
      <c r="C147">
        <f t="shared" si="29"/>
        <v>0.5</v>
      </c>
      <c r="D147">
        <f t="shared" si="30"/>
        <v>5</v>
      </c>
      <c r="F147">
        <f t="shared" si="33"/>
        <v>-590</v>
      </c>
      <c r="G147">
        <f t="shared" si="24"/>
        <v>-590</v>
      </c>
      <c r="H147">
        <f t="shared" si="25"/>
        <v>5</v>
      </c>
      <c r="I147">
        <f t="shared" si="26"/>
        <v>150</v>
      </c>
      <c r="J147" s="3">
        <f t="shared" si="27"/>
        <v>-440</v>
      </c>
      <c r="K147">
        <f t="shared" si="28"/>
        <v>0</v>
      </c>
      <c r="L147" s="4">
        <f t="shared" si="34"/>
        <v>11150</v>
      </c>
      <c r="M147">
        <f t="shared" si="31"/>
        <v>150</v>
      </c>
      <c r="N147" s="5">
        <f t="shared" si="35"/>
        <v>10710</v>
      </c>
      <c r="AF147" s="1">
        <v>45072</v>
      </c>
      <c r="AG147">
        <f t="shared" si="32"/>
        <v>150</v>
      </c>
    </row>
    <row r="148" spans="1:35" x14ac:dyDescent="0.25">
      <c r="A148" s="1">
        <v>45073</v>
      </c>
      <c r="B148" t="s">
        <v>3</v>
      </c>
      <c r="C148">
        <f t="shared" si="29"/>
        <v>0.5</v>
      </c>
      <c r="D148">
        <f t="shared" si="30"/>
        <v>6</v>
      </c>
      <c r="F148">
        <f t="shared" si="33"/>
        <v>-440</v>
      </c>
      <c r="G148">
        <f t="shared" si="24"/>
        <v>-440</v>
      </c>
      <c r="H148">
        <f t="shared" si="25"/>
        <v>5</v>
      </c>
      <c r="I148">
        <f t="shared" si="26"/>
        <v>150</v>
      </c>
      <c r="J148" s="3">
        <f t="shared" si="27"/>
        <v>-440</v>
      </c>
      <c r="K148">
        <f t="shared" si="28"/>
        <v>0</v>
      </c>
      <c r="L148" s="4">
        <f t="shared" si="34"/>
        <v>11150</v>
      </c>
      <c r="M148">
        <f t="shared" si="31"/>
        <v>0</v>
      </c>
      <c r="N148" s="5">
        <f t="shared" si="35"/>
        <v>10710</v>
      </c>
      <c r="AF148" s="1">
        <v>45073</v>
      </c>
      <c r="AG148">
        <f t="shared" si="32"/>
        <v>0</v>
      </c>
    </row>
    <row r="149" spans="1:35" x14ac:dyDescent="0.25">
      <c r="A149" s="1">
        <v>45074</v>
      </c>
      <c r="B149" t="s">
        <v>3</v>
      </c>
      <c r="C149">
        <f t="shared" si="29"/>
        <v>0.5</v>
      </c>
      <c r="D149">
        <f t="shared" si="30"/>
        <v>7</v>
      </c>
      <c r="F149">
        <f t="shared" si="33"/>
        <v>-440</v>
      </c>
      <c r="G149">
        <f t="shared" si="24"/>
        <v>-590</v>
      </c>
      <c r="H149">
        <f t="shared" si="25"/>
        <v>5</v>
      </c>
      <c r="I149">
        <f t="shared" si="26"/>
        <v>150</v>
      </c>
      <c r="J149" s="3">
        <f t="shared" si="27"/>
        <v>-590</v>
      </c>
      <c r="K149">
        <f t="shared" si="28"/>
        <v>150</v>
      </c>
      <c r="L149" s="4">
        <f t="shared" si="34"/>
        <v>11300</v>
      </c>
      <c r="M149">
        <f t="shared" si="31"/>
        <v>0</v>
      </c>
      <c r="N149" s="5">
        <f t="shared" si="35"/>
        <v>10710</v>
      </c>
      <c r="AF149" s="1">
        <v>45074</v>
      </c>
      <c r="AG149">
        <f t="shared" si="32"/>
        <v>-150</v>
      </c>
    </row>
    <row r="150" spans="1:35" x14ac:dyDescent="0.25">
      <c r="A150" s="1">
        <v>45075</v>
      </c>
      <c r="B150" t="s">
        <v>3</v>
      </c>
      <c r="C150">
        <f t="shared" si="29"/>
        <v>0.5</v>
      </c>
      <c r="D150">
        <f t="shared" si="30"/>
        <v>1</v>
      </c>
      <c r="F150">
        <f t="shared" si="33"/>
        <v>-590</v>
      </c>
      <c r="G150">
        <f t="shared" si="24"/>
        <v>-590</v>
      </c>
      <c r="H150">
        <f t="shared" si="25"/>
        <v>5</v>
      </c>
      <c r="I150">
        <f t="shared" si="26"/>
        <v>150</v>
      </c>
      <c r="J150" s="3">
        <f t="shared" si="27"/>
        <v>-440</v>
      </c>
      <c r="K150">
        <f t="shared" si="28"/>
        <v>0</v>
      </c>
      <c r="L150" s="4">
        <f t="shared" si="34"/>
        <v>11300</v>
      </c>
      <c r="M150">
        <f t="shared" si="31"/>
        <v>150</v>
      </c>
      <c r="N150" s="5">
        <f t="shared" si="35"/>
        <v>10860</v>
      </c>
      <c r="AF150" s="1">
        <v>45075</v>
      </c>
      <c r="AG150">
        <f t="shared" si="32"/>
        <v>150</v>
      </c>
    </row>
    <row r="151" spans="1:35" x14ac:dyDescent="0.25">
      <c r="A151" s="1">
        <v>45076</v>
      </c>
      <c r="B151" t="s">
        <v>3</v>
      </c>
      <c r="C151">
        <f t="shared" si="29"/>
        <v>0.5</v>
      </c>
      <c r="D151">
        <f t="shared" si="30"/>
        <v>2</v>
      </c>
      <c r="F151">
        <f t="shared" si="33"/>
        <v>-440</v>
      </c>
      <c r="G151">
        <f t="shared" si="24"/>
        <v>-440</v>
      </c>
      <c r="H151">
        <f t="shared" si="25"/>
        <v>5</v>
      </c>
      <c r="I151">
        <f t="shared" si="26"/>
        <v>150</v>
      </c>
      <c r="J151" s="3">
        <f t="shared" si="27"/>
        <v>-290</v>
      </c>
      <c r="K151">
        <f t="shared" si="28"/>
        <v>0</v>
      </c>
      <c r="L151" s="4">
        <f t="shared" si="34"/>
        <v>11300</v>
      </c>
      <c r="M151">
        <f t="shared" si="31"/>
        <v>150</v>
      </c>
      <c r="N151" s="5">
        <f t="shared" si="35"/>
        <v>11010</v>
      </c>
      <c r="AF151" s="1">
        <v>45076</v>
      </c>
      <c r="AG151">
        <f t="shared" si="32"/>
        <v>150</v>
      </c>
    </row>
    <row r="152" spans="1:35" x14ac:dyDescent="0.25">
      <c r="A152" s="1">
        <v>45077</v>
      </c>
      <c r="B152" t="s">
        <v>3</v>
      </c>
      <c r="C152">
        <f t="shared" si="29"/>
        <v>0.5</v>
      </c>
      <c r="D152">
        <f t="shared" si="30"/>
        <v>3</v>
      </c>
      <c r="F152">
        <f t="shared" si="33"/>
        <v>-290</v>
      </c>
      <c r="G152">
        <f t="shared" si="24"/>
        <v>-290</v>
      </c>
      <c r="H152">
        <f t="shared" si="25"/>
        <v>5</v>
      </c>
      <c r="I152">
        <f t="shared" si="26"/>
        <v>150</v>
      </c>
      <c r="J152" s="3">
        <f t="shared" si="27"/>
        <v>-140</v>
      </c>
      <c r="K152">
        <f t="shared" si="28"/>
        <v>0</v>
      </c>
      <c r="L152" s="4">
        <f t="shared" si="34"/>
        <v>11300</v>
      </c>
      <c r="M152">
        <f t="shared" si="31"/>
        <v>150</v>
      </c>
      <c r="N152" s="5">
        <f t="shared" si="35"/>
        <v>11160</v>
      </c>
      <c r="AF152" s="1">
        <v>45077</v>
      </c>
      <c r="AG152">
        <f t="shared" si="32"/>
        <v>150</v>
      </c>
    </row>
    <row r="153" spans="1:35" s="3" customFormat="1" x14ac:dyDescent="0.25">
      <c r="A153" s="2">
        <v>45078</v>
      </c>
      <c r="B153" s="3" t="s">
        <v>3</v>
      </c>
      <c r="C153" s="3">
        <f t="shared" si="29"/>
        <v>0.5</v>
      </c>
      <c r="D153" s="3">
        <f t="shared" si="30"/>
        <v>4</v>
      </c>
      <c r="F153" s="3">
        <f t="shared" si="33"/>
        <v>-140</v>
      </c>
      <c r="G153" s="3">
        <f t="shared" si="24"/>
        <v>-140</v>
      </c>
      <c r="H153" s="3">
        <f t="shared" si="25"/>
        <v>5</v>
      </c>
      <c r="I153" s="3">
        <f t="shared" si="26"/>
        <v>150</v>
      </c>
      <c r="J153" s="3">
        <f t="shared" si="27"/>
        <v>10</v>
      </c>
      <c r="K153" s="3">
        <f t="shared" si="28"/>
        <v>0</v>
      </c>
      <c r="L153" s="4">
        <f t="shared" si="34"/>
        <v>11300</v>
      </c>
      <c r="M153" s="3">
        <f t="shared" si="31"/>
        <v>150</v>
      </c>
      <c r="N153" s="5">
        <f t="shared" si="35"/>
        <v>11310</v>
      </c>
      <c r="AF153" s="2">
        <v>45078</v>
      </c>
      <c r="AG153">
        <f t="shared" si="32"/>
        <v>150</v>
      </c>
      <c r="AI153"/>
    </row>
    <row r="154" spans="1:35" x14ac:dyDescent="0.25">
      <c r="A154" s="1">
        <v>45079</v>
      </c>
      <c r="B154" t="s">
        <v>3</v>
      </c>
      <c r="C154">
        <f t="shared" si="29"/>
        <v>0.5</v>
      </c>
      <c r="D154">
        <f t="shared" si="30"/>
        <v>5</v>
      </c>
      <c r="F154">
        <f t="shared" si="33"/>
        <v>10</v>
      </c>
      <c r="G154">
        <f t="shared" si="24"/>
        <v>10</v>
      </c>
      <c r="H154">
        <f t="shared" si="25"/>
        <v>5</v>
      </c>
      <c r="I154">
        <f t="shared" si="26"/>
        <v>150</v>
      </c>
      <c r="J154" s="3">
        <f t="shared" si="27"/>
        <v>160</v>
      </c>
      <c r="K154">
        <f t="shared" si="28"/>
        <v>0</v>
      </c>
      <c r="L154" s="4">
        <f t="shared" si="34"/>
        <v>11300</v>
      </c>
      <c r="M154">
        <f t="shared" si="31"/>
        <v>150</v>
      </c>
      <c r="N154" s="5">
        <f t="shared" si="35"/>
        <v>11460</v>
      </c>
      <c r="AF154" s="1">
        <v>45079</v>
      </c>
      <c r="AG154">
        <f t="shared" si="32"/>
        <v>150</v>
      </c>
    </row>
    <row r="155" spans="1:35" x14ac:dyDescent="0.25">
      <c r="A155" s="1">
        <v>45080</v>
      </c>
      <c r="B155" t="s">
        <v>3</v>
      </c>
      <c r="C155">
        <f t="shared" si="29"/>
        <v>0.5</v>
      </c>
      <c r="D155">
        <f t="shared" si="30"/>
        <v>6</v>
      </c>
      <c r="F155">
        <f t="shared" si="33"/>
        <v>160</v>
      </c>
      <c r="G155">
        <f t="shared" si="24"/>
        <v>160</v>
      </c>
      <c r="H155">
        <f t="shared" si="25"/>
        <v>5</v>
      </c>
      <c r="I155">
        <f t="shared" si="26"/>
        <v>150</v>
      </c>
      <c r="J155" s="3">
        <f t="shared" si="27"/>
        <v>160</v>
      </c>
      <c r="K155">
        <f t="shared" si="28"/>
        <v>0</v>
      </c>
      <c r="L155" s="4">
        <f t="shared" si="34"/>
        <v>11300</v>
      </c>
      <c r="M155">
        <f t="shared" si="31"/>
        <v>0</v>
      </c>
      <c r="N155" s="5">
        <f t="shared" si="35"/>
        <v>11460</v>
      </c>
      <c r="AF155" s="1">
        <v>45080</v>
      </c>
      <c r="AG155">
        <f t="shared" si="32"/>
        <v>0</v>
      </c>
    </row>
    <row r="156" spans="1:35" x14ac:dyDescent="0.25">
      <c r="A156" s="1">
        <v>45081</v>
      </c>
      <c r="B156" t="s">
        <v>3</v>
      </c>
      <c r="C156">
        <f t="shared" si="29"/>
        <v>0.5</v>
      </c>
      <c r="D156">
        <f t="shared" si="30"/>
        <v>7</v>
      </c>
      <c r="F156">
        <f t="shared" si="33"/>
        <v>160</v>
      </c>
      <c r="G156">
        <f t="shared" si="24"/>
        <v>10</v>
      </c>
      <c r="H156">
        <f t="shared" si="25"/>
        <v>5</v>
      </c>
      <c r="I156">
        <f t="shared" si="26"/>
        <v>150</v>
      </c>
      <c r="J156" s="3">
        <f t="shared" si="27"/>
        <v>10</v>
      </c>
      <c r="K156">
        <f t="shared" si="28"/>
        <v>150</v>
      </c>
      <c r="L156" s="4">
        <f t="shared" si="34"/>
        <v>11450</v>
      </c>
      <c r="M156">
        <f t="shared" si="31"/>
        <v>0</v>
      </c>
      <c r="N156" s="5">
        <f t="shared" si="35"/>
        <v>11460</v>
      </c>
      <c r="AF156" s="1">
        <v>45081</v>
      </c>
      <c r="AG156">
        <f t="shared" si="32"/>
        <v>-150</v>
      </c>
    </row>
    <row r="157" spans="1:35" x14ac:dyDescent="0.25">
      <c r="A157" s="1">
        <v>45082</v>
      </c>
      <c r="B157" t="s">
        <v>3</v>
      </c>
      <c r="C157">
        <f t="shared" si="29"/>
        <v>0.5</v>
      </c>
      <c r="D157">
        <f t="shared" si="30"/>
        <v>1</v>
      </c>
      <c r="F157">
        <f t="shared" si="33"/>
        <v>10</v>
      </c>
      <c r="G157">
        <f t="shared" si="24"/>
        <v>10</v>
      </c>
      <c r="H157">
        <f t="shared" si="25"/>
        <v>5</v>
      </c>
      <c r="I157">
        <f t="shared" si="26"/>
        <v>150</v>
      </c>
      <c r="J157" s="3">
        <f t="shared" si="27"/>
        <v>160</v>
      </c>
      <c r="K157">
        <f t="shared" si="28"/>
        <v>0</v>
      </c>
      <c r="L157" s="4">
        <f t="shared" si="34"/>
        <v>11450</v>
      </c>
      <c r="M157">
        <f t="shared" si="31"/>
        <v>150</v>
      </c>
      <c r="N157" s="5">
        <f t="shared" si="35"/>
        <v>11610</v>
      </c>
      <c r="AF157" s="1">
        <v>45082</v>
      </c>
      <c r="AG157">
        <f t="shared" si="32"/>
        <v>150</v>
      </c>
    </row>
    <row r="158" spans="1:35" x14ac:dyDescent="0.25">
      <c r="A158" s="1">
        <v>45083</v>
      </c>
      <c r="B158" t="s">
        <v>3</v>
      </c>
      <c r="C158">
        <f t="shared" si="29"/>
        <v>0.5</v>
      </c>
      <c r="D158">
        <f t="shared" si="30"/>
        <v>2</v>
      </c>
      <c r="F158">
        <f t="shared" si="33"/>
        <v>160</v>
      </c>
      <c r="G158">
        <f t="shared" si="24"/>
        <v>160</v>
      </c>
      <c r="H158">
        <f t="shared" si="25"/>
        <v>5</v>
      </c>
      <c r="I158">
        <f t="shared" si="26"/>
        <v>150</v>
      </c>
      <c r="J158" s="3">
        <f t="shared" si="27"/>
        <v>310</v>
      </c>
      <c r="K158">
        <f t="shared" si="28"/>
        <v>0</v>
      </c>
      <c r="L158" s="4">
        <f t="shared" si="34"/>
        <v>11450</v>
      </c>
      <c r="M158">
        <f t="shared" si="31"/>
        <v>150</v>
      </c>
      <c r="N158" s="5">
        <f t="shared" si="35"/>
        <v>11760</v>
      </c>
      <c r="AF158" s="1">
        <v>45083</v>
      </c>
      <c r="AG158">
        <f t="shared" si="32"/>
        <v>150</v>
      </c>
    </row>
    <row r="159" spans="1:35" x14ac:dyDescent="0.25">
      <c r="A159" s="1">
        <v>45084</v>
      </c>
      <c r="B159" t="s">
        <v>3</v>
      </c>
      <c r="C159">
        <f t="shared" si="29"/>
        <v>0.5</v>
      </c>
      <c r="D159">
        <f t="shared" si="30"/>
        <v>3</v>
      </c>
      <c r="F159">
        <f t="shared" si="33"/>
        <v>310</v>
      </c>
      <c r="G159">
        <f t="shared" si="24"/>
        <v>310</v>
      </c>
      <c r="H159">
        <f t="shared" si="25"/>
        <v>5</v>
      </c>
      <c r="I159">
        <f t="shared" si="26"/>
        <v>150</v>
      </c>
      <c r="J159" s="3">
        <f t="shared" si="27"/>
        <v>460</v>
      </c>
      <c r="K159">
        <f t="shared" si="28"/>
        <v>0</v>
      </c>
      <c r="L159" s="4">
        <f t="shared" si="34"/>
        <v>11450</v>
      </c>
      <c r="M159">
        <f t="shared" si="31"/>
        <v>150</v>
      </c>
      <c r="N159" s="5">
        <f t="shared" si="35"/>
        <v>11910</v>
      </c>
      <c r="AF159" s="1">
        <v>45084</v>
      </c>
      <c r="AG159">
        <f t="shared" si="32"/>
        <v>150</v>
      </c>
    </row>
    <row r="160" spans="1:35" x14ac:dyDescent="0.25">
      <c r="A160" s="1">
        <v>45085</v>
      </c>
      <c r="B160" t="s">
        <v>3</v>
      </c>
      <c r="C160">
        <f t="shared" si="29"/>
        <v>0.5</v>
      </c>
      <c r="D160">
        <f t="shared" si="30"/>
        <v>4</v>
      </c>
      <c r="F160">
        <f t="shared" si="33"/>
        <v>460</v>
      </c>
      <c r="G160">
        <f t="shared" si="24"/>
        <v>460</v>
      </c>
      <c r="H160">
        <f t="shared" si="25"/>
        <v>5</v>
      </c>
      <c r="I160">
        <f t="shared" si="26"/>
        <v>150</v>
      </c>
      <c r="J160" s="3">
        <f t="shared" si="27"/>
        <v>610</v>
      </c>
      <c r="K160">
        <f t="shared" si="28"/>
        <v>0</v>
      </c>
      <c r="L160" s="4">
        <f t="shared" si="34"/>
        <v>11450</v>
      </c>
      <c r="M160">
        <f t="shared" si="31"/>
        <v>150</v>
      </c>
      <c r="N160" s="5">
        <f t="shared" si="35"/>
        <v>12060</v>
      </c>
      <c r="AF160" s="1">
        <v>45085</v>
      </c>
      <c r="AG160">
        <f t="shared" si="32"/>
        <v>150</v>
      </c>
    </row>
    <row r="161" spans="1:33" x14ac:dyDescent="0.25">
      <c r="A161" s="1">
        <v>45086</v>
      </c>
      <c r="B161" t="s">
        <v>3</v>
      </c>
      <c r="C161">
        <f t="shared" si="29"/>
        <v>0.5</v>
      </c>
      <c r="D161">
        <f t="shared" si="30"/>
        <v>5</v>
      </c>
      <c r="F161">
        <f t="shared" si="33"/>
        <v>610</v>
      </c>
      <c r="G161">
        <f t="shared" si="24"/>
        <v>610</v>
      </c>
      <c r="H161">
        <f t="shared" si="25"/>
        <v>5</v>
      </c>
      <c r="I161">
        <f t="shared" si="26"/>
        <v>150</v>
      </c>
      <c r="J161" s="3">
        <f t="shared" si="27"/>
        <v>760</v>
      </c>
      <c r="K161">
        <f t="shared" si="28"/>
        <v>0</v>
      </c>
      <c r="L161" s="4">
        <f t="shared" si="34"/>
        <v>11450</v>
      </c>
      <c r="M161">
        <f t="shared" si="31"/>
        <v>150</v>
      </c>
      <c r="N161" s="5">
        <f t="shared" si="35"/>
        <v>12210</v>
      </c>
      <c r="AF161" s="1">
        <v>45086</v>
      </c>
      <c r="AG161">
        <f t="shared" si="32"/>
        <v>150</v>
      </c>
    </row>
    <row r="162" spans="1:33" x14ac:dyDescent="0.25">
      <c r="A162" s="1">
        <v>45087</v>
      </c>
      <c r="B162" t="s">
        <v>3</v>
      </c>
      <c r="C162">
        <f t="shared" si="29"/>
        <v>0.5</v>
      </c>
      <c r="D162">
        <f t="shared" si="30"/>
        <v>6</v>
      </c>
      <c r="F162">
        <f t="shared" si="33"/>
        <v>760</v>
      </c>
      <c r="G162">
        <f t="shared" si="24"/>
        <v>760</v>
      </c>
      <c r="H162">
        <f t="shared" si="25"/>
        <v>5</v>
      </c>
      <c r="I162">
        <f t="shared" si="26"/>
        <v>150</v>
      </c>
      <c r="J162" s="3">
        <f t="shared" si="27"/>
        <v>760</v>
      </c>
      <c r="K162">
        <f t="shared" si="28"/>
        <v>0</v>
      </c>
      <c r="L162" s="4">
        <f t="shared" si="34"/>
        <v>11450</v>
      </c>
      <c r="M162">
        <f t="shared" si="31"/>
        <v>0</v>
      </c>
      <c r="N162" s="5">
        <f t="shared" si="35"/>
        <v>12210</v>
      </c>
      <c r="AF162" s="1">
        <v>45087</v>
      </c>
      <c r="AG162">
        <f t="shared" si="32"/>
        <v>0</v>
      </c>
    </row>
    <row r="163" spans="1:33" x14ac:dyDescent="0.25">
      <c r="A163" s="1">
        <v>45088</v>
      </c>
      <c r="B163" t="s">
        <v>3</v>
      </c>
      <c r="C163">
        <f t="shared" si="29"/>
        <v>0.5</v>
      </c>
      <c r="D163">
        <f t="shared" si="30"/>
        <v>7</v>
      </c>
      <c r="F163">
        <f t="shared" si="33"/>
        <v>760</v>
      </c>
      <c r="G163">
        <f t="shared" si="24"/>
        <v>610</v>
      </c>
      <c r="H163">
        <f t="shared" si="25"/>
        <v>5</v>
      </c>
      <c r="I163">
        <f t="shared" si="26"/>
        <v>150</v>
      </c>
      <c r="J163" s="3">
        <f t="shared" si="27"/>
        <v>610</v>
      </c>
      <c r="K163">
        <f t="shared" si="28"/>
        <v>150</v>
      </c>
      <c r="L163" s="4">
        <f t="shared" si="34"/>
        <v>11600</v>
      </c>
      <c r="M163">
        <f t="shared" si="31"/>
        <v>0</v>
      </c>
      <c r="N163" s="5">
        <f t="shared" si="35"/>
        <v>12210</v>
      </c>
      <c r="AF163" s="1">
        <v>45088</v>
      </c>
      <c r="AG163">
        <f t="shared" si="32"/>
        <v>-150</v>
      </c>
    </row>
    <row r="164" spans="1:33" x14ac:dyDescent="0.25">
      <c r="A164" s="1">
        <v>45089</v>
      </c>
      <c r="B164" t="s">
        <v>3</v>
      </c>
      <c r="C164">
        <f t="shared" si="29"/>
        <v>0.5</v>
      </c>
      <c r="D164">
        <f t="shared" si="30"/>
        <v>1</v>
      </c>
      <c r="F164">
        <f t="shared" si="33"/>
        <v>610</v>
      </c>
      <c r="G164">
        <f t="shared" si="24"/>
        <v>610</v>
      </c>
      <c r="H164">
        <f t="shared" si="25"/>
        <v>5</v>
      </c>
      <c r="I164">
        <f t="shared" si="26"/>
        <v>150</v>
      </c>
      <c r="J164" s="3">
        <f t="shared" si="27"/>
        <v>760</v>
      </c>
      <c r="K164">
        <f t="shared" si="28"/>
        <v>0</v>
      </c>
      <c r="L164" s="4">
        <f t="shared" si="34"/>
        <v>11600</v>
      </c>
      <c r="M164">
        <f t="shared" si="31"/>
        <v>150</v>
      </c>
      <c r="N164" s="5">
        <f t="shared" si="35"/>
        <v>12360</v>
      </c>
      <c r="AF164" s="1">
        <v>45089</v>
      </c>
      <c r="AG164">
        <f t="shared" si="32"/>
        <v>150</v>
      </c>
    </row>
    <row r="165" spans="1:33" x14ac:dyDescent="0.25">
      <c r="A165" s="1">
        <v>45090</v>
      </c>
      <c r="B165" t="s">
        <v>3</v>
      </c>
      <c r="C165">
        <f t="shared" si="29"/>
        <v>0.5</v>
      </c>
      <c r="D165">
        <f t="shared" si="30"/>
        <v>2</v>
      </c>
      <c r="F165">
        <f t="shared" si="33"/>
        <v>760</v>
      </c>
      <c r="G165">
        <f t="shared" si="24"/>
        <v>760</v>
      </c>
      <c r="H165">
        <f t="shared" si="25"/>
        <v>5</v>
      </c>
      <c r="I165">
        <f t="shared" si="26"/>
        <v>150</v>
      </c>
      <c r="J165" s="3">
        <f t="shared" si="27"/>
        <v>910</v>
      </c>
      <c r="K165">
        <f t="shared" si="28"/>
        <v>0</v>
      </c>
      <c r="L165" s="4">
        <f t="shared" si="34"/>
        <v>11600</v>
      </c>
      <c r="M165">
        <f t="shared" si="31"/>
        <v>150</v>
      </c>
      <c r="N165" s="5">
        <f t="shared" si="35"/>
        <v>12510</v>
      </c>
      <c r="AF165" s="1">
        <v>45090</v>
      </c>
      <c r="AG165">
        <f t="shared" si="32"/>
        <v>150</v>
      </c>
    </row>
    <row r="166" spans="1:33" x14ac:dyDescent="0.25">
      <c r="A166" s="1">
        <v>45091</v>
      </c>
      <c r="B166" t="s">
        <v>3</v>
      </c>
      <c r="C166">
        <f t="shared" si="29"/>
        <v>0.5</v>
      </c>
      <c r="D166">
        <f t="shared" si="30"/>
        <v>3</v>
      </c>
      <c r="F166">
        <f t="shared" si="33"/>
        <v>910</v>
      </c>
      <c r="G166">
        <f t="shared" si="24"/>
        <v>910</v>
      </c>
      <c r="H166">
        <f t="shared" si="25"/>
        <v>5</v>
      </c>
      <c r="I166">
        <f t="shared" si="26"/>
        <v>150</v>
      </c>
      <c r="J166" s="3">
        <f t="shared" si="27"/>
        <v>1060</v>
      </c>
      <c r="K166">
        <f t="shared" si="28"/>
        <v>0</v>
      </c>
      <c r="L166" s="4">
        <f t="shared" si="34"/>
        <v>11600</v>
      </c>
      <c r="M166">
        <f t="shared" si="31"/>
        <v>150</v>
      </c>
      <c r="N166" s="5">
        <f t="shared" si="35"/>
        <v>12660</v>
      </c>
      <c r="AF166" s="1">
        <v>45091</v>
      </c>
      <c r="AG166">
        <f t="shared" si="32"/>
        <v>150</v>
      </c>
    </row>
    <row r="167" spans="1:33" x14ac:dyDescent="0.25">
      <c r="A167" s="1">
        <v>45092</v>
      </c>
      <c r="B167" t="s">
        <v>3</v>
      </c>
      <c r="C167">
        <f t="shared" si="29"/>
        <v>0.5</v>
      </c>
      <c r="D167">
        <f t="shared" si="30"/>
        <v>4</v>
      </c>
      <c r="F167">
        <f t="shared" si="33"/>
        <v>1060</v>
      </c>
      <c r="G167">
        <f t="shared" si="24"/>
        <v>1060</v>
      </c>
      <c r="H167">
        <f t="shared" si="25"/>
        <v>5</v>
      </c>
      <c r="I167">
        <f t="shared" si="26"/>
        <v>150</v>
      </c>
      <c r="J167" s="3">
        <f t="shared" si="27"/>
        <v>1210</v>
      </c>
      <c r="K167">
        <f t="shared" si="28"/>
        <v>0</v>
      </c>
      <c r="L167" s="4">
        <f t="shared" si="34"/>
        <v>11600</v>
      </c>
      <c r="M167">
        <f t="shared" si="31"/>
        <v>150</v>
      </c>
      <c r="N167" s="5">
        <f t="shared" si="35"/>
        <v>12810</v>
      </c>
      <c r="AF167" s="1">
        <v>45092</v>
      </c>
      <c r="AG167">
        <f t="shared" si="32"/>
        <v>150</v>
      </c>
    </row>
    <row r="168" spans="1:33" x14ac:dyDescent="0.25">
      <c r="A168" s="1">
        <v>45093</v>
      </c>
      <c r="B168" t="s">
        <v>3</v>
      </c>
      <c r="C168">
        <f t="shared" si="29"/>
        <v>0.5</v>
      </c>
      <c r="D168">
        <f t="shared" si="30"/>
        <v>5</v>
      </c>
      <c r="F168">
        <f t="shared" si="33"/>
        <v>1210</v>
      </c>
      <c r="G168">
        <f t="shared" si="24"/>
        <v>1210</v>
      </c>
      <c r="H168">
        <f t="shared" si="25"/>
        <v>5</v>
      </c>
      <c r="I168">
        <f t="shared" si="26"/>
        <v>150</v>
      </c>
      <c r="J168" s="3">
        <f t="shared" si="27"/>
        <v>1360</v>
      </c>
      <c r="K168">
        <f t="shared" si="28"/>
        <v>0</v>
      </c>
      <c r="L168" s="4">
        <f t="shared" si="34"/>
        <v>11600</v>
      </c>
      <c r="M168">
        <f t="shared" si="31"/>
        <v>150</v>
      </c>
      <c r="N168" s="5">
        <f t="shared" si="35"/>
        <v>12960</v>
      </c>
      <c r="AF168" s="1">
        <v>45093</v>
      </c>
      <c r="AG168">
        <f t="shared" si="32"/>
        <v>150</v>
      </c>
    </row>
    <row r="169" spans="1:33" x14ac:dyDescent="0.25">
      <c r="A169" s="1">
        <v>45094</v>
      </c>
      <c r="B169" t="s">
        <v>3</v>
      </c>
      <c r="C169">
        <f t="shared" si="29"/>
        <v>0.5</v>
      </c>
      <c r="D169">
        <f t="shared" si="30"/>
        <v>6</v>
      </c>
      <c r="F169">
        <f t="shared" si="33"/>
        <v>1360</v>
      </c>
      <c r="G169">
        <f t="shared" si="24"/>
        <v>1360</v>
      </c>
      <c r="H169">
        <f t="shared" si="25"/>
        <v>5</v>
      </c>
      <c r="I169">
        <f t="shared" si="26"/>
        <v>150</v>
      </c>
      <c r="J169" s="3">
        <f t="shared" si="27"/>
        <v>1360</v>
      </c>
      <c r="K169">
        <f t="shared" si="28"/>
        <v>0</v>
      </c>
      <c r="L169" s="4">
        <f t="shared" si="34"/>
        <v>11600</v>
      </c>
      <c r="M169">
        <f t="shared" si="31"/>
        <v>0</v>
      </c>
      <c r="N169" s="5">
        <f t="shared" si="35"/>
        <v>12960</v>
      </c>
      <c r="AF169" s="1">
        <v>45094</v>
      </c>
      <c r="AG169">
        <f t="shared" si="32"/>
        <v>0</v>
      </c>
    </row>
    <row r="170" spans="1:33" x14ac:dyDescent="0.25">
      <c r="A170" s="1">
        <v>45095</v>
      </c>
      <c r="B170" t="s">
        <v>3</v>
      </c>
      <c r="C170">
        <f t="shared" si="29"/>
        <v>0.5</v>
      </c>
      <c r="D170">
        <f t="shared" si="30"/>
        <v>7</v>
      </c>
      <c r="F170">
        <f t="shared" si="33"/>
        <v>1360</v>
      </c>
      <c r="G170">
        <f t="shared" si="24"/>
        <v>1210</v>
      </c>
      <c r="H170">
        <f t="shared" si="25"/>
        <v>5</v>
      </c>
      <c r="I170">
        <f t="shared" si="26"/>
        <v>150</v>
      </c>
      <c r="J170" s="3">
        <f t="shared" si="27"/>
        <v>1210</v>
      </c>
      <c r="K170">
        <f t="shared" si="28"/>
        <v>150</v>
      </c>
      <c r="L170" s="4">
        <f t="shared" si="34"/>
        <v>11750</v>
      </c>
      <c r="M170">
        <f t="shared" si="31"/>
        <v>0</v>
      </c>
      <c r="N170" s="5">
        <f t="shared" si="35"/>
        <v>12960</v>
      </c>
      <c r="AF170" s="1">
        <v>45095</v>
      </c>
      <c r="AG170">
        <f t="shared" si="32"/>
        <v>-150</v>
      </c>
    </row>
    <row r="171" spans="1:33" x14ac:dyDescent="0.25">
      <c r="A171" s="1">
        <v>45096</v>
      </c>
      <c r="B171" t="s">
        <v>3</v>
      </c>
      <c r="C171">
        <f t="shared" si="29"/>
        <v>0.5</v>
      </c>
      <c r="D171">
        <f t="shared" si="30"/>
        <v>1</v>
      </c>
      <c r="F171">
        <f t="shared" si="33"/>
        <v>1210</v>
      </c>
      <c r="G171">
        <f t="shared" si="24"/>
        <v>1210</v>
      </c>
      <c r="H171">
        <f t="shared" si="25"/>
        <v>5</v>
      </c>
      <c r="I171">
        <f t="shared" si="26"/>
        <v>150</v>
      </c>
      <c r="J171" s="3">
        <f t="shared" si="27"/>
        <v>1360</v>
      </c>
      <c r="K171">
        <f t="shared" si="28"/>
        <v>0</v>
      </c>
      <c r="L171" s="4">
        <f t="shared" si="34"/>
        <v>11750</v>
      </c>
      <c r="M171">
        <f t="shared" si="31"/>
        <v>150</v>
      </c>
      <c r="N171" s="5">
        <f t="shared" si="35"/>
        <v>13110</v>
      </c>
      <c r="AF171" s="1">
        <v>45096</v>
      </c>
      <c r="AG171">
        <f t="shared" si="32"/>
        <v>150</v>
      </c>
    </row>
    <row r="172" spans="1:33" x14ac:dyDescent="0.25">
      <c r="A172" s="1">
        <v>45097</v>
      </c>
      <c r="B172" t="s">
        <v>3</v>
      </c>
      <c r="C172">
        <f t="shared" si="29"/>
        <v>0.5</v>
      </c>
      <c r="D172">
        <f t="shared" si="30"/>
        <v>2</v>
      </c>
      <c r="F172">
        <f t="shared" si="33"/>
        <v>1360</v>
      </c>
      <c r="G172">
        <f t="shared" si="24"/>
        <v>1360</v>
      </c>
      <c r="H172">
        <f t="shared" si="25"/>
        <v>5</v>
      </c>
      <c r="I172">
        <f t="shared" si="26"/>
        <v>150</v>
      </c>
      <c r="J172" s="3">
        <f t="shared" si="27"/>
        <v>1510</v>
      </c>
      <c r="K172">
        <f t="shared" si="28"/>
        <v>0</v>
      </c>
      <c r="L172" s="4">
        <f t="shared" si="34"/>
        <v>11750</v>
      </c>
      <c r="M172">
        <f t="shared" si="31"/>
        <v>150</v>
      </c>
      <c r="N172" s="5">
        <f t="shared" si="35"/>
        <v>13260</v>
      </c>
      <c r="AF172" s="1">
        <v>45097</v>
      </c>
      <c r="AG172">
        <f t="shared" si="32"/>
        <v>150</v>
      </c>
    </row>
    <row r="173" spans="1:33" x14ac:dyDescent="0.25">
      <c r="A173" s="1">
        <v>45098</v>
      </c>
      <c r="B173" t="s">
        <v>4</v>
      </c>
      <c r="C173">
        <f t="shared" si="29"/>
        <v>0.9</v>
      </c>
      <c r="D173">
        <f t="shared" si="30"/>
        <v>3</v>
      </c>
      <c r="F173">
        <f t="shared" si="33"/>
        <v>1510</v>
      </c>
      <c r="G173">
        <f t="shared" si="24"/>
        <v>1510</v>
      </c>
      <c r="H173">
        <f t="shared" si="25"/>
        <v>9</v>
      </c>
      <c r="I173">
        <f t="shared" si="26"/>
        <v>270</v>
      </c>
      <c r="J173" s="3">
        <f t="shared" si="27"/>
        <v>1780</v>
      </c>
      <c r="K173">
        <f t="shared" si="28"/>
        <v>0</v>
      </c>
      <c r="L173" s="4">
        <f t="shared" si="34"/>
        <v>11750</v>
      </c>
      <c r="M173">
        <f t="shared" si="31"/>
        <v>270</v>
      </c>
      <c r="N173" s="5">
        <f t="shared" si="35"/>
        <v>13530</v>
      </c>
      <c r="AF173" s="1">
        <v>45098</v>
      </c>
      <c r="AG173">
        <f t="shared" si="32"/>
        <v>270</v>
      </c>
    </row>
    <row r="174" spans="1:33" x14ac:dyDescent="0.25">
      <c r="A174" s="1">
        <v>45099</v>
      </c>
      <c r="B174" t="s">
        <v>4</v>
      </c>
      <c r="C174">
        <f t="shared" si="29"/>
        <v>0.9</v>
      </c>
      <c r="D174">
        <f t="shared" si="30"/>
        <v>4</v>
      </c>
      <c r="F174">
        <f t="shared" si="33"/>
        <v>1780</v>
      </c>
      <c r="G174">
        <f t="shared" si="24"/>
        <v>1780</v>
      </c>
      <c r="H174">
        <f t="shared" si="25"/>
        <v>9</v>
      </c>
      <c r="I174">
        <f t="shared" si="26"/>
        <v>270</v>
      </c>
      <c r="J174" s="3">
        <f t="shared" si="27"/>
        <v>2050</v>
      </c>
      <c r="K174">
        <f t="shared" si="28"/>
        <v>0</v>
      </c>
      <c r="L174" s="4">
        <f t="shared" si="34"/>
        <v>11750</v>
      </c>
      <c r="M174">
        <f t="shared" si="31"/>
        <v>270</v>
      </c>
      <c r="N174" s="5">
        <f t="shared" si="35"/>
        <v>13800</v>
      </c>
      <c r="AF174" s="1">
        <v>45099</v>
      </c>
      <c r="AG174">
        <f t="shared" si="32"/>
        <v>270</v>
      </c>
    </row>
    <row r="175" spans="1:33" x14ac:dyDescent="0.25">
      <c r="A175" s="1">
        <v>45100</v>
      </c>
      <c r="B175" t="s">
        <v>4</v>
      </c>
      <c r="C175">
        <f t="shared" si="29"/>
        <v>0.9</v>
      </c>
      <c r="D175">
        <f t="shared" si="30"/>
        <v>5</v>
      </c>
      <c r="F175">
        <f t="shared" si="33"/>
        <v>2050</v>
      </c>
      <c r="G175">
        <f t="shared" si="24"/>
        <v>2050</v>
      </c>
      <c r="H175">
        <f t="shared" si="25"/>
        <v>9</v>
      </c>
      <c r="I175">
        <f t="shared" si="26"/>
        <v>270</v>
      </c>
      <c r="J175" s="3">
        <f t="shared" si="27"/>
        <v>2320</v>
      </c>
      <c r="K175">
        <f t="shared" si="28"/>
        <v>0</v>
      </c>
      <c r="L175" s="4">
        <f t="shared" si="34"/>
        <v>11750</v>
      </c>
      <c r="M175">
        <f t="shared" si="31"/>
        <v>270</v>
      </c>
      <c r="N175" s="5">
        <f t="shared" si="35"/>
        <v>14070</v>
      </c>
      <c r="AF175" s="1">
        <v>45100</v>
      </c>
      <c r="AG175">
        <f t="shared" si="32"/>
        <v>270</v>
      </c>
    </row>
    <row r="176" spans="1:33" x14ac:dyDescent="0.25">
      <c r="A176" s="1">
        <v>45101</v>
      </c>
      <c r="B176" t="s">
        <v>4</v>
      </c>
      <c r="C176">
        <f t="shared" si="29"/>
        <v>0.9</v>
      </c>
      <c r="D176">
        <f t="shared" si="30"/>
        <v>6</v>
      </c>
      <c r="F176">
        <f t="shared" si="33"/>
        <v>2320</v>
      </c>
      <c r="G176">
        <f t="shared" si="24"/>
        <v>2320</v>
      </c>
      <c r="H176">
        <f t="shared" si="25"/>
        <v>9</v>
      </c>
      <c r="I176">
        <f t="shared" si="26"/>
        <v>270</v>
      </c>
      <c r="J176" s="3">
        <f t="shared" si="27"/>
        <v>2320</v>
      </c>
      <c r="K176">
        <f t="shared" si="28"/>
        <v>0</v>
      </c>
      <c r="L176" s="4">
        <f t="shared" si="34"/>
        <v>11750</v>
      </c>
      <c r="M176">
        <f t="shared" si="31"/>
        <v>0</v>
      </c>
      <c r="N176" s="5">
        <f t="shared" si="35"/>
        <v>14070</v>
      </c>
      <c r="AF176" s="1">
        <v>45101</v>
      </c>
      <c r="AG176">
        <f t="shared" si="32"/>
        <v>0</v>
      </c>
    </row>
    <row r="177" spans="1:33" x14ac:dyDescent="0.25">
      <c r="A177" s="1">
        <v>45102</v>
      </c>
      <c r="B177" t="s">
        <v>4</v>
      </c>
      <c r="C177">
        <f t="shared" si="29"/>
        <v>0.9</v>
      </c>
      <c r="D177">
        <f t="shared" si="30"/>
        <v>7</v>
      </c>
      <c r="F177">
        <f t="shared" si="33"/>
        <v>2320</v>
      </c>
      <c r="G177">
        <f t="shared" si="24"/>
        <v>2170</v>
      </c>
      <c r="H177">
        <f t="shared" si="25"/>
        <v>9</v>
      </c>
      <c r="I177">
        <f t="shared" si="26"/>
        <v>270</v>
      </c>
      <c r="J177" s="3">
        <f t="shared" si="27"/>
        <v>2170</v>
      </c>
      <c r="K177">
        <f t="shared" si="28"/>
        <v>150</v>
      </c>
      <c r="L177" s="4">
        <f t="shared" si="34"/>
        <v>11900</v>
      </c>
      <c r="M177">
        <f t="shared" si="31"/>
        <v>0</v>
      </c>
      <c r="N177" s="5">
        <f t="shared" si="35"/>
        <v>14070</v>
      </c>
      <c r="AF177" s="1">
        <v>45102</v>
      </c>
      <c r="AG177">
        <f t="shared" si="32"/>
        <v>-150</v>
      </c>
    </row>
    <row r="178" spans="1:33" x14ac:dyDescent="0.25">
      <c r="A178" s="1">
        <v>45103</v>
      </c>
      <c r="B178" t="s">
        <v>4</v>
      </c>
      <c r="C178">
        <f t="shared" si="29"/>
        <v>0.9</v>
      </c>
      <c r="D178">
        <f t="shared" si="30"/>
        <v>1</v>
      </c>
      <c r="F178">
        <f t="shared" si="33"/>
        <v>2170</v>
      </c>
      <c r="G178">
        <f t="shared" si="24"/>
        <v>2170</v>
      </c>
      <c r="H178">
        <f t="shared" si="25"/>
        <v>9</v>
      </c>
      <c r="I178">
        <f t="shared" si="26"/>
        <v>270</v>
      </c>
      <c r="J178" s="3">
        <f t="shared" si="27"/>
        <v>2440</v>
      </c>
      <c r="K178">
        <f t="shared" si="28"/>
        <v>0</v>
      </c>
      <c r="L178" s="4">
        <f t="shared" si="34"/>
        <v>11900</v>
      </c>
      <c r="M178">
        <f t="shared" si="31"/>
        <v>270</v>
      </c>
      <c r="N178" s="5">
        <f t="shared" si="35"/>
        <v>14340</v>
      </c>
      <c r="AF178" s="1">
        <v>45103</v>
      </c>
      <c r="AG178">
        <f t="shared" si="32"/>
        <v>270</v>
      </c>
    </row>
    <row r="179" spans="1:33" x14ac:dyDescent="0.25">
      <c r="A179" s="1">
        <v>45104</v>
      </c>
      <c r="B179" t="s">
        <v>4</v>
      </c>
      <c r="C179">
        <f t="shared" si="29"/>
        <v>0.9</v>
      </c>
      <c r="D179">
        <f t="shared" si="30"/>
        <v>2</v>
      </c>
      <c r="F179">
        <f t="shared" si="33"/>
        <v>2440</v>
      </c>
      <c r="G179">
        <f t="shared" si="24"/>
        <v>2440</v>
      </c>
      <c r="H179">
        <f t="shared" si="25"/>
        <v>9</v>
      </c>
      <c r="I179">
        <f t="shared" si="26"/>
        <v>270</v>
      </c>
      <c r="J179" s="3">
        <f t="shared" si="27"/>
        <v>2710</v>
      </c>
      <c r="K179">
        <f t="shared" si="28"/>
        <v>0</v>
      </c>
      <c r="L179" s="4">
        <f t="shared" si="34"/>
        <v>11900</v>
      </c>
      <c r="M179">
        <f t="shared" si="31"/>
        <v>270</v>
      </c>
      <c r="N179" s="5">
        <f t="shared" si="35"/>
        <v>14610</v>
      </c>
      <c r="AF179" s="1">
        <v>45104</v>
      </c>
      <c r="AG179">
        <f t="shared" si="32"/>
        <v>270</v>
      </c>
    </row>
    <row r="180" spans="1:33" x14ac:dyDescent="0.25">
      <c r="A180" s="1">
        <v>45105</v>
      </c>
      <c r="B180" t="s">
        <v>4</v>
      </c>
      <c r="C180">
        <f t="shared" si="29"/>
        <v>0.9</v>
      </c>
      <c r="D180">
        <f t="shared" si="30"/>
        <v>3</v>
      </c>
      <c r="F180">
        <f t="shared" si="33"/>
        <v>2710</v>
      </c>
      <c r="G180">
        <f t="shared" si="24"/>
        <v>2710</v>
      </c>
      <c r="H180">
        <f t="shared" si="25"/>
        <v>9</v>
      </c>
      <c r="I180">
        <f t="shared" si="26"/>
        <v>270</v>
      </c>
      <c r="J180" s="3">
        <f t="shared" si="27"/>
        <v>2980</v>
      </c>
      <c r="K180">
        <f t="shared" si="28"/>
        <v>0</v>
      </c>
      <c r="L180" s="4">
        <f t="shared" si="34"/>
        <v>11900</v>
      </c>
      <c r="M180">
        <f t="shared" si="31"/>
        <v>270</v>
      </c>
      <c r="N180" s="5">
        <f t="shared" si="35"/>
        <v>14880</v>
      </c>
      <c r="AF180" s="1">
        <v>45105</v>
      </c>
      <c r="AG180">
        <f t="shared" si="32"/>
        <v>270</v>
      </c>
    </row>
    <row r="181" spans="1:33" x14ac:dyDescent="0.25">
      <c r="A181" s="1">
        <v>45106</v>
      </c>
      <c r="B181" t="s">
        <v>4</v>
      </c>
      <c r="C181">
        <f t="shared" si="29"/>
        <v>0.9</v>
      </c>
      <c r="D181">
        <f t="shared" si="30"/>
        <v>4</v>
      </c>
      <c r="F181">
        <f t="shared" si="33"/>
        <v>2980</v>
      </c>
      <c r="G181">
        <f t="shared" si="24"/>
        <v>2980</v>
      </c>
      <c r="H181">
        <f t="shared" si="25"/>
        <v>9</v>
      </c>
      <c r="I181">
        <f t="shared" si="26"/>
        <v>270</v>
      </c>
      <c r="J181" s="3">
        <f t="shared" si="27"/>
        <v>3250</v>
      </c>
      <c r="K181">
        <f t="shared" si="28"/>
        <v>0</v>
      </c>
      <c r="L181" s="4">
        <f t="shared" si="34"/>
        <v>11900</v>
      </c>
      <c r="M181">
        <f t="shared" si="31"/>
        <v>270</v>
      </c>
      <c r="N181" s="5">
        <f t="shared" si="35"/>
        <v>15150</v>
      </c>
      <c r="AF181" s="1">
        <v>45106</v>
      </c>
      <c r="AG181">
        <f t="shared" si="32"/>
        <v>270</v>
      </c>
    </row>
    <row r="182" spans="1:33" x14ac:dyDescent="0.25">
      <c r="A182" s="1">
        <v>45107</v>
      </c>
      <c r="B182" t="s">
        <v>4</v>
      </c>
      <c r="C182">
        <f t="shared" si="29"/>
        <v>0.9</v>
      </c>
      <c r="D182">
        <f t="shared" si="30"/>
        <v>5</v>
      </c>
      <c r="F182">
        <f t="shared" si="33"/>
        <v>3250</v>
      </c>
      <c r="G182">
        <f t="shared" si="24"/>
        <v>3250</v>
      </c>
      <c r="H182">
        <f t="shared" si="25"/>
        <v>9</v>
      </c>
      <c r="I182">
        <f t="shared" si="26"/>
        <v>270</v>
      </c>
      <c r="J182" s="3">
        <f t="shared" si="27"/>
        <v>3520</v>
      </c>
      <c r="K182">
        <f t="shared" si="28"/>
        <v>0</v>
      </c>
      <c r="L182" s="4">
        <f t="shared" si="34"/>
        <v>11900</v>
      </c>
      <c r="M182">
        <f t="shared" si="31"/>
        <v>270</v>
      </c>
      <c r="N182" s="5">
        <f t="shared" si="35"/>
        <v>15420</v>
      </c>
      <c r="AF182" s="1">
        <v>45107</v>
      </c>
      <c r="AG182">
        <f t="shared" si="32"/>
        <v>270</v>
      </c>
    </row>
    <row r="183" spans="1:33" x14ac:dyDescent="0.25">
      <c r="A183" s="1">
        <v>45108</v>
      </c>
      <c r="B183" t="s">
        <v>4</v>
      </c>
      <c r="C183">
        <f t="shared" si="29"/>
        <v>0.9</v>
      </c>
      <c r="D183">
        <f t="shared" si="30"/>
        <v>6</v>
      </c>
      <c r="F183">
        <f t="shared" si="33"/>
        <v>3520</v>
      </c>
      <c r="G183">
        <f t="shared" si="24"/>
        <v>3520</v>
      </c>
      <c r="H183">
        <f t="shared" si="25"/>
        <v>9</v>
      </c>
      <c r="I183">
        <f t="shared" si="26"/>
        <v>270</v>
      </c>
      <c r="J183" s="3">
        <f t="shared" si="27"/>
        <v>3520</v>
      </c>
      <c r="K183">
        <f t="shared" si="28"/>
        <v>0</v>
      </c>
      <c r="L183" s="4">
        <f t="shared" si="34"/>
        <v>11900</v>
      </c>
      <c r="M183">
        <f t="shared" si="31"/>
        <v>0</v>
      </c>
      <c r="N183" s="5">
        <f t="shared" si="35"/>
        <v>15420</v>
      </c>
      <c r="AF183" s="1">
        <v>45108</v>
      </c>
      <c r="AG183">
        <f t="shared" si="32"/>
        <v>0</v>
      </c>
    </row>
    <row r="184" spans="1:33" x14ac:dyDescent="0.25">
      <c r="A184" s="1">
        <v>45109</v>
      </c>
      <c r="B184" t="s">
        <v>4</v>
      </c>
      <c r="C184">
        <f t="shared" si="29"/>
        <v>0.9</v>
      </c>
      <c r="D184">
        <f t="shared" si="30"/>
        <v>7</v>
      </c>
      <c r="F184">
        <f t="shared" si="33"/>
        <v>3520</v>
      </c>
      <c r="G184">
        <f t="shared" si="24"/>
        <v>3370</v>
      </c>
      <c r="H184">
        <f t="shared" si="25"/>
        <v>9</v>
      </c>
      <c r="I184">
        <f t="shared" si="26"/>
        <v>270</v>
      </c>
      <c r="J184" s="3">
        <f t="shared" si="27"/>
        <v>3370</v>
      </c>
      <c r="K184">
        <f t="shared" si="28"/>
        <v>150</v>
      </c>
      <c r="L184" s="4">
        <f t="shared" si="34"/>
        <v>12050</v>
      </c>
      <c r="M184">
        <f t="shared" si="31"/>
        <v>0</v>
      </c>
      <c r="N184" s="5">
        <f t="shared" si="35"/>
        <v>15420</v>
      </c>
      <c r="AF184" s="1">
        <v>45109</v>
      </c>
      <c r="AG184">
        <f t="shared" si="32"/>
        <v>-150</v>
      </c>
    </row>
    <row r="185" spans="1:33" x14ac:dyDescent="0.25">
      <c r="A185" s="1">
        <v>45110</v>
      </c>
      <c r="B185" t="s">
        <v>4</v>
      </c>
      <c r="C185">
        <f t="shared" si="29"/>
        <v>0.9</v>
      </c>
      <c r="D185">
        <f t="shared" si="30"/>
        <v>1</v>
      </c>
      <c r="F185">
        <f t="shared" si="33"/>
        <v>3370</v>
      </c>
      <c r="G185">
        <f t="shared" si="24"/>
        <v>3370</v>
      </c>
      <c r="H185">
        <f t="shared" si="25"/>
        <v>9</v>
      </c>
      <c r="I185">
        <f t="shared" si="26"/>
        <v>270</v>
      </c>
      <c r="J185" s="3">
        <f t="shared" si="27"/>
        <v>3640</v>
      </c>
      <c r="K185">
        <f t="shared" si="28"/>
        <v>0</v>
      </c>
      <c r="L185" s="4">
        <f t="shared" si="34"/>
        <v>12050</v>
      </c>
      <c r="M185">
        <f t="shared" si="31"/>
        <v>270</v>
      </c>
      <c r="N185" s="5">
        <f t="shared" si="35"/>
        <v>15690</v>
      </c>
      <c r="AF185" s="1">
        <v>45110</v>
      </c>
      <c r="AG185">
        <f t="shared" si="32"/>
        <v>270</v>
      </c>
    </row>
    <row r="186" spans="1:33" x14ac:dyDescent="0.25">
      <c r="A186" s="1">
        <v>45111</v>
      </c>
      <c r="B186" t="s">
        <v>4</v>
      </c>
      <c r="C186">
        <f t="shared" si="29"/>
        <v>0.9</v>
      </c>
      <c r="D186">
        <f t="shared" si="30"/>
        <v>2</v>
      </c>
      <c r="F186">
        <f t="shared" si="33"/>
        <v>3640</v>
      </c>
      <c r="G186">
        <f t="shared" si="24"/>
        <v>3640</v>
      </c>
      <c r="H186">
        <f t="shared" si="25"/>
        <v>9</v>
      </c>
      <c r="I186">
        <f t="shared" si="26"/>
        <v>270</v>
      </c>
      <c r="J186" s="3">
        <f t="shared" si="27"/>
        <v>3910</v>
      </c>
      <c r="K186">
        <f t="shared" si="28"/>
        <v>0</v>
      </c>
      <c r="L186" s="4">
        <f t="shared" si="34"/>
        <v>12050</v>
      </c>
      <c r="M186">
        <f t="shared" si="31"/>
        <v>270</v>
      </c>
      <c r="N186" s="5">
        <f t="shared" si="35"/>
        <v>15960</v>
      </c>
      <c r="AF186" s="1">
        <v>45111</v>
      </c>
      <c r="AG186">
        <f t="shared" si="32"/>
        <v>270</v>
      </c>
    </row>
    <row r="187" spans="1:33" x14ac:dyDescent="0.25">
      <c r="A187" s="1">
        <v>45112</v>
      </c>
      <c r="B187" t="s">
        <v>4</v>
      </c>
      <c r="C187">
        <f t="shared" si="29"/>
        <v>0.9</v>
      </c>
      <c r="D187">
        <f t="shared" si="30"/>
        <v>3</v>
      </c>
      <c r="F187">
        <f t="shared" si="33"/>
        <v>3910</v>
      </c>
      <c r="G187">
        <f t="shared" si="24"/>
        <v>3910</v>
      </c>
      <c r="H187">
        <f t="shared" si="25"/>
        <v>9</v>
      </c>
      <c r="I187">
        <f t="shared" si="26"/>
        <v>270</v>
      </c>
      <c r="J187" s="3">
        <f t="shared" si="27"/>
        <v>4180</v>
      </c>
      <c r="K187">
        <f t="shared" si="28"/>
        <v>0</v>
      </c>
      <c r="L187" s="4">
        <f t="shared" si="34"/>
        <v>12050</v>
      </c>
      <c r="M187">
        <f t="shared" si="31"/>
        <v>270</v>
      </c>
      <c r="N187" s="5">
        <f t="shared" si="35"/>
        <v>16230</v>
      </c>
      <c r="AF187" s="1">
        <v>45112</v>
      </c>
      <c r="AG187">
        <f t="shared" si="32"/>
        <v>270</v>
      </c>
    </row>
    <row r="188" spans="1:33" x14ac:dyDescent="0.25">
      <c r="A188" s="1">
        <v>45113</v>
      </c>
      <c r="B188" t="s">
        <v>4</v>
      </c>
      <c r="C188">
        <f t="shared" si="29"/>
        <v>0.9</v>
      </c>
      <c r="D188">
        <f t="shared" si="30"/>
        <v>4</v>
      </c>
      <c r="F188">
        <f t="shared" si="33"/>
        <v>4180</v>
      </c>
      <c r="G188">
        <f t="shared" si="24"/>
        <v>4180</v>
      </c>
      <c r="H188">
        <f t="shared" si="25"/>
        <v>9</v>
      </c>
      <c r="I188">
        <f t="shared" si="26"/>
        <v>270</v>
      </c>
      <c r="J188" s="3">
        <f t="shared" si="27"/>
        <v>4450</v>
      </c>
      <c r="K188">
        <f t="shared" si="28"/>
        <v>0</v>
      </c>
      <c r="L188" s="4">
        <f t="shared" si="34"/>
        <v>12050</v>
      </c>
      <c r="M188">
        <f t="shared" si="31"/>
        <v>270</v>
      </c>
      <c r="N188" s="5">
        <f t="shared" si="35"/>
        <v>16500</v>
      </c>
      <c r="AF188" s="1">
        <v>45113</v>
      </c>
      <c r="AG188">
        <f t="shared" si="32"/>
        <v>270</v>
      </c>
    </row>
    <row r="189" spans="1:33" x14ac:dyDescent="0.25">
      <c r="A189" s="1">
        <v>45114</v>
      </c>
      <c r="B189" t="s">
        <v>4</v>
      </c>
      <c r="C189">
        <f t="shared" si="29"/>
        <v>0.9</v>
      </c>
      <c r="D189">
        <f t="shared" si="30"/>
        <v>5</v>
      </c>
      <c r="F189">
        <f t="shared" si="33"/>
        <v>4450</v>
      </c>
      <c r="G189">
        <f t="shared" si="24"/>
        <v>4450</v>
      </c>
      <c r="H189">
        <f t="shared" si="25"/>
        <v>9</v>
      </c>
      <c r="I189">
        <f t="shared" si="26"/>
        <v>270</v>
      </c>
      <c r="J189" s="3">
        <f t="shared" si="27"/>
        <v>4720</v>
      </c>
      <c r="K189">
        <f t="shared" si="28"/>
        <v>0</v>
      </c>
      <c r="L189" s="4">
        <f t="shared" si="34"/>
        <v>12050</v>
      </c>
      <c r="M189">
        <f t="shared" si="31"/>
        <v>270</v>
      </c>
      <c r="N189" s="5">
        <f t="shared" si="35"/>
        <v>16770</v>
      </c>
      <c r="AF189" s="1">
        <v>45114</v>
      </c>
      <c r="AG189">
        <f t="shared" si="32"/>
        <v>270</v>
      </c>
    </row>
    <row r="190" spans="1:33" x14ac:dyDescent="0.25">
      <c r="A190" s="1">
        <v>45115</v>
      </c>
      <c r="B190" t="s">
        <v>4</v>
      </c>
      <c r="C190">
        <f t="shared" si="29"/>
        <v>0.9</v>
      </c>
      <c r="D190">
        <f t="shared" si="30"/>
        <v>6</v>
      </c>
      <c r="F190">
        <f t="shared" si="33"/>
        <v>4720</v>
      </c>
      <c r="G190">
        <f t="shared" si="24"/>
        <v>4720</v>
      </c>
      <c r="H190">
        <f t="shared" si="25"/>
        <v>9</v>
      </c>
      <c r="I190">
        <f t="shared" si="26"/>
        <v>270</v>
      </c>
      <c r="J190" s="3">
        <f t="shared" si="27"/>
        <v>4720</v>
      </c>
      <c r="K190">
        <f t="shared" si="28"/>
        <v>0</v>
      </c>
      <c r="L190" s="4">
        <f t="shared" si="34"/>
        <v>12050</v>
      </c>
      <c r="M190">
        <f t="shared" si="31"/>
        <v>0</v>
      </c>
      <c r="N190" s="5">
        <f t="shared" si="35"/>
        <v>16770</v>
      </c>
      <c r="AF190" s="1">
        <v>45115</v>
      </c>
      <c r="AG190">
        <f t="shared" si="32"/>
        <v>0</v>
      </c>
    </row>
    <row r="191" spans="1:33" x14ac:dyDescent="0.25">
      <c r="A191" s="1">
        <v>45116</v>
      </c>
      <c r="B191" t="s">
        <v>4</v>
      </c>
      <c r="C191">
        <f t="shared" si="29"/>
        <v>0.9</v>
      </c>
      <c r="D191">
        <f t="shared" si="30"/>
        <v>7</v>
      </c>
      <c r="F191">
        <f t="shared" si="33"/>
        <v>4720</v>
      </c>
      <c r="G191">
        <f t="shared" si="24"/>
        <v>4570</v>
      </c>
      <c r="H191">
        <f t="shared" si="25"/>
        <v>9</v>
      </c>
      <c r="I191">
        <f t="shared" si="26"/>
        <v>270</v>
      </c>
      <c r="J191" s="3">
        <f t="shared" si="27"/>
        <v>4570</v>
      </c>
      <c r="K191">
        <f t="shared" si="28"/>
        <v>150</v>
      </c>
      <c r="L191" s="4">
        <f t="shared" si="34"/>
        <v>12200</v>
      </c>
      <c r="M191">
        <f t="shared" si="31"/>
        <v>0</v>
      </c>
      <c r="N191" s="5">
        <f t="shared" si="35"/>
        <v>16770</v>
      </c>
      <c r="AF191" s="1">
        <v>45116</v>
      </c>
      <c r="AG191">
        <f t="shared" si="32"/>
        <v>-150</v>
      </c>
    </row>
    <row r="192" spans="1:33" x14ac:dyDescent="0.25">
      <c r="A192" s="1">
        <v>45117</v>
      </c>
      <c r="B192" t="s">
        <v>4</v>
      </c>
      <c r="C192">
        <f t="shared" si="29"/>
        <v>0.9</v>
      </c>
      <c r="D192">
        <f t="shared" si="30"/>
        <v>1</v>
      </c>
      <c r="F192">
        <f t="shared" si="33"/>
        <v>4570</v>
      </c>
      <c r="G192">
        <f t="shared" si="24"/>
        <v>4570</v>
      </c>
      <c r="H192">
        <f t="shared" si="25"/>
        <v>9</v>
      </c>
      <c r="I192">
        <f t="shared" si="26"/>
        <v>270</v>
      </c>
      <c r="J192" s="3">
        <f t="shared" si="27"/>
        <v>4840</v>
      </c>
      <c r="K192">
        <f t="shared" si="28"/>
        <v>0</v>
      </c>
      <c r="L192" s="4">
        <f t="shared" si="34"/>
        <v>12200</v>
      </c>
      <c r="M192">
        <f t="shared" si="31"/>
        <v>270</v>
      </c>
      <c r="N192" s="5">
        <f t="shared" si="35"/>
        <v>17040</v>
      </c>
      <c r="AF192" s="1">
        <v>45117</v>
      </c>
      <c r="AG192">
        <f t="shared" si="32"/>
        <v>270</v>
      </c>
    </row>
    <row r="193" spans="1:33" x14ac:dyDescent="0.25">
      <c r="A193" s="1">
        <v>45118</v>
      </c>
      <c r="B193" t="s">
        <v>4</v>
      </c>
      <c r="C193">
        <f t="shared" si="29"/>
        <v>0.9</v>
      </c>
      <c r="D193">
        <f t="shared" si="30"/>
        <v>2</v>
      </c>
      <c r="F193">
        <f t="shared" si="33"/>
        <v>4840</v>
      </c>
      <c r="G193">
        <f t="shared" si="24"/>
        <v>4840</v>
      </c>
      <c r="H193">
        <f t="shared" si="25"/>
        <v>9</v>
      </c>
      <c r="I193">
        <f t="shared" si="26"/>
        <v>270</v>
      </c>
      <c r="J193" s="3">
        <f t="shared" si="27"/>
        <v>5110</v>
      </c>
      <c r="K193">
        <f t="shared" si="28"/>
        <v>0</v>
      </c>
      <c r="L193" s="4">
        <f t="shared" si="34"/>
        <v>12200</v>
      </c>
      <c r="M193">
        <f t="shared" si="31"/>
        <v>270</v>
      </c>
      <c r="N193" s="5">
        <f t="shared" si="35"/>
        <v>17310</v>
      </c>
      <c r="AF193" s="1">
        <v>45118</v>
      </c>
      <c r="AG193">
        <f t="shared" si="32"/>
        <v>270</v>
      </c>
    </row>
    <row r="194" spans="1:33" x14ac:dyDescent="0.25">
      <c r="A194" s="1">
        <v>45119</v>
      </c>
      <c r="B194" t="s">
        <v>4</v>
      </c>
      <c r="C194">
        <f t="shared" si="29"/>
        <v>0.9</v>
      </c>
      <c r="D194">
        <f t="shared" si="30"/>
        <v>3</v>
      </c>
      <c r="F194">
        <f t="shared" si="33"/>
        <v>5110</v>
      </c>
      <c r="G194">
        <f t="shared" ref="G194:G257" si="36">IF(D194=7,F194-150,F194)</f>
        <v>5110</v>
      </c>
      <c r="H194">
        <f t="shared" ref="H194:H257" si="37">ROUNDDOWN($AC$2*C194,0)</f>
        <v>9</v>
      </c>
      <c r="I194">
        <f t="shared" ref="I194:I257" si="38">H194*$AD$2</f>
        <v>270</v>
      </c>
      <c r="J194" s="3">
        <f t="shared" ref="J194:J257" si="39">IF(AND(D194&gt;=1,D194&lt;=5),G194+I194,G194)</f>
        <v>5380</v>
      </c>
      <c r="K194">
        <f t="shared" ref="K194:K257" si="40">IF(D194=7,150,0)</f>
        <v>0</v>
      </c>
      <c r="L194" s="4">
        <f t="shared" si="34"/>
        <v>12200</v>
      </c>
      <c r="M194">
        <f t="shared" si="31"/>
        <v>270</v>
      </c>
      <c r="N194" s="5">
        <f t="shared" si="35"/>
        <v>17580</v>
      </c>
      <c r="AF194" s="1">
        <v>45119</v>
      </c>
      <c r="AG194">
        <f t="shared" si="32"/>
        <v>270</v>
      </c>
    </row>
    <row r="195" spans="1:33" x14ac:dyDescent="0.25">
      <c r="A195" s="1">
        <v>45120</v>
      </c>
      <c r="B195" t="s">
        <v>4</v>
      </c>
      <c r="C195">
        <f t="shared" ref="C195:C258" si="41">IF(B195="zima",20%,IF(B195="wiosna",50%,IF(B195="lato",90%,40%)))</f>
        <v>0.9</v>
      </c>
      <c r="D195">
        <f t="shared" ref="D195:D258" si="42">WEEKDAY(A195,2)</f>
        <v>4</v>
      </c>
      <c r="F195">
        <f t="shared" si="33"/>
        <v>5380</v>
      </c>
      <c r="G195">
        <f t="shared" si="36"/>
        <v>5380</v>
      </c>
      <c r="H195">
        <f t="shared" si="37"/>
        <v>9</v>
      </c>
      <c r="I195">
        <f t="shared" si="38"/>
        <v>270</v>
      </c>
      <c r="J195" s="3">
        <f t="shared" si="39"/>
        <v>5650</v>
      </c>
      <c r="K195">
        <f t="shared" si="40"/>
        <v>0</v>
      </c>
      <c r="L195" s="4">
        <f t="shared" si="34"/>
        <v>12200</v>
      </c>
      <c r="M195">
        <f t="shared" ref="M195:M258" si="43">IF(AND(D195&gt;=1,D195&lt;=5),I195,0)</f>
        <v>270</v>
      </c>
      <c r="N195" s="5">
        <f t="shared" si="35"/>
        <v>17850</v>
      </c>
      <c r="AF195" s="1">
        <v>45120</v>
      </c>
      <c r="AG195">
        <f t="shared" ref="AG195:AG258" si="44">M195-K195</f>
        <v>270</v>
      </c>
    </row>
    <row r="196" spans="1:33" x14ac:dyDescent="0.25">
      <c r="A196" s="1">
        <v>45121</v>
      </c>
      <c r="B196" t="s">
        <v>4</v>
      </c>
      <c r="C196">
        <f t="shared" si="41"/>
        <v>0.9</v>
      </c>
      <c r="D196">
        <f t="shared" si="42"/>
        <v>5</v>
      </c>
      <c r="F196">
        <f t="shared" ref="F196:F259" si="45">J195</f>
        <v>5650</v>
      </c>
      <c r="G196">
        <f t="shared" si="36"/>
        <v>5650</v>
      </c>
      <c r="H196">
        <f t="shared" si="37"/>
        <v>9</v>
      </c>
      <c r="I196">
        <f t="shared" si="38"/>
        <v>270</v>
      </c>
      <c r="J196" s="3">
        <f t="shared" si="39"/>
        <v>5920</v>
      </c>
      <c r="K196">
        <f t="shared" si="40"/>
        <v>0</v>
      </c>
      <c r="L196" s="4">
        <f t="shared" ref="L196:L259" si="46">K196+L195</f>
        <v>12200</v>
      </c>
      <c r="M196">
        <f t="shared" si="43"/>
        <v>270</v>
      </c>
      <c r="N196" s="5">
        <f t="shared" ref="N196:N259" si="47">N195+M196</f>
        <v>18120</v>
      </c>
      <c r="AF196" s="1">
        <v>45121</v>
      </c>
      <c r="AG196">
        <f t="shared" si="44"/>
        <v>270</v>
      </c>
    </row>
    <row r="197" spans="1:33" x14ac:dyDescent="0.25">
      <c r="A197" s="1">
        <v>45122</v>
      </c>
      <c r="B197" t="s">
        <v>4</v>
      </c>
      <c r="C197">
        <f t="shared" si="41"/>
        <v>0.9</v>
      </c>
      <c r="D197">
        <f t="shared" si="42"/>
        <v>6</v>
      </c>
      <c r="F197">
        <f t="shared" si="45"/>
        <v>5920</v>
      </c>
      <c r="G197">
        <f t="shared" si="36"/>
        <v>5920</v>
      </c>
      <c r="H197">
        <f t="shared" si="37"/>
        <v>9</v>
      </c>
      <c r="I197">
        <f t="shared" si="38"/>
        <v>270</v>
      </c>
      <c r="J197" s="3">
        <f t="shared" si="39"/>
        <v>5920</v>
      </c>
      <c r="K197">
        <f t="shared" si="40"/>
        <v>0</v>
      </c>
      <c r="L197" s="4">
        <f t="shared" si="46"/>
        <v>12200</v>
      </c>
      <c r="M197">
        <f t="shared" si="43"/>
        <v>0</v>
      </c>
      <c r="N197" s="5">
        <f t="shared" si="47"/>
        <v>18120</v>
      </c>
      <c r="AF197" s="1">
        <v>45122</v>
      </c>
      <c r="AG197">
        <f t="shared" si="44"/>
        <v>0</v>
      </c>
    </row>
    <row r="198" spans="1:33" x14ac:dyDescent="0.25">
      <c r="A198" s="1">
        <v>45123</v>
      </c>
      <c r="B198" t="s">
        <v>4</v>
      </c>
      <c r="C198">
        <f t="shared" si="41"/>
        <v>0.9</v>
      </c>
      <c r="D198">
        <f t="shared" si="42"/>
        <v>7</v>
      </c>
      <c r="F198">
        <f t="shared" si="45"/>
        <v>5920</v>
      </c>
      <c r="G198">
        <f t="shared" si="36"/>
        <v>5770</v>
      </c>
      <c r="H198">
        <f t="shared" si="37"/>
        <v>9</v>
      </c>
      <c r="I198">
        <f t="shared" si="38"/>
        <v>270</v>
      </c>
      <c r="J198" s="3">
        <f t="shared" si="39"/>
        <v>5770</v>
      </c>
      <c r="K198">
        <f t="shared" si="40"/>
        <v>150</v>
      </c>
      <c r="L198" s="4">
        <f t="shared" si="46"/>
        <v>12350</v>
      </c>
      <c r="M198">
        <f t="shared" si="43"/>
        <v>0</v>
      </c>
      <c r="N198" s="5">
        <f t="shared" si="47"/>
        <v>18120</v>
      </c>
      <c r="AF198" s="1">
        <v>45123</v>
      </c>
      <c r="AG198">
        <f t="shared" si="44"/>
        <v>-150</v>
      </c>
    </row>
    <row r="199" spans="1:33" x14ac:dyDescent="0.25">
      <c r="A199" s="1">
        <v>45124</v>
      </c>
      <c r="B199" t="s">
        <v>4</v>
      </c>
      <c r="C199">
        <f t="shared" si="41"/>
        <v>0.9</v>
      </c>
      <c r="D199">
        <f t="shared" si="42"/>
        <v>1</v>
      </c>
      <c r="F199">
        <f t="shared" si="45"/>
        <v>5770</v>
      </c>
      <c r="G199">
        <f t="shared" si="36"/>
        <v>5770</v>
      </c>
      <c r="H199">
        <f t="shared" si="37"/>
        <v>9</v>
      </c>
      <c r="I199">
        <f t="shared" si="38"/>
        <v>270</v>
      </c>
      <c r="J199" s="3">
        <f t="shared" si="39"/>
        <v>6040</v>
      </c>
      <c r="K199">
        <f t="shared" si="40"/>
        <v>0</v>
      </c>
      <c r="L199" s="4">
        <f t="shared" si="46"/>
        <v>12350</v>
      </c>
      <c r="M199">
        <f t="shared" si="43"/>
        <v>270</v>
      </c>
      <c r="N199" s="5">
        <f t="shared" si="47"/>
        <v>18390</v>
      </c>
      <c r="AF199" s="1">
        <v>45124</v>
      </c>
      <c r="AG199">
        <f t="shared" si="44"/>
        <v>270</v>
      </c>
    </row>
    <row r="200" spans="1:33" x14ac:dyDescent="0.25">
      <c r="A200" s="1">
        <v>45125</v>
      </c>
      <c r="B200" t="s">
        <v>4</v>
      </c>
      <c r="C200">
        <f t="shared" si="41"/>
        <v>0.9</v>
      </c>
      <c r="D200">
        <f t="shared" si="42"/>
        <v>2</v>
      </c>
      <c r="F200">
        <f t="shared" si="45"/>
        <v>6040</v>
      </c>
      <c r="G200">
        <f t="shared" si="36"/>
        <v>6040</v>
      </c>
      <c r="H200">
        <f t="shared" si="37"/>
        <v>9</v>
      </c>
      <c r="I200">
        <f t="shared" si="38"/>
        <v>270</v>
      </c>
      <c r="J200" s="3">
        <f t="shared" si="39"/>
        <v>6310</v>
      </c>
      <c r="K200">
        <f t="shared" si="40"/>
        <v>0</v>
      </c>
      <c r="L200" s="4">
        <f t="shared" si="46"/>
        <v>12350</v>
      </c>
      <c r="M200">
        <f t="shared" si="43"/>
        <v>270</v>
      </c>
      <c r="N200" s="5">
        <f t="shared" si="47"/>
        <v>18660</v>
      </c>
      <c r="AF200" s="1">
        <v>45125</v>
      </c>
      <c r="AG200">
        <f t="shared" si="44"/>
        <v>270</v>
      </c>
    </row>
    <row r="201" spans="1:33" x14ac:dyDescent="0.25">
      <c r="A201" s="1">
        <v>45126</v>
      </c>
      <c r="B201" t="s">
        <v>4</v>
      </c>
      <c r="C201">
        <f t="shared" si="41"/>
        <v>0.9</v>
      </c>
      <c r="D201">
        <f t="shared" si="42"/>
        <v>3</v>
      </c>
      <c r="F201">
        <f t="shared" si="45"/>
        <v>6310</v>
      </c>
      <c r="G201">
        <f t="shared" si="36"/>
        <v>6310</v>
      </c>
      <c r="H201">
        <f t="shared" si="37"/>
        <v>9</v>
      </c>
      <c r="I201">
        <f t="shared" si="38"/>
        <v>270</v>
      </c>
      <c r="J201" s="3">
        <f t="shared" si="39"/>
        <v>6580</v>
      </c>
      <c r="K201">
        <f t="shared" si="40"/>
        <v>0</v>
      </c>
      <c r="L201" s="4">
        <f t="shared" si="46"/>
        <v>12350</v>
      </c>
      <c r="M201">
        <f t="shared" si="43"/>
        <v>270</v>
      </c>
      <c r="N201" s="5">
        <f t="shared" si="47"/>
        <v>18930</v>
      </c>
      <c r="AF201" s="1">
        <v>45126</v>
      </c>
      <c r="AG201">
        <f t="shared" si="44"/>
        <v>270</v>
      </c>
    </row>
    <row r="202" spans="1:33" x14ac:dyDescent="0.25">
      <c r="A202" s="1">
        <v>45127</v>
      </c>
      <c r="B202" t="s">
        <v>4</v>
      </c>
      <c r="C202">
        <f t="shared" si="41"/>
        <v>0.9</v>
      </c>
      <c r="D202">
        <f t="shared" si="42"/>
        <v>4</v>
      </c>
      <c r="F202">
        <f t="shared" si="45"/>
        <v>6580</v>
      </c>
      <c r="G202">
        <f t="shared" si="36"/>
        <v>6580</v>
      </c>
      <c r="H202">
        <f t="shared" si="37"/>
        <v>9</v>
      </c>
      <c r="I202">
        <f t="shared" si="38"/>
        <v>270</v>
      </c>
      <c r="J202" s="3">
        <f t="shared" si="39"/>
        <v>6850</v>
      </c>
      <c r="K202">
        <f t="shared" si="40"/>
        <v>0</v>
      </c>
      <c r="L202" s="4">
        <f t="shared" si="46"/>
        <v>12350</v>
      </c>
      <c r="M202">
        <f t="shared" si="43"/>
        <v>270</v>
      </c>
      <c r="N202" s="5">
        <f t="shared" si="47"/>
        <v>19200</v>
      </c>
      <c r="AF202" s="1">
        <v>45127</v>
      </c>
      <c r="AG202">
        <f t="shared" si="44"/>
        <v>270</v>
      </c>
    </row>
    <row r="203" spans="1:33" x14ac:dyDescent="0.25">
      <c r="A203" s="1">
        <v>45128</v>
      </c>
      <c r="B203" t="s">
        <v>4</v>
      </c>
      <c r="C203">
        <f t="shared" si="41"/>
        <v>0.9</v>
      </c>
      <c r="D203">
        <f t="shared" si="42"/>
        <v>5</v>
      </c>
      <c r="F203">
        <f t="shared" si="45"/>
        <v>6850</v>
      </c>
      <c r="G203">
        <f t="shared" si="36"/>
        <v>6850</v>
      </c>
      <c r="H203">
        <f t="shared" si="37"/>
        <v>9</v>
      </c>
      <c r="I203">
        <f t="shared" si="38"/>
        <v>270</v>
      </c>
      <c r="J203" s="3">
        <f t="shared" si="39"/>
        <v>7120</v>
      </c>
      <c r="K203">
        <f t="shared" si="40"/>
        <v>0</v>
      </c>
      <c r="L203" s="4">
        <f t="shared" si="46"/>
        <v>12350</v>
      </c>
      <c r="M203">
        <f t="shared" si="43"/>
        <v>270</v>
      </c>
      <c r="N203" s="5">
        <f t="shared" si="47"/>
        <v>19470</v>
      </c>
      <c r="AF203" s="1">
        <v>45128</v>
      </c>
      <c r="AG203">
        <f t="shared" si="44"/>
        <v>270</v>
      </c>
    </row>
    <row r="204" spans="1:33" x14ac:dyDescent="0.25">
      <c r="A204" s="1">
        <v>45129</v>
      </c>
      <c r="B204" t="s">
        <v>4</v>
      </c>
      <c r="C204">
        <f t="shared" si="41"/>
        <v>0.9</v>
      </c>
      <c r="D204">
        <f t="shared" si="42"/>
        <v>6</v>
      </c>
      <c r="F204">
        <f t="shared" si="45"/>
        <v>7120</v>
      </c>
      <c r="G204">
        <f t="shared" si="36"/>
        <v>7120</v>
      </c>
      <c r="H204">
        <f t="shared" si="37"/>
        <v>9</v>
      </c>
      <c r="I204">
        <f t="shared" si="38"/>
        <v>270</v>
      </c>
      <c r="J204" s="3">
        <f t="shared" si="39"/>
        <v>7120</v>
      </c>
      <c r="K204">
        <f t="shared" si="40"/>
        <v>0</v>
      </c>
      <c r="L204" s="4">
        <f t="shared" si="46"/>
        <v>12350</v>
      </c>
      <c r="M204">
        <f t="shared" si="43"/>
        <v>0</v>
      </c>
      <c r="N204" s="5">
        <f t="shared" si="47"/>
        <v>19470</v>
      </c>
      <c r="AF204" s="1">
        <v>45129</v>
      </c>
      <c r="AG204">
        <f t="shared" si="44"/>
        <v>0</v>
      </c>
    </row>
    <row r="205" spans="1:33" x14ac:dyDescent="0.25">
      <c r="A205" s="1">
        <v>45130</v>
      </c>
      <c r="B205" t="s">
        <v>4</v>
      </c>
      <c r="C205">
        <f t="shared" si="41"/>
        <v>0.9</v>
      </c>
      <c r="D205">
        <f t="shared" si="42"/>
        <v>7</v>
      </c>
      <c r="F205">
        <f t="shared" si="45"/>
        <v>7120</v>
      </c>
      <c r="G205">
        <f t="shared" si="36"/>
        <v>6970</v>
      </c>
      <c r="H205">
        <f t="shared" si="37"/>
        <v>9</v>
      </c>
      <c r="I205">
        <f t="shared" si="38"/>
        <v>270</v>
      </c>
      <c r="J205" s="3">
        <f t="shared" si="39"/>
        <v>6970</v>
      </c>
      <c r="K205">
        <f t="shared" si="40"/>
        <v>150</v>
      </c>
      <c r="L205" s="4">
        <f t="shared" si="46"/>
        <v>12500</v>
      </c>
      <c r="M205">
        <f t="shared" si="43"/>
        <v>0</v>
      </c>
      <c r="N205" s="5">
        <f t="shared" si="47"/>
        <v>19470</v>
      </c>
      <c r="AF205" s="1">
        <v>45130</v>
      </c>
      <c r="AG205">
        <f t="shared" si="44"/>
        <v>-150</v>
      </c>
    </row>
    <row r="206" spans="1:33" x14ac:dyDescent="0.25">
      <c r="A206" s="1">
        <v>45131</v>
      </c>
      <c r="B206" t="s">
        <v>4</v>
      </c>
      <c r="C206">
        <f t="shared" si="41"/>
        <v>0.9</v>
      </c>
      <c r="D206">
        <f t="shared" si="42"/>
        <v>1</v>
      </c>
      <c r="F206">
        <f t="shared" si="45"/>
        <v>6970</v>
      </c>
      <c r="G206">
        <f t="shared" si="36"/>
        <v>6970</v>
      </c>
      <c r="H206">
        <f t="shared" si="37"/>
        <v>9</v>
      </c>
      <c r="I206">
        <f t="shared" si="38"/>
        <v>270</v>
      </c>
      <c r="J206" s="3">
        <f t="shared" si="39"/>
        <v>7240</v>
      </c>
      <c r="K206">
        <f t="shared" si="40"/>
        <v>0</v>
      </c>
      <c r="L206" s="4">
        <f t="shared" si="46"/>
        <v>12500</v>
      </c>
      <c r="M206">
        <f t="shared" si="43"/>
        <v>270</v>
      </c>
      <c r="N206" s="5">
        <f t="shared" si="47"/>
        <v>19740</v>
      </c>
      <c r="AF206" s="1">
        <v>45131</v>
      </c>
      <c r="AG206">
        <f t="shared" si="44"/>
        <v>270</v>
      </c>
    </row>
    <row r="207" spans="1:33" x14ac:dyDescent="0.25">
      <c r="A207" s="1">
        <v>45132</v>
      </c>
      <c r="B207" t="s">
        <v>4</v>
      </c>
      <c r="C207">
        <f t="shared" si="41"/>
        <v>0.9</v>
      </c>
      <c r="D207">
        <f t="shared" si="42"/>
        <v>2</v>
      </c>
      <c r="F207">
        <f t="shared" si="45"/>
        <v>7240</v>
      </c>
      <c r="G207">
        <f t="shared" si="36"/>
        <v>7240</v>
      </c>
      <c r="H207">
        <f t="shared" si="37"/>
        <v>9</v>
      </c>
      <c r="I207">
        <f t="shared" si="38"/>
        <v>270</v>
      </c>
      <c r="J207" s="3">
        <f t="shared" si="39"/>
        <v>7510</v>
      </c>
      <c r="K207">
        <f t="shared" si="40"/>
        <v>0</v>
      </c>
      <c r="L207" s="4">
        <f t="shared" si="46"/>
        <v>12500</v>
      </c>
      <c r="M207">
        <f t="shared" si="43"/>
        <v>270</v>
      </c>
      <c r="N207" s="5">
        <f t="shared" si="47"/>
        <v>20010</v>
      </c>
      <c r="AF207" s="1">
        <v>45132</v>
      </c>
      <c r="AG207">
        <f t="shared" si="44"/>
        <v>270</v>
      </c>
    </row>
    <row r="208" spans="1:33" x14ac:dyDescent="0.25">
      <c r="A208" s="1">
        <v>45133</v>
      </c>
      <c r="B208" t="s">
        <v>4</v>
      </c>
      <c r="C208">
        <f t="shared" si="41"/>
        <v>0.9</v>
      </c>
      <c r="D208">
        <f t="shared" si="42"/>
        <v>3</v>
      </c>
      <c r="F208">
        <f t="shared" si="45"/>
        <v>7510</v>
      </c>
      <c r="G208">
        <f t="shared" si="36"/>
        <v>7510</v>
      </c>
      <c r="H208">
        <f t="shared" si="37"/>
        <v>9</v>
      </c>
      <c r="I208">
        <f t="shared" si="38"/>
        <v>270</v>
      </c>
      <c r="J208" s="3">
        <f t="shared" si="39"/>
        <v>7780</v>
      </c>
      <c r="K208">
        <f t="shared" si="40"/>
        <v>0</v>
      </c>
      <c r="L208" s="4">
        <f t="shared" si="46"/>
        <v>12500</v>
      </c>
      <c r="M208">
        <f t="shared" si="43"/>
        <v>270</v>
      </c>
      <c r="N208" s="5">
        <f t="shared" si="47"/>
        <v>20280</v>
      </c>
      <c r="AF208" s="1">
        <v>45133</v>
      </c>
      <c r="AG208">
        <f t="shared" si="44"/>
        <v>270</v>
      </c>
    </row>
    <row r="209" spans="1:33" x14ac:dyDescent="0.25">
      <c r="A209" s="1">
        <v>45134</v>
      </c>
      <c r="B209" t="s">
        <v>4</v>
      </c>
      <c r="C209">
        <f t="shared" si="41"/>
        <v>0.9</v>
      </c>
      <c r="D209">
        <f t="shared" si="42"/>
        <v>4</v>
      </c>
      <c r="F209">
        <f t="shared" si="45"/>
        <v>7780</v>
      </c>
      <c r="G209">
        <f t="shared" si="36"/>
        <v>7780</v>
      </c>
      <c r="H209">
        <f t="shared" si="37"/>
        <v>9</v>
      </c>
      <c r="I209">
        <f t="shared" si="38"/>
        <v>270</v>
      </c>
      <c r="J209" s="3">
        <f t="shared" si="39"/>
        <v>8050</v>
      </c>
      <c r="K209">
        <f t="shared" si="40"/>
        <v>0</v>
      </c>
      <c r="L209" s="4">
        <f t="shared" si="46"/>
        <v>12500</v>
      </c>
      <c r="M209">
        <f t="shared" si="43"/>
        <v>270</v>
      </c>
      <c r="N209" s="5">
        <f t="shared" si="47"/>
        <v>20550</v>
      </c>
      <c r="AF209" s="1">
        <v>45134</v>
      </c>
      <c r="AG209">
        <f t="shared" si="44"/>
        <v>270</v>
      </c>
    </row>
    <row r="210" spans="1:33" x14ac:dyDescent="0.25">
      <c r="A210" s="1">
        <v>45135</v>
      </c>
      <c r="B210" t="s">
        <v>4</v>
      </c>
      <c r="C210">
        <f t="shared" si="41"/>
        <v>0.9</v>
      </c>
      <c r="D210">
        <f t="shared" si="42"/>
        <v>5</v>
      </c>
      <c r="F210">
        <f t="shared" si="45"/>
        <v>8050</v>
      </c>
      <c r="G210">
        <f t="shared" si="36"/>
        <v>8050</v>
      </c>
      <c r="H210">
        <f t="shared" si="37"/>
        <v>9</v>
      </c>
      <c r="I210">
        <f t="shared" si="38"/>
        <v>270</v>
      </c>
      <c r="J210" s="3">
        <f t="shared" si="39"/>
        <v>8320</v>
      </c>
      <c r="K210">
        <f t="shared" si="40"/>
        <v>0</v>
      </c>
      <c r="L210" s="4">
        <f t="shared" si="46"/>
        <v>12500</v>
      </c>
      <c r="M210">
        <f t="shared" si="43"/>
        <v>270</v>
      </c>
      <c r="N210" s="5">
        <f t="shared" si="47"/>
        <v>20820</v>
      </c>
      <c r="AF210" s="1">
        <v>45135</v>
      </c>
      <c r="AG210">
        <f t="shared" si="44"/>
        <v>270</v>
      </c>
    </row>
    <row r="211" spans="1:33" x14ac:dyDescent="0.25">
      <c r="A211" s="1">
        <v>45136</v>
      </c>
      <c r="B211" t="s">
        <v>4</v>
      </c>
      <c r="C211">
        <f t="shared" si="41"/>
        <v>0.9</v>
      </c>
      <c r="D211">
        <f t="shared" si="42"/>
        <v>6</v>
      </c>
      <c r="F211">
        <f t="shared" si="45"/>
        <v>8320</v>
      </c>
      <c r="G211">
        <f t="shared" si="36"/>
        <v>8320</v>
      </c>
      <c r="H211">
        <f t="shared" si="37"/>
        <v>9</v>
      </c>
      <c r="I211">
        <f t="shared" si="38"/>
        <v>270</v>
      </c>
      <c r="J211" s="3">
        <f t="shared" si="39"/>
        <v>8320</v>
      </c>
      <c r="K211">
        <f t="shared" si="40"/>
        <v>0</v>
      </c>
      <c r="L211" s="4">
        <f t="shared" si="46"/>
        <v>12500</v>
      </c>
      <c r="M211">
        <f t="shared" si="43"/>
        <v>0</v>
      </c>
      <c r="N211" s="5">
        <f t="shared" si="47"/>
        <v>20820</v>
      </c>
      <c r="AF211" s="1">
        <v>45136</v>
      </c>
      <c r="AG211">
        <f t="shared" si="44"/>
        <v>0</v>
      </c>
    </row>
    <row r="212" spans="1:33" x14ac:dyDescent="0.25">
      <c r="A212" s="1">
        <v>45137</v>
      </c>
      <c r="B212" t="s">
        <v>4</v>
      </c>
      <c r="C212">
        <f t="shared" si="41"/>
        <v>0.9</v>
      </c>
      <c r="D212">
        <f t="shared" si="42"/>
        <v>7</v>
      </c>
      <c r="F212">
        <f t="shared" si="45"/>
        <v>8320</v>
      </c>
      <c r="G212">
        <f t="shared" si="36"/>
        <v>8170</v>
      </c>
      <c r="H212">
        <f t="shared" si="37"/>
        <v>9</v>
      </c>
      <c r="I212">
        <f t="shared" si="38"/>
        <v>270</v>
      </c>
      <c r="J212" s="3">
        <f t="shared" si="39"/>
        <v>8170</v>
      </c>
      <c r="K212">
        <f t="shared" si="40"/>
        <v>150</v>
      </c>
      <c r="L212" s="4">
        <f t="shared" si="46"/>
        <v>12650</v>
      </c>
      <c r="M212">
        <f t="shared" si="43"/>
        <v>0</v>
      </c>
      <c r="N212" s="5">
        <f t="shared" si="47"/>
        <v>20820</v>
      </c>
      <c r="AF212" s="1">
        <v>45137</v>
      </c>
      <c r="AG212">
        <f t="shared" si="44"/>
        <v>-150</v>
      </c>
    </row>
    <row r="213" spans="1:33" x14ac:dyDescent="0.25">
      <c r="A213" s="1">
        <v>45138</v>
      </c>
      <c r="B213" t="s">
        <v>4</v>
      </c>
      <c r="C213">
        <f t="shared" si="41"/>
        <v>0.9</v>
      </c>
      <c r="D213">
        <f t="shared" si="42"/>
        <v>1</v>
      </c>
      <c r="F213">
        <f t="shared" si="45"/>
        <v>8170</v>
      </c>
      <c r="G213">
        <f t="shared" si="36"/>
        <v>8170</v>
      </c>
      <c r="H213">
        <f t="shared" si="37"/>
        <v>9</v>
      </c>
      <c r="I213">
        <f t="shared" si="38"/>
        <v>270</v>
      </c>
      <c r="J213" s="3">
        <f t="shared" si="39"/>
        <v>8440</v>
      </c>
      <c r="K213">
        <f t="shared" si="40"/>
        <v>0</v>
      </c>
      <c r="L213" s="4">
        <f t="shared" si="46"/>
        <v>12650</v>
      </c>
      <c r="M213">
        <f t="shared" si="43"/>
        <v>270</v>
      </c>
      <c r="N213" s="5">
        <f t="shared" si="47"/>
        <v>21090</v>
      </c>
      <c r="AF213" s="1">
        <v>45138</v>
      </c>
      <c r="AG213">
        <f t="shared" si="44"/>
        <v>270</v>
      </c>
    </row>
    <row r="214" spans="1:33" x14ac:dyDescent="0.25">
      <c r="A214" s="1">
        <v>45139</v>
      </c>
      <c r="B214" t="s">
        <v>4</v>
      </c>
      <c r="C214">
        <f t="shared" si="41"/>
        <v>0.9</v>
      </c>
      <c r="D214">
        <f t="shared" si="42"/>
        <v>2</v>
      </c>
      <c r="F214">
        <f t="shared" si="45"/>
        <v>8440</v>
      </c>
      <c r="G214">
        <f t="shared" si="36"/>
        <v>8440</v>
      </c>
      <c r="H214">
        <f t="shared" si="37"/>
        <v>9</v>
      </c>
      <c r="I214">
        <f t="shared" si="38"/>
        <v>270</v>
      </c>
      <c r="J214" s="3">
        <f t="shared" si="39"/>
        <v>8710</v>
      </c>
      <c r="K214">
        <f t="shared" si="40"/>
        <v>0</v>
      </c>
      <c r="L214" s="4">
        <f t="shared" si="46"/>
        <v>12650</v>
      </c>
      <c r="M214">
        <f t="shared" si="43"/>
        <v>270</v>
      </c>
      <c r="N214" s="5">
        <f t="shared" si="47"/>
        <v>21360</v>
      </c>
      <c r="AF214" s="1">
        <v>45139</v>
      </c>
      <c r="AG214">
        <f t="shared" si="44"/>
        <v>270</v>
      </c>
    </row>
    <row r="215" spans="1:33" x14ac:dyDescent="0.25">
      <c r="A215" s="1">
        <v>45140</v>
      </c>
      <c r="B215" t="s">
        <v>4</v>
      </c>
      <c r="C215">
        <f t="shared" si="41"/>
        <v>0.9</v>
      </c>
      <c r="D215">
        <f t="shared" si="42"/>
        <v>3</v>
      </c>
      <c r="F215">
        <f t="shared" si="45"/>
        <v>8710</v>
      </c>
      <c r="G215">
        <f t="shared" si="36"/>
        <v>8710</v>
      </c>
      <c r="H215">
        <f t="shared" si="37"/>
        <v>9</v>
      </c>
      <c r="I215">
        <f t="shared" si="38"/>
        <v>270</v>
      </c>
      <c r="J215" s="3">
        <f t="shared" si="39"/>
        <v>8980</v>
      </c>
      <c r="K215">
        <f t="shared" si="40"/>
        <v>0</v>
      </c>
      <c r="L215" s="4">
        <f t="shared" si="46"/>
        <v>12650</v>
      </c>
      <c r="M215">
        <f t="shared" si="43"/>
        <v>270</v>
      </c>
      <c r="N215" s="5">
        <f t="shared" si="47"/>
        <v>21630</v>
      </c>
      <c r="AF215" s="1">
        <v>45140</v>
      </c>
      <c r="AG215">
        <f t="shared" si="44"/>
        <v>270</v>
      </c>
    </row>
    <row r="216" spans="1:33" x14ac:dyDescent="0.25">
      <c r="A216" s="1">
        <v>45141</v>
      </c>
      <c r="B216" t="s">
        <v>4</v>
      </c>
      <c r="C216">
        <f t="shared" si="41"/>
        <v>0.9</v>
      </c>
      <c r="D216">
        <f t="shared" si="42"/>
        <v>4</v>
      </c>
      <c r="F216">
        <f t="shared" si="45"/>
        <v>8980</v>
      </c>
      <c r="G216">
        <f t="shared" si="36"/>
        <v>8980</v>
      </c>
      <c r="H216">
        <f t="shared" si="37"/>
        <v>9</v>
      </c>
      <c r="I216">
        <f t="shared" si="38"/>
        <v>270</v>
      </c>
      <c r="J216" s="3">
        <f t="shared" si="39"/>
        <v>9250</v>
      </c>
      <c r="K216">
        <f t="shared" si="40"/>
        <v>0</v>
      </c>
      <c r="L216" s="4">
        <f t="shared" si="46"/>
        <v>12650</v>
      </c>
      <c r="M216">
        <f t="shared" si="43"/>
        <v>270</v>
      </c>
      <c r="N216" s="5">
        <f t="shared" si="47"/>
        <v>21900</v>
      </c>
      <c r="AF216" s="1">
        <v>45141</v>
      </c>
      <c r="AG216">
        <f t="shared" si="44"/>
        <v>270</v>
      </c>
    </row>
    <row r="217" spans="1:33" x14ac:dyDescent="0.25">
      <c r="A217" s="1">
        <v>45142</v>
      </c>
      <c r="B217" t="s">
        <v>4</v>
      </c>
      <c r="C217">
        <f t="shared" si="41"/>
        <v>0.9</v>
      </c>
      <c r="D217">
        <f t="shared" si="42"/>
        <v>5</v>
      </c>
      <c r="F217">
        <f t="shared" si="45"/>
        <v>9250</v>
      </c>
      <c r="G217">
        <f t="shared" si="36"/>
        <v>9250</v>
      </c>
      <c r="H217">
        <f t="shared" si="37"/>
        <v>9</v>
      </c>
      <c r="I217">
        <f t="shared" si="38"/>
        <v>270</v>
      </c>
      <c r="J217" s="3">
        <f t="shared" si="39"/>
        <v>9520</v>
      </c>
      <c r="K217">
        <f t="shared" si="40"/>
        <v>0</v>
      </c>
      <c r="L217" s="4">
        <f t="shared" si="46"/>
        <v>12650</v>
      </c>
      <c r="M217">
        <f t="shared" si="43"/>
        <v>270</v>
      </c>
      <c r="N217" s="5">
        <f t="shared" si="47"/>
        <v>22170</v>
      </c>
      <c r="AF217" s="1">
        <v>45142</v>
      </c>
      <c r="AG217">
        <f t="shared" si="44"/>
        <v>270</v>
      </c>
    </row>
    <row r="218" spans="1:33" x14ac:dyDescent="0.25">
      <c r="A218" s="1">
        <v>45143</v>
      </c>
      <c r="B218" t="s">
        <v>4</v>
      </c>
      <c r="C218">
        <f t="shared" si="41"/>
        <v>0.9</v>
      </c>
      <c r="D218">
        <f t="shared" si="42"/>
        <v>6</v>
      </c>
      <c r="F218">
        <f t="shared" si="45"/>
        <v>9520</v>
      </c>
      <c r="G218">
        <f t="shared" si="36"/>
        <v>9520</v>
      </c>
      <c r="H218">
        <f t="shared" si="37"/>
        <v>9</v>
      </c>
      <c r="I218">
        <f t="shared" si="38"/>
        <v>270</v>
      </c>
      <c r="J218" s="3">
        <f t="shared" si="39"/>
        <v>9520</v>
      </c>
      <c r="K218">
        <f t="shared" si="40"/>
        <v>0</v>
      </c>
      <c r="L218" s="4">
        <f t="shared" si="46"/>
        <v>12650</v>
      </c>
      <c r="M218">
        <f t="shared" si="43"/>
        <v>0</v>
      </c>
      <c r="N218" s="5">
        <f t="shared" si="47"/>
        <v>22170</v>
      </c>
      <c r="AF218" s="1">
        <v>45143</v>
      </c>
      <c r="AG218">
        <f t="shared" si="44"/>
        <v>0</v>
      </c>
    </row>
    <row r="219" spans="1:33" x14ac:dyDescent="0.25">
      <c r="A219" s="1">
        <v>45144</v>
      </c>
      <c r="B219" t="s">
        <v>4</v>
      </c>
      <c r="C219">
        <f t="shared" si="41"/>
        <v>0.9</v>
      </c>
      <c r="D219">
        <f t="shared" si="42"/>
        <v>7</v>
      </c>
      <c r="F219">
        <f t="shared" si="45"/>
        <v>9520</v>
      </c>
      <c r="G219">
        <f t="shared" si="36"/>
        <v>9370</v>
      </c>
      <c r="H219">
        <f t="shared" si="37"/>
        <v>9</v>
      </c>
      <c r="I219">
        <f t="shared" si="38"/>
        <v>270</v>
      </c>
      <c r="J219" s="3">
        <f t="shared" si="39"/>
        <v>9370</v>
      </c>
      <c r="K219">
        <f t="shared" si="40"/>
        <v>150</v>
      </c>
      <c r="L219" s="4">
        <f t="shared" si="46"/>
        <v>12800</v>
      </c>
      <c r="M219">
        <f t="shared" si="43"/>
        <v>0</v>
      </c>
      <c r="N219" s="5">
        <f t="shared" si="47"/>
        <v>22170</v>
      </c>
      <c r="AF219" s="1">
        <v>45144</v>
      </c>
      <c r="AG219">
        <f t="shared" si="44"/>
        <v>-150</v>
      </c>
    </row>
    <row r="220" spans="1:33" x14ac:dyDescent="0.25">
      <c r="A220" s="1">
        <v>45145</v>
      </c>
      <c r="B220" t="s">
        <v>4</v>
      </c>
      <c r="C220">
        <f t="shared" si="41"/>
        <v>0.9</v>
      </c>
      <c r="D220">
        <f t="shared" si="42"/>
        <v>1</v>
      </c>
      <c r="F220">
        <f t="shared" si="45"/>
        <v>9370</v>
      </c>
      <c r="G220">
        <f t="shared" si="36"/>
        <v>9370</v>
      </c>
      <c r="H220">
        <f t="shared" si="37"/>
        <v>9</v>
      </c>
      <c r="I220">
        <f t="shared" si="38"/>
        <v>270</v>
      </c>
      <c r="J220" s="3">
        <f t="shared" si="39"/>
        <v>9640</v>
      </c>
      <c r="K220">
        <f t="shared" si="40"/>
        <v>0</v>
      </c>
      <c r="L220" s="4">
        <f t="shared" si="46"/>
        <v>12800</v>
      </c>
      <c r="M220">
        <f t="shared" si="43"/>
        <v>270</v>
      </c>
      <c r="N220" s="5">
        <f t="shared" si="47"/>
        <v>22440</v>
      </c>
      <c r="AF220" s="1">
        <v>45145</v>
      </c>
      <c r="AG220">
        <f t="shared" si="44"/>
        <v>270</v>
      </c>
    </row>
    <row r="221" spans="1:33" x14ac:dyDescent="0.25">
      <c r="A221" s="1">
        <v>45146</v>
      </c>
      <c r="B221" t="s">
        <v>4</v>
      </c>
      <c r="C221">
        <f t="shared" si="41"/>
        <v>0.9</v>
      </c>
      <c r="D221">
        <f t="shared" si="42"/>
        <v>2</v>
      </c>
      <c r="F221">
        <f t="shared" si="45"/>
        <v>9640</v>
      </c>
      <c r="G221">
        <f t="shared" si="36"/>
        <v>9640</v>
      </c>
      <c r="H221">
        <f t="shared" si="37"/>
        <v>9</v>
      </c>
      <c r="I221">
        <f t="shared" si="38"/>
        <v>270</v>
      </c>
      <c r="J221" s="3">
        <f t="shared" si="39"/>
        <v>9910</v>
      </c>
      <c r="K221">
        <f t="shared" si="40"/>
        <v>0</v>
      </c>
      <c r="L221" s="4">
        <f t="shared" si="46"/>
        <v>12800</v>
      </c>
      <c r="M221">
        <f t="shared" si="43"/>
        <v>270</v>
      </c>
      <c r="N221" s="5">
        <f t="shared" si="47"/>
        <v>22710</v>
      </c>
      <c r="AF221" s="1">
        <v>45146</v>
      </c>
      <c r="AG221">
        <f t="shared" si="44"/>
        <v>270</v>
      </c>
    </row>
    <row r="222" spans="1:33" x14ac:dyDescent="0.25">
      <c r="A222" s="1">
        <v>45147</v>
      </c>
      <c r="B222" t="s">
        <v>4</v>
      </c>
      <c r="C222">
        <f t="shared" si="41"/>
        <v>0.9</v>
      </c>
      <c r="D222">
        <f t="shared" si="42"/>
        <v>3</v>
      </c>
      <c r="F222">
        <f t="shared" si="45"/>
        <v>9910</v>
      </c>
      <c r="G222">
        <f t="shared" si="36"/>
        <v>9910</v>
      </c>
      <c r="H222">
        <f t="shared" si="37"/>
        <v>9</v>
      </c>
      <c r="I222">
        <f t="shared" si="38"/>
        <v>270</v>
      </c>
      <c r="J222" s="3">
        <f t="shared" si="39"/>
        <v>10180</v>
      </c>
      <c r="K222">
        <f t="shared" si="40"/>
        <v>0</v>
      </c>
      <c r="L222" s="4">
        <f t="shared" si="46"/>
        <v>12800</v>
      </c>
      <c r="M222">
        <f t="shared" si="43"/>
        <v>270</v>
      </c>
      <c r="N222" s="5">
        <f t="shared" si="47"/>
        <v>22980</v>
      </c>
      <c r="AF222" s="1">
        <v>45147</v>
      </c>
      <c r="AG222">
        <f t="shared" si="44"/>
        <v>270</v>
      </c>
    </row>
    <row r="223" spans="1:33" x14ac:dyDescent="0.25">
      <c r="A223" s="1">
        <v>45148</v>
      </c>
      <c r="B223" t="s">
        <v>4</v>
      </c>
      <c r="C223">
        <f t="shared" si="41"/>
        <v>0.9</v>
      </c>
      <c r="D223">
        <f t="shared" si="42"/>
        <v>4</v>
      </c>
      <c r="F223">
        <f t="shared" si="45"/>
        <v>10180</v>
      </c>
      <c r="G223">
        <f t="shared" si="36"/>
        <v>10180</v>
      </c>
      <c r="H223">
        <f t="shared" si="37"/>
        <v>9</v>
      </c>
      <c r="I223">
        <f t="shared" si="38"/>
        <v>270</v>
      </c>
      <c r="J223" s="3">
        <f t="shared" si="39"/>
        <v>10450</v>
      </c>
      <c r="K223">
        <f t="shared" si="40"/>
        <v>0</v>
      </c>
      <c r="L223" s="4">
        <f t="shared" si="46"/>
        <v>12800</v>
      </c>
      <c r="M223">
        <f t="shared" si="43"/>
        <v>270</v>
      </c>
      <c r="N223" s="5">
        <f t="shared" si="47"/>
        <v>23250</v>
      </c>
      <c r="AF223" s="1">
        <v>45148</v>
      </c>
      <c r="AG223">
        <f t="shared" si="44"/>
        <v>270</v>
      </c>
    </row>
    <row r="224" spans="1:33" x14ac:dyDescent="0.25">
      <c r="A224" s="1">
        <v>45149</v>
      </c>
      <c r="B224" t="s">
        <v>4</v>
      </c>
      <c r="C224">
        <f t="shared" si="41"/>
        <v>0.9</v>
      </c>
      <c r="D224">
        <f t="shared" si="42"/>
        <v>5</v>
      </c>
      <c r="F224">
        <f t="shared" si="45"/>
        <v>10450</v>
      </c>
      <c r="G224">
        <f t="shared" si="36"/>
        <v>10450</v>
      </c>
      <c r="H224">
        <f t="shared" si="37"/>
        <v>9</v>
      </c>
      <c r="I224">
        <f t="shared" si="38"/>
        <v>270</v>
      </c>
      <c r="J224" s="3">
        <f t="shared" si="39"/>
        <v>10720</v>
      </c>
      <c r="K224">
        <f t="shared" si="40"/>
        <v>0</v>
      </c>
      <c r="L224" s="4">
        <f t="shared" si="46"/>
        <v>12800</v>
      </c>
      <c r="M224">
        <f t="shared" si="43"/>
        <v>270</v>
      </c>
      <c r="N224" s="5">
        <f t="shared" si="47"/>
        <v>23520</v>
      </c>
      <c r="AF224" s="1">
        <v>45149</v>
      </c>
      <c r="AG224">
        <f t="shared" si="44"/>
        <v>270</v>
      </c>
    </row>
    <row r="225" spans="1:33" x14ac:dyDescent="0.25">
      <c r="A225" s="1">
        <v>45150</v>
      </c>
      <c r="B225" t="s">
        <v>4</v>
      </c>
      <c r="C225">
        <f t="shared" si="41"/>
        <v>0.9</v>
      </c>
      <c r="D225">
        <f t="shared" si="42"/>
        <v>6</v>
      </c>
      <c r="F225">
        <f t="shared" si="45"/>
        <v>10720</v>
      </c>
      <c r="G225">
        <f t="shared" si="36"/>
        <v>10720</v>
      </c>
      <c r="H225">
        <f t="shared" si="37"/>
        <v>9</v>
      </c>
      <c r="I225">
        <f t="shared" si="38"/>
        <v>270</v>
      </c>
      <c r="J225" s="3">
        <f t="shared" si="39"/>
        <v>10720</v>
      </c>
      <c r="K225">
        <f t="shared" si="40"/>
        <v>0</v>
      </c>
      <c r="L225" s="4">
        <f t="shared" si="46"/>
        <v>12800</v>
      </c>
      <c r="M225">
        <f t="shared" si="43"/>
        <v>0</v>
      </c>
      <c r="N225" s="5">
        <f t="shared" si="47"/>
        <v>23520</v>
      </c>
      <c r="AF225" s="1">
        <v>45150</v>
      </c>
      <c r="AG225">
        <f t="shared" si="44"/>
        <v>0</v>
      </c>
    </row>
    <row r="226" spans="1:33" x14ac:dyDescent="0.25">
      <c r="A226" s="1">
        <v>45151</v>
      </c>
      <c r="B226" t="s">
        <v>4</v>
      </c>
      <c r="C226">
        <f t="shared" si="41"/>
        <v>0.9</v>
      </c>
      <c r="D226">
        <f t="shared" si="42"/>
        <v>7</v>
      </c>
      <c r="F226">
        <f t="shared" si="45"/>
        <v>10720</v>
      </c>
      <c r="G226">
        <f t="shared" si="36"/>
        <v>10570</v>
      </c>
      <c r="H226">
        <f t="shared" si="37"/>
        <v>9</v>
      </c>
      <c r="I226">
        <f t="shared" si="38"/>
        <v>270</v>
      </c>
      <c r="J226" s="3">
        <f t="shared" si="39"/>
        <v>10570</v>
      </c>
      <c r="K226">
        <f t="shared" si="40"/>
        <v>150</v>
      </c>
      <c r="L226" s="4">
        <f t="shared" si="46"/>
        <v>12950</v>
      </c>
      <c r="M226">
        <f t="shared" si="43"/>
        <v>0</v>
      </c>
      <c r="N226" s="5">
        <f t="shared" si="47"/>
        <v>23520</v>
      </c>
      <c r="AF226" s="1">
        <v>45151</v>
      </c>
      <c r="AG226">
        <f t="shared" si="44"/>
        <v>-150</v>
      </c>
    </row>
    <row r="227" spans="1:33" x14ac:dyDescent="0.25">
      <c r="A227" s="1">
        <v>45152</v>
      </c>
      <c r="B227" t="s">
        <v>4</v>
      </c>
      <c r="C227">
        <f t="shared" si="41"/>
        <v>0.9</v>
      </c>
      <c r="D227">
        <f t="shared" si="42"/>
        <v>1</v>
      </c>
      <c r="F227">
        <f t="shared" si="45"/>
        <v>10570</v>
      </c>
      <c r="G227">
        <f t="shared" si="36"/>
        <v>10570</v>
      </c>
      <c r="H227">
        <f t="shared" si="37"/>
        <v>9</v>
      </c>
      <c r="I227">
        <f t="shared" si="38"/>
        <v>270</v>
      </c>
      <c r="J227" s="3">
        <f t="shared" si="39"/>
        <v>10840</v>
      </c>
      <c r="K227">
        <f t="shared" si="40"/>
        <v>0</v>
      </c>
      <c r="L227" s="4">
        <f t="shared" si="46"/>
        <v>12950</v>
      </c>
      <c r="M227">
        <f t="shared" si="43"/>
        <v>270</v>
      </c>
      <c r="N227" s="5">
        <f t="shared" si="47"/>
        <v>23790</v>
      </c>
      <c r="AF227" s="1">
        <v>45152</v>
      </c>
      <c r="AG227">
        <f t="shared" si="44"/>
        <v>270</v>
      </c>
    </row>
    <row r="228" spans="1:33" x14ac:dyDescent="0.25">
      <c r="A228" s="1">
        <v>45153</v>
      </c>
      <c r="B228" t="s">
        <v>4</v>
      </c>
      <c r="C228">
        <f t="shared" si="41"/>
        <v>0.9</v>
      </c>
      <c r="D228">
        <f t="shared" si="42"/>
        <v>2</v>
      </c>
      <c r="F228">
        <f t="shared" si="45"/>
        <v>10840</v>
      </c>
      <c r="G228">
        <f t="shared" si="36"/>
        <v>10840</v>
      </c>
      <c r="H228">
        <f t="shared" si="37"/>
        <v>9</v>
      </c>
      <c r="I228">
        <f t="shared" si="38"/>
        <v>270</v>
      </c>
      <c r="J228" s="3">
        <f t="shared" si="39"/>
        <v>11110</v>
      </c>
      <c r="K228">
        <f t="shared" si="40"/>
        <v>0</v>
      </c>
      <c r="L228" s="4">
        <f t="shared" si="46"/>
        <v>12950</v>
      </c>
      <c r="M228">
        <f t="shared" si="43"/>
        <v>270</v>
      </c>
      <c r="N228" s="5">
        <f t="shared" si="47"/>
        <v>24060</v>
      </c>
      <c r="AF228" s="1">
        <v>45153</v>
      </c>
      <c r="AG228">
        <f t="shared" si="44"/>
        <v>270</v>
      </c>
    </row>
    <row r="229" spans="1:33" x14ac:dyDescent="0.25">
      <c r="A229" s="1">
        <v>45154</v>
      </c>
      <c r="B229" t="s">
        <v>4</v>
      </c>
      <c r="C229">
        <f t="shared" si="41"/>
        <v>0.9</v>
      </c>
      <c r="D229">
        <f t="shared" si="42"/>
        <v>3</v>
      </c>
      <c r="F229">
        <f t="shared" si="45"/>
        <v>11110</v>
      </c>
      <c r="G229">
        <f t="shared" si="36"/>
        <v>11110</v>
      </c>
      <c r="H229">
        <f t="shared" si="37"/>
        <v>9</v>
      </c>
      <c r="I229">
        <f t="shared" si="38"/>
        <v>270</v>
      </c>
      <c r="J229" s="3">
        <f t="shared" si="39"/>
        <v>11380</v>
      </c>
      <c r="K229">
        <f t="shared" si="40"/>
        <v>0</v>
      </c>
      <c r="L229" s="4">
        <f t="shared" si="46"/>
        <v>12950</v>
      </c>
      <c r="M229">
        <f t="shared" si="43"/>
        <v>270</v>
      </c>
      <c r="N229" s="5">
        <f t="shared" si="47"/>
        <v>24330</v>
      </c>
      <c r="AF229" s="1">
        <v>45154</v>
      </c>
      <c r="AG229">
        <f t="shared" si="44"/>
        <v>270</v>
      </c>
    </row>
    <row r="230" spans="1:33" x14ac:dyDescent="0.25">
      <c r="A230" s="1">
        <v>45155</v>
      </c>
      <c r="B230" t="s">
        <v>4</v>
      </c>
      <c r="C230">
        <f t="shared" si="41"/>
        <v>0.9</v>
      </c>
      <c r="D230">
        <f t="shared" si="42"/>
        <v>4</v>
      </c>
      <c r="F230">
        <f t="shared" si="45"/>
        <v>11380</v>
      </c>
      <c r="G230">
        <f t="shared" si="36"/>
        <v>11380</v>
      </c>
      <c r="H230">
        <f t="shared" si="37"/>
        <v>9</v>
      </c>
      <c r="I230">
        <f t="shared" si="38"/>
        <v>270</v>
      </c>
      <c r="J230" s="3">
        <f t="shared" si="39"/>
        <v>11650</v>
      </c>
      <c r="K230">
        <f t="shared" si="40"/>
        <v>0</v>
      </c>
      <c r="L230" s="4">
        <f t="shared" si="46"/>
        <v>12950</v>
      </c>
      <c r="M230">
        <f t="shared" si="43"/>
        <v>270</v>
      </c>
      <c r="N230" s="5">
        <f t="shared" si="47"/>
        <v>24600</v>
      </c>
      <c r="AF230" s="1">
        <v>45155</v>
      </c>
      <c r="AG230">
        <f t="shared" si="44"/>
        <v>270</v>
      </c>
    </row>
    <row r="231" spans="1:33" x14ac:dyDescent="0.25">
      <c r="A231" s="1">
        <v>45156</v>
      </c>
      <c r="B231" t="s">
        <v>4</v>
      </c>
      <c r="C231">
        <f t="shared" si="41"/>
        <v>0.9</v>
      </c>
      <c r="D231">
        <f t="shared" si="42"/>
        <v>5</v>
      </c>
      <c r="F231">
        <f t="shared" si="45"/>
        <v>11650</v>
      </c>
      <c r="G231">
        <f t="shared" si="36"/>
        <v>11650</v>
      </c>
      <c r="H231">
        <f t="shared" si="37"/>
        <v>9</v>
      </c>
      <c r="I231">
        <f t="shared" si="38"/>
        <v>270</v>
      </c>
      <c r="J231" s="3">
        <f t="shared" si="39"/>
        <v>11920</v>
      </c>
      <c r="K231">
        <f t="shared" si="40"/>
        <v>0</v>
      </c>
      <c r="L231" s="4">
        <f t="shared" si="46"/>
        <v>12950</v>
      </c>
      <c r="M231">
        <f t="shared" si="43"/>
        <v>270</v>
      </c>
      <c r="N231" s="5">
        <f t="shared" si="47"/>
        <v>24870</v>
      </c>
      <c r="AF231" s="1">
        <v>45156</v>
      </c>
      <c r="AG231">
        <f t="shared" si="44"/>
        <v>270</v>
      </c>
    </row>
    <row r="232" spans="1:33" x14ac:dyDescent="0.25">
      <c r="A232" s="1">
        <v>45157</v>
      </c>
      <c r="B232" t="s">
        <v>4</v>
      </c>
      <c r="C232">
        <f t="shared" si="41"/>
        <v>0.9</v>
      </c>
      <c r="D232">
        <f t="shared" si="42"/>
        <v>6</v>
      </c>
      <c r="F232">
        <f t="shared" si="45"/>
        <v>11920</v>
      </c>
      <c r="G232">
        <f t="shared" si="36"/>
        <v>11920</v>
      </c>
      <c r="H232">
        <f t="shared" si="37"/>
        <v>9</v>
      </c>
      <c r="I232">
        <f t="shared" si="38"/>
        <v>270</v>
      </c>
      <c r="J232" s="3">
        <f t="shared" si="39"/>
        <v>11920</v>
      </c>
      <c r="K232">
        <f t="shared" si="40"/>
        <v>0</v>
      </c>
      <c r="L232" s="4">
        <f t="shared" si="46"/>
        <v>12950</v>
      </c>
      <c r="M232">
        <f t="shared" si="43"/>
        <v>0</v>
      </c>
      <c r="N232" s="5">
        <f t="shared" si="47"/>
        <v>24870</v>
      </c>
      <c r="AF232" s="1">
        <v>45157</v>
      </c>
      <c r="AG232">
        <f t="shared" si="44"/>
        <v>0</v>
      </c>
    </row>
    <row r="233" spans="1:33" x14ac:dyDescent="0.25">
      <c r="A233" s="1">
        <v>45158</v>
      </c>
      <c r="B233" t="s">
        <v>4</v>
      </c>
      <c r="C233">
        <f t="shared" si="41"/>
        <v>0.9</v>
      </c>
      <c r="D233">
        <f t="shared" si="42"/>
        <v>7</v>
      </c>
      <c r="F233">
        <f t="shared" si="45"/>
        <v>11920</v>
      </c>
      <c r="G233">
        <f t="shared" si="36"/>
        <v>11770</v>
      </c>
      <c r="H233">
        <f t="shared" si="37"/>
        <v>9</v>
      </c>
      <c r="I233">
        <f t="shared" si="38"/>
        <v>270</v>
      </c>
      <c r="J233" s="3">
        <f t="shared" si="39"/>
        <v>11770</v>
      </c>
      <c r="K233">
        <f t="shared" si="40"/>
        <v>150</v>
      </c>
      <c r="L233" s="4">
        <f t="shared" si="46"/>
        <v>13100</v>
      </c>
      <c r="M233">
        <f t="shared" si="43"/>
        <v>0</v>
      </c>
      <c r="N233" s="5">
        <f t="shared" si="47"/>
        <v>24870</v>
      </c>
      <c r="AF233" s="1">
        <v>45158</v>
      </c>
      <c r="AG233">
        <f t="shared" si="44"/>
        <v>-150</v>
      </c>
    </row>
    <row r="234" spans="1:33" x14ac:dyDescent="0.25">
      <c r="A234" s="1">
        <v>45159</v>
      </c>
      <c r="B234" t="s">
        <v>4</v>
      </c>
      <c r="C234">
        <f t="shared" si="41"/>
        <v>0.9</v>
      </c>
      <c r="D234">
        <f t="shared" si="42"/>
        <v>1</v>
      </c>
      <c r="F234">
        <f t="shared" si="45"/>
        <v>11770</v>
      </c>
      <c r="G234">
        <f t="shared" si="36"/>
        <v>11770</v>
      </c>
      <c r="H234">
        <f t="shared" si="37"/>
        <v>9</v>
      </c>
      <c r="I234">
        <f t="shared" si="38"/>
        <v>270</v>
      </c>
      <c r="J234" s="3">
        <f t="shared" si="39"/>
        <v>12040</v>
      </c>
      <c r="K234">
        <f t="shared" si="40"/>
        <v>0</v>
      </c>
      <c r="L234" s="4">
        <f t="shared" si="46"/>
        <v>13100</v>
      </c>
      <c r="M234">
        <f t="shared" si="43"/>
        <v>270</v>
      </c>
      <c r="N234" s="5">
        <f t="shared" si="47"/>
        <v>25140</v>
      </c>
      <c r="AF234" s="1">
        <v>45159</v>
      </c>
      <c r="AG234">
        <f t="shared" si="44"/>
        <v>270</v>
      </c>
    </row>
    <row r="235" spans="1:33" x14ac:dyDescent="0.25">
      <c r="A235" s="1">
        <v>45160</v>
      </c>
      <c r="B235" t="s">
        <v>4</v>
      </c>
      <c r="C235">
        <f t="shared" si="41"/>
        <v>0.9</v>
      </c>
      <c r="D235">
        <f t="shared" si="42"/>
        <v>2</v>
      </c>
      <c r="F235">
        <f t="shared" si="45"/>
        <v>12040</v>
      </c>
      <c r="G235">
        <f t="shared" si="36"/>
        <v>12040</v>
      </c>
      <c r="H235">
        <f t="shared" si="37"/>
        <v>9</v>
      </c>
      <c r="I235">
        <f t="shared" si="38"/>
        <v>270</v>
      </c>
      <c r="J235" s="3">
        <f t="shared" si="39"/>
        <v>12310</v>
      </c>
      <c r="K235">
        <f t="shared" si="40"/>
        <v>0</v>
      </c>
      <c r="L235" s="4">
        <f t="shared" si="46"/>
        <v>13100</v>
      </c>
      <c r="M235">
        <f t="shared" si="43"/>
        <v>270</v>
      </c>
      <c r="N235" s="5">
        <f t="shared" si="47"/>
        <v>25410</v>
      </c>
      <c r="AF235" s="1">
        <v>45160</v>
      </c>
      <c r="AG235">
        <f t="shared" si="44"/>
        <v>270</v>
      </c>
    </row>
    <row r="236" spans="1:33" x14ac:dyDescent="0.25">
      <c r="A236" s="1">
        <v>45161</v>
      </c>
      <c r="B236" t="s">
        <v>4</v>
      </c>
      <c r="C236">
        <f t="shared" si="41"/>
        <v>0.9</v>
      </c>
      <c r="D236">
        <f t="shared" si="42"/>
        <v>3</v>
      </c>
      <c r="F236">
        <f t="shared" si="45"/>
        <v>12310</v>
      </c>
      <c r="G236">
        <f t="shared" si="36"/>
        <v>12310</v>
      </c>
      <c r="H236">
        <f t="shared" si="37"/>
        <v>9</v>
      </c>
      <c r="I236">
        <f t="shared" si="38"/>
        <v>270</v>
      </c>
      <c r="J236" s="3">
        <f t="shared" si="39"/>
        <v>12580</v>
      </c>
      <c r="K236">
        <f t="shared" si="40"/>
        <v>0</v>
      </c>
      <c r="L236" s="4">
        <f t="shared" si="46"/>
        <v>13100</v>
      </c>
      <c r="M236">
        <f t="shared" si="43"/>
        <v>270</v>
      </c>
      <c r="N236" s="5">
        <f t="shared" si="47"/>
        <v>25680</v>
      </c>
      <c r="AF236" s="1">
        <v>45161</v>
      </c>
      <c r="AG236">
        <f t="shared" si="44"/>
        <v>270</v>
      </c>
    </row>
    <row r="237" spans="1:33" x14ac:dyDescent="0.25">
      <c r="A237" s="1">
        <v>45162</v>
      </c>
      <c r="B237" t="s">
        <v>4</v>
      </c>
      <c r="C237">
        <f t="shared" si="41"/>
        <v>0.9</v>
      </c>
      <c r="D237">
        <f t="shared" si="42"/>
        <v>4</v>
      </c>
      <c r="F237">
        <f t="shared" si="45"/>
        <v>12580</v>
      </c>
      <c r="G237">
        <f t="shared" si="36"/>
        <v>12580</v>
      </c>
      <c r="H237">
        <f t="shared" si="37"/>
        <v>9</v>
      </c>
      <c r="I237">
        <f t="shared" si="38"/>
        <v>270</v>
      </c>
      <c r="J237" s="3">
        <f t="shared" si="39"/>
        <v>12850</v>
      </c>
      <c r="K237">
        <f t="shared" si="40"/>
        <v>0</v>
      </c>
      <c r="L237" s="4">
        <f t="shared" si="46"/>
        <v>13100</v>
      </c>
      <c r="M237">
        <f t="shared" si="43"/>
        <v>270</v>
      </c>
      <c r="N237" s="5">
        <f t="shared" si="47"/>
        <v>25950</v>
      </c>
      <c r="AF237" s="1">
        <v>45162</v>
      </c>
      <c r="AG237">
        <f t="shared" si="44"/>
        <v>270</v>
      </c>
    </row>
    <row r="238" spans="1:33" x14ac:dyDescent="0.25">
      <c r="A238" s="1">
        <v>45163</v>
      </c>
      <c r="B238" t="s">
        <v>4</v>
      </c>
      <c r="C238">
        <f t="shared" si="41"/>
        <v>0.9</v>
      </c>
      <c r="D238">
        <f t="shared" si="42"/>
        <v>5</v>
      </c>
      <c r="F238">
        <f t="shared" si="45"/>
        <v>12850</v>
      </c>
      <c r="G238">
        <f t="shared" si="36"/>
        <v>12850</v>
      </c>
      <c r="H238">
        <f t="shared" si="37"/>
        <v>9</v>
      </c>
      <c r="I238">
        <f t="shared" si="38"/>
        <v>270</v>
      </c>
      <c r="J238" s="3">
        <f t="shared" si="39"/>
        <v>13120</v>
      </c>
      <c r="K238">
        <f t="shared" si="40"/>
        <v>0</v>
      </c>
      <c r="L238" s="4">
        <f t="shared" si="46"/>
        <v>13100</v>
      </c>
      <c r="M238">
        <f t="shared" si="43"/>
        <v>270</v>
      </c>
      <c r="N238" s="5">
        <f t="shared" si="47"/>
        <v>26220</v>
      </c>
      <c r="AF238" s="1">
        <v>45163</v>
      </c>
      <c r="AG238">
        <f t="shared" si="44"/>
        <v>270</v>
      </c>
    </row>
    <row r="239" spans="1:33" x14ac:dyDescent="0.25">
      <c r="A239" s="1">
        <v>45164</v>
      </c>
      <c r="B239" t="s">
        <v>4</v>
      </c>
      <c r="C239">
        <f t="shared" si="41"/>
        <v>0.9</v>
      </c>
      <c r="D239">
        <f t="shared" si="42"/>
        <v>6</v>
      </c>
      <c r="F239">
        <f t="shared" si="45"/>
        <v>13120</v>
      </c>
      <c r="G239">
        <f t="shared" si="36"/>
        <v>13120</v>
      </c>
      <c r="H239">
        <f t="shared" si="37"/>
        <v>9</v>
      </c>
      <c r="I239">
        <f t="shared" si="38"/>
        <v>270</v>
      </c>
      <c r="J239" s="3">
        <f t="shared" si="39"/>
        <v>13120</v>
      </c>
      <c r="K239">
        <f t="shared" si="40"/>
        <v>0</v>
      </c>
      <c r="L239" s="4">
        <f t="shared" si="46"/>
        <v>13100</v>
      </c>
      <c r="M239">
        <f t="shared" si="43"/>
        <v>0</v>
      </c>
      <c r="N239" s="5">
        <f t="shared" si="47"/>
        <v>26220</v>
      </c>
      <c r="AF239" s="1">
        <v>45164</v>
      </c>
      <c r="AG239">
        <f t="shared" si="44"/>
        <v>0</v>
      </c>
    </row>
    <row r="240" spans="1:33" x14ac:dyDescent="0.25">
      <c r="A240" s="1">
        <v>45165</v>
      </c>
      <c r="B240" t="s">
        <v>4</v>
      </c>
      <c r="C240">
        <f t="shared" si="41"/>
        <v>0.9</v>
      </c>
      <c r="D240">
        <f t="shared" si="42"/>
        <v>7</v>
      </c>
      <c r="F240">
        <f t="shared" si="45"/>
        <v>13120</v>
      </c>
      <c r="G240">
        <f t="shared" si="36"/>
        <v>12970</v>
      </c>
      <c r="H240">
        <f t="shared" si="37"/>
        <v>9</v>
      </c>
      <c r="I240">
        <f t="shared" si="38"/>
        <v>270</v>
      </c>
      <c r="J240" s="3">
        <f t="shared" si="39"/>
        <v>12970</v>
      </c>
      <c r="K240">
        <f t="shared" si="40"/>
        <v>150</v>
      </c>
      <c r="L240" s="4">
        <f t="shared" si="46"/>
        <v>13250</v>
      </c>
      <c r="M240">
        <f t="shared" si="43"/>
        <v>0</v>
      </c>
      <c r="N240" s="5">
        <f t="shared" si="47"/>
        <v>26220</v>
      </c>
      <c r="AF240" s="1">
        <v>45165</v>
      </c>
      <c r="AG240">
        <f t="shared" si="44"/>
        <v>-150</v>
      </c>
    </row>
    <row r="241" spans="1:33" x14ac:dyDescent="0.25">
      <c r="A241" s="1">
        <v>45166</v>
      </c>
      <c r="B241" t="s">
        <v>4</v>
      </c>
      <c r="C241">
        <f t="shared" si="41"/>
        <v>0.9</v>
      </c>
      <c r="D241">
        <f t="shared" si="42"/>
        <v>1</v>
      </c>
      <c r="F241">
        <f t="shared" si="45"/>
        <v>12970</v>
      </c>
      <c r="G241">
        <f t="shared" si="36"/>
        <v>12970</v>
      </c>
      <c r="H241">
        <f t="shared" si="37"/>
        <v>9</v>
      </c>
      <c r="I241">
        <f t="shared" si="38"/>
        <v>270</v>
      </c>
      <c r="J241" s="3">
        <f t="shared" si="39"/>
        <v>13240</v>
      </c>
      <c r="K241">
        <f t="shared" si="40"/>
        <v>0</v>
      </c>
      <c r="L241" s="4">
        <f t="shared" si="46"/>
        <v>13250</v>
      </c>
      <c r="M241">
        <f t="shared" si="43"/>
        <v>270</v>
      </c>
      <c r="N241" s="5">
        <f t="shared" si="47"/>
        <v>26490</v>
      </c>
      <c r="AF241" s="1">
        <v>45166</v>
      </c>
      <c r="AG241">
        <f t="shared" si="44"/>
        <v>270</v>
      </c>
    </row>
    <row r="242" spans="1:33" x14ac:dyDescent="0.25">
      <c r="A242" s="1">
        <v>45167</v>
      </c>
      <c r="B242" t="s">
        <v>4</v>
      </c>
      <c r="C242">
        <f t="shared" si="41"/>
        <v>0.9</v>
      </c>
      <c r="D242">
        <f t="shared" si="42"/>
        <v>2</v>
      </c>
      <c r="F242">
        <f t="shared" si="45"/>
        <v>13240</v>
      </c>
      <c r="G242">
        <f t="shared" si="36"/>
        <v>13240</v>
      </c>
      <c r="H242">
        <f t="shared" si="37"/>
        <v>9</v>
      </c>
      <c r="I242">
        <f t="shared" si="38"/>
        <v>270</v>
      </c>
      <c r="J242" s="3">
        <f t="shared" si="39"/>
        <v>13510</v>
      </c>
      <c r="K242">
        <f t="shared" si="40"/>
        <v>0</v>
      </c>
      <c r="L242" s="4">
        <f t="shared" si="46"/>
        <v>13250</v>
      </c>
      <c r="M242">
        <f t="shared" si="43"/>
        <v>270</v>
      </c>
      <c r="N242" s="5">
        <f t="shared" si="47"/>
        <v>26760</v>
      </c>
      <c r="AF242" s="1">
        <v>45167</v>
      </c>
      <c r="AG242">
        <f t="shared" si="44"/>
        <v>270</v>
      </c>
    </row>
    <row r="243" spans="1:33" x14ac:dyDescent="0.25">
      <c r="A243" s="1">
        <v>45168</v>
      </c>
      <c r="B243" t="s">
        <v>4</v>
      </c>
      <c r="C243">
        <f t="shared" si="41"/>
        <v>0.9</v>
      </c>
      <c r="D243">
        <f t="shared" si="42"/>
        <v>3</v>
      </c>
      <c r="F243">
        <f t="shared" si="45"/>
        <v>13510</v>
      </c>
      <c r="G243">
        <f t="shared" si="36"/>
        <v>13510</v>
      </c>
      <c r="H243">
        <f t="shared" si="37"/>
        <v>9</v>
      </c>
      <c r="I243">
        <f t="shared" si="38"/>
        <v>270</v>
      </c>
      <c r="J243" s="3">
        <f t="shared" si="39"/>
        <v>13780</v>
      </c>
      <c r="K243">
        <f t="shared" si="40"/>
        <v>0</v>
      </c>
      <c r="L243" s="4">
        <f t="shared" si="46"/>
        <v>13250</v>
      </c>
      <c r="M243">
        <f t="shared" si="43"/>
        <v>270</v>
      </c>
      <c r="N243" s="5">
        <f t="shared" si="47"/>
        <v>27030</v>
      </c>
      <c r="AF243" s="1">
        <v>45168</v>
      </c>
      <c r="AG243">
        <f t="shared" si="44"/>
        <v>270</v>
      </c>
    </row>
    <row r="244" spans="1:33" x14ac:dyDescent="0.25">
      <c r="A244" s="1">
        <v>45169</v>
      </c>
      <c r="B244" t="s">
        <v>4</v>
      </c>
      <c r="C244">
        <f t="shared" si="41"/>
        <v>0.9</v>
      </c>
      <c r="D244">
        <f t="shared" si="42"/>
        <v>4</v>
      </c>
      <c r="F244">
        <f t="shared" si="45"/>
        <v>13780</v>
      </c>
      <c r="G244">
        <f t="shared" si="36"/>
        <v>13780</v>
      </c>
      <c r="H244">
        <f t="shared" si="37"/>
        <v>9</v>
      </c>
      <c r="I244">
        <f t="shared" si="38"/>
        <v>270</v>
      </c>
      <c r="J244" s="3">
        <f t="shared" si="39"/>
        <v>14050</v>
      </c>
      <c r="K244">
        <f t="shared" si="40"/>
        <v>0</v>
      </c>
      <c r="L244" s="4">
        <f t="shared" si="46"/>
        <v>13250</v>
      </c>
      <c r="M244">
        <f t="shared" si="43"/>
        <v>270</v>
      </c>
      <c r="N244" s="5">
        <f t="shared" si="47"/>
        <v>27300</v>
      </c>
      <c r="AF244" s="1">
        <v>45169</v>
      </c>
      <c r="AG244">
        <f t="shared" si="44"/>
        <v>270</v>
      </c>
    </row>
    <row r="245" spans="1:33" x14ac:dyDescent="0.25">
      <c r="A245" s="1">
        <v>45170</v>
      </c>
      <c r="B245" t="s">
        <v>4</v>
      </c>
      <c r="C245">
        <f t="shared" si="41"/>
        <v>0.9</v>
      </c>
      <c r="D245">
        <f t="shared" si="42"/>
        <v>5</v>
      </c>
      <c r="F245">
        <f t="shared" si="45"/>
        <v>14050</v>
      </c>
      <c r="G245">
        <f t="shared" si="36"/>
        <v>14050</v>
      </c>
      <c r="H245">
        <f t="shared" si="37"/>
        <v>9</v>
      </c>
      <c r="I245">
        <f t="shared" si="38"/>
        <v>270</v>
      </c>
      <c r="J245" s="3">
        <f t="shared" si="39"/>
        <v>14320</v>
      </c>
      <c r="K245">
        <f t="shared" si="40"/>
        <v>0</v>
      </c>
      <c r="L245" s="4">
        <f t="shared" si="46"/>
        <v>13250</v>
      </c>
      <c r="M245">
        <f t="shared" si="43"/>
        <v>270</v>
      </c>
      <c r="N245" s="5">
        <f t="shared" si="47"/>
        <v>27570</v>
      </c>
      <c r="AF245" s="1">
        <v>45170</v>
      </c>
      <c r="AG245">
        <f t="shared" si="44"/>
        <v>270</v>
      </c>
    </row>
    <row r="246" spans="1:33" x14ac:dyDescent="0.25">
      <c r="A246" s="1">
        <v>45171</v>
      </c>
      <c r="B246" t="s">
        <v>4</v>
      </c>
      <c r="C246">
        <f t="shared" si="41"/>
        <v>0.9</v>
      </c>
      <c r="D246">
        <f t="shared" si="42"/>
        <v>6</v>
      </c>
      <c r="F246">
        <f t="shared" si="45"/>
        <v>14320</v>
      </c>
      <c r="G246">
        <f t="shared" si="36"/>
        <v>14320</v>
      </c>
      <c r="H246">
        <f t="shared" si="37"/>
        <v>9</v>
      </c>
      <c r="I246">
        <f t="shared" si="38"/>
        <v>270</v>
      </c>
      <c r="J246" s="3">
        <f t="shared" si="39"/>
        <v>14320</v>
      </c>
      <c r="K246">
        <f t="shared" si="40"/>
        <v>0</v>
      </c>
      <c r="L246" s="4">
        <f t="shared" si="46"/>
        <v>13250</v>
      </c>
      <c r="M246">
        <f t="shared" si="43"/>
        <v>0</v>
      </c>
      <c r="N246" s="5">
        <f t="shared" si="47"/>
        <v>27570</v>
      </c>
      <c r="AF246" s="1">
        <v>45171</v>
      </c>
      <c r="AG246">
        <f t="shared" si="44"/>
        <v>0</v>
      </c>
    </row>
    <row r="247" spans="1:33" x14ac:dyDescent="0.25">
      <c r="A247" s="1">
        <v>45172</v>
      </c>
      <c r="B247" t="s">
        <v>4</v>
      </c>
      <c r="C247">
        <f t="shared" si="41"/>
        <v>0.9</v>
      </c>
      <c r="D247">
        <f t="shared" si="42"/>
        <v>7</v>
      </c>
      <c r="F247">
        <f t="shared" si="45"/>
        <v>14320</v>
      </c>
      <c r="G247">
        <f t="shared" si="36"/>
        <v>14170</v>
      </c>
      <c r="H247">
        <f t="shared" si="37"/>
        <v>9</v>
      </c>
      <c r="I247">
        <f t="shared" si="38"/>
        <v>270</v>
      </c>
      <c r="J247" s="3">
        <f t="shared" si="39"/>
        <v>14170</v>
      </c>
      <c r="K247">
        <f t="shared" si="40"/>
        <v>150</v>
      </c>
      <c r="L247" s="4">
        <f t="shared" si="46"/>
        <v>13400</v>
      </c>
      <c r="M247">
        <f t="shared" si="43"/>
        <v>0</v>
      </c>
      <c r="N247" s="5">
        <f t="shared" si="47"/>
        <v>27570</v>
      </c>
      <c r="AF247" s="1">
        <v>45172</v>
      </c>
      <c r="AG247">
        <f t="shared" si="44"/>
        <v>-150</v>
      </c>
    </row>
    <row r="248" spans="1:33" x14ac:dyDescent="0.25">
      <c r="A248" s="1">
        <v>45173</v>
      </c>
      <c r="B248" t="s">
        <v>4</v>
      </c>
      <c r="C248">
        <f t="shared" si="41"/>
        <v>0.9</v>
      </c>
      <c r="D248">
        <f t="shared" si="42"/>
        <v>1</v>
      </c>
      <c r="F248">
        <f t="shared" si="45"/>
        <v>14170</v>
      </c>
      <c r="G248">
        <f t="shared" si="36"/>
        <v>14170</v>
      </c>
      <c r="H248">
        <f t="shared" si="37"/>
        <v>9</v>
      </c>
      <c r="I248">
        <f t="shared" si="38"/>
        <v>270</v>
      </c>
      <c r="J248" s="3">
        <f t="shared" si="39"/>
        <v>14440</v>
      </c>
      <c r="K248">
        <f t="shared" si="40"/>
        <v>0</v>
      </c>
      <c r="L248" s="4">
        <f t="shared" si="46"/>
        <v>13400</v>
      </c>
      <c r="M248">
        <f t="shared" si="43"/>
        <v>270</v>
      </c>
      <c r="N248" s="5">
        <f t="shared" si="47"/>
        <v>27840</v>
      </c>
      <c r="AF248" s="1">
        <v>45173</v>
      </c>
      <c r="AG248">
        <f t="shared" si="44"/>
        <v>270</v>
      </c>
    </row>
    <row r="249" spans="1:33" x14ac:dyDescent="0.25">
      <c r="A249" s="1">
        <v>45174</v>
      </c>
      <c r="B249" t="s">
        <v>4</v>
      </c>
      <c r="C249">
        <f t="shared" si="41"/>
        <v>0.9</v>
      </c>
      <c r="D249">
        <f t="shared" si="42"/>
        <v>2</v>
      </c>
      <c r="F249">
        <f t="shared" si="45"/>
        <v>14440</v>
      </c>
      <c r="G249">
        <f t="shared" si="36"/>
        <v>14440</v>
      </c>
      <c r="H249">
        <f t="shared" si="37"/>
        <v>9</v>
      </c>
      <c r="I249">
        <f t="shared" si="38"/>
        <v>270</v>
      </c>
      <c r="J249" s="3">
        <f t="shared" si="39"/>
        <v>14710</v>
      </c>
      <c r="K249">
        <f t="shared" si="40"/>
        <v>0</v>
      </c>
      <c r="L249" s="4">
        <f t="shared" si="46"/>
        <v>13400</v>
      </c>
      <c r="M249">
        <f t="shared" si="43"/>
        <v>270</v>
      </c>
      <c r="N249" s="5">
        <f t="shared" si="47"/>
        <v>28110</v>
      </c>
      <c r="AF249" s="1">
        <v>45174</v>
      </c>
      <c r="AG249">
        <f t="shared" si="44"/>
        <v>270</v>
      </c>
    </row>
    <row r="250" spans="1:33" x14ac:dyDescent="0.25">
      <c r="A250" s="1">
        <v>45175</v>
      </c>
      <c r="B250" t="s">
        <v>4</v>
      </c>
      <c r="C250">
        <f t="shared" si="41"/>
        <v>0.9</v>
      </c>
      <c r="D250">
        <f t="shared" si="42"/>
        <v>3</v>
      </c>
      <c r="F250">
        <f t="shared" si="45"/>
        <v>14710</v>
      </c>
      <c r="G250">
        <f t="shared" si="36"/>
        <v>14710</v>
      </c>
      <c r="H250">
        <f t="shared" si="37"/>
        <v>9</v>
      </c>
      <c r="I250">
        <f t="shared" si="38"/>
        <v>270</v>
      </c>
      <c r="J250" s="3">
        <f t="shared" si="39"/>
        <v>14980</v>
      </c>
      <c r="K250">
        <f t="shared" si="40"/>
        <v>0</v>
      </c>
      <c r="L250" s="4">
        <f t="shared" si="46"/>
        <v>13400</v>
      </c>
      <c r="M250">
        <f t="shared" si="43"/>
        <v>270</v>
      </c>
      <c r="N250" s="5">
        <f t="shared" si="47"/>
        <v>28380</v>
      </c>
      <c r="AF250" s="1">
        <v>45175</v>
      </c>
      <c r="AG250">
        <f t="shared" si="44"/>
        <v>270</v>
      </c>
    </row>
    <row r="251" spans="1:33" x14ac:dyDescent="0.25">
      <c r="A251" s="1">
        <v>45176</v>
      </c>
      <c r="B251" t="s">
        <v>4</v>
      </c>
      <c r="C251">
        <f t="shared" si="41"/>
        <v>0.9</v>
      </c>
      <c r="D251">
        <f t="shared" si="42"/>
        <v>4</v>
      </c>
      <c r="F251">
        <f t="shared" si="45"/>
        <v>14980</v>
      </c>
      <c r="G251">
        <f t="shared" si="36"/>
        <v>14980</v>
      </c>
      <c r="H251">
        <f t="shared" si="37"/>
        <v>9</v>
      </c>
      <c r="I251">
        <f t="shared" si="38"/>
        <v>270</v>
      </c>
      <c r="J251" s="3">
        <f t="shared" si="39"/>
        <v>15250</v>
      </c>
      <c r="K251">
        <f t="shared" si="40"/>
        <v>0</v>
      </c>
      <c r="L251" s="4">
        <f t="shared" si="46"/>
        <v>13400</v>
      </c>
      <c r="M251">
        <f t="shared" si="43"/>
        <v>270</v>
      </c>
      <c r="N251" s="5">
        <f t="shared" si="47"/>
        <v>28650</v>
      </c>
      <c r="AF251" s="1">
        <v>45176</v>
      </c>
      <c r="AG251">
        <f t="shared" si="44"/>
        <v>270</v>
      </c>
    </row>
    <row r="252" spans="1:33" x14ac:dyDescent="0.25">
      <c r="A252" s="1">
        <v>45177</v>
      </c>
      <c r="B252" t="s">
        <v>4</v>
      </c>
      <c r="C252">
        <f t="shared" si="41"/>
        <v>0.9</v>
      </c>
      <c r="D252">
        <f t="shared" si="42"/>
        <v>5</v>
      </c>
      <c r="F252">
        <f t="shared" si="45"/>
        <v>15250</v>
      </c>
      <c r="G252">
        <f t="shared" si="36"/>
        <v>15250</v>
      </c>
      <c r="H252">
        <f t="shared" si="37"/>
        <v>9</v>
      </c>
      <c r="I252">
        <f t="shared" si="38"/>
        <v>270</v>
      </c>
      <c r="J252" s="3">
        <f t="shared" si="39"/>
        <v>15520</v>
      </c>
      <c r="K252">
        <f t="shared" si="40"/>
        <v>0</v>
      </c>
      <c r="L252" s="4">
        <f t="shared" si="46"/>
        <v>13400</v>
      </c>
      <c r="M252">
        <f t="shared" si="43"/>
        <v>270</v>
      </c>
      <c r="N252" s="5">
        <f t="shared" si="47"/>
        <v>28920</v>
      </c>
      <c r="AF252" s="1">
        <v>45177</v>
      </c>
      <c r="AG252">
        <f t="shared" si="44"/>
        <v>270</v>
      </c>
    </row>
    <row r="253" spans="1:33" x14ac:dyDescent="0.25">
      <c r="A253" s="1">
        <v>45178</v>
      </c>
      <c r="B253" t="s">
        <v>4</v>
      </c>
      <c r="C253">
        <f t="shared" si="41"/>
        <v>0.9</v>
      </c>
      <c r="D253">
        <f t="shared" si="42"/>
        <v>6</v>
      </c>
      <c r="F253">
        <f t="shared" si="45"/>
        <v>15520</v>
      </c>
      <c r="G253">
        <f t="shared" si="36"/>
        <v>15520</v>
      </c>
      <c r="H253">
        <f t="shared" si="37"/>
        <v>9</v>
      </c>
      <c r="I253">
        <f t="shared" si="38"/>
        <v>270</v>
      </c>
      <c r="J253" s="3">
        <f t="shared" si="39"/>
        <v>15520</v>
      </c>
      <c r="K253">
        <f t="shared" si="40"/>
        <v>0</v>
      </c>
      <c r="L253" s="4">
        <f t="shared" si="46"/>
        <v>13400</v>
      </c>
      <c r="M253">
        <f t="shared" si="43"/>
        <v>0</v>
      </c>
      <c r="N253" s="5">
        <f t="shared" si="47"/>
        <v>28920</v>
      </c>
      <c r="AF253" s="1">
        <v>45178</v>
      </c>
      <c r="AG253">
        <f t="shared" si="44"/>
        <v>0</v>
      </c>
    </row>
    <row r="254" spans="1:33" x14ac:dyDescent="0.25">
      <c r="A254" s="1">
        <v>45179</v>
      </c>
      <c r="B254" t="s">
        <v>4</v>
      </c>
      <c r="C254">
        <f t="shared" si="41"/>
        <v>0.9</v>
      </c>
      <c r="D254">
        <f t="shared" si="42"/>
        <v>7</v>
      </c>
      <c r="F254">
        <f t="shared" si="45"/>
        <v>15520</v>
      </c>
      <c r="G254">
        <f t="shared" si="36"/>
        <v>15370</v>
      </c>
      <c r="H254">
        <f t="shared" si="37"/>
        <v>9</v>
      </c>
      <c r="I254">
        <f t="shared" si="38"/>
        <v>270</v>
      </c>
      <c r="J254" s="3">
        <f t="shared" si="39"/>
        <v>15370</v>
      </c>
      <c r="K254">
        <f t="shared" si="40"/>
        <v>150</v>
      </c>
      <c r="L254" s="4">
        <f t="shared" si="46"/>
        <v>13550</v>
      </c>
      <c r="M254">
        <f t="shared" si="43"/>
        <v>0</v>
      </c>
      <c r="N254" s="5">
        <f t="shared" si="47"/>
        <v>28920</v>
      </c>
      <c r="AF254" s="1">
        <v>45179</v>
      </c>
      <c r="AG254">
        <f t="shared" si="44"/>
        <v>-150</v>
      </c>
    </row>
    <row r="255" spans="1:33" x14ac:dyDescent="0.25">
      <c r="A255" s="1">
        <v>45180</v>
      </c>
      <c r="B255" t="s">
        <v>4</v>
      </c>
      <c r="C255">
        <f t="shared" si="41"/>
        <v>0.9</v>
      </c>
      <c r="D255">
        <f t="shared" si="42"/>
        <v>1</v>
      </c>
      <c r="F255">
        <f t="shared" si="45"/>
        <v>15370</v>
      </c>
      <c r="G255">
        <f t="shared" si="36"/>
        <v>15370</v>
      </c>
      <c r="H255">
        <f t="shared" si="37"/>
        <v>9</v>
      </c>
      <c r="I255">
        <f t="shared" si="38"/>
        <v>270</v>
      </c>
      <c r="J255" s="3">
        <f t="shared" si="39"/>
        <v>15640</v>
      </c>
      <c r="K255">
        <f t="shared" si="40"/>
        <v>0</v>
      </c>
      <c r="L255" s="4">
        <f t="shared" si="46"/>
        <v>13550</v>
      </c>
      <c r="M255">
        <f t="shared" si="43"/>
        <v>270</v>
      </c>
      <c r="N255" s="5">
        <f t="shared" si="47"/>
        <v>29190</v>
      </c>
      <c r="AF255" s="1">
        <v>45180</v>
      </c>
      <c r="AG255">
        <f t="shared" si="44"/>
        <v>270</v>
      </c>
    </row>
    <row r="256" spans="1:33" x14ac:dyDescent="0.25">
      <c r="A256" s="1">
        <v>45181</v>
      </c>
      <c r="B256" t="s">
        <v>4</v>
      </c>
      <c r="C256">
        <f t="shared" si="41"/>
        <v>0.9</v>
      </c>
      <c r="D256">
        <f t="shared" si="42"/>
        <v>2</v>
      </c>
      <c r="F256">
        <f t="shared" si="45"/>
        <v>15640</v>
      </c>
      <c r="G256">
        <f t="shared" si="36"/>
        <v>15640</v>
      </c>
      <c r="H256">
        <f t="shared" si="37"/>
        <v>9</v>
      </c>
      <c r="I256">
        <f t="shared" si="38"/>
        <v>270</v>
      </c>
      <c r="J256" s="3">
        <f t="shared" si="39"/>
        <v>15910</v>
      </c>
      <c r="K256">
        <f t="shared" si="40"/>
        <v>0</v>
      </c>
      <c r="L256" s="4">
        <f t="shared" si="46"/>
        <v>13550</v>
      </c>
      <c r="M256">
        <f t="shared" si="43"/>
        <v>270</v>
      </c>
      <c r="N256" s="5">
        <f t="shared" si="47"/>
        <v>29460</v>
      </c>
      <c r="AF256" s="1">
        <v>45181</v>
      </c>
      <c r="AG256">
        <f t="shared" si="44"/>
        <v>270</v>
      </c>
    </row>
    <row r="257" spans="1:33" x14ac:dyDescent="0.25">
      <c r="A257" s="1">
        <v>45182</v>
      </c>
      <c r="B257" t="s">
        <v>4</v>
      </c>
      <c r="C257">
        <f t="shared" si="41"/>
        <v>0.9</v>
      </c>
      <c r="D257">
        <f t="shared" si="42"/>
        <v>3</v>
      </c>
      <c r="F257">
        <f t="shared" si="45"/>
        <v>15910</v>
      </c>
      <c r="G257">
        <f t="shared" si="36"/>
        <v>15910</v>
      </c>
      <c r="H257">
        <f t="shared" si="37"/>
        <v>9</v>
      </c>
      <c r="I257">
        <f t="shared" si="38"/>
        <v>270</v>
      </c>
      <c r="J257" s="3">
        <f t="shared" si="39"/>
        <v>16180</v>
      </c>
      <c r="K257">
        <f t="shared" si="40"/>
        <v>0</v>
      </c>
      <c r="L257" s="4">
        <f t="shared" si="46"/>
        <v>13550</v>
      </c>
      <c r="M257">
        <f t="shared" si="43"/>
        <v>270</v>
      </c>
      <c r="N257" s="5">
        <f t="shared" si="47"/>
        <v>29730</v>
      </c>
      <c r="AF257" s="1">
        <v>45182</v>
      </c>
      <c r="AG257">
        <f t="shared" si="44"/>
        <v>270</v>
      </c>
    </row>
    <row r="258" spans="1:33" x14ac:dyDescent="0.25">
      <c r="A258" s="1">
        <v>45183</v>
      </c>
      <c r="B258" t="s">
        <v>4</v>
      </c>
      <c r="C258">
        <f t="shared" si="41"/>
        <v>0.9</v>
      </c>
      <c r="D258">
        <f t="shared" si="42"/>
        <v>4</v>
      </c>
      <c r="F258">
        <f t="shared" si="45"/>
        <v>16180</v>
      </c>
      <c r="G258">
        <f t="shared" ref="G258:G321" si="48">IF(D258=7,F258-150,F258)</f>
        <v>16180</v>
      </c>
      <c r="H258">
        <f t="shared" ref="H258:H321" si="49">ROUNDDOWN($AC$2*C258,0)</f>
        <v>9</v>
      </c>
      <c r="I258">
        <f t="shared" ref="I258:I321" si="50">H258*$AD$2</f>
        <v>270</v>
      </c>
      <c r="J258" s="3">
        <f t="shared" ref="J258:J321" si="51">IF(AND(D258&gt;=1,D258&lt;=5),G258+I258,G258)</f>
        <v>16450</v>
      </c>
      <c r="K258">
        <f t="shared" ref="K258:K321" si="52">IF(D258=7,150,0)</f>
        <v>0</v>
      </c>
      <c r="L258" s="4">
        <f t="shared" si="46"/>
        <v>13550</v>
      </c>
      <c r="M258">
        <f t="shared" si="43"/>
        <v>270</v>
      </c>
      <c r="N258" s="5">
        <f t="shared" si="47"/>
        <v>30000</v>
      </c>
      <c r="AF258" s="1">
        <v>45183</v>
      </c>
      <c r="AG258">
        <f t="shared" si="44"/>
        <v>270</v>
      </c>
    </row>
    <row r="259" spans="1:33" x14ac:dyDescent="0.25">
      <c r="A259" s="1">
        <v>45184</v>
      </c>
      <c r="B259" t="s">
        <v>4</v>
      </c>
      <c r="C259">
        <f t="shared" ref="C259:C322" si="53">IF(B259="zima",20%,IF(B259="wiosna",50%,IF(B259="lato",90%,40%)))</f>
        <v>0.9</v>
      </c>
      <c r="D259">
        <f t="shared" ref="D259:D322" si="54">WEEKDAY(A259,2)</f>
        <v>5</v>
      </c>
      <c r="F259">
        <f t="shared" si="45"/>
        <v>16450</v>
      </c>
      <c r="G259">
        <f t="shared" si="48"/>
        <v>16450</v>
      </c>
      <c r="H259">
        <f t="shared" si="49"/>
        <v>9</v>
      </c>
      <c r="I259">
        <f t="shared" si="50"/>
        <v>270</v>
      </c>
      <c r="J259" s="3">
        <f t="shared" si="51"/>
        <v>16720</v>
      </c>
      <c r="K259">
        <f t="shared" si="52"/>
        <v>0</v>
      </c>
      <c r="L259" s="4">
        <f t="shared" si="46"/>
        <v>13550</v>
      </c>
      <c r="M259">
        <f t="shared" ref="M259:M322" si="55">IF(AND(D259&gt;=1,D259&lt;=5),I259,0)</f>
        <v>270</v>
      </c>
      <c r="N259" s="5">
        <f t="shared" si="47"/>
        <v>30270</v>
      </c>
      <c r="AF259" s="1">
        <v>45184</v>
      </c>
      <c r="AG259">
        <f t="shared" ref="AG259:AG322" si="56">M259-K259</f>
        <v>270</v>
      </c>
    </row>
    <row r="260" spans="1:33" x14ac:dyDescent="0.25">
      <c r="A260" s="1">
        <v>45185</v>
      </c>
      <c r="B260" t="s">
        <v>4</v>
      </c>
      <c r="C260">
        <f t="shared" si="53"/>
        <v>0.9</v>
      </c>
      <c r="D260">
        <f t="shared" si="54"/>
        <v>6</v>
      </c>
      <c r="F260">
        <f t="shared" ref="F260:F323" si="57">J259</f>
        <v>16720</v>
      </c>
      <c r="G260">
        <f t="shared" si="48"/>
        <v>16720</v>
      </c>
      <c r="H260">
        <f t="shared" si="49"/>
        <v>9</v>
      </c>
      <c r="I260">
        <f t="shared" si="50"/>
        <v>270</v>
      </c>
      <c r="J260" s="3">
        <f t="shared" si="51"/>
        <v>16720</v>
      </c>
      <c r="K260">
        <f t="shared" si="52"/>
        <v>0</v>
      </c>
      <c r="L260" s="4">
        <f t="shared" ref="L260:L323" si="58">K260+L259</f>
        <v>13550</v>
      </c>
      <c r="M260">
        <f t="shared" si="55"/>
        <v>0</v>
      </c>
      <c r="N260" s="5">
        <f t="shared" ref="N260:N323" si="59">N259+M260</f>
        <v>30270</v>
      </c>
      <c r="AF260" s="1">
        <v>45185</v>
      </c>
      <c r="AG260">
        <f t="shared" si="56"/>
        <v>0</v>
      </c>
    </row>
    <row r="261" spans="1:33" x14ac:dyDescent="0.25">
      <c r="A261" s="1">
        <v>45186</v>
      </c>
      <c r="B261" t="s">
        <v>4</v>
      </c>
      <c r="C261">
        <f t="shared" si="53"/>
        <v>0.9</v>
      </c>
      <c r="D261">
        <f t="shared" si="54"/>
        <v>7</v>
      </c>
      <c r="F261">
        <f t="shared" si="57"/>
        <v>16720</v>
      </c>
      <c r="G261">
        <f t="shared" si="48"/>
        <v>16570</v>
      </c>
      <c r="H261">
        <f t="shared" si="49"/>
        <v>9</v>
      </c>
      <c r="I261">
        <f t="shared" si="50"/>
        <v>270</v>
      </c>
      <c r="J261" s="3">
        <f t="shared" si="51"/>
        <v>16570</v>
      </c>
      <c r="K261">
        <f t="shared" si="52"/>
        <v>150</v>
      </c>
      <c r="L261" s="4">
        <f t="shared" si="58"/>
        <v>13700</v>
      </c>
      <c r="M261">
        <f t="shared" si="55"/>
        <v>0</v>
      </c>
      <c r="N261" s="5">
        <f t="shared" si="59"/>
        <v>30270</v>
      </c>
      <c r="AF261" s="1">
        <v>45186</v>
      </c>
      <c r="AG261">
        <f t="shared" si="56"/>
        <v>-150</v>
      </c>
    </row>
    <row r="262" spans="1:33" x14ac:dyDescent="0.25">
      <c r="A262" s="1">
        <v>45187</v>
      </c>
      <c r="B262" t="s">
        <v>4</v>
      </c>
      <c r="C262">
        <f t="shared" si="53"/>
        <v>0.9</v>
      </c>
      <c r="D262">
        <f t="shared" si="54"/>
        <v>1</v>
      </c>
      <c r="F262">
        <f t="shared" si="57"/>
        <v>16570</v>
      </c>
      <c r="G262">
        <f t="shared" si="48"/>
        <v>16570</v>
      </c>
      <c r="H262">
        <f t="shared" si="49"/>
        <v>9</v>
      </c>
      <c r="I262">
        <f t="shared" si="50"/>
        <v>270</v>
      </c>
      <c r="J262" s="3">
        <f t="shared" si="51"/>
        <v>16840</v>
      </c>
      <c r="K262">
        <f t="shared" si="52"/>
        <v>0</v>
      </c>
      <c r="L262" s="4">
        <f t="shared" si="58"/>
        <v>13700</v>
      </c>
      <c r="M262">
        <f t="shared" si="55"/>
        <v>270</v>
      </c>
      <c r="N262" s="5">
        <f t="shared" si="59"/>
        <v>30540</v>
      </c>
      <c r="AF262" s="1">
        <v>45187</v>
      </c>
      <c r="AG262">
        <f t="shared" si="56"/>
        <v>270</v>
      </c>
    </row>
    <row r="263" spans="1:33" x14ac:dyDescent="0.25">
      <c r="A263" s="1">
        <v>45188</v>
      </c>
      <c r="B263" t="s">
        <v>4</v>
      </c>
      <c r="C263">
        <f t="shared" si="53"/>
        <v>0.9</v>
      </c>
      <c r="D263">
        <f t="shared" si="54"/>
        <v>2</v>
      </c>
      <c r="F263">
        <f t="shared" si="57"/>
        <v>16840</v>
      </c>
      <c r="G263">
        <f t="shared" si="48"/>
        <v>16840</v>
      </c>
      <c r="H263">
        <f t="shared" si="49"/>
        <v>9</v>
      </c>
      <c r="I263">
        <f t="shared" si="50"/>
        <v>270</v>
      </c>
      <c r="J263" s="3">
        <f t="shared" si="51"/>
        <v>17110</v>
      </c>
      <c r="K263">
        <f t="shared" si="52"/>
        <v>0</v>
      </c>
      <c r="L263" s="4">
        <f t="shared" si="58"/>
        <v>13700</v>
      </c>
      <c r="M263">
        <f t="shared" si="55"/>
        <v>270</v>
      </c>
      <c r="N263" s="5">
        <f t="shared" si="59"/>
        <v>30810</v>
      </c>
      <c r="AF263" s="1">
        <v>45188</v>
      </c>
      <c r="AG263">
        <f t="shared" si="56"/>
        <v>270</v>
      </c>
    </row>
    <row r="264" spans="1:33" x14ac:dyDescent="0.25">
      <c r="A264" s="1">
        <v>45189</v>
      </c>
      <c r="B264" t="s">
        <v>4</v>
      </c>
      <c r="C264">
        <f t="shared" si="53"/>
        <v>0.9</v>
      </c>
      <c r="D264">
        <f t="shared" si="54"/>
        <v>3</v>
      </c>
      <c r="F264">
        <f t="shared" si="57"/>
        <v>17110</v>
      </c>
      <c r="G264">
        <f t="shared" si="48"/>
        <v>17110</v>
      </c>
      <c r="H264">
        <f t="shared" si="49"/>
        <v>9</v>
      </c>
      <c r="I264">
        <f t="shared" si="50"/>
        <v>270</v>
      </c>
      <c r="J264" s="3">
        <f t="shared" si="51"/>
        <v>17380</v>
      </c>
      <c r="K264">
        <f t="shared" si="52"/>
        <v>0</v>
      </c>
      <c r="L264" s="4">
        <f t="shared" si="58"/>
        <v>13700</v>
      </c>
      <c r="M264">
        <f t="shared" si="55"/>
        <v>270</v>
      </c>
      <c r="N264" s="5">
        <f t="shared" si="59"/>
        <v>31080</v>
      </c>
      <c r="AF264" s="1">
        <v>45189</v>
      </c>
      <c r="AG264">
        <f t="shared" si="56"/>
        <v>270</v>
      </c>
    </row>
    <row r="265" spans="1:33" x14ac:dyDescent="0.25">
      <c r="A265" s="1">
        <v>45190</v>
      </c>
      <c r="B265" t="s">
        <v>4</v>
      </c>
      <c r="C265">
        <f t="shared" si="53"/>
        <v>0.9</v>
      </c>
      <c r="D265">
        <f t="shared" si="54"/>
        <v>4</v>
      </c>
      <c r="F265">
        <f t="shared" si="57"/>
        <v>17380</v>
      </c>
      <c r="G265">
        <f t="shared" si="48"/>
        <v>17380</v>
      </c>
      <c r="H265">
        <f t="shared" si="49"/>
        <v>9</v>
      </c>
      <c r="I265">
        <f t="shared" si="50"/>
        <v>270</v>
      </c>
      <c r="J265" s="3">
        <f t="shared" si="51"/>
        <v>17650</v>
      </c>
      <c r="K265">
        <f t="shared" si="52"/>
        <v>0</v>
      </c>
      <c r="L265" s="4">
        <f t="shared" si="58"/>
        <v>13700</v>
      </c>
      <c r="M265">
        <f t="shared" si="55"/>
        <v>270</v>
      </c>
      <c r="N265" s="5">
        <f t="shared" si="59"/>
        <v>31350</v>
      </c>
      <c r="AF265" s="1">
        <v>45190</v>
      </c>
      <c r="AG265">
        <f t="shared" si="56"/>
        <v>270</v>
      </c>
    </row>
    <row r="266" spans="1:33" x14ac:dyDescent="0.25">
      <c r="A266" s="1">
        <v>45191</v>
      </c>
      <c r="B266" t="s">
        <v>4</v>
      </c>
      <c r="C266">
        <f t="shared" si="53"/>
        <v>0.9</v>
      </c>
      <c r="D266">
        <f t="shared" si="54"/>
        <v>5</v>
      </c>
      <c r="F266">
        <f t="shared" si="57"/>
        <v>17650</v>
      </c>
      <c r="G266">
        <f t="shared" si="48"/>
        <v>17650</v>
      </c>
      <c r="H266">
        <f t="shared" si="49"/>
        <v>9</v>
      </c>
      <c r="I266">
        <f t="shared" si="50"/>
        <v>270</v>
      </c>
      <c r="J266" s="3">
        <f t="shared" si="51"/>
        <v>17920</v>
      </c>
      <c r="K266">
        <f t="shared" si="52"/>
        <v>0</v>
      </c>
      <c r="L266" s="4">
        <f t="shared" si="58"/>
        <v>13700</v>
      </c>
      <c r="M266">
        <f t="shared" si="55"/>
        <v>270</v>
      </c>
      <c r="N266" s="5">
        <f t="shared" si="59"/>
        <v>31620</v>
      </c>
      <c r="AF266" s="1">
        <v>45191</v>
      </c>
      <c r="AG266">
        <f t="shared" si="56"/>
        <v>270</v>
      </c>
    </row>
    <row r="267" spans="1:33" x14ac:dyDescent="0.25">
      <c r="A267" s="1">
        <v>45192</v>
      </c>
      <c r="B267" t="s">
        <v>5</v>
      </c>
      <c r="C267">
        <f t="shared" si="53"/>
        <v>0.4</v>
      </c>
      <c r="D267">
        <f t="shared" si="54"/>
        <v>6</v>
      </c>
      <c r="F267">
        <f t="shared" si="57"/>
        <v>17920</v>
      </c>
      <c r="G267">
        <f t="shared" si="48"/>
        <v>17920</v>
      </c>
      <c r="H267">
        <f t="shared" si="49"/>
        <v>4</v>
      </c>
      <c r="I267">
        <f t="shared" si="50"/>
        <v>120</v>
      </c>
      <c r="J267" s="3">
        <f t="shared" si="51"/>
        <v>17920</v>
      </c>
      <c r="K267">
        <f t="shared" si="52"/>
        <v>0</v>
      </c>
      <c r="L267" s="4">
        <f t="shared" si="58"/>
        <v>13700</v>
      </c>
      <c r="M267">
        <f t="shared" si="55"/>
        <v>0</v>
      </c>
      <c r="N267" s="5">
        <f t="shared" si="59"/>
        <v>31620</v>
      </c>
      <c r="AF267" s="1">
        <v>45192</v>
      </c>
      <c r="AG267">
        <f t="shared" si="56"/>
        <v>0</v>
      </c>
    </row>
    <row r="268" spans="1:33" x14ac:dyDescent="0.25">
      <c r="A268" s="1">
        <v>45193</v>
      </c>
      <c r="B268" t="s">
        <v>5</v>
      </c>
      <c r="C268">
        <f t="shared" si="53"/>
        <v>0.4</v>
      </c>
      <c r="D268">
        <f t="shared" si="54"/>
        <v>7</v>
      </c>
      <c r="F268">
        <f t="shared" si="57"/>
        <v>17920</v>
      </c>
      <c r="G268">
        <f t="shared" si="48"/>
        <v>17770</v>
      </c>
      <c r="H268">
        <f t="shared" si="49"/>
        <v>4</v>
      </c>
      <c r="I268">
        <f t="shared" si="50"/>
        <v>120</v>
      </c>
      <c r="J268" s="3">
        <f t="shared" si="51"/>
        <v>17770</v>
      </c>
      <c r="K268">
        <f t="shared" si="52"/>
        <v>150</v>
      </c>
      <c r="L268" s="4">
        <f t="shared" si="58"/>
        <v>13850</v>
      </c>
      <c r="M268">
        <f t="shared" si="55"/>
        <v>0</v>
      </c>
      <c r="N268" s="5">
        <f t="shared" si="59"/>
        <v>31620</v>
      </c>
      <c r="AF268" s="1">
        <v>45193</v>
      </c>
      <c r="AG268">
        <f t="shared" si="56"/>
        <v>-150</v>
      </c>
    </row>
    <row r="269" spans="1:33" x14ac:dyDescent="0.25">
      <c r="A269" s="1">
        <v>45194</v>
      </c>
      <c r="B269" t="s">
        <v>5</v>
      </c>
      <c r="C269">
        <f t="shared" si="53"/>
        <v>0.4</v>
      </c>
      <c r="D269">
        <f t="shared" si="54"/>
        <v>1</v>
      </c>
      <c r="F269">
        <f t="shared" si="57"/>
        <v>17770</v>
      </c>
      <c r="G269">
        <f t="shared" si="48"/>
        <v>17770</v>
      </c>
      <c r="H269">
        <f t="shared" si="49"/>
        <v>4</v>
      </c>
      <c r="I269">
        <f t="shared" si="50"/>
        <v>120</v>
      </c>
      <c r="J269" s="3">
        <f t="shared" si="51"/>
        <v>17890</v>
      </c>
      <c r="K269">
        <f t="shared" si="52"/>
        <v>0</v>
      </c>
      <c r="L269" s="4">
        <f t="shared" si="58"/>
        <v>13850</v>
      </c>
      <c r="M269">
        <f t="shared" si="55"/>
        <v>120</v>
      </c>
      <c r="N269" s="5">
        <f t="shared" si="59"/>
        <v>31740</v>
      </c>
      <c r="AF269" s="1">
        <v>45194</v>
      </c>
      <c r="AG269">
        <f t="shared" si="56"/>
        <v>120</v>
      </c>
    </row>
    <row r="270" spans="1:33" x14ac:dyDescent="0.25">
      <c r="A270" s="1">
        <v>45195</v>
      </c>
      <c r="B270" t="s">
        <v>5</v>
      </c>
      <c r="C270">
        <f t="shared" si="53"/>
        <v>0.4</v>
      </c>
      <c r="D270">
        <f t="shared" si="54"/>
        <v>2</v>
      </c>
      <c r="F270">
        <f t="shared" si="57"/>
        <v>17890</v>
      </c>
      <c r="G270">
        <f t="shared" si="48"/>
        <v>17890</v>
      </c>
      <c r="H270">
        <f t="shared" si="49"/>
        <v>4</v>
      </c>
      <c r="I270">
        <f t="shared" si="50"/>
        <v>120</v>
      </c>
      <c r="J270" s="3">
        <f t="shared" si="51"/>
        <v>18010</v>
      </c>
      <c r="K270">
        <f t="shared" si="52"/>
        <v>0</v>
      </c>
      <c r="L270" s="4">
        <f t="shared" si="58"/>
        <v>13850</v>
      </c>
      <c r="M270">
        <f t="shared" si="55"/>
        <v>120</v>
      </c>
      <c r="N270" s="5">
        <f t="shared" si="59"/>
        <v>31860</v>
      </c>
      <c r="AF270" s="1">
        <v>45195</v>
      </c>
      <c r="AG270">
        <f t="shared" si="56"/>
        <v>120</v>
      </c>
    </row>
    <row r="271" spans="1:33" x14ac:dyDescent="0.25">
      <c r="A271" s="1">
        <v>45196</v>
      </c>
      <c r="B271" t="s">
        <v>5</v>
      </c>
      <c r="C271">
        <f t="shared" si="53"/>
        <v>0.4</v>
      </c>
      <c r="D271">
        <f t="shared" si="54"/>
        <v>3</v>
      </c>
      <c r="F271">
        <f t="shared" si="57"/>
        <v>18010</v>
      </c>
      <c r="G271">
        <f t="shared" si="48"/>
        <v>18010</v>
      </c>
      <c r="H271">
        <f t="shared" si="49"/>
        <v>4</v>
      </c>
      <c r="I271">
        <f t="shared" si="50"/>
        <v>120</v>
      </c>
      <c r="J271" s="3">
        <f t="shared" si="51"/>
        <v>18130</v>
      </c>
      <c r="K271">
        <f t="shared" si="52"/>
        <v>0</v>
      </c>
      <c r="L271" s="4">
        <f t="shared" si="58"/>
        <v>13850</v>
      </c>
      <c r="M271">
        <f t="shared" si="55"/>
        <v>120</v>
      </c>
      <c r="N271" s="5">
        <f t="shared" si="59"/>
        <v>31980</v>
      </c>
      <c r="AF271" s="1">
        <v>45196</v>
      </c>
      <c r="AG271">
        <f t="shared" si="56"/>
        <v>120</v>
      </c>
    </row>
    <row r="272" spans="1:33" x14ac:dyDescent="0.25">
      <c r="A272" s="1">
        <v>45197</v>
      </c>
      <c r="B272" t="s">
        <v>5</v>
      </c>
      <c r="C272">
        <f t="shared" si="53"/>
        <v>0.4</v>
      </c>
      <c r="D272">
        <f t="shared" si="54"/>
        <v>4</v>
      </c>
      <c r="F272">
        <f t="shared" si="57"/>
        <v>18130</v>
      </c>
      <c r="G272">
        <f t="shared" si="48"/>
        <v>18130</v>
      </c>
      <c r="H272">
        <f t="shared" si="49"/>
        <v>4</v>
      </c>
      <c r="I272">
        <f t="shared" si="50"/>
        <v>120</v>
      </c>
      <c r="J272" s="3">
        <f t="shared" si="51"/>
        <v>18250</v>
      </c>
      <c r="K272">
        <f t="shared" si="52"/>
        <v>0</v>
      </c>
      <c r="L272" s="4">
        <f t="shared" si="58"/>
        <v>13850</v>
      </c>
      <c r="M272">
        <f t="shared" si="55"/>
        <v>120</v>
      </c>
      <c r="N272" s="5">
        <f t="shared" si="59"/>
        <v>32100</v>
      </c>
      <c r="AF272" s="1">
        <v>45197</v>
      </c>
      <c r="AG272">
        <f t="shared" si="56"/>
        <v>120</v>
      </c>
    </row>
    <row r="273" spans="1:33" x14ac:dyDescent="0.25">
      <c r="A273" s="1">
        <v>45198</v>
      </c>
      <c r="B273" t="s">
        <v>5</v>
      </c>
      <c r="C273">
        <f t="shared" si="53"/>
        <v>0.4</v>
      </c>
      <c r="D273">
        <f t="shared" si="54"/>
        <v>5</v>
      </c>
      <c r="F273">
        <f t="shared" si="57"/>
        <v>18250</v>
      </c>
      <c r="G273">
        <f t="shared" si="48"/>
        <v>18250</v>
      </c>
      <c r="H273">
        <f t="shared" si="49"/>
        <v>4</v>
      </c>
      <c r="I273">
        <f t="shared" si="50"/>
        <v>120</v>
      </c>
      <c r="J273" s="3">
        <f t="shared" si="51"/>
        <v>18370</v>
      </c>
      <c r="K273">
        <f t="shared" si="52"/>
        <v>0</v>
      </c>
      <c r="L273" s="4">
        <f t="shared" si="58"/>
        <v>13850</v>
      </c>
      <c r="M273">
        <f t="shared" si="55"/>
        <v>120</v>
      </c>
      <c r="N273" s="5">
        <f t="shared" si="59"/>
        <v>32220</v>
      </c>
      <c r="AF273" s="1">
        <v>45198</v>
      </c>
      <c r="AG273">
        <f t="shared" si="56"/>
        <v>120</v>
      </c>
    </row>
    <row r="274" spans="1:33" x14ac:dyDescent="0.25">
      <c r="A274" s="1">
        <v>45199</v>
      </c>
      <c r="B274" t="s">
        <v>5</v>
      </c>
      <c r="C274">
        <f t="shared" si="53"/>
        <v>0.4</v>
      </c>
      <c r="D274">
        <f t="shared" si="54"/>
        <v>6</v>
      </c>
      <c r="F274">
        <f t="shared" si="57"/>
        <v>18370</v>
      </c>
      <c r="G274">
        <f t="shared" si="48"/>
        <v>18370</v>
      </c>
      <c r="H274">
        <f t="shared" si="49"/>
        <v>4</v>
      </c>
      <c r="I274">
        <f t="shared" si="50"/>
        <v>120</v>
      </c>
      <c r="J274" s="3">
        <f t="shared" si="51"/>
        <v>18370</v>
      </c>
      <c r="K274">
        <f t="shared" si="52"/>
        <v>0</v>
      </c>
      <c r="L274" s="4">
        <f t="shared" si="58"/>
        <v>13850</v>
      </c>
      <c r="M274">
        <f t="shared" si="55"/>
        <v>0</v>
      </c>
      <c r="N274" s="5">
        <f t="shared" si="59"/>
        <v>32220</v>
      </c>
      <c r="AF274" s="1">
        <v>45199</v>
      </c>
      <c r="AG274">
        <f t="shared" si="56"/>
        <v>0</v>
      </c>
    </row>
    <row r="275" spans="1:33" x14ac:dyDescent="0.25">
      <c r="A275" s="1">
        <v>45200</v>
      </c>
      <c r="B275" t="s">
        <v>5</v>
      </c>
      <c r="C275">
        <f t="shared" si="53"/>
        <v>0.4</v>
      </c>
      <c r="D275">
        <f t="shared" si="54"/>
        <v>7</v>
      </c>
      <c r="F275">
        <f t="shared" si="57"/>
        <v>18370</v>
      </c>
      <c r="G275">
        <f t="shared" si="48"/>
        <v>18220</v>
      </c>
      <c r="H275">
        <f t="shared" si="49"/>
        <v>4</v>
      </c>
      <c r="I275">
        <f t="shared" si="50"/>
        <v>120</v>
      </c>
      <c r="J275" s="3">
        <f t="shared" si="51"/>
        <v>18220</v>
      </c>
      <c r="K275">
        <f t="shared" si="52"/>
        <v>150</v>
      </c>
      <c r="L275" s="4">
        <f t="shared" si="58"/>
        <v>14000</v>
      </c>
      <c r="M275">
        <f t="shared" si="55"/>
        <v>0</v>
      </c>
      <c r="N275" s="5">
        <f t="shared" si="59"/>
        <v>32220</v>
      </c>
      <c r="AF275" s="1">
        <v>45200</v>
      </c>
      <c r="AG275">
        <f t="shared" si="56"/>
        <v>-150</v>
      </c>
    </row>
    <row r="276" spans="1:33" x14ac:dyDescent="0.25">
      <c r="A276" s="1">
        <v>45201</v>
      </c>
      <c r="B276" t="s">
        <v>5</v>
      </c>
      <c r="C276">
        <f t="shared" si="53"/>
        <v>0.4</v>
      </c>
      <c r="D276">
        <f t="shared" si="54"/>
        <v>1</v>
      </c>
      <c r="F276">
        <f t="shared" si="57"/>
        <v>18220</v>
      </c>
      <c r="G276">
        <f t="shared" si="48"/>
        <v>18220</v>
      </c>
      <c r="H276">
        <f t="shared" si="49"/>
        <v>4</v>
      </c>
      <c r="I276">
        <f t="shared" si="50"/>
        <v>120</v>
      </c>
      <c r="J276" s="3">
        <f t="shared" si="51"/>
        <v>18340</v>
      </c>
      <c r="K276">
        <f t="shared" si="52"/>
        <v>0</v>
      </c>
      <c r="L276" s="4">
        <f t="shared" si="58"/>
        <v>14000</v>
      </c>
      <c r="M276">
        <f t="shared" si="55"/>
        <v>120</v>
      </c>
      <c r="N276" s="5">
        <f t="shared" si="59"/>
        <v>32340</v>
      </c>
      <c r="AF276" s="1">
        <v>45201</v>
      </c>
      <c r="AG276">
        <f t="shared" si="56"/>
        <v>120</v>
      </c>
    </row>
    <row r="277" spans="1:33" x14ac:dyDescent="0.25">
      <c r="A277" s="1">
        <v>45202</v>
      </c>
      <c r="B277" t="s">
        <v>5</v>
      </c>
      <c r="C277">
        <f t="shared" si="53"/>
        <v>0.4</v>
      </c>
      <c r="D277">
        <f t="shared" si="54"/>
        <v>2</v>
      </c>
      <c r="F277">
        <f t="shared" si="57"/>
        <v>18340</v>
      </c>
      <c r="G277">
        <f t="shared" si="48"/>
        <v>18340</v>
      </c>
      <c r="H277">
        <f t="shared" si="49"/>
        <v>4</v>
      </c>
      <c r="I277">
        <f t="shared" si="50"/>
        <v>120</v>
      </c>
      <c r="J277" s="3">
        <f t="shared" si="51"/>
        <v>18460</v>
      </c>
      <c r="K277">
        <f t="shared" si="52"/>
        <v>0</v>
      </c>
      <c r="L277" s="4">
        <f t="shared" si="58"/>
        <v>14000</v>
      </c>
      <c r="M277">
        <f t="shared" si="55"/>
        <v>120</v>
      </c>
      <c r="N277" s="5">
        <f t="shared" si="59"/>
        <v>32460</v>
      </c>
      <c r="AF277" s="1">
        <v>45202</v>
      </c>
      <c r="AG277">
        <f t="shared" si="56"/>
        <v>120</v>
      </c>
    </row>
    <row r="278" spans="1:33" x14ac:dyDescent="0.25">
      <c r="A278" s="1">
        <v>45203</v>
      </c>
      <c r="B278" t="s">
        <v>5</v>
      </c>
      <c r="C278">
        <f t="shared" si="53"/>
        <v>0.4</v>
      </c>
      <c r="D278">
        <f t="shared" si="54"/>
        <v>3</v>
      </c>
      <c r="F278">
        <f t="shared" si="57"/>
        <v>18460</v>
      </c>
      <c r="G278">
        <f t="shared" si="48"/>
        <v>18460</v>
      </c>
      <c r="H278">
        <f t="shared" si="49"/>
        <v>4</v>
      </c>
      <c r="I278">
        <f t="shared" si="50"/>
        <v>120</v>
      </c>
      <c r="J278" s="3">
        <f t="shared" si="51"/>
        <v>18580</v>
      </c>
      <c r="K278">
        <f t="shared" si="52"/>
        <v>0</v>
      </c>
      <c r="L278" s="4">
        <f t="shared" si="58"/>
        <v>14000</v>
      </c>
      <c r="M278">
        <f t="shared" si="55"/>
        <v>120</v>
      </c>
      <c r="N278" s="5">
        <f t="shared" si="59"/>
        <v>32580</v>
      </c>
      <c r="AF278" s="1">
        <v>45203</v>
      </c>
      <c r="AG278">
        <f t="shared" si="56"/>
        <v>120</v>
      </c>
    </row>
    <row r="279" spans="1:33" x14ac:dyDescent="0.25">
      <c r="A279" s="1">
        <v>45204</v>
      </c>
      <c r="B279" t="s">
        <v>5</v>
      </c>
      <c r="C279">
        <f t="shared" si="53"/>
        <v>0.4</v>
      </c>
      <c r="D279">
        <f t="shared" si="54"/>
        <v>4</v>
      </c>
      <c r="F279">
        <f t="shared" si="57"/>
        <v>18580</v>
      </c>
      <c r="G279">
        <f t="shared" si="48"/>
        <v>18580</v>
      </c>
      <c r="H279">
        <f t="shared" si="49"/>
        <v>4</v>
      </c>
      <c r="I279">
        <f t="shared" si="50"/>
        <v>120</v>
      </c>
      <c r="J279" s="3">
        <f t="shared" si="51"/>
        <v>18700</v>
      </c>
      <c r="K279">
        <f t="shared" si="52"/>
        <v>0</v>
      </c>
      <c r="L279" s="4">
        <f t="shared" si="58"/>
        <v>14000</v>
      </c>
      <c r="M279">
        <f t="shared" si="55"/>
        <v>120</v>
      </c>
      <c r="N279" s="5">
        <f t="shared" si="59"/>
        <v>32700</v>
      </c>
      <c r="AF279" s="1">
        <v>45204</v>
      </c>
      <c r="AG279">
        <f t="shared" si="56"/>
        <v>120</v>
      </c>
    </row>
    <row r="280" spans="1:33" x14ac:dyDescent="0.25">
      <c r="A280" s="1">
        <v>45205</v>
      </c>
      <c r="B280" t="s">
        <v>5</v>
      </c>
      <c r="C280">
        <f t="shared" si="53"/>
        <v>0.4</v>
      </c>
      <c r="D280">
        <f t="shared" si="54"/>
        <v>5</v>
      </c>
      <c r="F280">
        <f t="shared" si="57"/>
        <v>18700</v>
      </c>
      <c r="G280">
        <f t="shared" si="48"/>
        <v>18700</v>
      </c>
      <c r="H280">
        <f t="shared" si="49"/>
        <v>4</v>
      </c>
      <c r="I280">
        <f t="shared" si="50"/>
        <v>120</v>
      </c>
      <c r="J280" s="3">
        <f t="shared" si="51"/>
        <v>18820</v>
      </c>
      <c r="K280">
        <f t="shared" si="52"/>
        <v>0</v>
      </c>
      <c r="L280" s="4">
        <f t="shared" si="58"/>
        <v>14000</v>
      </c>
      <c r="M280">
        <f t="shared" si="55"/>
        <v>120</v>
      </c>
      <c r="N280" s="5">
        <f t="shared" si="59"/>
        <v>32820</v>
      </c>
      <c r="AF280" s="1">
        <v>45205</v>
      </c>
      <c r="AG280">
        <f t="shared" si="56"/>
        <v>120</v>
      </c>
    </row>
    <row r="281" spans="1:33" x14ac:dyDescent="0.25">
      <c r="A281" s="1">
        <v>45206</v>
      </c>
      <c r="B281" t="s">
        <v>5</v>
      </c>
      <c r="C281">
        <f t="shared" si="53"/>
        <v>0.4</v>
      </c>
      <c r="D281">
        <f t="shared" si="54"/>
        <v>6</v>
      </c>
      <c r="F281">
        <f t="shared" si="57"/>
        <v>18820</v>
      </c>
      <c r="G281">
        <f t="shared" si="48"/>
        <v>18820</v>
      </c>
      <c r="H281">
        <f t="shared" si="49"/>
        <v>4</v>
      </c>
      <c r="I281">
        <f t="shared" si="50"/>
        <v>120</v>
      </c>
      <c r="J281" s="3">
        <f t="shared" si="51"/>
        <v>18820</v>
      </c>
      <c r="K281">
        <f t="shared" si="52"/>
        <v>0</v>
      </c>
      <c r="L281" s="4">
        <f t="shared" si="58"/>
        <v>14000</v>
      </c>
      <c r="M281">
        <f t="shared" si="55"/>
        <v>0</v>
      </c>
      <c r="N281" s="5">
        <f t="shared" si="59"/>
        <v>32820</v>
      </c>
      <c r="AF281" s="1">
        <v>45206</v>
      </c>
      <c r="AG281">
        <f t="shared" si="56"/>
        <v>0</v>
      </c>
    </row>
    <row r="282" spans="1:33" x14ac:dyDescent="0.25">
      <c r="A282" s="1">
        <v>45207</v>
      </c>
      <c r="B282" t="s">
        <v>5</v>
      </c>
      <c r="C282">
        <f t="shared" si="53"/>
        <v>0.4</v>
      </c>
      <c r="D282">
        <f t="shared" si="54"/>
        <v>7</v>
      </c>
      <c r="F282">
        <f t="shared" si="57"/>
        <v>18820</v>
      </c>
      <c r="G282">
        <f t="shared" si="48"/>
        <v>18670</v>
      </c>
      <c r="H282">
        <f t="shared" si="49"/>
        <v>4</v>
      </c>
      <c r="I282">
        <f t="shared" si="50"/>
        <v>120</v>
      </c>
      <c r="J282" s="3">
        <f t="shared" si="51"/>
        <v>18670</v>
      </c>
      <c r="K282">
        <f t="shared" si="52"/>
        <v>150</v>
      </c>
      <c r="L282" s="4">
        <f t="shared" si="58"/>
        <v>14150</v>
      </c>
      <c r="M282">
        <f t="shared" si="55"/>
        <v>0</v>
      </c>
      <c r="N282" s="5">
        <f t="shared" si="59"/>
        <v>32820</v>
      </c>
      <c r="AF282" s="1">
        <v>45207</v>
      </c>
      <c r="AG282">
        <f t="shared" si="56"/>
        <v>-150</v>
      </c>
    </row>
    <row r="283" spans="1:33" x14ac:dyDescent="0.25">
      <c r="A283" s="1">
        <v>45208</v>
      </c>
      <c r="B283" t="s">
        <v>5</v>
      </c>
      <c r="C283">
        <f t="shared" si="53"/>
        <v>0.4</v>
      </c>
      <c r="D283">
        <f t="shared" si="54"/>
        <v>1</v>
      </c>
      <c r="F283">
        <f t="shared" si="57"/>
        <v>18670</v>
      </c>
      <c r="G283">
        <f t="shared" si="48"/>
        <v>18670</v>
      </c>
      <c r="H283">
        <f t="shared" si="49"/>
        <v>4</v>
      </c>
      <c r="I283">
        <f t="shared" si="50"/>
        <v>120</v>
      </c>
      <c r="J283" s="3">
        <f t="shared" si="51"/>
        <v>18790</v>
      </c>
      <c r="K283">
        <f t="shared" si="52"/>
        <v>0</v>
      </c>
      <c r="L283" s="4">
        <f t="shared" si="58"/>
        <v>14150</v>
      </c>
      <c r="M283">
        <f t="shared" si="55"/>
        <v>120</v>
      </c>
      <c r="N283" s="5">
        <f t="shared" si="59"/>
        <v>32940</v>
      </c>
      <c r="AF283" s="1">
        <v>45208</v>
      </c>
      <c r="AG283">
        <f t="shared" si="56"/>
        <v>120</v>
      </c>
    </row>
    <row r="284" spans="1:33" x14ac:dyDescent="0.25">
      <c r="A284" s="1">
        <v>45209</v>
      </c>
      <c r="B284" t="s">
        <v>5</v>
      </c>
      <c r="C284">
        <f t="shared" si="53"/>
        <v>0.4</v>
      </c>
      <c r="D284">
        <f t="shared" si="54"/>
        <v>2</v>
      </c>
      <c r="F284">
        <f t="shared" si="57"/>
        <v>18790</v>
      </c>
      <c r="G284">
        <f t="shared" si="48"/>
        <v>18790</v>
      </c>
      <c r="H284">
        <f t="shared" si="49"/>
        <v>4</v>
      </c>
      <c r="I284">
        <f t="shared" si="50"/>
        <v>120</v>
      </c>
      <c r="J284" s="3">
        <f t="shared" si="51"/>
        <v>18910</v>
      </c>
      <c r="K284">
        <f t="shared" si="52"/>
        <v>0</v>
      </c>
      <c r="L284" s="4">
        <f t="shared" si="58"/>
        <v>14150</v>
      </c>
      <c r="M284">
        <f t="shared" si="55"/>
        <v>120</v>
      </c>
      <c r="N284" s="5">
        <f t="shared" si="59"/>
        <v>33060</v>
      </c>
      <c r="AF284" s="1">
        <v>45209</v>
      </c>
      <c r="AG284">
        <f t="shared" si="56"/>
        <v>120</v>
      </c>
    </row>
    <row r="285" spans="1:33" x14ac:dyDescent="0.25">
      <c r="A285" s="1">
        <v>45210</v>
      </c>
      <c r="B285" t="s">
        <v>5</v>
      </c>
      <c r="C285">
        <f t="shared" si="53"/>
        <v>0.4</v>
      </c>
      <c r="D285">
        <f t="shared" si="54"/>
        <v>3</v>
      </c>
      <c r="F285">
        <f t="shared" si="57"/>
        <v>18910</v>
      </c>
      <c r="G285">
        <f t="shared" si="48"/>
        <v>18910</v>
      </c>
      <c r="H285">
        <f t="shared" si="49"/>
        <v>4</v>
      </c>
      <c r="I285">
        <f t="shared" si="50"/>
        <v>120</v>
      </c>
      <c r="J285" s="3">
        <f t="shared" si="51"/>
        <v>19030</v>
      </c>
      <c r="K285">
        <f t="shared" si="52"/>
        <v>0</v>
      </c>
      <c r="L285" s="4">
        <f t="shared" si="58"/>
        <v>14150</v>
      </c>
      <c r="M285">
        <f t="shared" si="55"/>
        <v>120</v>
      </c>
      <c r="N285" s="5">
        <f t="shared" si="59"/>
        <v>33180</v>
      </c>
      <c r="AF285" s="1">
        <v>45210</v>
      </c>
      <c r="AG285">
        <f t="shared" si="56"/>
        <v>120</v>
      </c>
    </row>
    <row r="286" spans="1:33" x14ac:dyDescent="0.25">
      <c r="A286" s="1">
        <v>45211</v>
      </c>
      <c r="B286" t="s">
        <v>5</v>
      </c>
      <c r="C286">
        <f t="shared" si="53"/>
        <v>0.4</v>
      </c>
      <c r="D286">
        <f t="shared" si="54"/>
        <v>4</v>
      </c>
      <c r="F286">
        <f t="shared" si="57"/>
        <v>19030</v>
      </c>
      <c r="G286">
        <f t="shared" si="48"/>
        <v>19030</v>
      </c>
      <c r="H286">
        <f t="shared" si="49"/>
        <v>4</v>
      </c>
      <c r="I286">
        <f t="shared" si="50"/>
        <v>120</v>
      </c>
      <c r="J286" s="3">
        <f t="shared" si="51"/>
        <v>19150</v>
      </c>
      <c r="K286">
        <f t="shared" si="52"/>
        <v>0</v>
      </c>
      <c r="L286" s="4">
        <f t="shared" si="58"/>
        <v>14150</v>
      </c>
      <c r="M286">
        <f t="shared" si="55"/>
        <v>120</v>
      </c>
      <c r="N286" s="5">
        <f t="shared" si="59"/>
        <v>33300</v>
      </c>
      <c r="AF286" s="1">
        <v>45211</v>
      </c>
      <c r="AG286">
        <f t="shared" si="56"/>
        <v>120</v>
      </c>
    </row>
    <row r="287" spans="1:33" x14ac:dyDescent="0.25">
      <c r="A287" s="1">
        <v>45212</v>
      </c>
      <c r="B287" t="s">
        <v>5</v>
      </c>
      <c r="C287">
        <f t="shared" si="53"/>
        <v>0.4</v>
      </c>
      <c r="D287">
        <f t="shared" si="54"/>
        <v>5</v>
      </c>
      <c r="F287">
        <f t="shared" si="57"/>
        <v>19150</v>
      </c>
      <c r="G287">
        <f t="shared" si="48"/>
        <v>19150</v>
      </c>
      <c r="H287">
        <f t="shared" si="49"/>
        <v>4</v>
      </c>
      <c r="I287">
        <f t="shared" si="50"/>
        <v>120</v>
      </c>
      <c r="J287" s="3">
        <f t="shared" si="51"/>
        <v>19270</v>
      </c>
      <c r="K287">
        <f t="shared" si="52"/>
        <v>0</v>
      </c>
      <c r="L287" s="4">
        <f t="shared" si="58"/>
        <v>14150</v>
      </c>
      <c r="M287">
        <f t="shared" si="55"/>
        <v>120</v>
      </c>
      <c r="N287" s="5">
        <f t="shared" si="59"/>
        <v>33420</v>
      </c>
      <c r="AF287" s="1">
        <v>45212</v>
      </c>
      <c r="AG287">
        <f t="shared" si="56"/>
        <v>120</v>
      </c>
    </row>
    <row r="288" spans="1:33" x14ac:dyDescent="0.25">
      <c r="A288" s="1">
        <v>45213</v>
      </c>
      <c r="B288" t="s">
        <v>5</v>
      </c>
      <c r="C288">
        <f t="shared" si="53"/>
        <v>0.4</v>
      </c>
      <c r="D288">
        <f t="shared" si="54"/>
        <v>6</v>
      </c>
      <c r="F288">
        <f t="shared" si="57"/>
        <v>19270</v>
      </c>
      <c r="G288">
        <f t="shared" si="48"/>
        <v>19270</v>
      </c>
      <c r="H288">
        <f t="shared" si="49"/>
        <v>4</v>
      </c>
      <c r="I288">
        <f t="shared" si="50"/>
        <v>120</v>
      </c>
      <c r="J288" s="3">
        <f t="shared" si="51"/>
        <v>19270</v>
      </c>
      <c r="K288">
        <f t="shared" si="52"/>
        <v>0</v>
      </c>
      <c r="L288" s="4">
        <f t="shared" si="58"/>
        <v>14150</v>
      </c>
      <c r="M288">
        <f t="shared" si="55"/>
        <v>0</v>
      </c>
      <c r="N288" s="5">
        <f t="shared" si="59"/>
        <v>33420</v>
      </c>
      <c r="AF288" s="1">
        <v>45213</v>
      </c>
      <c r="AG288">
        <f t="shared" si="56"/>
        <v>0</v>
      </c>
    </row>
    <row r="289" spans="1:33" x14ac:dyDescent="0.25">
      <c r="A289" s="1">
        <v>45214</v>
      </c>
      <c r="B289" t="s">
        <v>5</v>
      </c>
      <c r="C289">
        <f t="shared" si="53"/>
        <v>0.4</v>
      </c>
      <c r="D289">
        <f t="shared" si="54"/>
        <v>7</v>
      </c>
      <c r="F289">
        <f t="shared" si="57"/>
        <v>19270</v>
      </c>
      <c r="G289">
        <f t="shared" si="48"/>
        <v>19120</v>
      </c>
      <c r="H289">
        <f t="shared" si="49"/>
        <v>4</v>
      </c>
      <c r="I289">
        <f t="shared" si="50"/>
        <v>120</v>
      </c>
      <c r="J289" s="3">
        <f t="shared" si="51"/>
        <v>19120</v>
      </c>
      <c r="K289">
        <f t="shared" si="52"/>
        <v>150</v>
      </c>
      <c r="L289" s="4">
        <f t="shared" si="58"/>
        <v>14300</v>
      </c>
      <c r="M289">
        <f t="shared" si="55"/>
        <v>0</v>
      </c>
      <c r="N289" s="5">
        <f t="shared" si="59"/>
        <v>33420</v>
      </c>
      <c r="AF289" s="1">
        <v>45214</v>
      </c>
      <c r="AG289">
        <f t="shared" si="56"/>
        <v>-150</v>
      </c>
    </row>
    <row r="290" spans="1:33" x14ac:dyDescent="0.25">
      <c r="A290" s="1">
        <v>45215</v>
      </c>
      <c r="B290" t="s">
        <v>5</v>
      </c>
      <c r="C290">
        <f t="shared" si="53"/>
        <v>0.4</v>
      </c>
      <c r="D290">
        <f t="shared" si="54"/>
        <v>1</v>
      </c>
      <c r="F290">
        <f t="shared" si="57"/>
        <v>19120</v>
      </c>
      <c r="G290">
        <f t="shared" si="48"/>
        <v>19120</v>
      </c>
      <c r="H290">
        <f t="shared" si="49"/>
        <v>4</v>
      </c>
      <c r="I290">
        <f t="shared" si="50"/>
        <v>120</v>
      </c>
      <c r="J290" s="3">
        <f t="shared" si="51"/>
        <v>19240</v>
      </c>
      <c r="K290">
        <f t="shared" si="52"/>
        <v>0</v>
      </c>
      <c r="L290" s="4">
        <f t="shared" si="58"/>
        <v>14300</v>
      </c>
      <c r="M290">
        <f t="shared" si="55"/>
        <v>120</v>
      </c>
      <c r="N290" s="5">
        <f t="shared" si="59"/>
        <v>33540</v>
      </c>
      <c r="AF290" s="1">
        <v>45215</v>
      </c>
      <c r="AG290">
        <f t="shared" si="56"/>
        <v>120</v>
      </c>
    </row>
    <row r="291" spans="1:33" x14ac:dyDescent="0.25">
      <c r="A291" s="1">
        <v>45216</v>
      </c>
      <c r="B291" t="s">
        <v>5</v>
      </c>
      <c r="C291">
        <f t="shared" si="53"/>
        <v>0.4</v>
      </c>
      <c r="D291">
        <f t="shared" si="54"/>
        <v>2</v>
      </c>
      <c r="F291">
        <f t="shared" si="57"/>
        <v>19240</v>
      </c>
      <c r="G291">
        <f t="shared" si="48"/>
        <v>19240</v>
      </c>
      <c r="H291">
        <f t="shared" si="49"/>
        <v>4</v>
      </c>
      <c r="I291">
        <f t="shared" si="50"/>
        <v>120</v>
      </c>
      <c r="J291" s="3">
        <f t="shared" si="51"/>
        <v>19360</v>
      </c>
      <c r="K291">
        <f t="shared" si="52"/>
        <v>0</v>
      </c>
      <c r="L291" s="4">
        <f t="shared" si="58"/>
        <v>14300</v>
      </c>
      <c r="M291">
        <f t="shared" si="55"/>
        <v>120</v>
      </c>
      <c r="N291" s="5">
        <f t="shared" si="59"/>
        <v>33660</v>
      </c>
      <c r="AF291" s="1">
        <v>45216</v>
      </c>
      <c r="AG291">
        <f t="shared" si="56"/>
        <v>120</v>
      </c>
    </row>
    <row r="292" spans="1:33" x14ac:dyDescent="0.25">
      <c r="A292" s="1">
        <v>45217</v>
      </c>
      <c r="B292" t="s">
        <v>5</v>
      </c>
      <c r="C292">
        <f t="shared" si="53"/>
        <v>0.4</v>
      </c>
      <c r="D292">
        <f t="shared" si="54"/>
        <v>3</v>
      </c>
      <c r="F292">
        <f t="shared" si="57"/>
        <v>19360</v>
      </c>
      <c r="G292">
        <f t="shared" si="48"/>
        <v>19360</v>
      </c>
      <c r="H292">
        <f t="shared" si="49"/>
        <v>4</v>
      </c>
      <c r="I292">
        <f t="shared" si="50"/>
        <v>120</v>
      </c>
      <c r="J292" s="3">
        <f t="shared" si="51"/>
        <v>19480</v>
      </c>
      <c r="K292">
        <f t="shared" si="52"/>
        <v>0</v>
      </c>
      <c r="L292" s="4">
        <f t="shared" si="58"/>
        <v>14300</v>
      </c>
      <c r="M292">
        <f t="shared" si="55"/>
        <v>120</v>
      </c>
      <c r="N292" s="5">
        <f t="shared" si="59"/>
        <v>33780</v>
      </c>
      <c r="AF292" s="1">
        <v>45217</v>
      </c>
      <c r="AG292">
        <f t="shared" si="56"/>
        <v>120</v>
      </c>
    </row>
    <row r="293" spans="1:33" x14ac:dyDescent="0.25">
      <c r="A293" s="1">
        <v>45218</v>
      </c>
      <c r="B293" t="s">
        <v>5</v>
      </c>
      <c r="C293">
        <f t="shared" si="53"/>
        <v>0.4</v>
      </c>
      <c r="D293">
        <f t="shared" si="54"/>
        <v>4</v>
      </c>
      <c r="F293">
        <f t="shared" si="57"/>
        <v>19480</v>
      </c>
      <c r="G293">
        <f t="shared" si="48"/>
        <v>19480</v>
      </c>
      <c r="H293">
        <f t="shared" si="49"/>
        <v>4</v>
      </c>
      <c r="I293">
        <f t="shared" si="50"/>
        <v>120</v>
      </c>
      <c r="J293" s="3">
        <f t="shared" si="51"/>
        <v>19600</v>
      </c>
      <c r="K293">
        <f t="shared" si="52"/>
        <v>0</v>
      </c>
      <c r="L293" s="4">
        <f t="shared" si="58"/>
        <v>14300</v>
      </c>
      <c r="M293">
        <f t="shared" si="55"/>
        <v>120</v>
      </c>
      <c r="N293" s="5">
        <f t="shared" si="59"/>
        <v>33900</v>
      </c>
      <c r="AF293" s="1">
        <v>45218</v>
      </c>
      <c r="AG293">
        <f t="shared" si="56"/>
        <v>120</v>
      </c>
    </row>
    <row r="294" spans="1:33" x14ac:dyDescent="0.25">
      <c r="A294" s="1">
        <v>45219</v>
      </c>
      <c r="B294" t="s">
        <v>5</v>
      </c>
      <c r="C294">
        <f t="shared" si="53"/>
        <v>0.4</v>
      </c>
      <c r="D294">
        <f t="shared" si="54"/>
        <v>5</v>
      </c>
      <c r="F294">
        <f t="shared" si="57"/>
        <v>19600</v>
      </c>
      <c r="G294">
        <f t="shared" si="48"/>
        <v>19600</v>
      </c>
      <c r="H294">
        <f t="shared" si="49"/>
        <v>4</v>
      </c>
      <c r="I294">
        <f t="shared" si="50"/>
        <v>120</v>
      </c>
      <c r="J294" s="3">
        <f t="shared" si="51"/>
        <v>19720</v>
      </c>
      <c r="K294">
        <f t="shared" si="52"/>
        <v>0</v>
      </c>
      <c r="L294" s="4">
        <f t="shared" si="58"/>
        <v>14300</v>
      </c>
      <c r="M294">
        <f t="shared" si="55"/>
        <v>120</v>
      </c>
      <c r="N294" s="5">
        <f t="shared" si="59"/>
        <v>34020</v>
      </c>
      <c r="AF294" s="1">
        <v>45219</v>
      </c>
      <c r="AG294">
        <f t="shared" si="56"/>
        <v>120</v>
      </c>
    </row>
    <row r="295" spans="1:33" x14ac:dyDescent="0.25">
      <c r="A295" s="1">
        <v>45220</v>
      </c>
      <c r="B295" t="s">
        <v>5</v>
      </c>
      <c r="C295">
        <f t="shared" si="53"/>
        <v>0.4</v>
      </c>
      <c r="D295">
        <f t="shared" si="54"/>
        <v>6</v>
      </c>
      <c r="F295">
        <f t="shared" si="57"/>
        <v>19720</v>
      </c>
      <c r="G295">
        <f t="shared" si="48"/>
        <v>19720</v>
      </c>
      <c r="H295">
        <f t="shared" si="49"/>
        <v>4</v>
      </c>
      <c r="I295">
        <f t="shared" si="50"/>
        <v>120</v>
      </c>
      <c r="J295" s="3">
        <f t="shared" si="51"/>
        <v>19720</v>
      </c>
      <c r="K295">
        <f t="shared" si="52"/>
        <v>0</v>
      </c>
      <c r="L295" s="4">
        <f t="shared" si="58"/>
        <v>14300</v>
      </c>
      <c r="M295">
        <f t="shared" si="55"/>
        <v>0</v>
      </c>
      <c r="N295" s="5">
        <f t="shared" si="59"/>
        <v>34020</v>
      </c>
      <c r="AF295" s="1">
        <v>45220</v>
      </c>
      <c r="AG295">
        <f t="shared" si="56"/>
        <v>0</v>
      </c>
    </row>
    <row r="296" spans="1:33" x14ac:dyDescent="0.25">
      <c r="A296" s="1">
        <v>45221</v>
      </c>
      <c r="B296" t="s">
        <v>5</v>
      </c>
      <c r="C296">
        <f t="shared" si="53"/>
        <v>0.4</v>
      </c>
      <c r="D296">
        <f t="shared" si="54"/>
        <v>7</v>
      </c>
      <c r="F296">
        <f t="shared" si="57"/>
        <v>19720</v>
      </c>
      <c r="G296">
        <f t="shared" si="48"/>
        <v>19570</v>
      </c>
      <c r="H296">
        <f t="shared" si="49"/>
        <v>4</v>
      </c>
      <c r="I296">
        <f t="shared" si="50"/>
        <v>120</v>
      </c>
      <c r="J296" s="3">
        <f t="shared" si="51"/>
        <v>19570</v>
      </c>
      <c r="K296">
        <f t="shared" si="52"/>
        <v>150</v>
      </c>
      <c r="L296" s="4">
        <f t="shared" si="58"/>
        <v>14450</v>
      </c>
      <c r="M296">
        <f t="shared" si="55"/>
        <v>0</v>
      </c>
      <c r="N296" s="5">
        <f t="shared" si="59"/>
        <v>34020</v>
      </c>
      <c r="AF296" s="1">
        <v>45221</v>
      </c>
      <c r="AG296">
        <f t="shared" si="56"/>
        <v>-150</v>
      </c>
    </row>
    <row r="297" spans="1:33" x14ac:dyDescent="0.25">
      <c r="A297" s="1">
        <v>45222</v>
      </c>
      <c r="B297" t="s">
        <v>5</v>
      </c>
      <c r="C297">
        <f t="shared" si="53"/>
        <v>0.4</v>
      </c>
      <c r="D297">
        <f t="shared" si="54"/>
        <v>1</v>
      </c>
      <c r="F297">
        <f t="shared" si="57"/>
        <v>19570</v>
      </c>
      <c r="G297">
        <f t="shared" si="48"/>
        <v>19570</v>
      </c>
      <c r="H297">
        <f t="shared" si="49"/>
        <v>4</v>
      </c>
      <c r="I297">
        <f t="shared" si="50"/>
        <v>120</v>
      </c>
      <c r="J297" s="3">
        <f t="shared" si="51"/>
        <v>19690</v>
      </c>
      <c r="K297">
        <f t="shared" si="52"/>
        <v>0</v>
      </c>
      <c r="L297" s="4">
        <f t="shared" si="58"/>
        <v>14450</v>
      </c>
      <c r="M297">
        <f t="shared" si="55"/>
        <v>120</v>
      </c>
      <c r="N297" s="5">
        <f t="shared" si="59"/>
        <v>34140</v>
      </c>
      <c r="AF297" s="1">
        <v>45222</v>
      </c>
      <c r="AG297">
        <f t="shared" si="56"/>
        <v>120</v>
      </c>
    </row>
    <row r="298" spans="1:33" x14ac:dyDescent="0.25">
      <c r="A298" s="1">
        <v>45223</v>
      </c>
      <c r="B298" t="s">
        <v>5</v>
      </c>
      <c r="C298">
        <f t="shared" si="53"/>
        <v>0.4</v>
      </c>
      <c r="D298">
        <f t="shared" si="54"/>
        <v>2</v>
      </c>
      <c r="F298">
        <f t="shared" si="57"/>
        <v>19690</v>
      </c>
      <c r="G298">
        <f t="shared" si="48"/>
        <v>19690</v>
      </c>
      <c r="H298">
        <f t="shared" si="49"/>
        <v>4</v>
      </c>
      <c r="I298">
        <f t="shared" si="50"/>
        <v>120</v>
      </c>
      <c r="J298" s="3">
        <f t="shared" si="51"/>
        <v>19810</v>
      </c>
      <c r="K298">
        <f t="shared" si="52"/>
        <v>0</v>
      </c>
      <c r="L298" s="4">
        <f t="shared" si="58"/>
        <v>14450</v>
      </c>
      <c r="M298">
        <f t="shared" si="55"/>
        <v>120</v>
      </c>
      <c r="N298" s="5">
        <f t="shared" si="59"/>
        <v>34260</v>
      </c>
      <c r="AF298" s="1">
        <v>45223</v>
      </c>
      <c r="AG298">
        <f t="shared" si="56"/>
        <v>120</v>
      </c>
    </row>
    <row r="299" spans="1:33" x14ac:dyDescent="0.25">
      <c r="A299" s="1">
        <v>45224</v>
      </c>
      <c r="B299" t="s">
        <v>5</v>
      </c>
      <c r="C299">
        <f t="shared" si="53"/>
        <v>0.4</v>
      </c>
      <c r="D299">
        <f t="shared" si="54"/>
        <v>3</v>
      </c>
      <c r="F299">
        <f t="shared" si="57"/>
        <v>19810</v>
      </c>
      <c r="G299">
        <f t="shared" si="48"/>
        <v>19810</v>
      </c>
      <c r="H299">
        <f t="shared" si="49"/>
        <v>4</v>
      </c>
      <c r="I299">
        <f t="shared" si="50"/>
        <v>120</v>
      </c>
      <c r="J299" s="3">
        <f t="shared" si="51"/>
        <v>19930</v>
      </c>
      <c r="K299">
        <f t="shared" si="52"/>
        <v>0</v>
      </c>
      <c r="L299" s="4">
        <f t="shared" si="58"/>
        <v>14450</v>
      </c>
      <c r="M299">
        <f t="shared" si="55"/>
        <v>120</v>
      </c>
      <c r="N299" s="5">
        <f t="shared" si="59"/>
        <v>34380</v>
      </c>
      <c r="AF299" s="1">
        <v>45224</v>
      </c>
      <c r="AG299">
        <f t="shared" si="56"/>
        <v>120</v>
      </c>
    </row>
    <row r="300" spans="1:33" x14ac:dyDescent="0.25">
      <c r="A300" s="1">
        <v>45225</v>
      </c>
      <c r="B300" t="s">
        <v>5</v>
      </c>
      <c r="C300">
        <f t="shared" si="53"/>
        <v>0.4</v>
      </c>
      <c r="D300">
        <f t="shared" si="54"/>
        <v>4</v>
      </c>
      <c r="F300">
        <f t="shared" si="57"/>
        <v>19930</v>
      </c>
      <c r="G300">
        <f t="shared" si="48"/>
        <v>19930</v>
      </c>
      <c r="H300">
        <f t="shared" si="49"/>
        <v>4</v>
      </c>
      <c r="I300">
        <f t="shared" si="50"/>
        <v>120</v>
      </c>
      <c r="J300" s="3">
        <f t="shared" si="51"/>
        <v>20050</v>
      </c>
      <c r="K300">
        <f t="shared" si="52"/>
        <v>0</v>
      </c>
      <c r="L300" s="4">
        <f t="shared" si="58"/>
        <v>14450</v>
      </c>
      <c r="M300">
        <f t="shared" si="55"/>
        <v>120</v>
      </c>
      <c r="N300" s="5">
        <f t="shared" si="59"/>
        <v>34500</v>
      </c>
      <c r="AF300" s="1">
        <v>45225</v>
      </c>
      <c r="AG300">
        <f t="shared" si="56"/>
        <v>120</v>
      </c>
    </row>
    <row r="301" spans="1:33" x14ac:dyDescent="0.25">
      <c r="A301" s="1">
        <v>45226</v>
      </c>
      <c r="B301" t="s">
        <v>5</v>
      </c>
      <c r="C301">
        <f t="shared" si="53"/>
        <v>0.4</v>
      </c>
      <c r="D301">
        <f t="shared" si="54"/>
        <v>5</v>
      </c>
      <c r="F301">
        <f t="shared" si="57"/>
        <v>20050</v>
      </c>
      <c r="G301">
        <f t="shared" si="48"/>
        <v>20050</v>
      </c>
      <c r="H301">
        <f t="shared" si="49"/>
        <v>4</v>
      </c>
      <c r="I301">
        <f t="shared" si="50"/>
        <v>120</v>
      </c>
      <c r="J301" s="3">
        <f t="shared" si="51"/>
        <v>20170</v>
      </c>
      <c r="K301">
        <f t="shared" si="52"/>
        <v>0</v>
      </c>
      <c r="L301" s="4">
        <f t="shared" si="58"/>
        <v>14450</v>
      </c>
      <c r="M301">
        <f t="shared" si="55"/>
        <v>120</v>
      </c>
      <c r="N301" s="5">
        <f t="shared" si="59"/>
        <v>34620</v>
      </c>
      <c r="AF301" s="1">
        <v>45226</v>
      </c>
      <c r="AG301">
        <f t="shared" si="56"/>
        <v>120</v>
      </c>
    </row>
    <row r="302" spans="1:33" x14ac:dyDescent="0.25">
      <c r="A302" s="1">
        <v>45227</v>
      </c>
      <c r="B302" t="s">
        <v>5</v>
      </c>
      <c r="C302">
        <f t="shared" si="53"/>
        <v>0.4</v>
      </c>
      <c r="D302">
        <f t="shared" si="54"/>
        <v>6</v>
      </c>
      <c r="F302">
        <f t="shared" si="57"/>
        <v>20170</v>
      </c>
      <c r="G302">
        <f t="shared" si="48"/>
        <v>20170</v>
      </c>
      <c r="H302">
        <f t="shared" si="49"/>
        <v>4</v>
      </c>
      <c r="I302">
        <f t="shared" si="50"/>
        <v>120</v>
      </c>
      <c r="J302" s="3">
        <f t="shared" si="51"/>
        <v>20170</v>
      </c>
      <c r="K302">
        <f t="shared" si="52"/>
        <v>0</v>
      </c>
      <c r="L302" s="4">
        <f t="shared" si="58"/>
        <v>14450</v>
      </c>
      <c r="M302">
        <f t="shared" si="55"/>
        <v>0</v>
      </c>
      <c r="N302" s="5">
        <f t="shared" si="59"/>
        <v>34620</v>
      </c>
      <c r="AF302" s="1">
        <v>45227</v>
      </c>
      <c r="AG302">
        <f t="shared" si="56"/>
        <v>0</v>
      </c>
    </row>
    <row r="303" spans="1:33" x14ac:dyDescent="0.25">
      <c r="A303" s="1">
        <v>45228</v>
      </c>
      <c r="B303" t="s">
        <v>5</v>
      </c>
      <c r="C303">
        <f t="shared" si="53"/>
        <v>0.4</v>
      </c>
      <c r="D303">
        <f t="shared" si="54"/>
        <v>7</v>
      </c>
      <c r="F303">
        <f t="shared" si="57"/>
        <v>20170</v>
      </c>
      <c r="G303">
        <f t="shared" si="48"/>
        <v>20020</v>
      </c>
      <c r="H303">
        <f t="shared" si="49"/>
        <v>4</v>
      </c>
      <c r="I303">
        <f t="shared" si="50"/>
        <v>120</v>
      </c>
      <c r="J303" s="3">
        <f t="shared" si="51"/>
        <v>20020</v>
      </c>
      <c r="K303">
        <f t="shared" si="52"/>
        <v>150</v>
      </c>
      <c r="L303" s="4">
        <f t="shared" si="58"/>
        <v>14600</v>
      </c>
      <c r="M303">
        <f t="shared" si="55"/>
        <v>0</v>
      </c>
      <c r="N303" s="5">
        <f t="shared" si="59"/>
        <v>34620</v>
      </c>
      <c r="AF303" s="1">
        <v>45228</v>
      </c>
      <c r="AG303">
        <f t="shared" si="56"/>
        <v>-150</v>
      </c>
    </row>
    <row r="304" spans="1:33" x14ac:dyDescent="0.25">
      <c r="A304" s="1">
        <v>45229</v>
      </c>
      <c r="B304" t="s">
        <v>5</v>
      </c>
      <c r="C304">
        <f t="shared" si="53"/>
        <v>0.4</v>
      </c>
      <c r="D304">
        <f t="shared" si="54"/>
        <v>1</v>
      </c>
      <c r="F304">
        <f t="shared" si="57"/>
        <v>20020</v>
      </c>
      <c r="G304">
        <f t="shared" si="48"/>
        <v>20020</v>
      </c>
      <c r="H304">
        <f t="shared" si="49"/>
        <v>4</v>
      </c>
      <c r="I304">
        <f t="shared" si="50"/>
        <v>120</v>
      </c>
      <c r="J304" s="3">
        <f t="shared" si="51"/>
        <v>20140</v>
      </c>
      <c r="K304">
        <f t="shared" si="52"/>
        <v>0</v>
      </c>
      <c r="L304" s="4">
        <f t="shared" si="58"/>
        <v>14600</v>
      </c>
      <c r="M304">
        <f t="shared" si="55"/>
        <v>120</v>
      </c>
      <c r="N304" s="5">
        <f t="shared" si="59"/>
        <v>34740</v>
      </c>
      <c r="AF304" s="1">
        <v>45229</v>
      </c>
      <c r="AG304">
        <f t="shared" si="56"/>
        <v>120</v>
      </c>
    </row>
    <row r="305" spans="1:33" x14ac:dyDescent="0.25">
      <c r="A305" s="1">
        <v>45230</v>
      </c>
      <c r="B305" t="s">
        <v>5</v>
      </c>
      <c r="C305">
        <f t="shared" si="53"/>
        <v>0.4</v>
      </c>
      <c r="D305">
        <f t="shared" si="54"/>
        <v>2</v>
      </c>
      <c r="F305">
        <f t="shared" si="57"/>
        <v>20140</v>
      </c>
      <c r="G305">
        <f t="shared" si="48"/>
        <v>20140</v>
      </c>
      <c r="H305">
        <f t="shared" si="49"/>
        <v>4</v>
      </c>
      <c r="I305">
        <f t="shared" si="50"/>
        <v>120</v>
      </c>
      <c r="J305" s="3">
        <f t="shared" si="51"/>
        <v>20260</v>
      </c>
      <c r="K305">
        <f t="shared" si="52"/>
        <v>0</v>
      </c>
      <c r="L305" s="4">
        <f t="shared" si="58"/>
        <v>14600</v>
      </c>
      <c r="M305">
        <f t="shared" si="55"/>
        <v>120</v>
      </c>
      <c r="N305" s="5">
        <f t="shared" si="59"/>
        <v>34860</v>
      </c>
      <c r="AF305" s="1">
        <v>45230</v>
      </c>
      <c r="AG305">
        <f t="shared" si="56"/>
        <v>120</v>
      </c>
    </row>
    <row r="306" spans="1:33" x14ac:dyDescent="0.25">
      <c r="A306" s="1">
        <v>45231</v>
      </c>
      <c r="B306" t="s">
        <v>5</v>
      </c>
      <c r="C306">
        <f t="shared" si="53"/>
        <v>0.4</v>
      </c>
      <c r="D306">
        <f t="shared" si="54"/>
        <v>3</v>
      </c>
      <c r="F306">
        <f t="shared" si="57"/>
        <v>20260</v>
      </c>
      <c r="G306">
        <f t="shared" si="48"/>
        <v>20260</v>
      </c>
      <c r="H306">
        <f t="shared" si="49"/>
        <v>4</v>
      </c>
      <c r="I306">
        <f t="shared" si="50"/>
        <v>120</v>
      </c>
      <c r="J306" s="3">
        <f t="shared" si="51"/>
        <v>20380</v>
      </c>
      <c r="K306">
        <f t="shared" si="52"/>
        <v>0</v>
      </c>
      <c r="L306" s="4">
        <f t="shared" si="58"/>
        <v>14600</v>
      </c>
      <c r="M306">
        <f t="shared" si="55"/>
        <v>120</v>
      </c>
      <c r="N306" s="5">
        <f t="shared" si="59"/>
        <v>34980</v>
      </c>
      <c r="AF306" s="1">
        <v>45231</v>
      </c>
      <c r="AG306">
        <f t="shared" si="56"/>
        <v>120</v>
      </c>
    </row>
    <row r="307" spans="1:33" x14ac:dyDescent="0.25">
      <c r="A307" s="1">
        <v>45232</v>
      </c>
      <c r="B307" t="s">
        <v>5</v>
      </c>
      <c r="C307">
        <f t="shared" si="53"/>
        <v>0.4</v>
      </c>
      <c r="D307">
        <f t="shared" si="54"/>
        <v>4</v>
      </c>
      <c r="F307">
        <f t="shared" si="57"/>
        <v>20380</v>
      </c>
      <c r="G307">
        <f t="shared" si="48"/>
        <v>20380</v>
      </c>
      <c r="H307">
        <f t="shared" si="49"/>
        <v>4</v>
      </c>
      <c r="I307">
        <f t="shared" si="50"/>
        <v>120</v>
      </c>
      <c r="J307" s="3">
        <f t="shared" si="51"/>
        <v>20500</v>
      </c>
      <c r="K307">
        <f t="shared" si="52"/>
        <v>0</v>
      </c>
      <c r="L307" s="4">
        <f t="shared" si="58"/>
        <v>14600</v>
      </c>
      <c r="M307">
        <f t="shared" si="55"/>
        <v>120</v>
      </c>
      <c r="N307" s="5">
        <f t="shared" si="59"/>
        <v>35100</v>
      </c>
      <c r="AF307" s="1">
        <v>45232</v>
      </c>
      <c r="AG307">
        <f t="shared" si="56"/>
        <v>120</v>
      </c>
    </row>
    <row r="308" spans="1:33" x14ac:dyDescent="0.25">
      <c r="A308" s="1">
        <v>45233</v>
      </c>
      <c r="B308" t="s">
        <v>5</v>
      </c>
      <c r="C308">
        <f t="shared" si="53"/>
        <v>0.4</v>
      </c>
      <c r="D308">
        <f t="shared" si="54"/>
        <v>5</v>
      </c>
      <c r="F308">
        <f t="shared" si="57"/>
        <v>20500</v>
      </c>
      <c r="G308">
        <f t="shared" si="48"/>
        <v>20500</v>
      </c>
      <c r="H308">
        <f t="shared" si="49"/>
        <v>4</v>
      </c>
      <c r="I308">
        <f t="shared" si="50"/>
        <v>120</v>
      </c>
      <c r="J308" s="3">
        <f t="shared" si="51"/>
        <v>20620</v>
      </c>
      <c r="K308">
        <f t="shared" si="52"/>
        <v>0</v>
      </c>
      <c r="L308" s="4">
        <f t="shared" si="58"/>
        <v>14600</v>
      </c>
      <c r="M308">
        <f t="shared" si="55"/>
        <v>120</v>
      </c>
      <c r="N308" s="5">
        <f t="shared" si="59"/>
        <v>35220</v>
      </c>
      <c r="AF308" s="1">
        <v>45233</v>
      </c>
      <c r="AG308">
        <f t="shared" si="56"/>
        <v>120</v>
      </c>
    </row>
    <row r="309" spans="1:33" x14ac:dyDescent="0.25">
      <c r="A309" s="1">
        <v>45234</v>
      </c>
      <c r="B309" t="s">
        <v>5</v>
      </c>
      <c r="C309">
        <f t="shared" si="53"/>
        <v>0.4</v>
      </c>
      <c r="D309">
        <f t="shared" si="54"/>
        <v>6</v>
      </c>
      <c r="F309">
        <f t="shared" si="57"/>
        <v>20620</v>
      </c>
      <c r="G309">
        <f t="shared" si="48"/>
        <v>20620</v>
      </c>
      <c r="H309">
        <f t="shared" si="49"/>
        <v>4</v>
      </c>
      <c r="I309">
        <f t="shared" si="50"/>
        <v>120</v>
      </c>
      <c r="J309" s="3">
        <f t="shared" si="51"/>
        <v>20620</v>
      </c>
      <c r="K309">
        <f t="shared" si="52"/>
        <v>0</v>
      </c>
      <c r="L309" s="4">
        <f t="shared" si="58"/>
        <v>14600</v>
      </c>
      <c r="M309">
        <f t="shared" si="55"/>
        <v>0</v>
      </c>
      <c r="N309" s="5">
        <f t="shared" si="59"/>
        <v>35220</v>
      </c>
      <c r="AF309" s="1">
        <v>45234</v>
      </c>
      <c r="AG309">
        <f t="shared" si="56"/>
        <v>0</v>
      </c>
    </row>
    <row r="310" spans="1:33" x14ac:dyDescent="0.25">
      <c r="A310" s="1">
        <v>45235</v>
      </c>
      <c r="B310" t="s">
        <v>5</v>
      </c>
      <c r="C310">
        <f t="shared" si="53"/>
        <v>0.4</v>
      </c>
      <c r="D310">
        <f t="shared" si="54"/>
        <v>7</v>
      </c>
      <c r="F310">
        <f t="shared" si="57"/>
        <v>20620</v>
      </c>
      <c r="G310">
        <f t="shared" si="48"/>
        <v>20470</v>
      </c>
      <c r="H310">
        <f t="shared" si="49"/>
        <v>4</v>
      </c>
      <c r="I310">
        <f t="shared" si="50"/>
        <v>120</v>
      </c>
      <c r="J310" s="3">
        <f t="shared" si="51"/>
        <v>20470</v>
      </c>
      <c r="K310">
        <f t="shared" si="52"/>
        <v>150</v>
      </c>
      <c r="L310" s="4">
        <f t="shared" si="58"/>
        <v>14750</v>
      </c>
      <c r="M310">
        <f t="shared" si="55"/>
        <v>0</v>
      </c>
      <c r="N310" s="5">
        <f t="shared" si="59"/>
        <v>35220</v>
      </c>
      <c r="AF310" s="1">
        <v>45235</v>
      </c>
      <c r="AG310">
        <f t="shared" si="56"/>
        <v>-150</v>
      </c>
    </row>
    <row r="311" spans="1:33" x14ac:dyDescent="0.25">
      <c r="A311" s="1">
        <v>45236</v>
      </c>
      <c r="B311" t="s">
        <v>5</v>
      </c>
      <c r="C311">
        <f t="shared" si="53"/>
        <v>0.4</v>
      </c>
      <c r="D311">
        <f t="shared" si="54"/>
        <v>1</v>
      </c>
      <c r="F311">
        <f t="shared" si="57"/>
        <v>20470</v>
      </c>
      <c r="G311">
        <f t="shared" si="48"/>
        <v>20470</v>
      </c>
      <c r="H311">
        <f t="shared" si="49"/>
        <v>4</v>
      </c>
      <c r="I311">
        <f t="shared" si="50"/>
        <v>120</v>
      </c>
      <c r="J311" s="3">
        <f t="shared" si="51"/>
        <v>20590</v>
      </c>
      <c r="K311">
        <f t="shared" si="52"/>
        <v>0</v>
      </c>
      <c r="L311" s="4">
        <f t="shared" si="58"/>
        <v>14750</v>
      </c>
      <c r="M311">
        <f t="shared" si="55"/>
        <v>120</v>
      </c>
      <c r="N311" s="5">
        <f t="shared" si="59"/>
        <v>35340</v>
      </c>
      <c r="AF311" s="1">
        <v>45236</v>
      </c>
      <c r="AG311">
        <f t="shared" si="56"/>
        <v>120</v>
      </c>
    </row>
    <row r="312" spans="1:33" x14ac:dyDescent="0.25">
      <c r="A312" s="1">
        <v>45237</v>
      </c>
      <c r="B312" t="s">
        <v>5</v>
      </c>
      <c r="C312">
        <f t="shared" si="53"/>
        <v>0.4</v>
      </c>
      <c r="D312">
        <f t="shared" si="54"/>
        <v>2</v>
      </c>
      <c r="F312">
        <f t="shared" si="57"/>
        <v>20590</v>
      </c>
      <c r="G312">
        <f t="shared" si="48"/>
        <v>20590</v>
      </c>
      <c r="H312">
        <f t="shared" si="49"/>
        <v>4</v>
      </c>
      <c r="I312">
        <f t="shared" si="50"/>
        <v>120</v>
      </c>
      <c r="J312" s="3">
        <f t="shared" si="51"/>
        <v>20710</v>
      </c>
      <c r="K312">
        <f t="shared" si="52"/>
        <v>0</v>
      </c>
      <c r="L312" s="4">
        <f t="shared" si="58"/>
        <v>14750</v>
      </c>
      <c r="M312">
        <f t="shared" si="55"/>
        <v>120</v>
      </c>
      <c r="N312" s="5">
        <f t="shared" si="59"/>
        <v>35460</v>
      </c>
      <c r="AF312" s="1">
        <v>45237</v>
      </c>
      <c r="AG312">
        <f t="shared" si="56"/>
        <v>120</v>
      </c>
    </row>
    <row r="313" spans="1:33" x14ac:dyDescent="0.25">
      <c r="A313" s="1">
        <v>45238</v>
      </c>
      <c r="B313" t="s">
        <v>5</v>
      </c>
      <c r="C313">
        <f t="shared" si="53"/>
        <v>0.4</v>
      </c>
      <c r="D313">
        <f t="shared" si="54"/>
        <v>3</v>
      </c>
      <c r="F313">
        <f t="shared" si="57"/>
        <v>20710</v>
      </c>
      <c r="G313">
        <f t="shared" si="48"/>
        <v>20710</v>
      </c>
      <c r="H313">
        <f t="shared" si="49"/>
        <v>4</v>
      </c>
      <c r="I313">
        <f t="shared" si="50"/>
        <v>120</v>
      </c>
      <c r="J313" s="3">
        <f t="shared" si="51"/>
        <v>20830</v>
      </c>
      <c r="K313">
        <f t="shared" si="52"/>
        <v>0</v>
      </c>
      <c r="L313" s="4">
        <f t="shared" si="58"/>
        <v>14750</v>
      </c>
      <c r="M313">
        <f t="shared" si="55"/>
        <v>120</v>
      </c>
      <c r="N313" s="5">
        <f t="shared" si="59"/>
        <v>35580</v>
      </c>
      <c r="AF313" s="1">
        <v>45238</v>
      </c>
      <c r="AG313">
        <f t="shared" si="56"/>
        <v>120</v>
      </c>
    </row>
    <row r="314" spans="1:33" x14ac:dyDescent="0.25">
      <c r="A314" s="1">
        <v>45239</v>
      </c>
      <c r="B314" t="s">
        <v>5</v>
      </c>
      <c r="C314">
        <f t="shared" si="53"/>
        <v>0.4</v>
      </c>
      <c r="D314">
        <f t="shared" si="54"/>
        <v>4</v>
      </c>
      <c r="F314">
        <f t="shared" si="57"/>
        <v>20830</v>
      </c>
      <c r="G314">
        <f t="shared" si="48"/>
        <v>20830</v>
      </c>
      <c r="H314">
        <f t="shared" si="49"/>
        <v>4</v>
      </c>
      <c r="I314">
        <f t="shared" si="50"/>
        <v>120</v>
      </c>
      <c r="J314" s="3">
        <f t="shared" si="51"/>
        <v>20950</v>
      </c>
      <c r="K314">
        <f t="shared" si="52"/>
        <v>0</v>
      </c>
      <c r="L314" s="4">
        <f t="shared" si="58"/>
        <v>14750</v>
      </c>
      <c r="M314">
        <f t="shared" si="55"/>
        <v>120</v>
      </c>
      <c r="N314" s="5">
        <f t="shared" si="59"/>
        <v>35700</v>
      </c>
      <c r="AF314" s="1">
        <v>45239</v>
      </c>
      <c r="AG314">
        <f t="shared" si="56"/>
        <v>120</v>
      </c>
    </row>
    <row r="315" spans="1:33" x14ac:dyDescent="0.25">
      <c r="A315" s="1">
        <v>45240</v>
      </c>
      <c r="B315" t="s">
        <v>5</v>
      </c>
      <c r="C315">
        <f t="shared" si="53"/>
        <v>0.4</v>
      </c>
      <c r="D315">
        <f t="shared" si="54"/>
        <v>5</v>
      </c>
      <c r="F315">
        <f t="shared" si="57"/>
        <v>20950</v>
      </c>
      <c r="G315">
        <f t="shared" si="48"/>
        <v>20950</v>
      </c>
      <c r="H315">
        <f t="shared" si="49"/>
        <v>4</v>
      </c>
      <c r="I315">
        <f t="shared" si="50"/>
        <v>120</v>
      </c>
      <c r="J315" s="3">
        <f t="shared" si="51"/>
        <v>21070</v>
      </c>
      <c r="K315">
        <f t="shared" si="52"/>
        <v>0</v>
      </c>
      <c r="L315" s="4">
        <f t="shared" si="58"/>
        <v>14750</v>
      </c>
      <c r="M315">
        <f t="shared" si="55"/>
        <v>120</v>
      </c>
      <c r="N315" s="5">
        <f t="shared" si="59"/>
        <v>35820</v>
      </c>
      <c r="AF315" s="1">
        <v>45240</v>
      </c>
      <c r="AG315">
        <f t="shared" si="56"/>
        <v>120</v>
      </c>
    </row>
    <row r="316" spans="1:33" x14ac:dyDescent="0.25">
      <c r="A316" s="1">
        <v>45241</v>
      </c>
      <c r="B316" t="s">
        <v>5</v>
      </c>
      <c r="C316">
        <f t="shared" si="53"/>
        <v>0.4</v>
      </c>
      <c r="D316">
        <f t="shared" si="54"/>
        <v>6</v>
      </c>
      <c r="F316">
        <f t="shared" si="57"/>
        <v>21070</v>
      </c>
      <c r="G316">
        <f t="shared" si="48"/>
        <v>21070</v>
      </c>
      <c r="H316">
        <f t="shared" si="49"/>
        <v>4</v>
      </c>
      <c r="I316">
        <f t="shared" si="50"/>
        <v>120</v>
      </c>
      <c r="J316" s="3">
        <f t="shared" si="51"/>
        <v>21070</v>
      </c>
      <c r="K316">
        <f t="shared" si="52"/>
        <v>0</v>
      </c>
      <c r="L316" s="4">
        <f t="shared" si="58"/>
        <v>14750</v>
      </c>
      <c r="M316">
        <f t="shared" si="55"/>
        <v>0</v>
      </c>
      <c r="N316" s="5">
        <f t="shared" si="59"/>
        <v>35820</v>
      </c>
      <c r="AF316" s="1">
        <v>45241</v>
      </c>
      <c r="AG316">
        <f t="shared" si="56"/>
        <v>0</v>
      </c>
    </row>
    <row r="317" spans="1:33" x14ac:dyDescent="0.25">
      <c r="A317" s="1">
        <v>45242</v>
      </c>
      <c r="B317" t="s">
        <v>5</v>
      </c>
      <c r="C317">
        <f t="shared" si="53"/>
        <v>0.4</v>
      </c>
      <c r="D317">
        <f t="shared" si="54"/>
        <v>7</v>
      </c>
      <c r="F317">
        <f t="shared" si="57"/>
        <v>21070</v>
      </c>
      <c r="G317">
        <f t="shared" si="48"/>
        <v>20920</v>
      </c>
      <c r="H317">
        <f t="shared" si="49"/>
        <v>4</v>
      </c>
      <c r="I317">
        <f t="shared" si="50"/>
        <v>120</v>
      </c>
      <c r="J317" s="3">
        <f t="shared" si="51"/>
        <v>20920</v>
      </c>
      <c r="K317">
        <f t="shared" si="52"/>
        <v>150</v>
      </c>
      <c r="L317" s="4">
        <f t="shared" si="58"/>
        <v>14900</v>
      </c>
      <c r="M317">
        <f t="shared" si="55"/>
        <v>0</v>
      </c>
      <c r="N317" s="5">
        <f t="shared" si="59"/>
        <v>35820</v>
      </c>
      <c r="AF317" s="1">
        <v>45242</v>
      </c>
      <c r="AG317">
        <f t="shared" si="56"/>
        <v>-150</v>
      </c>
    </row>
    <row r="318" spans="1:33" x14ac:dyDescent="0.25">
      <c r="A318" s="1">
        <v>45243</v>
      </c>
      <c r="B318" t="s">
        <v>5</v>
      </c>
      <c r="C318">
        <f t="shared" si="53"/>
        <v>0.4</v>
      </c>
      <c r="D318">
        <f t="shared" si="54"/>
        <v>1</v>
      </c>
      <c r="F318">
        <f t="shared" si="57"/>
        <v>20920</v>
      </c>
      <c r="G318">
        <f t="shared" si="48"/>
        <v>20920</v>
      </c>
      <c r="H318">
        <f t="shared" si="49"/>
        <v>4</v>
      </c>
      <c r="I318">
        <f t="shared" si="50"/>
        <v>120</v>
      </c>
      <c r="J318" s="3">
        <f t="shared" si="51"/>
        <v>21040</v>
      </c>
      <c r="K318">
        <f t="shared" si="52"/>
        <v>0</v>
      </c>
      <c r="L318" s="4">
        <f t="shared" si="58"/>
        <v>14900</v>
      </c>
      <c r="M318">
        <f t="shared" si="55"/>
        <v>120</v>
      </c>
      <c r="N318" s="5">
        <f t="shared" si="59"/>
        <v>35940</v>
      </c>
      <c r="AF318" s="1">
        <v>45243</v>
      </c>
      <c r="AG318">
        <f t="shared" si="56"/>
        <v>120</v>
      </c>
    </row>
    <row r="319" spans="1:33" x14ac:dyDescent="0.25">
      <c r="A319" s="1">
        <v>45244</v>
      </c>
      <c r="B319" t="s">
        <v>5</v>
      </c>
      <c r="C319">
        <f t="shared" si="53"/>
        <v>0.4</v>
      </c>
      <c r="D319">
        <f t="shared" si="54"/>
        <v>2</v>
      </c>
      <c r="F319">
        <f t="shared" si="57"/>
        <v>21040</v>
      </c>
      <c r="G319">
        <f t="shared" si="48"/>
        <v>21040</v>
      </c>
      <c r="H319">
        <f t="shared" si="49"/>
        <v>4</v>
      </c>
      <c r="I319">
        <f t="shared" si="50"/>
        <v>120</v>
      </c>
      <c r="J319" s="3">
        <f t="shared" si="51"/>
        <v>21160</v>
      </c>
      <c r="K319">
        <f t="shared" si="52"/>
        <v>0</v>
      </c>
      <c r="L319" s="4">
        <f t="shared" si="58"/>
        <v>14900</v>
      </c>
      <c r="M319">
        <f t="shared" si="55"/>
        <v>120</v>
      </c>
      <c r="N319" s="5">
        <f t="shared" si="59"/>
        <v>36060</v>
      </c>
      <c r="AF319" s="1">
        <v>45244</v>
      </c>
      <c r="AG319">
        <f t="shared" si="56"/>
        <v>120</v>
      </c>
    </row>
    <row r="320" spans="1:33" x14ac:dyDescent="0.25">
      <c r="A320" s="1">
        <v>45245</v>
      </c>
      <c r="B320" t="s">
        <v>5</v>
      </c>
      <c r="C320">
        <f t="shared" si="53"/>
        <v>0.4</v>
      </c>
      <c r="D320">
        <f t="shared" si="54"/>
        <v>3</v>
      </c>
      <c r="F320">
        <f t="shared" si="57"/>
        <v>21160</v>
      </c>
      <c r="G320">
        <f t="shared" si="48"/>
        <v>21160</v>
      </c>
      <c r="H320">
        <f t="shared" si="49"/>
        <v>4</v>
      </c>
      <c r="I320">
        <f t="shared" si="50"/>
        <v>120</v>
      </c>
      <c r="J320" s="3">
        <f t="shared" si="51"/>
        <v>21280</v>
      </c>
      <c r="K320">
        <f t="shared" si="52"/>
        <v>0</v>
      </c>
      <c r="L320" s="4">
        <f t="shared" si="58"/>
        <v>14900</v>
      </c>
      <c r="M320">
        <f t="shared" si="55"/>
        <v>120</v>
      </c>
      <c r="N320" s="5">
        <f t="shared" si="59"/>
        <v>36180</v>
      </c>
      <c r="AF320" s="1">
        <v>45245</v>
      </c>
      <c r="AG320">
        <f t="shared" si="56"/>
        <v>120</v>
      </c>
    </row>
    <row r="321" spans="1:33" x14ac:dyDescent="0.25">
      <c r="A321" s="1">
        <v>45246</v>
      </c>
      <c r="B321" t="s">
        <v>5</v>
      </c>
      <c r="C321">
        <f t="shared" si="53"/>
        <v>0.4</v>
      </c>
      <c r="D321">
        <f t="shared" si="54"/>
        <v>4</v>
      </c>
      <c r="F321">
        <f t="shared" si="57"/>
        <v>21280</v>
      </c>
      <c r="G321">
        <f t="shared" si="48"/>
        <v>21280</v>
      </c>
      <c r="H321">
        <f t="shared" si="49"/>
        <v>4</v>
      </c>
      <c r="I321">
        <f t="shared" si="50"/>
        <v>120</v>
      </c>
      <c r="J321" s="3">
        <f t="shared" si="51"/>
        <v>21400</v>
      </c>
      <c r="K321">
        <f t="shared" si="52"/>
        <v>0</v>
      </c>
      <c r="L321" s="4">
        <f t="shared" si="58"/>
        <v>14900</v>
      </c>
      <c r="M321">
        <f t="shared" si="55"/>
        <v>120</v>
      </c>
      <c r="N321" s="5">
        <f t="shared" si="59"/>
        <v>36300</v>
      </c>
      <c r="AF321" s="1">
        <v>45246</v>
      </c>
      <c r="AG321">
        <f t="shared" si="56"/>
        <v>120</v>
      </c>
    </row>
    <row r="322" spans="1:33" x14ac:dyDescent="0.25">
      <c r="A322" s="1">
        <v>45247</v>
      </c>
      <c r="B322" t="s">
        <v>5</v>
      </c>
      <c r="C322">
        <f t="shared" si="53"/>
        <v>0.4</v>
      </c>
      <c r="D322">
        <f t="shared" si="54"/>
        <v>5</v>
      </c>
      <c r="F322">
        <f t="shared" si="57"/>
        <v>21400</v>
      </c>
      <c r="G322">
        <f t="shared" ref="G322:G385" si="60">IF(D322=7,F322-150,F322)</f>
        <v>21400</v>
      </c>
      <c r="H322">
        <f t="shared" ref="H322:H385" si="61">ROUNDDOWN($AC$2*C322,0)</f>
        <v>4</v>
      </c>
      <c r="I322">
        <f t="shared" ref="I322:I385" si="62">H322*$AD$2</f>
        <v>120</v>
      </c>
      <c r="J322" s="3">
        <f t="shared" ref="J322:J385" si="63">IF(AND(D322&gt;=1,D322&lt;=5),G322+I322,G322)</f>
        <v>21520</v>
      </c>
      <c r="K322">
        <f t="shared" ref="K322:K385" si="64">IF(D322=7,150,0)</f>
        <v>0</v>
      </c>
      <c r="L322" s="4">
        <f t="shared" si="58"/>
        <v>14900</v>
      </c>
      <c r="M322">
        <f t="shared" si="55"/>
        <v>120</v>
      </c>
      <c r="N322" s="5">
        <f t="shared" si="59"/>
        <v>36420</v>
      </c>
      <c r="AF322" s="1">
        <v>45247</v>
      </c>
      <c r="AG322">
        <f t="shared" si="56"/>
        <v>120</v>
      </c>
    </row>
    <row r="323" spans="1:33" x14ac:dyDescent="0.25">
      <c r="A323" s="1">
        <v>45248</v>
      </c>
      <c r="B323" t="s">
        <v>5</v>
      </c>
      <c r="C323">
        <f t="shared" ref="C323:C386" si="65">IF(B323="zima",20%,IF(B323="wiosna",50%,IF(B323="lato",90%,40%)))</f>
        <v>0.4</v>
      </c>
      <c r="D323">
        <f t="shared" ref="D323:D386" si="66">WEEKDAY(A323,2)</f>
        <v>6</v>
      </c>
      <c r="F323">
        <f t="shared" si="57"/>
        <v>21520</v>
      </c>
      <c r="G323">
        <f t="shared" si="60"/>
        <v>21520</v>
      </c>
      <c r="H323">
        <f t="shared" si="61"/>
        <v>4</v>
      </c>
      <c r="I323">
        <f t="shared" si="62"/>
        <v>120</v>
      </c>
      <c r="J323" s="3">
        <f t="shared" si="63"/>
        <v>21520</v>
      </c>
      <c r="K323">
        <f t="shared" si="64"/>
        <v>0</v>
      </c>
      <c r="L323" s="4">
        <f t="shared" si="58"/>
        <v>14900</v>
      </c>
      <c r="M323">
        <f t="shared" ref="M323:M386" si="67">IF(AND(D323&gt;=1,D323&lt;=5),I323,0)</f>
        <v>0</v>
      </c>
      <c r="N323" s="5">
        <f t="shared" si="59"/>
        <v>36420</v>
      </c>
      <c r="AF323" s="1">
        <v>45248</v>
      </c>
      <c r="AG323">
        <f t="shared" ref="AG323:AG386" si="68">M323-K323</f>
        <v>0</v>
      </c>
    </row>
    <row r="324" spans="1:33" x14ac:dyDescent="0.25">
      <c r="A324" s="1">
        <v>45249</v>
      </c>
      <c r="B324" t="s">
        <v>5</v>
      </c>
      <c r="C324">
        <f t="shared" si="65"/>
        <v>0.4</v>
      </c>
      <c r="D324">
        <f t="shared" si="66"/>
        <v>7</v>
      </c>
      <c r="F324">
        <f t="shared" ref="F324:F387" si="69">J323</f>
        <v>21520</v>
      </c>
      <c r="G324">
        <f t="shared" si="60"/>
        <v>21370</v>
      </c>
      <c r="H324">
        <f t="shared" si="61"/>
        <v>4</v>
      </c>
      <c r="I324">
        <f t="shared" si="62"/>
        <v>120</v>
      </c>
      <c r="J324" s="3">
        <f t="shared" si="63"/>
        <v>21370</v>
      </c>
      <c r="K324">
        <f t="shared" si="64"/>
        <v>150</v>
      </c>
      <c r="L324" s="4">
        <f t="shared" ref="L324:L387" si="70">K324+L323</f>
        <v>15050</v>
      </c>
      <c r="M324">
        <f t="shared" si="67"/>
        <v>0</v>
      </c>
      <c r="N324" s="5">
        <f t="shared" ref="N324:N387" si="71">N323+M324</f>
        <v>36420</v>
      </c>
      <c r="AF324" s="1">
        <v>45249</v>
      </c>
      <c r="AG324">
        <f t="shared" si="68"/>
        <v>-150</v>
      </c>
    </row>
    <row r="325" spans="1:33" x14ac:dyDescent="0.25">
      <c r="A325" s="1">
        <v>45250</v>
      </c>
      <c r="B325" t="s">
        <v>5</v>
      </c>
      <c r="C325">
        <f t="shared" si="65"/>
        <v>0.4</v>
      </c>
      <c r="D325">
        <f t="shared" si="66"/>
        <v>1</v>
      </c>
      <c r="F325">
        <f t="shared" si="69"/>
        <v>21370</v>
      </c>
      <c r="G325">
        <f t="shared" si="60"/>
        <v>21370</v>
      </c>
      <c r="H325">
        <f t="shared" si="61"/>
        <v>4</v>
      </c>
      <c r="I325">
        <f t="shared" si="62"/>
        <v>120</v>
      </c>
      <c r="J325" s="3">
        <f t="shared" si="63"/>
        <v>21490</v>
      </c>
      <c r="K325">
        <f t="shared" si="64"/>
        <v>0</v>
      </c>
      <c r="L325" s="4">
        <f t="shared" si="70"/>
        <v>15050</v>
      </c>
      <c r="M325">
        <f t="shared" si="67"/>
        <v>120</v>
      </c>
      <c r="N325" s="5">
        <f t="shared" si="71"/>
        <v>36540</v>
      </c>
      <c r="AF325" s="1">
        <v>45250</v>
      </c>
      <c r="AG325">
        <f t="shared" si="68"/>
        <v>120</v>
      </c>
    </row>
    <row r="326" spans="1:33" x14ac:dyDescent="0.25">
      <c r="A326" s="1">
        <v>45251</v>
      </c>
      <c r="B326" t="s">
        <v>5</v>
      </c>
      <c r="C326">
        <f t="shared" si="65"/>
        <v>0.4</v>
      </c>
      <c r="D326">
        <f t="shared" si="66"/>
        <v>2</v>
      </c>
      <c r="F326">
        <f t="shared" si="69"/>
        <v>21490</v>
      </c>
      <c r="G326">
        <f t="shared" si="60"/>
        <v>21490</v>
      </c>
      <c r="H326">
        <f t="shared" si="61"/>
        <v>4</v>
      </c>
      <c r="I326">
        <f t="shared" si="62"/>
        <v>120</v>
      </c>
      <c r="J326" s="3">
        <f t="shared" si="63"/>
        <v>21610</v>
      </c>
      <c r="K326">
        <f t="shared" si="64"/>
        <v>0</v>
      </c>
      <c r="L326" s="4">
        <f t="shared" si="70"/>
        <v>15050</v>
      </c>
      <c r="M326">
        <f t="shared" si="67"/>
        <v>120</v>
      </c>
      <c r="N326" s="5">
        <f t="shared" si="71"/>
        <v>36660</v>
      </c>
      <c r="AF326" s="1">
        <v>45251</v>
      </c>
      <c r="AG326">
        <f t="shared" si="68"/>
        <v>120</v>
      </c>
    </row>
    <row r="327" spans="1:33" x14ac:dyDescent="0.25">
      <c r="A327" s="1">
        <v>45252</v>
      </c>
      <c r="B327" t="s">
        <v>5</v>
      </c>
      <c r="C327">
        <f t="shared" si="65"/>
        <v>0.4</v>
      </c>
      <c r="D327">
        <f t="shared" si="66"/>
        <v>3</v>
      </c>
      <c r="F327">
        <f t="shared" si="69"/>
        <v>21610</v>
      </c>
      <c r="G327">
        <f t="shared" si="60"/>
        <v>21610</v>
      </c>
      <c r="H327">
        <f t="shared" si="61"/>
        <v>4</v>
      </c>
      <c r="I327">
        <f t="shared" si="62"/>
        <v>120</v>
      </c>
      <c r="J327" s="3">
        <f t="shared" si="63"/>
        <v>21730</v>
      </c>
      <c r="K327">
        <f t="shared" si="64"/>
        <v>0</v>
      </c>
      <c r="L327" s="4">
        <f t="shared" si="70"/>
        <v>15050</v>
      </c>
      <c r="M327">
        <f t="shared" si="67"/>
        <v>120</v>
      </c>
      <c r="N327" s="5">
        <f t="shared" si="71"/>
        <v>36780</v>
      </c>
      <c r="AF327" s="1">
        <v>45252</v>
      </c>
      <c r="AG327">
        <f t="shared" si="68"/>
        <v>120</v>
      </c>
    </row>
    <row r="328" spans="1:33" x14ac:dyDescent="0.25">
      <c r="A328" s="1">
        <v>45253</v>
      </c>
      <c r="B328" t="s">
        <v>5</v>
      </c>
      <c r="C328">
        <f t="shared" si="65"/>
        <v>0.4</v>
      </c>
      <c r="D328">
        <f t="shared" si="66"/>
        <v>4</v>
      </c>
      <c r="F328">
        <f t="shared" si="69"/>
        <v>21730</v>
      </c>
      <c r="G328">
        <f t="shared" si="60"/>
        <v>21730</v>
      </c>
      <c r="H328">
        <f t="shared" si="61"/>
        <v>4</v>
      </c>
      <c r="I328">
        <f t="shared" si="62"/>
        <v>120</v>
      </c>
      <c r="J328" s="3">
        <f t="shared" si="63"/>
        <v>21850</v>
      </c>
      <c r="K328">
        <f t="shared" si="64"/>
        <v>0</v>
      </c>
      <c r="L328" s="4">
        <f t="shared" si="70"/>
        <v>15050</v>
      </c>
      <c r="M328">
        <f t="shared" si="67"/>
        <v>120</v>
      </c>
      <c r="N328" s="5">
        <f t="shared" si="71"/>
        <v>36900</v>
      </c>
      <c r="AF328" s="1">
        <v>45253</v>
      </c>
      <c r="AG328">
        <f t="shared" si="68"/>
        <v>120</v>
      </c>
    </row>
    <row r="329" spans="1:33" x14ac:dyDescent="0.25">
      <c r="A329" s="1">
        <v>45254</v>
      </c>
      <c r="B329" t="s">
        <v>5</v>
      </c>
      <c r="C329">
        <f t="shared" si="65"/>
        <v>0.4</v>
      </c>
      <c r="D329">
        <f t="shared" si="66"/>
        <v>5</v>
      </c>
      <c r="F329">
        <f t="shared" si="69"/>
        <v>21850</v>
      </c>
      <c r="G329">
        <f t="shared" si="60"/>
        <v>21850</v>
      </c>
      <c r="H329">
        <f t="shared" si="61"/>
        <v>4</v>
      </c>
      <c r="I329">
        <f t="shared" si="62"/>
        <v>120</v>
      </c>
      <c r="J329" s="3">
        <f t="shared" si="63"/>
        <v>21970</v>
      </c>
      <c r="K329">
        <f t="shared" si="64"/>
        <v>0</v>
      </c>
      <c r="L329" s="4">
        <f t="shared" si="70"/>
        <v>15050</v>
      </c>
      <c r="M329">
        <f t="shared" si="67"/>
        <v>120</v>
      </c>
      <c r="N329" s="5">
        <f t="shared" si="71"/>
        <v>37020</v>
      </c>
      <c r="AF329" s="1">
        <v>45254</v>
      </c>
      <c r="AG329">
        <f t="shared" si="68"/>
        <v>120</v>
      </c>
    </row>
    <row r="330" spans="1:33" x14ac:dyDescent="0.25">
      <c r="A330" s="1">
        <v>45255</v>
      </c>
      <c r="B330" t="s">
        <v>5</v>
      </c>
      <c r="C330">
        <f t="shared" si="65"/>
        <v>0.4</v>
      </c>
      <c r="D330">
        <f t="shared" si="66"/>
        <v>6</v>
      </c>
      <c r="F330">
        <f t="shared" si="69"/>
        <v>21970</v>
      </c>
      <c r="G330">
        <f t="shared" si="60"/>
        <v>21970</v>
      </c>
      <c r="H330">
        <f t="shared" si="61"/>
        <v>4</v>
      </c>
      <c r="I330">
        <f t="shared" si="62"/>
        <v>120</v>
      </c>
      <c r="J330" s="3">
        <f t="shared" si="63"/>
        <v>21970</v>
      </c>
      <c r="K330">
        <f t="shared" si="64"/>
        <v>0</v>
      </c>
      <c r="L330" s="4">
        <f t="shared" si="70"/>
        <v>15050</v>
      </c>
      <c r="M330">
        <f t="shared" si="67"/>
        <v>0</v>
      </c>
      <c r="N330" s="5">
        <f t="shared" si="71"/>
        <v>37020</v>
      </c>
      <c r="AF330" s="1">
        <v>45255</v>
      </c>
      <c r="AG330">
        <f t="shared" si="68"/>
        <v>0</v>
      </c>
    </row>
    <row r="331" spans="1:33" x14ac:dyDescent="0.25">
      <c r="A331" s="1">
        <v>45256</v>
      </c>
      <c r="B331" t="s">
        <v>5</v>
      </c>
      <c r="C331">
        <f t="shared" si="65"/>
        <v>0.4</v>
      </c>
      <c r="D331">
        <f t="shared" si="66"/>
        <v>7</v>
      </c>
      <c r="F331">
        <f t="shared" si="69"/>
        <v>21970</v>
      </c>
      <c r="G331">
        <f t="shared" si="60"/>
        <v>21820</v>
      </c>
      <c r="H331">
        <f t="shared" si="61"/>
        <v>4</v>
      </c>
      <c r="I331">
        <f t="shared" si="62"/>
        <v>120</v>
      </c>
      <c r="J331" s="3">
        <f t="shared" si="63"/>
        <v>21820</v>
      </c>
      <c r="K331">
        <f t="shared" si="64"/>
        <v>150</v>
      </c>
      <c r="L331" s="4">
        <f t="shared" si="70"/>
        <v>15200</v>
      </c>
      <c r="M331">
        <f t="shared" si="67"/>
        <v>0</v>
      </c>
      <c r="N331" s="5">
        <f t="shared" si="71"/>
        <v>37020</v>
      </c>
      <c r="AF331" s="1">
        <v>45256</v>
      </c>
      <c r="AG331">
        <f t="shared" si="68"/>
        <v>-150</v>
      </c>
    </row>
    <row r="332" spans="1:33" x14ac:dyDescent="0.25">
      <c r="A332" s="1">
        <v>45257</v>
      </c>
      <c r="B332" t="s">
        <v>5</v>
      </c>
      <c r="C332">
        <f t="shared" si="65"/>
        <v>0.4</v>
      </c>
      <c r="D332">
        <f t="shared" si="66"/>
        <v>1</v>
      </c>
      <c r="F332">
        <f t="shared" si="69"/>
        <v>21820</v>
      </c>
      <c r="G332">
        <f t="shared" si="60"/>
        <v>21820</v>
      </c>
      <c r="H332">
        <f t="shared" si="61"/>
        <v>4</v>
      </c>
      <c r="I332">
        <f t="shared" si="62"/>
        <v>120</v>
      </c>
      <c r="J332" s="3">
        <f t="shared" si="63"/>
        <v>21940</v>
      </c>
      <c r="K332">
        <f t="shared" si="64"/>
        <v>0</v>
      </c>
      <c r="L332" s="4">
        <f t="shared" si="70"/>
        <v>15200</v>
      </c>
      <c r="M332">
        <f t="shared" si="67"/>
        <v>120</v>
      </c>
      <c r="N332" s="5">
        <f t="shared" si="71"/>
        <v>37140</v>
      </c>
      <c r="AF332" s="1">
        <v>45257</v>
      </c>
      <c r="AG332">
        <f t="shared" si="68"/>
        <v>120</v>
      </c>
    </row>
    <row r="333" spans="1:33" x14ac:dyDescent="0.25">
      <c r="A333" s="1">
        <v>45258</v>
      </c>
      <c r="B333" t="s">
        <v>5</v>
      </c>
      <c r="C333">
        <f t="shared" si="65"/>
        <v>0.4</v>
      </c>
      <c r="D333">
        <f t="shared" si="66"/>
        <v>2</v>
      </c>
      <c r="F333">
        <f t="shared" si="69"/>
        <v>21940</v>
      </c>
      <c r="G333">
        <f t="shared" si="60"/>
        <v>21940</v>
      </c>
      <c r="H333">
        <f t="shared" si="61"/>
        <v>4</v>
      </c>
      <c r="I333">
        <f t="shared" si="62"/>
        <v>120</v>
      </c>
      <c r="J333" s="3">
        <f t="shared" si="63"/>
        <v>22060</v>
      </c>
      <c r="K333">
        <f t="shared" si="64"/>
        <v>0</v>
      </c>
      <c r="L333" s="4">
        <f t="shared" si="70"/>
        <v>15200</v>
      </c>
      <c r="M333">
        <f t="shared" si="67"/>
        <v>120</v>
      </c>
      <c r="N333" s="5">
        <f t="shared" si="71"/>
        <v>37260</v>
      </c>
      <c r="AF333" s="1">
        <v>45258</v>
      </c>
      <c r="AG333">
        <f t="shared" si="68"/>
        <v>120</v>
      </c>
    </row>
    <row r="334" spans="1:33" x14ac:dyDescent="0.25">
      <c r="A334" s="1">
        <v>45259</v>
      </c>
      <c r="B334" t="s">
        <v>5</v>
      </c>
      <c r="C334">
        <f t="shared" si="65"/>
        <v>0.4</v>
      </c>
      <c r="D334">
        <f t="shared" si="66"/>
        <v>3</v>
      </c>
      <c r="F334">
        <f t="shared" si="69"/>
        <v>22060</v>
      </c>
      <c r="G334">
        <f t="shared" si="60"/>
        <v>22060</v>
      </c>
      <c r="H334">
        <f t="shared" si="61"/>
        <v>4</v>
      </c>
      <c r="I334">
        <f t="shared" si="62"/>
        <v>120</v>
      </c>
      <c r="J334" s="3">
        <f t="shared" si="63"/>
        <v>22180</v>
      </c>
      <c r="K334">
        <f t="shared" si="64"/>
        <v>0</v>
      </c>
      <c r="L334" s="4">
        <f t="shared" si="70"/>
        <v>15200</v>
      </c>
      <c r="M334">
        <f t="shared" si="67"/>
        <v>120</v>
      </c>
      <c r="N334" s="5">
        <f t="shared" si="71"/>
        <v>37380</v>
      </c>
      <c r="AF334" s="1">
        <v>45259</v>
      </c>
      <c r="AG334">
        <f t="shared" si="68"/>
        <v>120</v>
      </c>
    </row>
    <row r="335" spans="1:33" x14ac:dyDescent="0.25">
      <c r="A335" s="1">
        <v>45260</v>
      </c>
      <c r="B335" t="s">
        <v>5</v>
      </c>
      <c r="C335">
        <f t="shared" si="65"/>
        <v>0.4</v>
      </c>
      <c r="D335">
        <f t="shared" si="66"/>
        <v>4</v>
      </c>
      <c r="F335">
        <f t="shared" si="69"/>
        <v>22180</v>
      </c>
      <c r="G335">
        <f t="shared" si="60"/>
        <v>22180</v>
      </c>
      <c r="H335">
        <f t="shared" si="61"/>
        <v>4</v>
      </c>
      <c r="I335">
        <f t="shared" si="62"/>
        <v>120</v>
      </c>
      <c r="J335" s="3">
        <f t="shared" si="63"/>
        <v>22300</v>
      </c>
      <c r="K335">
        <f t="shared" si="64"/>
        <v>0</v>
      </c>
      <c r="L335" s="4">
        <f t="shared" si="70"/>
        <v>15200</v>
      </c>
      <c r="M335">
        <f t="shared" si="67"/>
        <v>120</v>
      </c>
      <c r="N335" s="5">
        <f t="shared" si="71"/>
        <v>37500</v>
      </c>
      <c r="AF335" s="1">
        <v>45260</v>
      </c>
      <c r="AG335">
        <f t="shared" si="68"/>
        <v>120</v>
      </c>
    </row>
    <row r="336" spans="1:33" x14ac:dyDescent="0.25">
      <c r="A336" s="1">
        <v>45261</v>
      </c>
      <c r="B336" t="s">
        <v>5</v>
      </c>
      <c r="C336">
        <f t="shared" si="65"/>
        <v>0.4</v>
      </c>
      <c r="D336">
        <f t="shared" si="66"/>
        <v>5</v>
      </c>
      <c r="F336">
        <f t="shared" si="69"/>
        <v>22300</v>
      </c>
      <c r="G336">
        <f t="shared" si="60"/>
        <v>22300</v>
      </c>
      <c r="H336">
        <f t="shared" si="61"/>
        <v>4</v>
      </c>
      <c r="I336">
        <f t="shared" si="62"/>
        <v>120</v>
      </c>
      <c r="J336" s="3">
        <f t="shared" si="63"/>
        <v>22420</v>
      </c>
      <c r="K336">
        <f t="shared" si="64"/>
        <v>0</v>
      </c>
      <c r="L336" s="4">
        <f t="shared" si="70"/>
        <v>15200</v>
      </c>
      <c r="M336">
        <f t="shared" si="67"/>
        <v>120</v>
      </c>
      <c r="N336" s="5">
        <f t="shared" si="71"/>
        <v>37620</v>
      </c>
      <c r="AF336" s="1">
        <v>45261</v>
      </c>
      <c r="AG336">
        <f t="shared" si="68"/>
        <v>120</v>
      </c>
    </row>
    <row r="337" spans="1:33" x14ac:dyDescent="0.25">
      <c r="A337" s="1">
        <v>45262</v>
      </c>
      <c r="B337" t="s">
        <v>5</v>
      </c>
      <c r="C337">
        <f t="shared" si="65"/>
        <v>0.4</v>
      </c>
      <c r="D337">
        <f t="shared" si="66"/>
        <v>6</v>
      </c>
      <c r="F337">
        <f t="shared" si="69"/>
        <v>22420</v>
      </c>
      <c r="G337">
        <f t="shared" si="60"/>
        <v>22420</v>
      </c>
      <c r="H337">
        <f t="shared" si="61"/>
        <v>4</v>
      </c>
      <c r="I337">
        <f t="shared" si="62"/>
        <v>120</v>
      </c>
      <c r="J337" s="3">
        <f t="shared" si="63"/>
        <v>22420</v>
      </c>
      <c r="K337">
        <f t="shared" si="64"/>
        <v>0</v>
      </c>
      <c r="L337" s="4">
        <f t="shared" si="70"/>
        <v>15200</v>
      </c>
      <c r="M337">
        <f t="shared" si="67"/>
        <v>0</v>
      </c>
      <c r="N337" s="5">
        <f t="shared" si="71"/>
        <v>37620</v>
      </c>
      <c r="AF337" s="1">
        <v>45262</v>
      </c>
      <c r="AG337">
        <f t="shared" si="68"/>
        <v>0</v>
      </c>
    </row>
    <row r="338" spans="1:33" x14ac:dyDescent="0.25">
      <c r="A338" s="1">
        <v>45263</v>
      </c>
      <c r="B338" t="s">
        <v>5</v>
      </c>
      <c r="C338">
        <f t="shared" si="65"/>
        <v>0.4</v>
      </c>
      <c r="D338">
        <f t="shared" si="66"/>
        <v>7</v>
      </c>
      <c r="F338">
        <f t="shared" si="69"/>
        <v>22420</v>
      </c>
      <c r="G338">
        <f t="shared" si="60"/>
        <v>22270</v>
      </c>
      <c r="H338">
        <f t="shared" si="61"/>
        <v>4</v>
      </c>
      <c r="I338">
        <f t="shared" si="62"/>
        <v>120</v>
      </c>
      <c r="J338" s="3">
        <f t="shared" si="63"/>
        <v>22270</v>
      </c>
      <c r="K338">
        <f t="shared" si="64"/>
        <v>150</v>
      </c>
      <c r="L338" s="4">
        <f t="shared" si="70"/>
        <v>15350</v>
      </c>
      <c r="M338">
        <f t="shared" si="67"/>
        <v>0</v>
      </c>
      <c r="N338" s="5">
        <f t="shared" si="71"/>
        <v>37620</v>
      </c>
      <c r="AF338" s="1">
        <v>45263</v>
      </c>
      <c r="AG338">
        <f t="shared" si="68"/>
        <v>-150</v>
      </c>
    </row>
    <row r="339" spans="1:33" x14ac:dyDescent="0.25">
      <c r="A339" s="1">
        <v>45264</v>
      </c>
      <c r="B339" t="s">
        <v>5</v>
      </c>
      <c r="C339">
        <f t="shared" si="65"/>
        <v>0.4</v>
      </c>
      <c r="D339">
        <f t="shared" si="66"/>
        <v>1</v>
      </c>
      <c r="F339">
        <f t="shared" si="69"/>
        <v>22270</v>
      </c>
      <c r="G339">
        <f t="shared" si="60"/>
        <v>22270</v>
      </c>
      <c r="H339">
        <f t="shared" si="61"/>
        <v>4</v>
      </c>
      <c r="I339">
        <f t="shared" si="62"/>
        <v>120</v>
      </c>
      <c r="J339" s="3">
        <f t="shared" si="63"/>
        <v>22390</v>
      </c>
      <c r="K339">
        <f t="shared" si="64"/>
        <v>0</v>
      </c>
      <c r="L339" s="4">
        <f t="shared" si="70"/>
        <v>15350</v>
      </c>
      <c r="M339">
        <f t="shared" si="67"/>
        <v>120</v>
      </c>
      <c r="N339" s="5">
        <f t="shared" si="71"/>
        <v>37740</v>
      </c>
      <c r="AF339" s="1">
        <v>45264</v>
      </c>
      <c r="AG339">
        <f t="shared" si="68"/>
        <v>120</v>
      </c>
    </row>
    <row r="340" spans="1:33" x14ac:dyDescent="0.25">
      <c r="A340" s="1">
        <v>45265</v>
      </c>
      <c r="B340" t="s">
        <v>5</v>
      </c>
      <c r="C340">
        <f t="shared" si="65"/>
        <v>0.4</v>
      </c>
      <c r="D340">
        <f t="shared" si="66"/>
        <v>2</v>
      </c>
      <c r="F340">
        <f t="shared" si="69"/>
        <v>22390</v>
      </c>
      <c r="G340">
        <f t="shared" si="60"/>
        <v>22390</v>
      </c>
      <c r="H340">
        <f t="shared" si="61"/>
        <v>4</v>
      </c>
      <c r="I340">
        <f t="shared" si="62"/>
        <v>120</v>
      </c>
      <c r="J340" s="3">
        <f t="shared" si="63"/>
        <v>22510</v>
      </c>
      <c r="K340">
        <f t="shared" si="64"/>
        <v>0</v>
      </c>
      <c r="L340" s="4">
        <f t="shared" si="70"/>
        <v>15350</v>
      </c>
      <c r="M340">
        <f t="shared" si="67"/>
        <v>120</v>
      </c>
      <c r="N340" s="5">
        <f t="shared" si="71"/>
        <v>37860</v>
      </c>
      <c r="AF340" s="1">
        <v>45265</v>
      </c>
      <c r="AG340">
        <f t="shared" si="68"/>
        <v>120</v>
      </c>
    </row>
    <row r="341" spans="1:33" x14ac:dyDescent="0.25">
      <c r="A341" s="1">
        <v>45266</v>
      </c>
      <c r="B341" t="s">
        <v>5</v>
      </c>
      <c r="C341">
        <f t="shared" si="65"/>
        <v>0.4</v>
      </c>
      <c r="D341">
        <f t="shared" si="66"/>
        <v>3</v>
      </c>
      <c r="F341">
        <f t="shared" si="69"/>
        <v>22510</v>
      </c>
      <c r="G341">
        <f t="shared" si="60"/>
        <v>22510</v>
      </c>
      <c r="H341">
        <f t="shared" si="61"/>
        <v>4</v>
      </c>
      <c r="I341">
        <f t="shared" si="62"/>
        <v>120</v>
      </c>
      <c r="J341" s="3">
        <f t="shared" si="63"/>
        <v>22630</v>
      </c>
      <c r="K341">
        <f t="shared" si="64"/>
        <v>0</v>
      </c>
      <c r="L341" s="4">
        <f t="shared" si="70"/>
        <v>15350</v>
      </c>
      <c r="M341">
        <f t="shared" si="67"/>
        <v>120</v>
      </c>
      <c r="N341" s="5">
        <f t="shared" si="71"/>
        <v>37980</v>
      </c>
      <c r="AF341" s="1">
        <v>45266</v>
      </c>
      <c r="AG341">
        <f t="shared" si="68"/>
        <v>120</v>
      </c>
    </row>
    <row r="342" spans="1:33" x14ac:dyDescent="0.25">
      <c r="A342" s="1">
        <v>45267</v>
      </c>
      <c r="B342" t="s">
        <v>5</v>
      </c>
      <c r="C342">
        <f t="shared" si="65"/>
        <v>0.4</v>
      </c>
      <c r="D342">
        <f t="shared" si="66"/>
        <v>4</v>
      </c>
      <c r="F342">
        <f t="shared" si="69"/>
        <v>22630</v>
      </c>
      <c r="G342">
        <f t="shared" si="60"/>
        <v>22630</v>
      </c>
      <c r="H342">
        <f t="shared" si="61"/>
        <v>4</v>
      </c>
      <c r="I342">
        <f t="shared" si="62"/>
        <v>120</v>
      </c>
      <c r="J342" s="3">
        <f t="shared" si="63"/>
        <v>22750</v>
      </c>
      <c r="K342">
        <f t="shared" si="64"/>
        <v>0</v>
      </c>
      <c r="L342" s="4">
        <f t="shared" si="70"/>
        <v>15350</v>
      </c>
      <c r="M342">
        <f t="shared" si="67"/>
        <v>120</v>
      </c>
      <c r="N342" s="5">
        <f t="shared" si="71"/>
        <v>38100</v>
      </c>
      <c r="AF342" s="1">
        <v>45267</v>
      </c>
      <c r="AG342">
        <f t="shared" si="68"/>
        <v>120</v>
      </c>
    </row>
    <row r="343" spans="1:33" x14ac:dyDescent="0.25">
      <c r="A343" s="1">
        <v>45268</v>
      </c>
      <c r="B343" t="s">
        <v>5</v>
      </c>
      <c r="C343">
        <f t="shared" si="65"/>
        <v>0.4</v>
      </c>
      <c r="D343">
        <f t="shared" si="66"/>
        <v>5</v>
      </c>
      <c r="F343">
        <f t="shared" si="69"/>
        <v>22750</v>
      </c>
      <c r="G343">
        <f t="shared" si="60"/>
        <v>22750</v>
      </c>
      <c r="H343">
        <f t="shared" si="61"/>
        <v>4</v>
      </c>
      <c r="I343">
        <f t="shared" si="62"/>
        <v>120</v>
      </c>
      <c r="J343" s="3">
        <f t="shared" si="63"/>
        <v>22870</v>
      </c>
      <c r="K343">
        <f t="shared" si="64"/>
        <v>0</v>
      </c>
      <c r="L343" s="4">
        <f t="shared" si="70"/>
        <v>15350</v>
      </c>
      <c r="M343">
        <f t="shared" si="67"/>
        <v>120</v>
      </c>
      <c r="N343" s="5">
        <f t="shared" si="71"/>
        <v>38220</v>
      </c>
      <c r="AF343" s="1">
        <v>45268</v>
      </c>
      <c r="AG343">
        <f t="shared" si="68"/>
        <v>120</v>
      </c>
    </row>
    <row r="344" spans="1:33" x14ac:dyDescent="0.25">
      <c r="A344" s="1">
        <v>45269</v>
      </c>
      <c r="B344" t="s">
        <v>5</v>
      </c>
      <c r="C344">
        <f t="shared" si="65"/>
        <v>0.4</v>
      </c>
      <c r="D344">
        <f t="shared" si="66"/>
        <v>6</v>
      </c>
      <c r="F344">
        <f t="shared" si="69"/>
        <v>22870</v>
      </c>
      <c r="G344">
        <f t="shared" si="60"/>
        <v>22870</v>
      </c>
      <c r="H344">
        <f t="shared" si="61"/>
        <v>4</v>
      </c>
      <c r="I344">
        <f t="shared" si="62"/>
        <v>120</v>
      </c>
      <c r="J344" s="3">
        <f t="shared" si="63"/>
        <v>22870</v>
      </c>
      <c r="K344">
        <f t="shared" si="64"/>
        <v>0</v>
      </c>
      <c r="L344" s="4">
        <f t="shared" si="70"/>
        <v>15350</v>
      </c>
      <c r="M344">
        <f t="shared" si="67"/>
        <v>0</v>
      </c>
      <c r="N344" s="5">
        <f t="shared" si="71"/>
        <v>38220</v>
      </c>
      <c r="AF344" s="1">
        <v>45269</v>
      </c>
      <c r="AG344">
        <f t="shared" si="68"/>
        <v>0</v>
      </c>
    </row>
    <row r="345" spans="1:33" x14ac:dyDescent="0.25">
      <c r="A345" s="1">
        <v>45270</v>
      </c>
      <c r="B345" t="s">
        <v>5</v>
      </c>
      <c r="C345">
        <f t="shared" si="65"/>
        <v>0.4</v>
      </c>
      <c r="D345">
        <f t="shared" si="66"/>
        <v>7</v>
      </c>
      <c r="F345">
        <f t="shared" si="69"/>
        <v>22870</v>
      </c>
      <c r="G345">
        <f t="shared" si="60"/>
        <v>22720</v>
      </c>
      <c r="H345">
        <f t="shared" si="61"/>
        <v>4</v>
      </c>
      <c r="I345">
        <f t="shared" si="62"/>
        <v>120</v>
      </c>
      <c r="J345" s="3">
        <f t="shared" si="63"/>
        <v>22720</v>
      </c>
      <c r="K345">
        <f t="shared" si="64"/>
        <v>150</v>
      </c>
      <c r="L345" s="4">
        <f t="shared" si="70"/>
        <v>15500</v>
      </c>
      <c r="M345">
        <f t="shared" si="67"/>
        <v>0</v>
      </c>
      <c r="N345" s="5">
        <f t="shared" si="71"/>
        <v>38220</v>
      </c>
      <c r="AF345" s="1">
        <v>45270</v>
      </c>
      <c r="AG345">
        <f t="shared" si="68"/>
        <v>-150</v>
      </c>
    </row>
    <row r="346" spans="1:33" x14ac:dyDescent="0.25">
      <c r="A346" s="1">
        <v>45271</v>
      </c>
      <c r="B346" t="s">
        <v>5</v>
      </c>
      <c r="C346">
        <f t="shared" si="65"/>
        <v>0.4</v>
      </c>
      <c r="D346">
        <f t="shared" si="66"/>
        <v>1</v>
      </c>
      <c r="F346">
        <f t="shared" si="69"/>
        <v>22720</v>
      </c>
      <c r="G346">
        <f t="shared" si="60"/>
        <v>22720</v>
      </c>
      <c r="H346">
        <f t="shared" si="61"/>
        <v>4</v>
      </c>
      <c r="I346">
        <f t="shared" si="62"/>
        <v>120</v>
      </c>
      <c r="J346" s="3">
        <f t="shared" si="63"/>
        <v>22840</v>
      </c>
      <c r="K346">
        <f t="shared" si="64"/>
        <v>0</v>
      </c>
      <c r="L346" s="4">
        <f t="shared" si="70"/>
        <v>15500</v>
      </c>
      <c r="M346">
        <f t="shared" si="67"/>
        <v>120</v>
      </c>
      <c r="N346" s="5">
        <f t="shared" si="71"/>
        <v>38340</v>
      </c>
      <c r="AF346" s="1">
        <v>45271</v>
      </c>
      <c r="AG346">
        <f t="shared" si="68"/>
        <v>120</v>
      </c>
    </row>
    <row r="347" spans="1:33" x14ac:dyDescent="0.25">
      <c r="A347" s="1">
        <v>45272</v>
      </c>
      <c r="B347" t="s">
        <v>5</v>
      </c>
      <c r="C347">
        <f t="shared" si="65"/>
        <v>0.4</v>
      </c>
      <c r="D347">
        <f t="shared" si="66"/>
        <v>2</v>
      </c>
      <c r="F347">
        <f t="shared" si="69"/>
        <v>22840</v>
      </c>
      <c r="G347">
        <f t="shared" si="60"/>
        <v>22840</v>
      </c>
      <c r="H347">
        <f t="shared" si="61"/>
        <v>4</v>
      </c>
      <c r="I347">
        <f t="shared" si="62"/>
        <v>120</v>
      </c>
      <c r="J347" s="3">
        <f t="shared" si="63"/>
        <v>22960</v>
      </c>
      <c r="K347">
        <f t="shared" si="64"/>
        <v>0</v>
      </c>
      <c r="L347" s="4">
        <f t="shared" si="70"/>
        <v>15500</v>
      </c>
      <c r="M347">
        <f t="shared" si="67"/>
        <v>120</v>
      </c>
      <c r="N347" s="5">
        <f t="shared" si="71"/>
        <v>38460</v>
      </c>
      <c r="AF347" s="1">
        <v>45272</v>
      </c>
      <c r="AG347">
        <f t="shared" si="68"/>
        <v>120</v>
      </c>
    </row>
    <row r="348" spans="1:33" x14ac:dyDescent="0.25">
      <c r="A348" s="1">
        <v>45273</v>
      </c>
      <c r="B348" t="s">
        <v>5</v>
      </c>
      <c r="C348">
        <f t="shared" si="65"/>
        <v>0.4</v>
      </c>
      <c r="D348">
        <f t="shared" si="66"/>
        <v>3</v>
      </c>
      <c r="F348">
        <f t="shared" si="69"/>
        <v>22960</v>
      </c>
      <c r="G348">
        <f t="shared" si="60"/>
        <v>22960</v>
      </c>
      <c r="H348">
        <f t="shared" si="61"/>
        <v>4</v>
      </c>
      <c r="I348">
        <f t="shared" si="62"/>
        <v>120</v>
      </c>
      <c r="J348" s="3">
        <f t="shared" si="63"/>
        <v>23080</v>
      </c>
      <c r="K348">
        <f t="shared" si="64"/>
        <v>0</v>
      </c>
      <c r="L348" s="4">
        <f t="shared" si="70"/>
        <v>15500</v>
      </c>
      <c r="M348">
        <f t="shared" si="67"/>
        <v>120</v>
      </c>
      <c r="N348" s="5">
        <f t="shared" si="71"/>
        <v>38580</v>
      </c>
      <c r="AF348" s="1">
        <v>45273</v>
      </c>
      <c r="AG348">
        <f t="shared" si="68"/>
        <v>120</v>
      </c>
    </row>
    <row r="349" spans="1:33" x14ac:dyDescent="0.25">
      <c r="A349" s="1">
        <v>45274</v>
      </c>
      <c r="B349" t="s">
        <v>5</v>
      </c>
      <c r="C349">
        <f t="shared" si="65"/>
        <v>0.4</v>
      </c>
      <c r="D349">
        <f t="shared" si="66"/>
        <v>4</v>
      </c>
      <c r="F349">
        <f t="shared" si="69"/>
        <v>23080</v>
      </c>
      <c r="G349">
        <f t="shared" si="60"/>
        <v>23080</v>
      </c>
      <c r="H349">
        <f t="shared" si="61"/>
        <v>4</v>
      </c>
      <c r="I349">
        <f t="shared" si="62"/>
        <v>120</v>
      </c>
      <c r="J349" s="3">
        <f t="shared" si="63"/>
        <v>23200</v>
      </c>
      <c r="K349">
        <f t="shared" si="64"/>
        <v>0</v>
      </c>
      <c r="L349" s="4">
        <f t="shared" si="70"/>
        <v>15500</v>
      </c>
      <c r="M349">
        <f t="shared" si="67"/>
        <v>120</v>
      </c>
      <c r="N349" s="5">
        <f t="shared" si="71"/>
        <v>38700</v>
      </c>
      <c r="AF349" s="1">
        <v>45274</v>
      </c>
      <c r="AG349">
        <f t="shared" si="68"/>
        <v>120</v>
      </c>
    </row>
    <row r="350" spans="1:33" x14ac:dyDescent="0.25">
      <c r="A350" s="1">
        <v>45275</v>
      </c>
      <c r="B350" t="s">
        <v>5</v>
      </c>
      <c r="C350">
        <f t="shared" si="65"/>
        <v>0.4</v>
      </c>
      <c r="D350">
        <f t="shared" si="66"/>
        <v>5</v>
      </c>
      <c r="F350">
        <f t="shared" si="69"/>
        <v>23200</v>
      </c>
      <c r="G350">
        <f t="shared" si="60"/>
        <v>23200</v>
      </c>
      <c r="H350">
        <f t="shared" si="61"/>
        <v>4</v>
      </c>
      <c r="I350">
        <f t="shared" si="62"/>
        <v>120</v>
      </c>
      <c r="J350" s="3">
        <f t="shared" si="63"/>
        <v>23320</v>
      </c>
      <c r="K350">
        <f t="shared" si="64"/>
        <v>0</v>
      </c>
      <c r="L350" s="4">
        <f t="shared" si="70"/>
        <v>15500</v>
      </c>
      <c r="M350">
        <f t="shared" si="67"/>
        <v>120</v>
      </c>
      <c r="N350" s="5">
        <f t="shared" si="71"/>
        <v>38820</v>
      </c>
      <c r="AF350" s="1">
        <v>45275</v>
      </c>
      <c r="AG350">
        <f t="shared" si="68"/>
        <v>120</v>
      </c>
    </row>
    <row r="351" spans="1:33" x14ac:dyDescent="0.25">
      <c r="A351" s="1">
        <v>45276</v>
      </c>
      <c r="B351" t="s">
        <v>5</v>
      </c>
      <c r="C351">
        <f t="shared" si="65"/>
        <v>0.4</v>
      </c>
      <c r="D351">
        <f t="shared" si="66"/>
        <v>6</v>
      </c>
      <c r="F351">
        <f t="shared" si="69"/>
        <v>23320</v>
      </c>
      <c r="G351">
        <f t="shared" si="60"/>
        <v>23320</v>
      </c>
      <c r="H351">
        <f t="shared" si="61"/>
        <v>4</v>
      </c>
      <c r="I351">
        <f t="shared" si="62"/>
        <v>120</v>
      </c>
      <c r="J351" s="3">
        <f t="shared" si="63"/>
        <v>23320</v>
      </c>
      <c r="K351">
        <f t="shared" si="64"/>
        <v>0</v>
      </c>
      <c r="L351" s="4">
        <f t="shared" si="70"/>
        <v>15500</v>
      </c>
      <c r="M351">
        <f t="shared" si="67"/>
        <v>0</v>
      </c>
      <c r="N351" s="5">
        <f t="shared" si="71"/>
        <v>38820</v>
      </c>
      <c r="AF351" s="1">
        <v>45276</v>
      </c>
      <c r="AG351">
        <f t="shared" si="68"/>
        <v>0</v>
      </c>
    </row>
    <row r="352" spans="1:33" x14ac:dyDescent="0.25">
      <c r="A352" s="1">
        <v>45277</v>
      </c>
      <c r="B352" t="s">
        <v>5</v>
      </c>
      <c r="C352">
        <f t="shared" si="65"/>
        <v>0.4</v>
      </c>
      <c r="D352">
        <f t="shared" si="66"/>
        <v>7</v>
      </c>
      <c r="F352">
        <f t="shared" si="69"/>
        <v>23320</v>
      </c>
      <c r="G352">
        <f t="shared" si="60"/>
        <v>23170</v>
      </c>
      <c r="H352">
        <f t="shared" si="61"/>
        <v>4</v>
      </c>
      <c r="I352">
        <f t="shared" si="62"/>
        <v>120</v>
      </c>
      <c r="J352" s="3">
        <f t="shared" si="63"/>
        <v>23170</v>
      </c>
      <c r="K352">
        <f t="shared" si="64"/>
        <v>150</v>
      </c>
      <c r="L352" s="4">
        <f t="shared" si="70"/>
        <v>15650</v>
      </c>
      <c r="M352">
        <f t="shared" si="67"/>
        <v>0</v>
      </c>
      <c r="N352" s="5">
        <f t="shared" si="71"/>
        <v>38820</v>
      </c>
      <c r="AF352" s="1">
        <v>45277</v>
      </c>
      <c r="AG352">
        <f t="shared" si="68"/>
        <v>-150</v>
      </c>
    </row>
    <row r="353" spans="1:35" x14ac:dyDescent="0.25">
      <c r="A353" s="1">
        <v>45278</v>
      </c>
      <c r="B353" t="s">
        <v>5</v>
      </c>
      <c r="C353">
        <f t="shared" si="65"/>
        <v>0.4</v>
      </c>
      <c r="D353">
        <f t="shared" si="66"/>
        <v>1</v>
      </c>
      <c r="F353">
        <f t="shared" si="69"/>
        <v>23170</v>
      </c>
      <c r="G353">
        <f t="shared" si="60"/>
        <v>23170</v>
      </c>
      <c r="H353">
        <f t="shared" si="61"/>
        <v>4</v>
      </c>
      <c r="I353">
        <f t="shared" si="62"/>
        <v>120</v>
      </c>
      <c r="J353" s="3">
        <f t="shared" si="63"/>
        <v>23290</v>
      </c>
      <c r="K353">
        <f t="shared" si="64"/>
        <v>0</v>
      </c>
      <c r="L353" s="4">
        <f t="shared" si="70"/>
        <v>15650</v>
      </c>
      <c r="M353">
        <f t="shared" si="67"/>
        <v>120</v>
      </c>
      <c r="N353" s="5">
        <f t="shared" si="71"/>
        <v>38940</v>
      </c>
      <c r="AF353" s="1">
        <v>45278</v>
      </c>
      <c r="AG353">
        <f t="shared" si="68"/>
        <v>120</v>
      </c>
    </row>
    <row r="354" spans="1:35" x14ac:dyDescent="0.25">
      <c r="A354" s="1">
        <v>45279</v>
      </c>
      <c r="B354" t="s">
        <v>5</v>
      </c>
      <c r="C354">
        <f t="shared" si="65"/>
        <v>0.4</v>
      </c>
      <c r="D354">
        <f t="shared" si="66"/>
        <v>2</v>
      </c>
      <c r="F354">
        <f t="shared" si="69"/>
        <v>23290</v>
      </c>
      <c r="G354">
        <f t="shared" si="60"/>
        <v>23290</v>
      </c>
      <c r="H354">
        <f t="shared" si="61"/>
        <v>4</v>
      </c>
      <c r="I354">
        <f t="shared" si="62"/>
        <v>120</v>
      </c>
      <c r="J354" s="3">
        <f t="shared" si="63"/>
        <v>23410</v>
      </c>
      <c r="K354">
        <f t="shared" si="64"/>
        <v>0</v>
      </c>
      <c r="L354" s="4">
        <f t="shared" si="70"/>
        <v>15650</v>
      </c>
      <c r="M354">
        <f t="shared" si="67"/>
        <v>120</v>
      </c>
      <c r="N354" s="5">
        <f t="shared" si="71"/>
        <v>39060</v>
      </c>
      <c r="AF354" s="1">
        <v>45279</v>
      </c>
      <c r="AG354">
        <f t="shared" si="68"/>
        <v>120</v>
      </c>
    </row>
    <row r="355" spans="1:35" x14ac:dyDescent="0.25">
      <c r="A355" s="1">
        <v>45280</v>
      </c>
      <c r="B355" t="s">
        <v>5</v>
      </c>
      <c r="C355">
        <f t="shared" si="65"/>
        <v>0.4</v>
      </c>
      <c r="D355">
        <f t="shared" si="66"/>
        <v>3</v>
      </c>
      <c r="F355">
        <f t="shared" si="69"/>
        <v>23410</v>
      </c>
      <c r="G355">
        <f t="shared" si="60"/>
        <v>23410</v>
      </c>
      <c r="H355">
        <f t="shared" si="61"/>
        <v>4</v>
      </c>
      <c r="I355">
        <f t="shared" si="62"/>
        <v>120</v>
      </c>
      <c r="J355" s="3">
        <f t="shared" si="63"/>
        <v>23530</v>
      </c>
      <c r="K355">
        <f t="shared" si="64"/>
        <v>0</v>
      </c>
      <c r="L355" s="4">
        <f t="shared" si="70"/>
        <v>15650</v>
      </c>
      <c r="M355">
        <f t="shared" si="67"/>
        <v>120</v>
      </c>
      <c r="N355" s="5">
        <f t="shared" si="71"/>
        <v>39180</v>
      </c>
      <c r="AF355" s="1">
        <v>45280</v>
      </c>
      <c r="AG355">
        <f t="shared" si="68"/>
        <v>120</v>
      </c>
    </row>
    <row r="356" spans="1:35" x14ac:dyDescent="0.25">
      <c r="A356" s="1">
        <v>45281</v>
      </c>
      <c r="B356" t="s">
        <v>2</v>
      </c>
      <c r="C356">
        <f t="shared" si="65"/>
        <v>0.2</v>
      </c>
      <c r="D356">
        <f t="shared" si="66"/>
        <v>4</v>
      </c>
      <c r="F356">
        <f t="shared" si="69"/>
        <v>23530</v>
      </c>
      <c r="G356">
        <f t="shared" si="60"/>
        <v>23530</v>
      </c>
      <c r="H356">
        <f t="shared" si="61"/>
        <v>2</v>
      </c>
      <c r="I356">
        <f t="shared" si="62"/>
        <v>60</v>
      </c>
      <c r="J356" s="3">
        <f t="shared" si="63"/>
        <v>23590</v>
      </c>
      <c r="K356">
        <f t="shared" si="64"/>
        <v>0</v>
      </c>
      <c r="L356" s="4">
        <f t="shared" si="70"/>
        <v>15650</v>
      </c>
      <c r="M356">
        <f t="shared" si="67"/>
        <v>60</v>
      </c>
      <c r="N356" s="5">
        <f t="shared" si="71"/>
        <v>39240</v>
      </c>
      <c r="AF356" s="1">
        <v>45281</v>
      </c>
      <c r="AG356">
        <f t="shared" si="68"/>
        <v>60</v>
      </c>
    </row>
    <row r="357" spans="1:35" x14ac:dyDescent="0.25">
      <c r="A357" s="1">
        <v>45282</v>
      </c>
      <c r="B357" t="s">
        <v>2</v>
      </c>
      <c r="C357">
        <f t="shared" si="65"/>
        <v>0.2</v>
      </c>
      <c r="D357">
        <f t="shared" si="66"/>
        <v>5</v>
      </c>
      <c r="F357">
        <f t="shared" si="69"/>
        <v>23590</v>
      </c>
      <c r="G357">
        <f t="shared" si="60"/>
        <v>23590</v>
      </c>
      <c r="H357">
        <f t="shared" si="61"/>
        <v>2</v>
      </c>
      <c r="I357">
        <f t="shared" si="62"/>
        <v>60</v>
      </c>
      <c r="J357" s="3">
        <f t="shared" si="63"/>
        <v>23650</v>
      </c>
      <c r="K357">
        <f t="shared" si="64"/>
        <v>0</v>
      </c>
      <c r="L357" s="4">
        <f t="shared" si="70"/>
        <v>15650</v>
      </c>
      <c r="M357">
        <f t="shared" si="67"/>
        <v>60</v>
      </c>
      <c r="N357" s="5">
        <f t="shared" si="71"/>
        <v>39300</v>
      </c>
      <c r="AF357" s="1">
        <v>45282</v>
      </c>
      <c r="AG357">
        <f t="shared" si="68"/>
        <v>60</v>
      </c>
    </row>
    <row r="358" spans="1:35" x14ac:dyDescent="0.25">
      <c r="A358" s="1">
        <v>45283</v>
      </c>
      <c r="B358" t="s">
        <v>2</v>
      </c>
      <c r="C358">
        <f t="shared" si="65"/>
        <v>0.2</v>
      </c>
      <c r="D358">
        <f t="shared" si="66"/>
        <v>6</v>
      </c>
      <c r="F358">
        <f t="shared" si="69"/>
        <v>23650</v>
      </c>
      <c r="G358">
        <f t="shared" si="60"/>
        <v>23650</v>
      </c>
      <c r="H358">
        <f t="shared" si="61"/>
        <v>2</v>
      </c>
      <c r="I358">
        <f t="shared" si="62"/>
        <v>60</v>
      </c>
      <c r="J358" s="3">
        <f t="shared" si="63"/>
        <v>23650</v>
      </c>
      <c r="K358">
        <f t="shared" si="64"/>
        <v>0</v>
      </c>
      <c r="L358" s="4">
        <f t="shared" si="70"/>
        <v>15650</v>
      </c>
      <c r="M358">
        <f t="shared" si="67"/>
        <v>0</v>
      </c>
      <c r="N358" s="5">
        <f t="shared" si="71"/>
        <v>39300</v>
      </c>
      <c r="AF358" s="1">
        <v>45283</v>
      </c>
      <c r="AG358">
        <f t="shared" si="68"/>
        <v>0</v>
      </c>
    </row>
    <row r="359" spans="1:35" x14ac:dyDescent="0.25">
      <c r="A359" s="1">
        <v>45284</v>
      </c>
      <c r="B359" t="s">
        <v>2</v>
      </c>
      <c r="C359">
        <f t="shared" si="65"/>
        <v>0.2</v>
      </c>
      <c r="D359">
        <f t="shared" si="66"/>
        <v>7</v>
      </c>
      <c r="F359">
        <f t="shared" si="69"/>
        <v>23650</v>
      </c>
      <c r="G359">
        <f t="shared" si="60"/>
        <v>23500</v>
      </c>
      <c r="H359">
        <f t="shared" si="61"/>
        <v>2</v>
      </c>
      <c r="I359">
        <f t="shared" si="62"/>
        <v>60</v>
      </c>
      <c r="J359" s="3">
        <f t="shared" si="63"/>
        <v>23500</v>
      </c>
      <c r="K359">
        <f t="shared" si="64"/>
        <v>150</v>
      </c>
      <c r="L359" s="4">
        <f t="shared" si="70"/>
        <v>15800</v>
      </c>
      <c r="M359">
        <f t="shared" si="67"/>
        <v>0</v>
      </c>
      <c r="N359" s="5">
        <f t="shared" si="71"/>
        <v>39300</v>
      </c>
      <c r="AF359" s="1">
        <v>45284</v>
      </c>
      <c r="AG359">
        <f t="shared" si="68"/>
        <v>-150</v>
      </c>
    </row>
    <row r="360" spans="1:35" x14ac:dyDescent="0.25">
      <c r="A360" s="1">
        <v>45285</v>
      </c>
      <c r="B360" t="s">
        <v>2</v>
      </c>
      <c r="C360">
        <f t="shared" si="65"/>
        <v>0.2</v>
      </c>
      <c r="D360">
        <f t="shared" si="66"/>
        <v>1</v>
      </c>
      <c r="F360">
        <f t="shared" si="69"/>
        <v>23500</v>
      </c>
      <c r="G360">
        <f t="shared" si="60"/>
        <v>23500</v>
      </c>
      <c r="H360">
        <f t="shared" si="61"/>
        <v>2</v>
      </c>
      <c r="I360">
        <f t="shared" si="62"/>
        <v>60</v>
      </c>
      <c r="J360" s="3">
        <f t="shared" si="63"/>
        <v>23560</v>
      </c>
      <c r="K360">
        <f t="shared" si="64"/>
        <v>0</v>
      </c>
      <c r="L360" s="4">
        <f t="shared" si="70"/>
        <v>15800</v>
      </c>
      <c r="M360">
        <f t="shared" si="67"/>
        <v>60</v>
      </c>
      <c r="N360" s="5">
        <f t="shared" si="71"/>
        <v>39360</v>
      </c>
      <c r="AF360" s="1">
        <v>45285</v>
      </c>
      <c r="AG360">
        <f t="shared" si="68"/>
        <v>60</v>
      </c>
    </row>
    <row r="361" spans="1:35" x14ac:dyDescent="0.25">
      <c r="A361" s="1">
        <v>45286</v>
      </c>
      <c r="B361" t="s">
        <v>2</v>
      </c>
      <c r="C361">
        <f t="shared" si="65"/>
        <v>0.2</v>
      </c>
      <c r="D361">
        <f t="shared" si="66"/>
        <v>2</v>
      </c>
      <c r="F361">
        <f t="shared" si="69"/>
        <v>23560</v>
      </c>
      <c r="G361">
        <f t="shared" si="60"/>
        <v>23560</v>
      </c>
      <c r="H361">
        <f t="shared" si="61"/>
        <v>2</v>
      </c>
      <c r="I361">
        <f t="shared" si="62"/>
        <v>60</v>
      </c>
      <c r="J361" s="3">
        <f t="shared" si="63"/>
        <v>23620</v>
      </c>
      <c r="K361">
        <f t="shared" si="64"/>
        <v>0</v>
      </c>
      <c r="L361" s="4">
        <f t="shared" si="70"/>
        <v>15800</v>
      </c>
      <c r="M361">
        <f t="shared" si="67"/>
        <v>60</v>
      </c>
      <c r="N361" s="5">
        <f t="shared" si="71"/>
        <v>39420</v>
      </c>
      <c r="AF361" s="1">
        <v>45286</v>
      </c>
      <c r="AG361">
        <f t="shared" si="68"/>
        <v>60</v>
      </c>
    </row>
    <row r="362" spans="1:35" x14ac:dyDescent="0.25">
      <c r="A362" s="1">
        <v>45287</v>
      </c>
      <c r="B362" t="s">
        <v>2</v>
      </c>
      <c r="C362">
        <f t="shared" si="65"/>
        <v>0.2</v>
      </c>
      <c r="D362">
        <f t="shared" si="66"/>
        <v>3</v>
      </c>
      <c r="F362">
        <f t="shared" si="69"/>
        <v>23620</v>
      </c>
      <c r="G362">
        <f t="shared" si="60"/>
        <v>23620</v>
      </c>
      <c r="H362">
        <f t="shared" si="61"/>
        <v>2</v>
      </c>
      <c r="I362">
        <f t="shared" si="62"/>
        <v>60</v>
      </c>
      <c r="J362" s="3">
        <f t="shared" si="63"/>
        <v>23680</v>
      </c>
      <c r="K362">
        <f t="shared" si="64"/>
        <v>0</v>
      </c>
      <c r="L362" s="4">
        <f t="shared" si="70"/>
        <v>15800</v>
      </c>
      <c r="M362">
        <f t="shared" si="67"/>
        <v>60</v>
      </c>
      <c r="N362" s="5">
        <f t="shared" si="71"/>
        <v>39480</v>
      </c>
      <c r="AF362" s="1">
        <v>45287</v>
      </c>
      <c r="AG362">
        <f t="shared" si="68"/>
        <v>60</v>
      </c>
    </row>
    <row r="363" spans="1:35" x14ac:dyDescent="0.25">
      <c r="A363" s="1">
        <v>45288</v>
      </c>
      <c r="B363" t="s">
        <v>2</v>
      </c>
      <c r="C363">
        <f t="shared" si="65"/>
        <v>0.2</v>
      </c>
      <c r="D363">
        <f t="shared" si="66"/>
        <v>4</v>
      </c>
      <c r="F363">
        <f t="shared" si="69"/>
        <v>23680</v>
      </c>
      <c r="G363">
        <f t="shared" si="60"/>
        <v>23680</v>
      </c>
      <c r="H363">
        <f t="shared" si="61"/>
        <v>2</v>
      </c>
      <c r="I363">
        <f t="shared" si="62"/>
        <v>60</v>
      </c>
      <c r="J363" s="3">
        <f t="shared" si="63"/>
        <v>23740</v>
      </c>
      <c r="K363">
        <f t="shared" si="64"/>
        <v>0</v>
      </c>
      <c r="L363" s="4">
        <f t="shared" si="70"/>
        <v>15800</v>
      </c>
      <c r="M363">
        <f t="shared" si="67"/>
        <v>60</v>
      </c>
      <c r="N363" s="5">
        <f t="shared" si="71"/>
        <v>39540</v>
      </c>
      <c r="AF363" s="1">
        <v>45288</v>
      </c>
      <c r="AG363">
        <f t="shared" si="68"/>
        <v>60</v>
      </c>
    </row>
    <row r="364" spans="1:35" x14ac:dyDescent="0.25">
      <c r="A364" s="1">
        <v>45289</v>
      </c>
      <c r="B364" t="s">
        <v>2</v>
      </c>
      <c r="C364">
        <f t="shared" si="65"/>
        <v>0.2</v>
      </c>
      <c r="D364">
        <f t="shared" si="66"/>
        <v>5</v>
      </c>
      <c r="F364">
        <f t="shared" si="69"/>
        <v>23740</v>
      </c>
      <c r="G364">
        <f t="shared" si="60"/>
        <v>23740</v>
      </c>
      <c r="H364">
        <f t="shared" si="61"/>
        <v>2</v>
      </c>
      <c r="I364">
        <f t="shared" si="62"/>
        <v>60</v>
      </c>
      <c r="J364" s="3">
        <f t="shared" si="63"/>
        <v>23800</v>
      </c>
      <c r="K364">
        <f t="shared" si="64"/>
        <v>0</v>
      </c>
      <c r="L364" s="4">
        <f t="shared" si="70"/>
        <v>15800</v>
      </c>
      <c r="M364">
        <f t="shared" si="67"/>
        <v>60</v>
      </c>
      <c r="N364" s="5">
        <f t="shared" si="71"/>
        <v>39600</v>
      </c>
      <c r="AF364" s="1">
        <v>45289</v>
      </c>
      <c r="AG364">
        <f t="shared" si="68"/>
        <v>60</v>
      </c>
    </row>
    <row r="365" spans="1:35" x14ac:dyDescent="0.25">
      <c r="A365" s="1">
        <v>45290</v>
      </c>
      <c r="B365" t="s">
        <v>2</v>
      </c>
      <c r="C365">
        <f t="shared" si="65"/>
        <v>0.2</v>
      </c>
      <c r="D365">
        <f t="shared" si="66"/>
        <v>6</v>
      </c>
      <c r="F365">
        <f t="shared" si="69"/>
        <v>23800</v>
      </c>
      <c r="G365">
        <f t="shared" si="60"/>
        <v>23800</v>
      </c>
      <c r="H365">
        <f t="shared" si="61"/>
        <v>2</v>
      </c>
      <c r="I365">
        <f t="shared" si="62"/>
        <v>60</v>
      </c>
      <c r="J365" s="3">
        <f t="shared" si="63"/>
        <v>23800</v>
      </c>
      <c r="K365">
        <f t="shared" si="64"/>
        <v>0</v>
      </c>
      <c r="L365" s="4">
        <f t="shared" si="70"/>
        <v>15800</v>
      </c>
      <c r="M365">
        <f t="shared" si="67"/>
        <v>0</v>
      </c>
      <c r="N365" s="5">
        <f t="shared" si="71"/>
        <v>39600</v>
      </c>
      <c r="AF365" s="1">
        <v>45290</v>
      </c>
      <c r="AG365">
        <f t="shared" si="68"/>
        <v>0</v>
      </c>
    </row>
    <row r="366" spans="1:35" s="3" customFormat="1" x14ac:dyDescent="0.25">
      <c r="A366" s="2">
        <v>45291</v>
      </c>
      <c r="B366" s="3" t="s">
        <v>2</v>
      </c>
      <c r="C366" s="3">
        <f t="shared" si="65"/>
        <v>0.2</v>
      </c>
      <c r="D366" s="3">
        <f t="shared" si="66"/>
        <v>7</v>
      </c>
      <c r="F366" s="3">
        <f t="shared" si="69"/>
        <v>23800</v>
      </c>
      <c r="G366" s="3">
        <f t="shared" si="60"/>
        <v>23650</v>
      </c>
      <c r="H366" s="3">
        <f t="shared" si="61"/>
        <v>2</v>
      </c>
      <c r="I366" s="3">
        <f t="shared" si="62"/>
        <v>60</v>
      </c>
      <c r="J366" s="3">
        <f t="shared" si="63"/>
        <v>23650</v>
      </c>
      <c r="K366" s="3">
        <f t="shared" si="64"/>
        <v>150</v>
      </c>
      <c r="L366" s="4">
        <f t="shared" si="70"/>
        <v>15950</v>
      </c>
      <c r="M366" s="3">
        <f t="shared" si="67"/>
        <v>0</v>
      </c>
      <c r="N366" s="5">
        <f t="shared" si="71"/>
        <v>39600</v>
      </c>
      <c r="AF366" s="2">
        <v>45291</v>
      </c>
      <c r="AG366">
        <f t="shared" si="68"/>
        <v>-150</v>
      </c>
      <c r="AI366"/>
    </row>
    <row r="367" spans="1:35" x14ac:dyDescent="0.25">
      <c r="A367" s="1">
        <v>45292</v>
      </c>
      <c r="B367" t="s">
        <v>2</v>
      </c>
      <c r="C367">
        <f t="shared" si="65"/>
        <v>0.2</v>
      </c>
      <c r="D367">
        <f t="shared" si="66"/>
        <v>1</v>
      </c>
      <c r="F367">
        <f t="shared" si="69"/>
        <v>23650</v>
      </c>
      <c r="G367">
        <f t="shared" si="60"/>
        <v>23650</v>
      </c>
      <c r="H367">
        <f t="shared" si="61"/>
        <v>2</v>
      </c>
      <c r="I367">
        <f t="shared" si="62"/>
        <v>60</v>
      </c>
      <c r="J367" s="3">
        <f t="shared" si="63"/>
        <v>23710</v>
      </c>
      <c r="K367">
        <f t="shared" si="64"/>
        <v>0</v>
      </c>
      <c r="L367" s="4">
        <f t="shared" si="70"/>
        <v>15950</v>
      </c>
      <c r="M367">
        <f t="shared" si="67"/>
        <v>60</v>
      </c>
      <c r="N367" s="5">
        <f t="shared" si="71"/>
        <v>39660</v>
      </c>
      <c r="AF367" s="1">
        <v>45292</v>
      </c>
      <c r="AG367">
        <f t="shared" si="68"/>
        <v>60</v>
      </c>
    </row>
    <row r="368" spans="1:35" x14ac:dyDescent="0.25">
      <c r="A368" s="1">
        <v>45293</v>
      </c>
      <c r="B368" t="s">
        <v>2</v>
      </c>
      <c r="C368">
        <f t="shared" si="65"/>
        <v>0.2</v>
      </c>
      <c r="D368">
        <f t="shared" si="66"/>
        <v>2</v>
      </c>
      <c r="F368">
        <f t="shared" si="69"/>
        <v>23710</v>
      </c>
      <c r="G368">
        <f t="shared" si="60"/>
        <v>23710</v>
      </c>
      <c r="H368">
        <f t="shared" si="61"/>
        <v>2</v>
      </c>
      <c r="I368">
        <f t="shared" si="62"/>
        <v>60</v>
      </c>
      <c r="J368" s="3">
        <f t="shared" si="63"/>
        <v>23770</v>
      </c>
      <c r="K368">
        <f t="shared" si="64"/>
        <v>0</v>
      </c>
      <c r="L368" s="4">
        <f t="shared" si="70"/>
        <v>15950</v>
      </c>
      <c r="M368">
        <f t="shared" si="67"/>
        <v>60</v>
      </c>
      <c r="N368" s="5">
        <f t="shared" si="71"/>
        <v>39720</v>
      </c>
      <c r="AF368" s="1">
        <v>45293</v>
      </c>
      <c r="AG368">
        <f t="shared" si="68"/>
        <v>60</v>
      </c>
    </row>
    <row r="369" spans="1:33" x14ac:dyDescent="0.25">
      <c r="A369" s="1">
        <v>45294</v>
      </c>
      <c r="B369" t="s">
        <v>2</v>
      </c>
      <c r="C369">
        <f t="shared" si="65"/>
        <v>0.2</v>
      </c>
      <c r="D369">
        <f t="shared" si="66"/>
        <v>3</v>
      </c>
      <c r="F369">
        <f t="shared" si="69"/>
        <v>23770</v>
      </c>
      <c r="G369">
        <f t="shared" si="60"/>
        <v>23770</v>
      </c>
      <c r="H369">
        <f t="shared" si="61"/>
        <v>2</v>
      </c>
      <c r="I369">
        <f t="shared" si="62"/>
        <v>60</v>
      </c>
      <c r="J369" s="3">
        <f t="shared" si="63"/>
        <v>23830</v>
      </c>
      <c r="K369">
        <f t="shared" si="64"/>
        <v>0</v>
      </c>
      <c r="L369" s="4">
        <f t="shared" si="70"/>
        <v>15950</v>
      </c>
      <c r="M369">
        <f t="shared" si="67"/>
        <v>60</v>
      </c>
      <c r="N369" s="5">
        <f t="shared" si="71"/>
        <v>39780</v>
      </c>
      <c r="AF369" s="1">
        <v>45294</v>
      </c>
      <c r="AG369">
        <f t="shared" si="68"/>
        <v>60</v>
      </c>
    </row>
    <row r="370" spans="1:33" x14ac:dyDescent="0.25">
      <c r="A370" s="1">
        <v>45295</v>
      </c>
      <c r="B370" t="s">
        <v>2</v>
      </c>
      <c r="C370">
        <f t="shared" si="65"/>
        <v>0.2</v>
      </c>
      <c r="D370">
        <f t="shared" si="66"/>
        <v>4</v>
      </c>
      <c r="F370">
        <f t="shared" si="69"/>
        <v>23830</v>
      </c>
      <c r="G370">
        <f t="shared" si="60"/>
        <v>23830</v>
      </c>
      <c r="H370">
        <f t="shared" si="61"/>
        <v>2</v>
      </c>
      <c r="I370">
        <f t="shared" si="62"/>
        <v>60</v>
      </c>
      <c r="J370" s="3">
        <f t="shared" si="63"/>
        <v>23890</v>
      </c>
      <c r="K370">
        <f t="shared" si="64"/>
        <v>0</v>
      </c>
      <c r="L370" s="4">
        <f t="shared" si="70"/>
        <v>15950</v>
      </c>
      <c r="M370">
        <f t="shared" si="67"/>
        <v>60</v>
      </c>
      <c r="N370" s="5">
        <f t="shared" si="71"/>
        <v>39840</v>
      </c>
      <c r="AF370" s="1">
        <v>45295</v>
      </c>
      <c r="AG370">
        <f t="shared" si="68"/>
        <v>60</v>
      </c>
    </row>
    <row r="371" spans="1:33" x14ac:dyDescent="0.25">
      <c r="A371" s="1">
        <v>45296</v>
      </c>
      <c r="B371" t="s">
        <v>2</v>
      </c>
      <c r="C371">
        <f t="shared" si="65"/>
        <v>0.2</v>
      </c>
      <c r="D371">
        <f t="shared" si="66"/>
        <v>5</v>
      </c>
      <c r="F371">
        <f t="shared" si="69"/>
        <v>23890</v>
      </c>
      <c r="G371">
        <f t="shared" si="60"/>
        <v>23890</v>
      </c>
      <c r="H371">
        <f t="shared" si="61"/>
        <v>2</v>
      </c>
      <c r="I371">
        <f t="shared" si="62"/>
        <v>60</v>
      </c>
      <c r="J371" s="3">
        <f t="shared" si="63"/>
        <v>23950</v>
      </c>
      <c r="K371">
        <f t="shared" si="64"/>
        <v>0</v>
      </c>
      <c r="L371" s="4">
        <f t="shared" si="70"/>
        <v>15950</v>
      </c>
      <c r="M371">
        <f t="shared" si="67"/>
        <v>60</v>
      </c>
      <c r="N371" s="5">
        <f t="shared" si="71"/>
        <v>39900</v>
      </c>
      <c r="AF371" s="1">
        <v>45296</v>
      </c>
      <c r="AG371">
        <f t="shared" si="68"/>
        <v>60</v>
      </c>
    </row>
    <row r="372" spans="1:33" x14ac:dyDescent="0.25">
      <c r="A372" s="1">
        <v>45297</v>
      </c>
      <c r="B372" t="s">
        <v>2</v>
      </c>
      <c r="C372">
        <f t="shared" si="65"/>
        <v>0.2</v>
      </c>
      <c r="D372">
        <f t="shared" si="66"/>
        <v>6</v>
      </c>
      <c r="F372">
        <f t="shared" si="69"/>
        <v>23950</v>
      </c>
      <c r="G372">
        <f t="shared" si="60"/>
        <v>23950</v>
      </c>
      <c r="H372">
        <f t="shared" si="61"/>
        <v>2</v>
      </c>
      <c r="I372">
        <f t="shared" si="62"/>
        <v>60</v>
      </c>
      <c r="J372" s="3">
        <f t="shared" si="63"/>
        <v>23950</v>
      </c>
      <c r="K372">
        <f t="shared" si="64"/>
        <v>0</v>
      </c>
      <c r="L372" s="4">
        <f t="shared" si="70"/>
        <v>15950</v>
      </c>
      <c r="M372">
        <f t="shared" si="67"/>
        <v>0</v>
      </c>
      <c r="N372" s="5">
        <f t="shared" si="71"/>
        <v>39900</v>
      </c>
      <c r="AF372" s="1">
        <v>45297</v>
      </c>
      <c r="AG372">
        <f t="shared" si="68"/>
        <v>0</v>
      </c>
    </row>
    <row r="373" spans="1:33" x14ac:dyDescent="0.25">
      <c r="A373" s="1">
        <v>45298</v>
      </c>
      <c r="B373" t="s">
        <v>2</v>
      </c>
      <c r="C373">
        <f t="shared" si="65"/>
        <v>0.2</v>
      </c>
      <c r="D373">
        <f t="shared" si="66"/>
        <v>7</v>
      </c>
      <c r="F373">
        <f t="shared" si="69"/>
        <v>23950</v>
      </c>
      <c r="G373">
        <f t="shared" si="60"/>
        <v>23800</v>
      </c>
      <c r="H373">
        <f t="shared" si="61"/>
        <v>2</v>
      </c>
      <c r="I373">
        <f t="shared" si="62"/>
        <v>60</v>
      </c>
      <c r="J373" s="3">
        <f t="shared" si="63"/>
        <v>23800</v>
      </c>
      <c r="K373">
        <f t="shared" si="64"/>
        <v>150</v>
      </c>
      <c r="L373" s="4">
        <f t="shared" si="70"/>
        <v>16100</v>
      </c>
      <c r="M373">
        <f t="shared" si="67"/>
        <v>0</v>
      </c>
      <c r="N373" s="5">
        <f t="shared" si="71"/>
        <v>39900</v>
      </c>
      <c r="AF373" s="1">
        <v>45298</v>
      </c>
      <c r="AG373">
        <f t="shared" si="68"/>
        <v>-150</v>
      </c>
    </row>
    <row r="374" spans="1:33" x14ac:dyDescent="0.25">
      <c r="A374" s="1">
        <v>45299</v>
      </c>
      <c r="B374" t="s">
        <v>2</v>
      </c>
      <c r="C374">
        <f t="shared" si="65"/>
        <v>0.2</v>
      </c>
      <c r="D374">
        <f t="shared" si="66"/>
        <v>1</v>
      </c>
      <c r="F374">
        <f t="shared" si="69"/>
        <v>23800</v>
      </c>
      <c r="G374">
        <f t="shared" si="60"/>
        <v>23800</v>
      </c>
      <c r="H374">
        <f t="shared" si="61"/>
        <v>2</v>
      </c>
      <c r="I374">
        <f t="shared" si="62"/>
        <v>60</v>
      </c>
      <c r="J374" s="3">
        <f t="shared" si="63"/>
        <v>23860</v>
      </c>
      <c r="K374">
        <f t="shared" si="64"/>
        <v>0</v>
      </c>
      <c r="L374" s="4">
        <f t="shared" si="70"/>
        <v>16100</v>
      </c>
      <c r="M374">
        <f t="shared" si="67"/>
        <v>60</v>
      </c>
      <c r="N374" s="5">
        <f t="shared" si="71"/>
        <v>39960</v>
      </c>
      <c r="AF374" s="1">
        <v>45299</v>
      </c>
      <c r="AG374">
        <f t="shared" si="68"/>
        <v>60</v>
      </c>
    </row>
    <row r="375" spans="1:33" x14ac:dyDescent="0.25">
      <c r="A375" s="1">
        <v>45300</v>
      </c>
      <c r="B375" t="s">
        <v>2</v>
      </c>
      <c r="C375">
        <f t="shared" si="65"/>
        <v>0.2</v>
      </c>
      <c r="D375">
        <f t="shared" si="66"/>
        <v>2</v>
      </c>
      <c r="F375">
        <f t="shared" si="69"/>
        <v>23860</v>
      </c>
      <c r="G375">
        <f t="shared" si="60"/>
        <v>23860</v>
      </c>
      <c r="H375">
        <f t="shared" si="61"/>
        <v>2</v>
      </c>
      <c r="I375">
        <f t="shared" si="62"/>
        <v>60</v>
      </c>
      <c r="J375" s="3">
        <f t="shared" si="63"/>
        <v>23920</v>
      </c>
      <c r="K375">
        <f t="shared" si="64"/>
        <v>0</v>
      </c>
      <c r="L375" s="4">
        <f t="shared" si="70"/>
        <v>16100</v>
      </c>
      <c r="M375">
        <f t="shared" si="67"/>
        <v>60</v>
      </c>
      <c r="N375" s="5">
        <f t="shared" si="71"/>
        <v>40020</v>
      </c>
      <c r="AF375" s="1">
        <v>45300</v>
      </c>
      <c r="AG375">
        <f t="shared" si="68"/>
        <v>60</v>
      </c>
    </row>
    <row r="376" spans="1:33" x14ac:dyDescent="0.25">
      <c r="A376" s="1">
        <v>45301</v>
      </c>
      <c r="B376" t="s">
        <v>2</v>
      </c>
      <c r="C376">
        <f t="shared" si="65"/>
        <v>0.2</v>
      </c>
      <c r="D376">
        <f t="shared" si="66"/>
        <v>3</v>
      </c>
      <c r="F376">
        <f t="shared" si="69"/>
        <v>23920</v>
      </c>
      <c r="G376">
        <f t="shared" si="60"/>
        <v>23920</v>
      </c>
      <c r="H376">
        <f t="shared" si="61"/>
        <v>2</v>
      </c>
      <c r="I376">
        <f t="shared" si="62"/>
        <v>60</v>
      </c>
      <c r="J376" s="3">
        <f t="shared" si="63"/>
        <v>23980</v>
      </c>
      <c r="K376">
        <f t="shared" si="64"/>
        <v>0</v>
      </c>
      <c r="L376" s="4">
        <f t="shared" si="70"/>
        <v>16100</v>
      </c>
      <c r="M376">
        <f t="shared" si="67"/>
        <v>60</v>
      </c>
      <c r="N376" s="5">
        <f t="shared" si="71"/>
        <v>40080</v>
      </c>
      <c r="AF376" s="1">
        <v>45301</v>
      </c>
      <c r="AG376">
        <f t="shared" si="68"/>
        <v>60</v>
      </c>
    </row>
    <row r="377" spans="1:33" x14ac:dyDescent="0.25">
      <c r="A377" s="1">
        <v>45302</v>
      </c>
      <c r="B377" t="s">
        <v>2</v>
      </c>
      <c r="C377">
        <f t="shared" si="65"/>
        <v>0.2</v>
      </c>
      <c r="D377">
        <f t="shared" si="66"/>
        <v>4</v>
      </c>
      <c r="F377">
        <f t="shared" si="69"/>
        <v>23980</v>
      </c>
      <c r="G377">
        <f t="shared" si="60"/>
        <v>23980</v>
      </c>
      <c r="H377">
        <f t="shared" si="61"/>
        <v>2</v>
      </c>
      <c r="I377">
        <f t="shared" si="62"/>
        <v>60</v>
      </c>
      <c r="J377" s="3">
        <f t="shared" si="63"/>
        <v>24040</v>
      </c>
      <c r="K377">
        <f t="shared" si="64"/>
        <v>0</v>
      </c>
      <c r="L377" s="4">
        <f t="shared" si="70"/>
        <v>16100</v>
      </c>
      <c r="M377">
        <f t="shared" si="67"/>
        <v>60</v>
      </c>
      <c r="N377" s="5">
        <f t="shared" si="71"/>
        <v>40140</v>
      </c>
      <c r="AF377" s="1">
        <v>45302</v>
      </c>
      <c r="AG377">
        <f t="shared" si="68"/>
        <v>60</v>
      </c>
    </row>
    <row r="378" spans="1:33" x14ac:dyDescent="0.25">
      <c r="A378" s="1">
        <v>45303</v>
      </c>
      <c r="B378" t="s">
        <v>2</v>
      </c>
      <c r="C378">
        <f t="shared" si="65"/>
        <v>0.2</v>
      </c>
      <c r="D378">
        <f t="shared" si="66"/>
        <v>5</v>
      </c>
      <c r="F378">
        <f t="shared" si="69"/>
        <v>24040</v>
      </c>
      <c r="G378">
        <f t="shared" si="60"/>
        <v>24040</v>
      </c>
      <c r="H378">
        <f t="shared" si="61"/>
        <v>2</v>
      </c>
      <c r="I378">
        <f t="shared" si="62"/>
        <v>60</v>
      </c>
      <c r="J378" s="3">
        <f t="shared" si="63"/>
        <v>24100</v>
      </c>
      <c r="K378">
        <f t="shared" si="64"/>
        <v>0</v>
      </c>
      <c r="L378" s="4">
        <f t="shared" si="70"/>
        <v>16100</v>
      </c>
      <c r="M378">
        <f t="shared" si="67"/>
        <v>60</v>
      </c>
      <c r="N378" s="5">
        <f t="shared" si="71"/>
        <v>40200</v>
      </c>
      <c r="AF378" s="1">
        <v>45303</v>
      </c>
      <c r="AG378">
        <f t="shared" si="68"/>
        <v>60</v>
      </c>
    </row>
    <row r="379" spans="1:33" x14ac:dyDescent="0.25">
      <c r="A379" s="1">
        <v>45304</v>
      </c>
      <c r="B379" t="s">
        <v>2</v>
      </c>
      <c r="C379">
        <f t="shared" si="65"/>
        <v>0.2</v>
      </c>
      <c r="D379">
        <f t="shared" si="66"/>
        <v>6</v>
      </c>
      <c r="F379">
        <f t="shared" si="69"/>
        <v>24100</v>
      </c>
      <c r="G379">
        <f t="shared" si="60"/>
        <v>24100</v>
      </c>
      <c r="H379">
        <f t="shared" si="61"/>
        <v>2</v>
      </c>
      <c r="I379">
        <f t="shared" si="62"/>
        <v>60</v>
      </c>
      <c r="J379" s="3">
        <f t="shared" si="63"/>
        <v>24100</v>
      </c>
      <c r="K379">
        <f t="shared" si="64"/>
        <v>0</v>
      </c>
      <c r="L379" s="4">
        <f t="shared" si="70"/>
        <v>16100</v>
      </c>
      <c r="M379">
        <f t="shared" si="67"/>
        <v>0</v>
      </c>
      <c r="N379" s="5">
        <f t="shared" si="71"/>
        <v>40200</v>
      </c>
      <c r="AF379" s="1">
        <v>45304</v>
      </c>
      <c r="AG379">
        <f t="shared" si="68"/>
        <v>0</v>
      </c>
    </row>
    <row r="380" spans="1:33" x14ac:dyDescent="0.25">
      <c r="A380" s="1">
        <v>45305</v>
      </c>
      <c r="B380" t="s">
        <v>2</v>
      </c>
      <c r="C380">
        <f t="shared" si="65"/>
        <v>0.2</v>
      </c>
      <c r="D380">
        <f t="shared" si="66"/>
        <v>7</v>
      </c>
      <c r="F380">
        <f t="shared" si="69"/>
        <v>24100</v>
      </c>
      <c r="G380">
        <f t="shared" si="60"/>
        <v>23950</v>
      </c>
      <c r="H380">
        <f t="shared" si="61"/>
        <v>2</v>
      </c>
      <c r="I380">
        <f t="shared" si="62"/>
        <v>60</v>
      </c>
      <c r="J380" s="3">
        <f t="shared" si="63"/>
        <v>23950</v>
      </c>
      <c r="K380">
        <f t="shared" si="64"/>
        <v>150</v>
      </c>
      <c r="L380" s="4">
        <f t="shared" si="70"/>
        <v>16250</v>
      </c>
      <c r="M380">
        <f t="shared" si="67"/>
        <v>0</v>
      </c>
      <c r="N380" s="5">
        <f t="shared" si="71"/>
        <v>40200</v>
      </c>
      <c r="AF380" s="1">
        <v>45305</v>
      </c>
      <c r="AG380">
        <f t="shared" si="68"/>
        <v>-150</v>
      </c>
    </row>
    <row r="381" spans="1:33" x14ac:dyDescent="0.25">
      <c r="A381" s="1">
        <v>45306</v>
      </c>
      <c r="B381" t="s">
        <v>2</v>
      </c>
      <c r="C381">
        <f t="shared" si="65"/>
        <v>0.2</v>
      </c>
      <c r="D381">
        <f t="shared" si="66"/>
        <v>1</v>
      </c>
      <c r="F381">
        <f t="shared" si="69"/>
        <v>23950</v>
      </c>
      <c r="G381">
        <f t="shared" si="60"/>
        <v>23950</v>
      </c>
      <c r="H381">
        <f t="shared" si="61"/>
        <v>2</v>
      </c>
      <c r="I381">
        <f t="shared" si="62"/>
        <v>60</v>
      </c>
      <c r="J381" s="3">
        <f t="shared" si="63"/>
        <v>24010</v>
      </c>
      <c r="K381">
        <f t="shared" si="64"/>
        <v>0</v>
      </c>
      <c r="L381" s="4">
        <f t="shared" si="70"/>
        <v>16250</v>
      </c>
      <c r="M381">
        <f t="shared" si="67"/>
        <v>60</v>
      </c>
      <c r="N381" s="5">
        <f t="shared" si="71"/>
        <v>40260</v>
      </c>
      <c r="AF381" s="1">
        <v>45306</v>
      </c>
      <c r="AG381">
        <f t="shared" si="68"/>
        <v>60</v>
      </c>
    </row>
    <row r="382" spans="1:33" x14ac:dyDescent="0.25">
      <c r="A382" s="1">
        <v>45307</v>
      </c>
      <c r="B382" t="s">
        <v>2</v>
      </c>
      <c r="C382">
        <f t="shared" si="65"/>
        <v>0.2</v>
      </c>
      <c r="D382">
        <f t="shared" si="66"/>
        <v>2</v>
      </c>
      <c r="F382">
        <f t="shared" si="69"/>
        <v>24010</v>
      </c>
      <c r="G382">
        <f t="shared" si="60"/>
        <v>24010</v>
      </c>
      <c r="H382">
        <f t="shared" si="61"/>
        <v>2</v>
      </c>
      <c r="I382">
        <f t="shared" si="62"/>
        <v>60</v>
      </c>
      <c r="J382" s="3">
        <f t="shared" si="63"/>
        <v>24070</v>
      </c>
      <c r="K382">
        <f t="shared" si="64"/>
        <v>0</v>
      </c>
      <c r="L382" s="4">
        <f t="shared" si="70"/>
        <v>16250</v>
      </c>
      <c r="M382">
        <f t="shared" si="67"/>
        <v>60</v>
      </c>
      <c r="N382" s="5">
        <f t="shared" si="71"/>
        <v>40320</v>
      </c>
      <c r="AF382" s="1">
        <v>45307</v>
      </c>
      <c r="AG382">
        <f t="shared" si="68"/>
        <v>60</v>
      </c>
    </row>
    <row r="383" spans="1:33" x14ac:dyDescent="0.25">
      <c r="A383" s="1">
        <v>45308</v>
      </c>
      <c r="B383" t="s">
        <v>2</v>
      </c>
      <c r="C383">
        <f t="shared" si="65"/>
        <v>0.2</v>
      </c>
      <c r="D383">
        <f t="shared" si="66"/>
        <v>3</v>
      </c>
      <c r="F383">
        <f t="shared" si="69"/>
        <v>24070</v>
      </c>
      <c r="G383">
        <f t="shared" si="60"/>
        <v>24070</v>
      </c>
      <c r="H383">
        <f t="shared" si="61"/>
        <v>2</v>
      </c>
      <c r="I383">
        <f t="shared" si="62"/>
        <v>60</v>
      </c>
      <c r="J383" s="3">
        <f t="shared" si="63"/>
        <v>24130</v>
      </c>
      <c r="K383">
        <f t="shared" si="64"/>
        <v>0</v>
      </c>
      <c r="L383" s="4">
        <f t="shared" si="70"/>
        <v>16250</v>
      </c>
      <c r="M383">
        <f t="shared" si="67"/>
        <v>60</v>
      </c>
      <c r="N383" s="5">
        <f t="shared" si="71"/>
        <v>40380</v>
      </c>
      <c r="AF383" s="1">
        <v>45308</v>
      </c>
      <c r="AG383">
        <f t="shared" si="68"/>
        <v>60</v>
      </c>
    </row>
    <row r="384" spans="1:33" x14ac:dyDescent="0.25">
      <c r="A384" s="1">
        <v>45309</v>
      </c>
      <c r="B384" t="s">
        <v>2</v>
      </c>
      <c r="C384">
        <f t="shared" si="65"/>
        <v>0.2</v>
      </c>
      <c r="D384">
        <f t="shared" si="66"/>
        <v>4</v>
      </c>
      <c r="F384">
        <f t="shared" si="69"/>
        <v>24130</v>
      </c>
      <c r="G384">
        <f t="shared" si="60"/>
        <v>24130</v>
      </c>
      <c r="H384">
        <f t="shared" si="61"/>
        <v>2</v>
      </c>
      <c r="I384">
        <f t="shared" si="62"/>
        <v>60</v>
      </c>
      <c r="J384" s="3">
        <f t="shared" si="63"/>
        <v>24190</v>
      </c>
      <c r="K384">
        <f t="shared" si="64"/>
        <v>0</v>
      </c>
      <c r="L384" s="4">
        <f t="shared" si="70"/>
        <v>16250</v>
      </c>
      <c r="M384">
        <f t="shared" si="67"/>
        <v>60</v>
      </c>
      <c r="N384" s="5">
        <f t="shared" si="71"/>
        <v>40440</v>
      </c>
      <c r="AF384" s="1">
        <v>45309</v>
      </c>
      <c r="AG384">
        <f t="shared" si="68"/>
        <v>60</v>
      </c>
    </row>
    <row r="385" spans="1:33" x14ac:dyDescent="0.25">
      <c r="A385" s="1">
        <v>45310</v>
      </c>
      <c r="B385" t="s">
        <v>2</v>
      </c>
      <c r="C385">
        <f t="shared" si="65"/>
        <v>0.2</v>
      </c>
      <c r="D385">
        <f t="shared" si="66"/>
        <v>5</v>
      </c>
      <c r="F385">
        <f t="shared" si="69"/>
        <v>24190</v>
      </c>
      <c r="G385">
        <f t="shared" si="60"/>
        <v>24190</v>
      </c>
      <c r="H385">
        <f t="shared" si="61"/>
        <v>2</v>
      </c>
      <c r="I385">
        <f t="shared" si="62"/>
        <v>60</v>
      </c>
      <c r="J385" s="3">
        <f t="shared" si="63"/>
        <v>24250</v>
      </c>
      <c r="K385">
        <f t="shared" si="64"/>
        <v>0</v>
      </c>
      <c r="L385" s="4">
        <f t="shared" si="70"/>
        <v>16250</v>
      </c>
      <c r="M385">
        <f t="shared" si="67"/>
        <v>60</v>
      </c>
      <c r="N385" s="5">
        <f t="shared" si="71"/>
        <v>40500</v>
      </c>
      <c r="AF385" s="1">
        <v>45310</v>
      </c>
      <c r="AG385">
        <f t="shared" si="68"/>
        <v>60</v>
      </c>
    </row>
    <row r="386" spans="1:33" x14ac:dyDescent="0.25">
      <c r="A386" s="1">
        <v>45311</v>
      </c>
      <c r="B386" t="s">
        <v>2</v>
      </c>
      <c r="C386">
        <f t="shared" si="65"/>
        <v>0.2</v>
      </c>
      <c r="D386">
        <f t="shared" si="66"/>
        <v>6</v>
      </c>
      <c r="F386">
        <f t="shared" si="69"/>
        <v>24250</v>
      </c>
      <c r="G386">
        <f t="shared" ref="G386:G449" si="72">IF(D386=7,F386-150,F386)</f>
        <v>24250</v>
      </c>
      <c r="H386">
        <f t="shared" ref="H386:H449" si="73">ROUNDDOWN($AC$2*C386,0)</f>
        <v>2</v>
      </c>
      <c r="I386">
        <f t="shared" ref="I386:I449" si="74">H386*$AD$2</f>
        <v>60</v>
      </c>
      <c r="J386" s="3">
        <f t="shared" ref="J386:J449" si="75">IF(AND(D386&gt;=1,D386&lt;=5),G386+I386,G386)</f>
        <v>24250</v>
      </c>
      <c r="K386">
        <f t="shared" ref="K386:K449" si="76">IF(D386=7,150,0)</f>
        <v>0</v>
      </c>
      <c r="L386" s="4">
        <f t="shared" si="70"/>
        <v>16250</v>
      </c>
      <c r="M386">
        <f t="shared" si="67"/>
        <v>0</v>
      </c>
      <c r="N386" s="5">
        <f t="shared" si="71"/>
        <v>40500</v>
      </c>
      <c r="AF386" s="1">
        <v>45311</v>
      </c>
      <c r="AG386">
        <f t="shared" si="68"/>
        <v>0</v>
      </c>
    </row>
    <row r="387" spans="1:33" x14ac:dyDescent="0.25">
      <c r="A387" s="1">
        <v>45312</v>
      </c>
      <c r="B387" t="s">
        <v>2</v>
      </c>
      <c r="C387">
        <f t="shared" ref="C387:C450" si="77">IF(B387="zima",20%,IF(B387="wiosna",50%,IF(B387="lato",90%,40%)))</f>
        <v>0.2</v>
      </c>
      <c r="D387">
        <f t="shared" ref="D387:D450" si="78">WEEKDAY(A387,2)</f>
        <v>7</v>
      </c>
      <c r="F387">
        <f t="shared" si="69"/>
        <v>24250</v>
      </c>
      <c r="G387">
        <f t="shared" si="72"/>
        <v>24100</v>
      </c>
      <c r="H387">
        <f t="shared" si="73"/>
        <v>2</v>
      </c>
      <c r="I387">
        <f t="shared" si="74"/>
        <v>60</v>
      </c>
      <c r="J387" s="3">
        <f t="shared" si="75"/>
        <v>24100</v>
      </c>
      <c r="K387">
        <f t="shared" si="76"/>
        <v>150</v>
      </c>
      <c r="L387" s="4">
        <f t="shared" si="70"/>
        <v>16400</v>
      </c>
      <c r="M387">
        <f t="shared" ref="M387:M450" si="79">IF(AND(D387&gt;=1,D387&lt;=5),I387,0)</f>
        <v>0</v>
      </c>
      <c r="N387" s="5">
        <f t="shared" si="71"/>
        <v>40500</v>
      </c>
      <c r="AF387" s="1">
        <v>45312</v>
      </c>
      <c r="AG387">
        <f t="shared" ref="AG387:AG450" si="80">M387-K387</f>
        <v>-150</v>
      </c>
    </row>
    <row r="388" spans="1:33" x14ac:dyDescent="0.25">
      <c r="A388" s="1">
        <v>45313</v>
      </c>
      <c r="B388" t="s">
        <v>2</v>
      </c>
      <c r="C388">
        <f t="shared" si="77"/>
        <v>0.2</v>
      </c>
      <c r="D388">
        <f t="shared" si="78"/>
        <v>1</v>
      </c>
      <c r="F388">
        <f t="shared" ref="F388:F451" si="81">J387</f>
        <v>24100</v>
      </c>
      <c r="G388">
        <f t="shared" si="72"/>
        <v>24100</v>
      </c>
      <c r="H388">
        <f t="shared" si="73"/>
        <v>2</v>
      </c>
      <c r="I388">
        <f t="shared" si="74"/>
        <v>60</v>
      </c>
      <c r="J388" s="3">
        <f t="shared" si="75"/>
        <v>24160</v>
      </c>
      <c r="K388">
        <f t="shared" si="76"/>
        <v>0</v>
      </c>
      <c r="L388" s="4">
        <f t="shared" ref="L388:L451" si="82">K388+L387</f>
        <v>16400</v>
      </c>
      <c r="M388">
        <f t="shared" si="79"/>
        <v>60</v>
      </c>
      <c r="N388" s="5">
        <f t="shared" ref="N388:N451" si="83">N387+M388</f>
        <v>40560</v>
      </c>
      <c r="AF388" s="1">
        <v>45313</v>
      </c>
      <c r="AG388">
        <f t="shared" si="80"/>
        <v>60</v>
      </c>
    </row>
    <row r="389" spans="1:33" x14ac:dyDescent="0.25">
      <c r="A389" s="1">
        <v>45314</v>
      </c>
      <c r="B389" t="s">
        <v>2</v>
      </c>
      <c r="C389">
        <f t="shared" si="77"/>
        <v>0.2</v>
      </c>
      <c r="D389">
        <f t="shared" si="78"/>
        <v>2</v>
      </c>
      <c r="F389">
        <f t="shared" si="81"/>
        <v>24160</v>
      </c>
      <c r="G389">
        <f t="shared" si="72"/>
        <v>24160</v>
      </c>
      <c r="H389">
        <f t="shared" si="73"/>
        <v>2</v>
      </c>
      <c r="I389">
        <f t="shared" si="74"/>
        <v>60</v>
      </c>
      <c r="J389" s="3">
        <f t="shared" si="75"/>
        <v>24220</v>
      </c>
      <c r="K389">
        <f t="shared" si="76"/>
        <v>0</v>
      </c>
      <c r="L389" s="4">
        <f t="shared" si="82"/>
        <v>16400</v>
      </c>
      <c r="M389">
        <f t="shared" si="79"/>
        <v>60</v>
      </c>
      <c r="N389" s="5">
        <f t="shared" si="83"/>
        <v>40620</v>
      </c>
      <c r="AF389" s="1">
        <v>45314</v>
      </c>
      <c r="AG389">
        <f t="shared" si="80"/>
        <v>60</v>
      </c>
    </row>
    <row r="390" spans="1:33" x14ac:dyDescent="0.25">
      <c r="A390" s="1">
        <v>45315</v>
      </c>
      <c r="B390" t="s">
        <v>2</v>
      </c>
      <c r="C390">
        <f t="shared" si="77"/>
        <v>0.2</v>
      </c>
      <c r="D390">
        <f t="shared" si="78"/>
        <v>3</v>
      </c>
      <c r="F390">
        <f t="shared" si="81"/>
        <v>24220</v>
      </c>
      <c r="G390">
        <f t="shared" si="72"/>
        <v>24220</v>
      </c>
      <c r="H390">
        <f t="shared" si="73"/>
        <v>2</v>
      </c>
      <c r="I390">
        <f t="shared" si="74"/>
        <v>60</v>
      </c>
      <c r="J390" s="3">
        <f t="shared" si="75"/>
        <v>24280</v>
      </c>
      <c r="K390">
        <f t="shared" si="76"/>
        <v>0</v>
      </c>
      <c r="L390" s="4">
        <f t="shared" si="82"/>
        <v>16400</v>
      </c>
      <c r="M390">
        <f t="shared" si="79"/>
        <v>60</v>
      </c>
      <c r="N390" s="5">
        <f t="shared" si="83"/>
        <v>40680</v>
      </c>
      <c r="AF390" s="1">
        <v>45315</v>
      </c>
      <c r="AG390">
        <f t="shared" si="80"/>
        <v>60</v>
      </c>
    </row>
    <row r="391" spans="1:33" x14ac:dyDescent="0.25">
      <c r="A391" s="1">
        <v>45316</v>
      </c>
      <c r="B391" t="s">
        <v>2</v>
      </c>
      <c r="C391">
        <f t="shared" si="77"/>
        <v>0.2</v>
      </c>
      <c r="D391">
        <f t="shared" si="78"/>
        <v>4</v>
      </c>
      <c r="F391">
        <f t="shared" si="81"/>
        <v>24280</v>
      </c>
      <c r="G391">
        <f t="shared" si="72"/>
        <v>24280</v>
      </c>
      <c r="H391">
        <f t="shared" si="73"/>
        <v>2</v>
      </c>
      <c r="I391">
        <f t="shared" si="74"/>
        <v>60</v>
      </c>
      <c r="J391" s="3">
        <f t="shared" si="75"/>
        <v>24340</v>
      </c>
      <c r="K391">
        <f t="shared" si="76"/>
        <v>0</v>
      </c>
      <c r="L391" s="4">
        <f t="shared" si="82"/>
        <v>16400</v>
      </c>
      <c r="M391">
        <f t="shared" si="79"/>
        <v>60</v>
      </c>
      <c r="N391" s="5">
        <f t="shared" si="83"/>
        <v>40740</v>
      </c>
      <c r="AF391" s="1">
        <v>45316</v>
      </c>
      <c r="AG391">
        <f t="shared" si="80"/>
        <v>60</v>
      </c>
    </row>
    <row r="392" spans="1:33" x14ac:dyDescent="0.25">
      <c r="A392" s="1">
        <v>45317</v>
      </c>
      <c r="B392" t="s">
        <v>2</v>
      </c>
      <c r="C392">
        <f t="shared" si="77"/>
        <v>0.2</v>
      </c>
      <c r="D392">
        <f t="shared" si="78"/>
        <v>5</v>
      </c>
      <c r="F392">
        <f t="shared" si="81"/>
        <v>24340</v>
      </c>
      <c r="G392">
        <f t="shared" si="72"/>
        <v>24340</v>
      </c>
      <c r="H392">
        <f t="shared" si="73"/>
        <v>2</v>
      </c>
      <c r="I392">
        <f t="shared" si="74"/>
        <v>60</v>
      </c>
      <c r="J392" s="3">
        <f t="shared" si="75"/>
        <v>24400</v>
      </c>
      <c r="K392">
        <f t="shared" si="76"/>
        <v>0</v>
      </c>
      <c r="L392" s="4">
        <f t="shared" si="82"/>
        <v>16400</v>
      </c>
      <c r="M392">
        <f t="shared" si="79"/>
        <v>60</v>
      </c>
      <c r="N392" s="5">
        <f t="shared" si="83"/>
        <v>40800</v>
      </c>
      <c r="AF392" s="1">
        <v>45317</v>
      </c>
      <c r="AG392">
        <f t="shared" si="80"/>
        <v>60</v>
      </c>
    </row>
    <row r="393" spans="1:33" x14ac:dyDescent="0.25">
      <c r="A393" s="1">
        <v>45318</v>
      </c>
      <c r="B393" t="s">
        <v>2</v>
      </c>
      <c r="C393">
        <f t="shared" si="77"/>
        <v>0.2</v>
      </c>
      <c r="D393">
        <f t="shared" si="78"/>
        <v>6</v>
      </c>
      <c r="F393">
        <f t="shared" si="81"/>
        <v>24400</v>
      </c>
      <c r="G393">
        <f t="shared" si="72"/>
        <v>24400</v>
      </c>
      <c r="H393">
        <f t="shared" si="73"/>
        <v>2</v>
      </c>
      <c r="I393">
        <f t="shared" si="74"/>
        <v>60</v>
      </c>
      <c r="J393" s="3">
        <f t="shared" si="75"/>
        <v>24400</v>
      </c>
      <c r="K393">
        <f t="shared" si="76"/>
        <v>0</v>
      </c>
      <c r="L393" s="4">
        <f t="shared" si="82"/>
        <v>16400</v>
      </c>
      <c r="M393">
        <f t="shared" si="79"/>
        <v>0</v>
      </c>
      <c r="N393" s="5">
        <f t="shared" si="83"/>
        <v>40800</v>
      </c>
      <c r="AF393" s="1">
        <v>45318</v>
      </c>
      <c r="AG393">
        <f t="shared" si="80"/>
        <v>0</v>
      </c>
    </row>
    <row r="394" spans="1:33" x14ac:dyDescent="0.25">
      <c r="A394" s="1">
        <v>45319</v>
      </c>
      <c r="B394" t="s">
        <v>2</v>
      </c>
      <c r="C394">
        <f t="shared" si="77"/>
        <v>0.2</v>
      </c>
      <c r="D394">
        <f t="shared" si="78"/>
        <v>7</v>
      </c>
      <c r="F394">
        <f t="shared" si="81"/>
        <v>24400</v>
      </c>
      <c r="G394">
        <f t="shared" si="72"/>
        <v>24250</v>
      </c>
      <c r="H394">
        <f t="shared" si="73"/>
        <v>2</v>
      </c>
      <c r="I394">
        <f t="shared" si="74"/>
        <v>60</v>
      </c>
      <c r="J394" s="3">
        <f t="shared" si="75"/>
        <v>24250</v>
      </c>
      <c r="K394">
        <f t="shared" si="76"/>
        <v>150</v>
      </c>
      <c r="L394" s="4">
        <f t="shared" si="82"/>
        <v>16550</v>
      </c>
      <c r="M394">
        <f t="shared" si="79"/>
        <v>0</v>
      </c>
      <c r="N394" s="5">
        <f t="shared" si="83"/>
        <v>40800</v>
      </c>
      <c r="AF394" s="1">
        <v>45319</v>
      </c>
      <c r="AG394">
        <f t="shared" si="80"/>
        <v>-150</v>
      </c>
    </row>
    <row r="395" spans="1:33" x14ac:dyDescent="0.25">
      <c r="A395" s="1">
        <v>45320</v>
      </c>
      <c r="B395" t="s">
        <v>2</v>
      </c>
      <c r="C395">
        <f t="shared" si="77"/>
        <v>0.2</v>
      </c>
      <c r="D395">
        <f t="shared" si="78"/>
        <v>1</v>
      </c>
      <c r="F395">
        <f t="shared" si="81"/>
        <v>24250</v>
      </c>
      <c r="G395">
        <f t="shared" si="72"/>
        <v>24250</v>
      </c>
      <c r="H395">
        <f t="shared" si="73"/>
        <v>2</v>
      </c>
      <c r="I395">
        <f t="shared" si="74"/>
        <v>60</v>
      </c>
      <c r="J395" s="3">
        <f t="shared" si="75"/>
        <v>24310</v>
      </c>
      <c r="K395">
        <f t="shared" si="76"/>
        <v>0</v>
      </c>
      <c r="L395" s="4">
        <f t="shared" si="82"/>
        <v>16550</v>
      </c>
      <c r="M395">
        <f t="shared" si="79"/>
        <v>60</v>
      </c>
      <c r="N395" s="5">
        <f t="shared" si="83"/>
        <v>40860</v>
      </c>
      <c r="AF395" s="1">
        <v>45320</v>
      </c>
      <c r="AG395">
        <f t="shared" si="80"/>
        <v>60</v>
      </c>
    </row>
    <row r="396" spans="1:33" x14ac:dyDescent="0.25">
      <c r="A396" s="1">
        <v>45321</v>
      </c>
      <c r="B396" t="s">
        <v>2</v>
      </c>
      <c r="C396">
        <f t="shared" si="77"/>
        <v>0.2</v>
      </c>
      <c r="D396">
        <f t="shared" si="78"/>
        <v>2</v>
      </c>
      <c r="F396">
        <f t="shared" si="81"/>
        <v>24310</v>
      </c>
      <c r="G396">
        <f t="shared" si="72"/>
        <v>24310</v>
      </c>
      <c r="H396">
        <f t="shared" si="73"/>
        <v>2</v>
      </c>
      <c r="I396">
        <f t="shared" si="74"/>
        <v>60</v>
      </c>
      <c r="J396" s="3">
        <f t="shared" si="75"/>
        <v>24370</v>
      </c>
      <c r="K396">
        <f t="shared" si="76"/>
        <v>0</v>
      </c>
      <c r="L396" s="4">
        <f t="shared" si="82"/>
        <v>16550</v>
      </c>
      <c r="M396">
        <f t="shared" si="79"/>
        <v>60</v>
      </c>
      <c r="N396" s="5">
        <f t="shared" si="83"/>
        <v>40920</v>
      </c>
      <c r="AF396" s="1">
        <v>45321</v>
      </c>
      <c r="AG396">
        <f t="shared" si="80"/>
        <v>60</v>
      </c>
    </row>
    <row r="397" spans="1:33" x14ac:dyDescent="0.25">
      <c r="A397" s="1">
        <v>45322</v>
      </c>
      <c r="B397" t="s">
        <v>2</v>
      </c>
      <c r="C397">
        <f t="shared" si="77"/>
        <v>0.2</v>
      </c>
      <c r="D397">
        <f t="shared" si="78"/>
        <v>3</v>
      </c>
      <c r="F397">
        <f t="shared" si="81"/>
        <v>24370</v>
      </c>
      <c r="G397">
        <f t="shared" si="72"/>
        <v>24370</v>
      </c>
      <c r="H397">
        <f t="shared" si="73"/>
        <v>2</v>
      </c>
      <c r="I397">
        <f t="shared" si="74"/>
        <v>60</v>
      </c>
      <c r="J397" s="3">
        <f t="shared" si="75"/>
        <v>24430</v>
      </c>
      <c r="K397">
        <f t="shared" si="76"/>
        <v>0</v>
      </c>
      <c r="L397" s="4">
        <f t="shared" si="82"/>
        <v>16550</v>
      </c>
      <c r="M397">
        <f t="shared" si="79"/>
        <v>60</v>
      </c>
      <c r="N397" s="5">
        <f t="shared" si="83"/>
        <v>40980</v>
      </c>
      <c r="AF397" s="1">
        <v>45322</v>
      </c>
      <c r="AG397">
        <f t="shared" si="80"/>
        <v>60</v>
      </c>
    </row>
    <row r="398" spans="1:33" x14ac:dyDescent="0.25">
      <c r="A398" s="1">
        <v>45323</v>
      </c>
      <c r="B398" t="s">
        <v>2</v>
      </c>
      <c r="C398">
        <f t="shared" si="77"/>
        <v>0.2</v>
      </c>
      <c r="D398">
        <f t="shared" si="78"/>
        <v>4</v>
      </c>
      <c r="F398">
        <f t="shared" si="81"/>
        <v>24430</v>
      </c>
      <c r="G398">
        <f t="shared" si="72"/>
        <v>24430</v>
      </c>
      <c r="H398">
        <f t="shared" si="73"/>
        <v>2</v>
      </c>
      <c r="I398">
        <f t="shared" si="74"/>
        <v>60</v>
      </c>
      <c r="J398" s="3">
        <f t="shared" si="75"/>
        <v>24490</v>
      </c>
      <c r="K398">
        <f t="shared" si="76"/>
        <v>0</v>
      </c>
      <c r="L398" s="4">
        <f t="shared" si="82"/>
        <v>16550</v>
      </c>
      <c r="M398">
        <f t="shared" si="79"/>
        <v>60</v>
      </c>
      <c r="N398" s="5">
        <f t="shared" si="83"/>
        <v>41040</v>
      </c>
      <c r="AF398" s="1">
        <v>45323</v>
      </c>
      <c r="AG398">
        <f t="shared" si="80"/>
        <v>60</v>
      </c>
    </row>
    <row r="399" spans="1:33" x14ac:dyDescent="0.25">
      <c r="A399" s="1">
        <v>45324</v>
      </c>
      <c r="B399" t="s">
        <v>2</v>
      </c>
      <c r="C399">
        <f t="shared" si="77"/>
        <v>0.2</v>
      </c>
      <c r="D399">
        <f t="shared" si="78"/>
        <v>5</v>
      </c>
      <c r="F399">
        <f t="shared" si="81"/>
        <v>24490</v>
      </c>
      <c r="G399">
        <f t="shared" si="72"/>
        <v>24490</v>
      </c>
      <c r="H399">
        <f t="shared" si="73"/>
        <v>2</v>
      </c>
      <c r="I399">
        <f t="shared" si="74"/>
        <v>60</v>
      </c>
      <c r="J399" s="3">
        <f t="shared" si="75"/>
        <v>24550</v>
      </c>
      <c r="K399">
        <f t="shared" si="76"/>
        <v>0</v>
      </c>
      <c r="L399" s="4">
        <f t="shared" si="82"/>
        <v>16550</v>
      </c>
      <c r="M399">
        <f t="shared" si="79"/>
        <v>60</v>
      </c>
      <c r="N399" s="5">
        <f t="shared" si="83"/>
        <v>41100</v>
      </c>
      <c r="AF399" s="1">
        <v>45324</v>
      </c>
      <c r="AG399">
        <f t="shared" si="80"/>
        <v>60</v>
      </c>
    </row>
    <row r="400" spans="1:33" x14ac:dyDescent="0.25">
      <c r="A400" s="1">
        <v>45325</v>
      </c>
      <c r="B400" t="s">
        <v>2</v>
      </c>
      <c r="C400">
        <f t="shared" si="77"/>
        <v>0.2</v>
      </c>
      <c r="D400">
        <f t="shared" si="78"/>
        <v>6</v>
      </c>
      <c r="F400">
        <f t="shared" si="81"/>
        <v>24550</v>
      </c>
      <c r="G400">
        <f t="shared" si="72"/>
        <v>24550</v>
      </c>
      <c r="H400">
        <f t="shared" si="73"/>
        <v>2</v>
      </c>
      <c r="I400">
        <f t="shared" si="74"/>
        <v>60</v>
      </c>
      <c r="J400" s="3">
        <f t="shared" si="75"/>
        <v>24550</v>
      </c>
      <c r="K400">
        <f t="shared" si="76"/>
        <v>0</v>
      </c>
      <c r="L400" s="4">
        <f t="shared" si="82"/>
        <v>16550</v>
      </c>
      <c r="M400">
        <f t="shared" si="79"/>
        <v>0</v>
      </c>
      <c r="N400" s="5">
        <f t="shared" si="83"/>
        <v>41100</v>
      </c>
      <c r="AF400" s="1">
        <v>45325</v>
      </c>
      <c r="AG400">
        <f t="shared" si="80"/>
        <v>0</v>
      </c>
    </row>
    <row r="401" spans="1:33" x14ac:dyDescent="0.25">
      <c r="A401" s="1">
        <v>45326</v>
      </c>
      <c r="B401" t="s">
        <v>2</v>
      </c>
      <c r="C401">
        <f t="shared" si="77"/>
        <v>0.2</v>
      </c>
      <c r="D401">
        <f t="shared" si="78"/>
        <v>7</v>
      </c>
      <c r="F401">
        <f t="shared" si="81"/>
        <v>24550</v>
      </c>
      <c r="G401">
        <f t="shared" si="72"/>
        <v>24400</v>
      </c>
      <c r="H401">
        <f t="shared" si="73"/>
        <v>2</v>
      </c>
      <c r="I401">
        <f t="shared" si="74"/>
        <v>60</v>
      </c>
      <c r="J401" s="3">
        <f t="shared" si="75"/>
        <v>24400</v>
      </c>
      <c r="K401">
        <f t="shared" si="76"/>
        <v>150</v>
      </c>
      <c r="L401" s="4">
        <f t="shared" si="82"/>
        <v>16700</v>
      </c>
      <c r="M401">
        <f t="shared" si="79"/>
        <v>0</v>
      </c>
      <c r="N401" s="5">
        <f t="shared" si="83"/>
        <v>41100</v>
      </c>
      <c r="AF401" s="1">
        <v>45326</v>
      </c>
      <c r="AG401">
        <f t="shared" si="80"/>
        <v>-150</v>
      </c>
    </row>
    <row r="402" spans="1:33" x14ac:dyDescent="0.25">
      <c r="A402" s="1">
        <v>45327</v>
      </c>
      <c r="B402" t="s">
        <v>2</v>
      </c>
      <c r="C402">
        <f t="shared" si="77"/>
        <v>0.2</v>
      </c>
      <c r="D402">
        <f t="shared" si="78"/>
        <v>1</v>
      </c>
      <c r="F402">
        <f t="shared" si="81"/>
        <v>24400</v>
      </c>
      <c r="G402">
        <f t="shared" si="72"/>
        <v>24400</v>
      </c>
      <c r="H402">
        <f t="shared" si="73"/>
        <v>2</v>
      </c>
      <c r="I402">
        <f t="shared" si="74"/>
        <v>60</v>
      </c>
      <c r="J402" s="3">
        <f t="shared" si="75"/>
        <v>24460</v>
      </c>
      <c r="K402">
        <f t="shared" si="76"/>
        <v>0</v>
      </c>
      <c r="L402" s="4">
        <f t="shared" si="82"/>
        <v>16700</v>
      </c>
      <c r="M402">
        <f t="shared" si="79"/>
        <v>60</v>
      </c>
      <c r="N402" s="5">
        <f t="shared" si="83"/>
        <v>41160</v>
      </c>
      <c r="AF402" s="1">
        <v>45327</v>
      </c>
      <c r="AG402">
        <f t="shared" si="80"/>
        <v>60</v>
      </c>
    </row>
    <row r="403" spans="1:33" x14ac:dyDescent="0.25">
      <c r="A403" s="1">
        <v>45328</v>
      </c>
      <c r="B403" t="s">
        <v>2</v>
      </c>
      <c r="C403">
        <f t="shared" si="77"/>
        <v>0.2</v>
      </c>
      <c r="D403">
        <f t="shared" si="78"/>
        <v>2</v>
      </c>
      <c r="F403">
        <f t="shared" si="81"/>
        <v>24460</v>
      </c>
      <c r="G403">
        <f t="shared" si="72"/>
        <v>24460</v>
      </c>
      <c r="H403">
        <f t="shared" si="73"/>
        <v>2</v>
      </c>
      <c r="I403">
        <f t="shared" si="74"/>
        <v>60</v>
      </c>
      <c r="J403" s="3">
        <f t="shared" si="75"/>
        <v>24520</v>
      </c>
      <c r="K403">
        <f t="shared" si="76"/>
        <v>0</v>
      </c>
      <c r="L403" s="4">
        <f t="shared" si="82"/>
        <v>16700</v>
      </c>
      <c r="M403">
        <f t="shared" si="79"/>
        <v>60</v>
      </c>
      <c r="N403" s="5">
        <f t="shared" si="83"/>
        <v>41220</v>
      </c>
      <c r="AF403" s="1">
        <v>45328</v>
      </c>
      <c r="AG403">
        <f t="shared" si="80"/>
        <v>60</v>
      </c>
    </row>
    <row r="404" spans="1:33" x14ac:dyDescent="0.25">
      <c r="A404" s="1">
        <v>45329</v>
      </c>
      <c r="B404" t="s">
        <v>2</v>
      </c>
      <c r="C404">
        <f t="shared" si="77"/>
        <v>0.2</v>
      </c>
      <c r="D404">
        <f t="shared" si="78"/>
        <v>3</v>
      </c>
      <c r="F404">
        <f t="shared" si="81"/>
        <v>24520</v>
      </c>
      <c r="G404">
        <f t="shared" si="72"/>
        <v>24520</v>
      </c>
      <c r="H404">
        <f t="shared" si="73"/>
        <v>2</v>
      </c>
      <c r="I404">
        <f t="shared" si="74"/>
        <v>60</v>
      </c>
      <c r="J404" s="3">
        <f t="shared" si="75"/>
        <v>24580</v>
      </c>
      <c r="K404">
        <f t="shared" si="76"/>
        <v>0</v>
      </c>
      <c r="L404" s="4">
        <f t="shared" si="82"/>
        <v>16700</v>
      </c>
      <c r="M404">
        <f t="shared" si="79"/>
        <v>60</v>
      </c>
      <c r="N404" s="5">
        <f t="shared" si="83"/>
        <v>41280</v>
      </c>
      <c r="AF404" s="1">
        <v>45329</v>
      </c>
      <c r="AG404">
        <f t="shared" si="80"/>
        <v>60</v>
      </c>
    </row>
    <row r="405" spans="1:33" x14ac:dyDescent="0.25">
      <c r="A405" s="1">
        <v>45330</v>
      </c>
      <c r="B405" t="s">
        <v>2</v>
      </c>
      <c r="C405">
        <f t="shared" si="77"/>
        <v>0.2</v>
      </c>
      <c r="D405">
        <f t="shared" si="78"/>
        <v>4</v>
      </c>
      <c r="F405">
        <f t="shared" si="81"/>
        <v>24580</v>
      </c>
      <c r="G405">
        <f t="shared" si="72"/>
        <v>24580</v>
      </c>
      <c r="H405">
        <f t="shared" si="73"/>
        <v>2</v>
      </c>
      <c r="I405">
        <f t="shared" si="74"/>
        <v>60</v>
      </c>
      <c r="J405" s="3">
        <f t="shared" si="75"/>
        <v>24640</v>
      </c>
      <c r="K405">
        <f t="shared" si="76"/>
        <v>0</v>
      </c>
      <c r="L405" s="4">
        <f t="shared" si="82"/>
        <v>16700</v>
      </c>
      <c r="M405">
        <f t="shared" si="79"/>
        <v>60</v>
      </c>
      <c r="N405" s="5">
        <f t="shared" si="83"/>
        <v>41340</v>
      </c>
      <c r="AF405" s="1">
        <v>45330</v>
      </c>
      <c r="AG405">
        <f t="shared" si="80"/>
        <v>60</v>
      </c>
    </row>
    <row r="406" spans="1:33" x14ac:dyDescent="0.25">
      <c r="A406" s="1">
        <v>45331</v>
      </c>
      <c r="B406" t="s">
        <v>2</v>
      </c>
      <c r="C406">
        <f t="shared" si="77"/>
        <v>0.2</v>
      </c>
      <c r="D406">
        <f t="shared" si="78"/>
        <v>5</v>
      </c>
      <c r="F406">
        <f t="shared" si="81"/>
        <v>24640</v>
      </c>
      <c r="G406">
        <f t="shared" si="72"/>
        <v>24640</v>
      </c>
      <c r="H406">
        <f t="shared" si="73"/>
        <v>2</v>
      </c>
      <c r="I406">
        <f t="shared" si="74"/>
        <v>60</v>
      </c>
      <c r="J406" s="3">
        <f t="shared" si="75"/>
        <v>24700</v>
      </c>
      <c r="K406">
        <f t="shared" si="76"/>
        <v>0</v>
      </c>
      <c r="L406" s="4">
        <f t="shared" si="82"/>
        <v>16700</v>
      </c>
      <c r="M406">
        <f t="shared" si="79"/>
        <v>60</v>
      </c>
      <c r="N406" s="5">
        <f t="shared" si="83"/>
        <v>41400</v>
      </c>
      <c r="AF406" s="1">
        <v>45331</v>
      </c>
      <c r="AG406">
        <f t="shared" si="80"/>
        <v>60</v>
      </c>
    </row>
    <row r="407" spans="1:33" x14ac:dyDescent="0.25">
      <c r="A407" s="1">
        <v>45332</v>
      </c>
      <c r="B407" t="s">
        <v>2</v>
      </c>
      <c r="C407">
        <f t="shared" si="77"/>
        <v>0.2</v>
      </c>
      <c r="D407">
        <f t="shared" si="78"/>
        <v>6</v>
      </c>
      <c r="F407">
        <f t="shared" si="81"/>
        <v>24700</v>
      </c>
      <c r="G407">
        <f t="shared" si="72"/>
        <v>24700</v>
      </c>
      <c r="H407">
        <f t="shared" si="73"/>
        <v>2</v>
      </c>
      <c r="I407">
        <f t="shared" si="74"/>
        <v>60</v>
      </c>
      <c r="J407" s="3">
        <f t="shared" si="75"/>
        <v>24700</v>
      </c>
      <c r="K407">
        <f t="shared" si="76"/>
        <v>0</v>
      </c>
      <c r="L407" s="4">
        <f t="shared" si="82"/>
        <v>16700</v>
      </c>
      <c r="M407">
        <f t="shared" si="79"/>
        <v>0</v>
      </c>
      <c r="N407" s="5">
        <f t="shared" si="83"/>
        <v>41400</v>
      </c>
      <c r="AF407" s="1">
        <v>45332</v>
      </c>
      <c r="AG407">
        <f t="shared" si="80"/>
        <v>0</v>
      </c>
    </row>
    <row r="408" spans="1:33" x14ac:dyDescent="0.25">
      <c r="A408" s="1">
        <v>45333</v>
      </c>
      <c r="B408" t="s">
        <v>2</v>
      </c>
      <c r="C408">
        <f t="shared" si="77"/>
        <v>0.2</v>
      </c>
      <c r="D408">
        <f t="shared" si="78"/>
        <v>7</v>
      </c>
      <c r="F408">
        <f t="shared" si="81"/>
        <v>24700</v>
      </c>
      <c r="G408">
        <f t="shared" si="72"/>
        <v>24550</v>
      </c>
      <c r="H408">
        <f t="shared" si="73"/>
        <v>2</v>
      </c>
      <c r="I408">
        <f t="shared" si="74"/>
        <v>60</v>
      </c>
      <c r="J408" s="3">
        <f t="shared" si="75"/>
        <v>24550</v>
      </c>
      <c r="K408">
        <f t="shared" si="76"/>
        <v>150</v>
      </c>
      <c r="L408" s="4">
        <f t="shared" si="82"/>
        <v>16850</v>
      </c>
      <c r="M408">
        <f t="shared" si="79"/>
        <v>0</v>
      </c>
      <c r="N408" s="5">
        <f t="shared" si="83"/>
        <v>41400</v>
      </c>
      <c r="AF408" s="1">
        <v>45333</v>
      </c>
      <c r="AG408">
        <f t="shared" si="80"/>
        <v>-150</v>
      </c>
    </row>
    <row r="409" spans="1:33" x14ac:dyDescent="0.25">
      <c r="A409" s="1">
        <v>45334</v>
      </c>
      <c r="B409" t="s">
        <v>2</v>
      </c>
      <c r="C409">
        <f t="shared" si="77"/>
        <v>0.2</v>
      </c>
      <c r="D409">
        <f t="shared" si="78"/>
        <v>1</v>
      </c>
      <c r="F409">
        <f t="shared" si="81"/>
        <v>24550</v>
      </c>
      <c r="G409">
        <f t="shared" si="72"/>
        <v>24550</v>
      </c>
      <c r="H409">
        <f t="shared" si="73"/>
        <v>2</v>
      </c>
      <c r="I409">
        <f t="shared" si="74"/>
        <v>60</v>
      </c>
      <c r="J409" s="3">
        <f t="shared" si="75"/>
        <v>24610</v>
      </c>
      <c r="K409">
        <f t="shared" si="76"/>
        <v>0</v>
      </c>
      <c r="L409" s="4">
        <f t="shared" si="82"/>
        <v>16850</v>
      </c>
      <c r="M409">
        <f t="shared" si="79"/>
        <v>60</v>
      </c>
      <c r="N409" s="5">
        <f t="shared" si="83"/>
        <v>41460</v>
      </c>
      <c r="AF409" s="1">
        <v>45334</v>
      </c>
      <c r="AG409">
        <f t="shared" si="80"/>
        <v>60</v>
      </c>
    </row>
    <row r="410" spans="1:33" x14ac:dyDescent="0.25">
      <c r="A410" s="1">
        <v>45335</v>
      </c>
      <c r="B410" t="s">
        <v>2</v>
      </c>
      <c r="C410">
        <f t="shared" si="77"/>
        <v>0.2</v>
      </c>
      <c r="D410">
        <f t="shared" si="78"/>
        <v>2</v>
      </c>
      <c r="F410">
        <f t="shared" si="81"/>
        <v>24610</v>
      </c>
      <c r="G410">
        <f t="shared" si="72"/>
        <v>24610</v>
      </c>
      <c r="H410">
        <f t="shared" si="73"/>
        <v>2</v>
      </c>
      <c r="I410">
        <f t="shared" si="74"/>
        <v>60</v>
      </c>
      <c r="J410" s="3">
        <f t="shared" si="75"/>
        <v>24670</v>
      </c>
      <c r="K410">
        <f t="shared" si="76"/>
        <v>0</v>
      </c>
      <c r="L410" s="4">
        <f t="shared" si="82"/>
        <v>16850</v>
      </c>
      <c r="M410">
        <f t="shared" si="79"/>
        <v>60</v>
      </c>
      <c r="N410" s="5">
        <f t="shared" si="83"/>
        <v>41520</v>
      </c>
      <c r="AF410" s="1">
        <v>45335</v>
      </c>
      <c r="AG410">
        <f t="shared" si="80"/>
        <v>60</v>
      </c>
    </row>
    <row r="411" spans="1:33" x14ac:dyDescent="0.25">
      <c r="A411" s="1">
        <v>45336</v>
      </c>
      <c r="B411" t="s">
        <v>2</v>
      </c>
      <c r="C411">
        <f t="shared" si="77"/>
        <v>0.2</v>
      </c>
      <c r="D411">
        <f t="shared" si="78"/>
        <v>3</v>
      </c>
      <c r="F411">
        <f t="shared" si="81"/>
        <v>24670</v>
      </c>
      <c r="G411">
        <f t="shared" si="72"/>
        <v>24670</v>
      </c>
      <c r="H411">
        <f t="shared" si="73"/>
        <v>2</v>
      </c>
      <c r="I411">
        <f t="shared" si="74"/>
        <v>60</v>
      </c>
      <c r="J411" s="3">
        <f t="shared" si="75"/>
        <v>24730</v>
      </c>
      <c r="K411">
        <f t="shared" si="76"/>
        <v>0</v>
      </c>
      <c r="L411" s="4">
        <f t="shared" si="82"/>
        <v>16850</v>
      </c>
      <c r="M411">
        <f t="shared" si="79"/>
        <v>60</v>
      </c>
      <c r="N411" s="5">
        <f t="shared" si="83"/>
        <v>41580</v>
      </c>
      <c r="AF411" s="1">
        <v>45336</v>
      </c>
      <c r="AG411">
        <f t="shared" si="80"/>
        <v>60</v>
      </c>
    </row>
    <row r="412" spans="1:33" x14ac:dyDescent="0.25">
      <c r="A412" s="1">
        <v>45337</v>
      </c>
      <c r="B412" t="s">
        <v>2</v>
      </c>
      <c r="C412">
        <f t="shared" si="77"/>
        <v>0.2</v>
      </c>
      <c r="D412">
        <f t="shared" si="78"/>
        <v>4</v>
      </c>
      <c r="F412">
        <f t="shared" si="81"/>
        <v>24730</v>
      </c>
      <c r="G412">
        <f t="shared" si="72"/>
        <v>24730</v>
      </c>
      <c r="H412">
        <f t="shared" si="73"/>
        <v>2</v>
      </c>
      <c r="I412">
        <f t="shared" si="74"/>
        <v>60</v>
      </c>
      <c r="J412" s="3">
        <f t="shared" si="75"/>
        <v>24790</v>
      </c>
      <c r="K412">
        <f t="shared" si="76"/>
        <v>0</v>
      </c>
      <c r="L412" s="4">
        <f t="shared" si="82"/>
        <v>16850</v>
      </c>
      <c r="M412">
        <f t="shared" si="79"/>
        <v>60</v>
      </c>
      <c r="N412" s="5">
        <f t="shared" si="83"/>
        <v>41640</v>
      </c>
      <c r="AF412" s="1">
        <v>45337</v>
      </c>
      <c r="AG412">
        <f t="shared" si="80"/>
        <v>60</v>
      </c>
    </row>
    <row r="413" spans="1:33" x14ac:dyDescent="0.25">
      <c r="A413" s="1">
        <v>45338</v>
      </c>
      <c r="B413" t="s">
        <v>2</v>
      </c>
      <c r="C413">
        <f t="shared" si="77"/>
        <v>0.2</v>
      </c>
      <c r="D413">
        <f t="shared" si="78"/>
        <v>5</v>
      </c>
      <c r="F413">
        <f t="shared" si="81"/>
        <v>24790</v>
      </c>
      <c r="G413">
        <f t="shared" si="72"/>
        <v>24790</v>
      </c>
      <c r="H413">
        <f t="shared" si="73"/>
        <v>2</v>
      </c>
      <c r="I413">
        <f t="shared" si="74"/>
        <v>60</v>
      </c>
      <c r="J413" s="3">
        <f t="shared" si="75"/>
        <v>24850</v>
      </c>
      <c r="K413">
        <f t="shared" si="76"/>
        <v>0</v>
      </c>
      <c r="L413" s="4">
        <f t="shared" si="82"/>
        <v>16850</v>
      </c>
      <c r="M413">
        <f t="shared" si="79"/>
        <v>60</v>
      </c>
      <c r="N413" s="5">
        <f t="shared" si="83"/>
        <v>41700</v>
      </c>
      <c r="AF413" s="1">
        <v>45338</v>
      </c>
      <c r="AG413">
        <f t="shared" si="80"/>
        <v>60</v>
      </c>
    </row>
    <row r="414" spans="1:33" x14ac:dyDescent="0.25">
      <c r="A414" s="1">
        <v>45339</v>
      </c>
      <c r="B414" t="s">
        <v>2</v>
      </c>
      <c r="C414">
        <f t="shared" si="77"/>
        <v>0.2</v>
      </c>
      <c r="D414">
        <f t="shared" si="78"/>
        <v>6</v>
      </c>
      <c r="F414">
        <f t="shared" si="81"/>
        <v>24850</v>
      </c>
      <c r="G414">
        <f t="shared" si="72"/>
        <v>24850</v>
      </c>
      <c r="H414">
        <f t="shared" si="73"/>
        <v>2</v>
      </c>
      <c r="I414">
        <f t="shared" si="74"/>
        <v>60</v>
      </c>
      <c r="J414" s="3">
        <f t="shared" si="75"/>
        <v>24850</v>
      </c>
      <c r="K414">
        <f t="shared" si="76"/>
        <v>0</v>
      </c>
      <c r="L414" s="4">
        <f t="shared" si="82"/>
        <v>16850</v>
      </c>
      <c r="M414">
        <f t="shared" si="79"/>
        <v>0</v>
      </c>
      <c r="N414" s="5">
        <f t="shared" si="83"/>
        <v>41700</v>
      </c>
      <c r="AF414" s="1">
        <v>45339</v>
      </c>
      <c r="AG414">
        <f t="shared" si="80"/>
        <v>0</v>
      </c>
    </row>
    <row r="415" spans="1:33" x14ac:dyDescent="0.25">
      <c r="A415" s="1">
        <v>45340</v>
      </c>
      <c r="B415" t="s">
        <v>2</v>
      </c>
      <c r="C415">
        <f t="shared" si="77"/>
        <v>0.2</v>
      </c>
      <c r="D415">
        <f t="shared" si="78"/>
        <v>7</v>
      </c>
      <c r="F415">
        <f t="shared" si="81"/>
        <v>24850</v>
      </c>
      <c r="G415">
        <f t="shared" si="72"/>
        <v>24700</v>
      </c>
      <c r="H415">
        <f t="shared" si="73"/>
        <v>2</v>
      </c>
      <c r="I415">
        <f t="shared" si="74"/>
        <v>60</v>
      </c>
      <c r="J415" s="3">
        <f t="shared" si="75"/>
        <v>24700</v>
      </c>
      <c r="K415">
        <f t="shared" si="76"/>
        <v>150</v>
      </c>
      <c r="L415" s="4">
        <f t="shared" si="82"/>
        <v>17000</v>
      </c>
      <c r="M415">
        <f t="shared" si="79"/>
        <v>0</v>
      </c>
      <c r="N415" s="5">
        <f t="shared" si="83"/>
        <v>41700</v>
      </c>
      <c r="AF415" s="1">
        <v>45340</v>
      </c>
      <c r="AG415">
        <f t="shared" si="80"/>
        <v>-150</v>
      </c>
    </row>
    <row r="416" spans="1:33" x14ac:dyDescent="0.25">
      <c r="A416" s="1">
        <v>45341</v>
      </c>
      <c r="B416" t="s">
        <v>2</v>
      </c>
      <c r="C416">
        <f t="shared" si="77"/>
        <v>0.2</v>
      </c>
      <c r="D416">
        <f t="shared" si="78"/>
        <v>1</v>
      </c>
      <c r="F416">
        <f t="shared" si="81"/>
        <v>24700</v>
      </c>
      <c r="G416">
        <f t="shared" si="72"/>
        <v>24700</v>
      </c>
      <c r="H416">
        <f t="shared" si="73"/>
        <v>2</v>
      </c>
      <c r="I416">
        <f t="shared" si="74"/>
        <v>60</v>
      </c>
      <c r="J416" s="3">
        <f t="shared" si="75"/>
        <v>24760</v>
      </c>
      <c r="K416">
        <f t="shared" si="76"/>
        <v>0</v>
      </c>
      <c r="L416" s="4">
        <f t="shared" si="82"/>
        <v>17000</v>
      </c>
      <c r="M416">
        <f t="shared" si="79"/>
        <v>60</v>
      </c>
      <c r="N416" s="5">
        <f t="shared" si="83"/>
        <v>41760</v>
      </c>
      <c r="AF416" s="1">
        <v>45341</v>
      </c>
      <c r="AG416">
        <f t="shared" si="80"/>
        <v>60</v>
      </c>
    </row>
    <row r="417" spans="1:33" x14ac:dyDescent="0.25">
      <c r="A417" s="1">
        <v>45342</v>
      </c>
      <c r="B417" t="s">
        <v>2</v>
      </c>
      <c r="C417">
        <f t="shared" si="77"/>
        <v>0.2</v>
      </c>
      <c r="D417">
        <f t="shared" si="78"/>
        <v>2</v>
      </c>
      <c r="F417">
        <f t="shared" si="81"/>
        <v>24760</v>
      </c>
      <c r="G417">
        <f t="shared" si="72"/>
        <v>24760</v>
      </c>
      <c r="H417">
        <f t="shared" si="73"/>
        <v>2</v>
      </c>
      <c r="I417">
        <f t="shared" si="74"/>
        <v>60</v>
      </c>
      <c r="J417" s="3">
        <f t="shared" si="75"/>
        <v>24820</v>
      </c>
      <c r="K417">
        <f t="shared" si="76"/>
        <v>0</v>
      </c>
      <c r="L417" s="4">
        <f t="shared" si="82"/>
        <v>17000</v>
      </c>
      <c r="M417">
        <f t="shared" si="79"/>
        <v>60</v>
      </c>
      <c r="N417" s="5">
        <f t="shared" si="83"/>
        <v>41820</v>
      </c>
      <c r="AF417" s="1">
        <v>45342</v>
      </c>
      <c r="AG417">
        <f t="shared" si="80"/>
        <v>60</v>
      </c>
    </row>
    <row r="418" spans="1:33" x14ac:dyDescent="0.25">
      <c r="A418" s="1">
        <v>45343</v>
      </c>
      <c r="B418" t="s">
        <v>2</v>
      </c>
      <c r="C418">
        <f t="shared" si="77"/>
        <v>0.2</v>
      </c>
      <c r="D418">
        <f t="shared" si="78"/>
        <v>3</v>
      </c>
      <c r="F418">
        <f t="shared" si="81"/>
        <v>24820</v>
      </c>
      <c r="G418">
        <f t="shared" si="72"/>
        <v>24820</v>
      </c>
      <c r="H418">
        <f t="shared" si="73"/>
        <v>2</v>
      </c>
      <c r="I418">
        <f t="shared" si="74"/>
        <v>60</v>
      </c>
      <c r="J418" s="3">
        <f t="shared" si="75"/>
        <v>24880</v>
      </c>
      <c r="K418">
        <f t="shared" si="76"/>
        <v>0</v>
      </c>
      <c r="L418" s="4">
        <f t="shared" si="82"/>
        <v>17000</v>
      </c>
      <c r="M418">
        <f t="shared" si="79"/>
        <v>60</v>
      </c>
      <c r="N418" s="5">
        <f t="shared" si="83"/>
        <v>41880</v>
      </c>
      <c r="AF418" s="1">
        <v>45343</v>
      </c>
      <c r="AG418">
        <f t="shared" si="80"/>
        <v>60</v>
      </c>
    </row>
    <row r="419" spans="1:33" x14ac:dyDescent="0.25">
      <c r="A419" s="1">
        <v>45344</v>
      </c>
      <c r="B419" t="s">
        <v>2</v>
      </c>
      <c r="C419">
        <f t="shared" si="77"/>
        <v>0.2</v>
      </c>
      <c r="D419">
        <f t="shared" si="78"/>
        <v>4</v>
      </c>
      <c r="F419">
        <f t="shared" si="81"/>
        <v>24880</v>
      </c>
      <c r="G419">
        <f t="shared" si="72"/>
        <v>24880</v>
      </c>
      <c r="H419">
        <f t="shared" si="73"/>
        <v>2</v>
      </c>
      <c r="I419">
        <f t="shared" si="74"/>
        <v>60</v>
      </c>
      <c r="J419" s="3">
        <f t="shared" si="75"/>
        <v>24940</v>
      </c>
      <c r="K419">
        <f t="shared" si="76"/>
        <v>0</v>
      </c>
      <c r="L419" s="4">
        <f t="shared" si="82"/>
        <v>17000</v>
      </c>
      <c r="M419">
        <f t="shared" si="79"/>
        <v>60</v>
      </c>
      <c r="N419" s="5">
        <f t="shared" si="83"/>
        <v>41940</v>
      </c>
      <c r="AF419" s="1">
        <v>45344</v>
      </c>
      <c r="AG419">
        <f t="shared" si="80"/>
        <v>60</v>
      </c>
    </row>
    <row r="420" spans="1:33" x14ac:dyDescent="0.25">
      <c r="A420" s="1">
        <v>45345</v>
      </c>
      <c r="B420" t="s">
        <v>2</v>
      </c>
      <c r="C420">
        <f t="shared" si="77"/>
        <v>0.2</v>
      </c>
      <c r="D420">
        <f t="shared" si="78"/>
        <v>5</v>
      </c>
      <c r="F420">
        <f t="shared" si="81"/>
        <v>24940</v>
      </c>
      <c r="G420">
        <f t="shared" si="72"/>
        <v>24940</v>
      </c>
      <c r="H420">
        <f t="shared" si="73"/>
        <v>2</v>
      </c>
      <c r="I420">
        <f t="shared" si="74"/>
        <v>60</v>
      </c>
      <c r="J420" s="3">
        <f t="shared" si="75"/>
        <v>25000</v>
      </c>
      <c r="K420">
        <f t="shared" si="76"/>
        <v>0</v>
      </c>
      <c r="L420" s="4">
        <f t="shared" si="82"/>
        <v>17000</v>
      </c>
      <c r="M420">
        <f t="shared" si="79"/>
        <v>60</v>
      </c>
      <c r="N420" s="5">
        <f t="shared" si="83"/>
        <v>42000</v>
      </c>
      <c r="AF420" s="1">
        <v>45345</v>
      </c>
      <c r="AG420">
        <f t="shared" si="80"/>
        <v>60</v>
      </c>
    </row>
    <row r="421" spans="1:33" x14ac:dyDescent="0.25">
      <c r="A421" s="1">
        <v>45346</v>
      </c>
      <c r="B421" t="s">
        <v>2</v>
      </c>
      <c r="C421">
        <f t="shared" si="77"/>
        <v>0.2</v>
      </c>
      <c r="D421">
        <f t="shared" si="78"/>
        <v>6</v>
      </c>
      <c r="F421">
        <f t="shared" si="81"/>
        <v>25000</v>
      </c>
      <c r="G421">
        <f t="shared" si="72"/>
        <v>25000</v>
      </c>
      <c r="H421">
        <f t="shared" si="73"/>
        <v>2</v>
      </c>
      <c r="I421">
        <f t="shared" si="74"/>
        <v>60</v>
      </c>
      <c r="J421" s="3">
        <f t="shared" si="75"/>
        <v>25000</v>
      </c>
      <c r="K421">
        <f t="shared" si="76"/>
        <v>0</v>
      </c>
      <c r="L421" s="4">
        <f t="shared" si="82"/>
        <v>17000</v>
      </c>
      <c r="M421">
        <f t="shared" si="79"/>
        <v>0</v>
      </c>
      <c r="N421" s="5">
        <f t="shared" si="83"/>
        <v>42000</v>
      </c>
      <c r="AF421" s="1">
        <v>45346</v>
      </c>
      <c r="AG421">
        <f t="shared" si="80"/>
        <v>0</v>
      </c>
    </row>
    <row r="422" spans="1:33" x14ac:dyDescent="0.25">
      <c r="A422" s="1">
        <v>45347</v>
      </c>
      <c r="B422" t="s">
        <v>2</v>
      </c>
      <c r="C422">
        <f t="shared" si="77"/>
        <v>0.2</v>
      </c>
      <c r="D422">
        <f t="shared" si="78"/>
        <v>7</v>
      </c>
      <c r="F422">
        <f t="shared" si="81"/>
        <v>25000</v>
      </c>
      <c r="G422">
        <f t="shared" si="72"/>
        <v>24850</v>
      </c>
      <c r="H422">
        <f t="shared" si="73"/>
        <v>2</v>
      </c>
      <c r="I422">
        <f t="shared" si="74"/>
        <v>60</v>
      </c>
      <c r="J422" s="3">
        <f t="shared" si="75"/>
        <v>24850</v>
      </c>
      <c r="K422">
        <f t="shared" si="76"/>
        <v>150</v>
      </c>
      <c r="L422" s="4">
        <f t="shared" si="82"/>
        <v>17150</v>
      </c>
      <c r="M422">
        <f t="shared" si="79"/>
        <v>0</v>
      </c>
      <c r="N422" s="5">
        <f t="shared" si="83"/>
        <v>42000</v>
      </c>
      <c r="AF422" s="1">
        <v>45347</v>
      </c>
      <c r="AG422">
        <f t="shared" si="80"/>
        <v>-150</v>
      </c>
    </row>
    <row r="423" spans="1:33" x14ac:dyDescent="0.25">
      <c r="A423" s="1">
        <v>45348</v>
      </c>
      <c r="B423" t="s">
        <v>2</v>
      </c>
      <c r="C423">
        <f t="shared" si="77"/>
        <v>0.2</v>
      </c>
      <c r="D423">
        <f t="shared" si="78"/>
        <v>1</v>
      </c>
      <c r="F423">
        <f t="shared" si="81"/>
        <v>24850</v>
      </c>
      <c r="G423">
        <f t="shared" si="72"/>
        <v>24850</v>
      </c>
      <c r="H423">
        <f t="shared" si="73"/>
        <v>2</v>
      </c>
      <c r="I423">
        <f t="shared" si="74"/>
        <v>60</v>
      </c>
      <c r="J423" s="3">
        <f t="shared" si="75"/>
        <v>24910</v>
      </c>
      <c r="K423">
        <f t="shared" si="76"/>
        <v>0</v>
      </c>
      <c r="L423" s="4">
        <f t="shared" si="82"/>
        <v>17150</v>
      </c>
      <c r="M423">
        <f t="shared" si="79"/>
        <v>60</v>
      </c>
      <c r="N423" s="5">
        <f t="shared" si="83"/>
        <v>42060</v>
      </c>
      <c r="AF423" s="1">
        <v>45348</v>
      </c>
      <c r="AG423">
        <f t="shared" si="80"/>
        <v>60</v>
      </c>
    </row>
    <row r="424" spans="1:33" x14ac:dyDescent="0.25">
      <c r="A424" s="1">
        <v>45349</v>
      </c>
      <c r="B424" t="s">
        <v>2</v>
      </c>
      <c r="C424">
        <f t="shared" si="77"/>
        <v>0.2</v>
      </c>
      <c r="D424">
        <f t="shared" si="78"/>
        <v>2</v>
      </c>
      <c r="F424">
        <f t="shared" si="81"/>
        <v>24910</v>
      </c>
      <c r="G424">
        <f t="shared" si="72"/>
        <v>24910</v>
      </c>
      <c r="H424">
        <f t="shared" si="73"/>
        <v>2</v>
      </c>
      <c r="I424">
        <f t="shared" si="74"/>
        <v>60</v>
      </c>
      <c r="J424" s="3">
        <f t="shared" si="75"/>
        <v>24970</v>
      </c>
      <c r="K424">
        <f t="shared" si="76"/>
        <v>0</v>
      </c>
      <c r="L424" s="4">
        <f t="shared" si="82"/>
        <v>17150</v>
      </c>
      <c r="M424">
        <f t="shared" si="79"/>
        <v>60</v>
      </c>
      <c r="N424" s="5">
        <f t="shared" si="83"/>
        <v>42120</v>
      </c>
      <c r="AF424" s="1">
        <v>45349</v>
      </c>
      <c r="AG424">
        <f t="shared" si="80"/>
        <v>60</v>
      </c>
    </row>
    <row r="425" spans="1:33" x14ac:dyDescent="0.25">
      <c r="A425" s="1">
        <v>45350</v>
      </c>
      <c r="B425" t="s">
        <v>2</v>
      </c>
      <c r="C425">
        <f t="shared" si="77"/>
        <v>0.2</v>
      </c>
      <c r="D425">
        <f t="shared" si="78"/>
        <v>3</v>
      </c>
      <c r="F425">
        <f t="shared" si="81"/>
        <v>24970</v>
      </c>
      <c r="G425">
        <f t="shared" si="72"/>
        <v>24970</v>
      </c>
      <c r="H425">
        <f t="shared" si="73"/>
        <v>2</v>
      </c>
      <c r="I425">
        <f t="shared" si="74"/>
        <v>60</v>
      </c>
      <c r="J425" s="3">
        <f t="shared" si="75"/>
        <v>25030</v>
      </c>
      <c r="K425">
        <f t="shared" si="76"/>
        <v>0</v>
      </c>
      <c r="L425" s="4">
        <f t="shared" si="82"/>
        <v>17150</v>
      </c>
      <c r="M425">
        <f t="shared" si="79"/>
        <v>60</v>
      </c>
      <c r="N425" s="5">
        <f t="shared" si="83"/>
        <v>42180</v>
      </c>
      <c r="AF425" s="1">
        <v>45350</v>
      </c>
      <c r="AG425">
        <f t="shared" si="80"/>
        <v>60</v>
      </c>
    </row>
    <row r="426" spans="1:33" x14ac:dyDescent="0.25">
      <c r="A426" s="1">
        <v>45351</v>
      </c>
      <c r="B426" t="s">
        <v>2</v>
      </c>
      <c r="C426">
        <f t="shared" si="77"/>
        <v>0.2</v>
      </c>
      <c r="D426">
        <f t="shared" si="78"/>
        <v>4</v>
      </c>
      <c r="F426">
        <f t="shared" si="81"/>
        <v>25030</v>
      </c>
      <c r="G426">
        <f t="shared" si="72"/>
        <v>25030</v>
      </c>
      <c r="H426">
        <f t="shared" si="73"/>
        <v>2</v>
      </c>
      <c r="I426">
        <f t="shared" si="74"/>
        <v>60</v>
      </c>
      <c r="J426" s="3">
        <f t="shared" si="75"/>
        <v>25090</v>
      </c>
      <c r="K426">
        <f t="shared" si="76"/>
        <v>0</v>
      </c>
      <c r="L426" s="4">
        <f t="shared" si="82"/>
        <v>17150</v>
      </c>
      <c r="M426">
        <f t="shared" si="79"/>
        <v>60</v>
      </c>
      <c r="N426" s="5">
        <f t="shared" si="83"/>
        <v>42240</v>
      </c>
      <c r="AF426" s="1">
        <v>45351</v>
      </c>
      <c r="AG426">
        <f t="shared" si="80"/>
        <v>60</v>
      </c>
    </row>
    <row r="427" spans="1:33" x14ac:dyDescent="0.25">
      <c r="A427" s="1">
        <v>45352</v>
      </c>
      <c r="B427" t="s">
        <v>2</v>
      </c>
      <c r="C427">
        <f t="shared" si="77"/>
        <v>0.2</v>
      </c>
      <c r="D427">
        <f t="shared" si="78"/>
        <v>5</v>
      </c>
      <c r="F427">
        <f t="shared" si="81"/>
        <v>25090</v>
      </c>
      <c r="G427">
        <f t="shared" si="72"/>
        <v>25090</v>
      </c>
      <c r="H427">
        <f t="shared" si="73"/>
        <v>2</v>
      </c>
      <c r="I427">
        <f t="shared" si="74"/>
        <v>60</v>
      </c>
      <c r="J427" s="3">
        <f t="shared" si="75"/>
        <v>25150</v>
      </c>
      <c r="K427">
        <f t="shared" si="76"/>
        <v>0</v>
      </c>
      <c r="L427" s="4">
        <f t="shared" si="82"/>
        <v>17150</v>
      </c>
      <c r="M427">
        <f t="shared" si="79"/>
        <v>60</v>
      </c>
      <c r="N427" s="5">
        <f t="shared" si="83"/>
        <v>42300</v>
      </c>
      <c r="AF427" s="1">
        <v>45352</v>
      </c>
      <c r="AG427">
        <f t="shared" si="80"/>
        <v>60</v>
      </c>
    </row>
    <row r="428" spans="1:33" x14ac:dyDescent="0.25">
      <c r="A428" s="1">
        <v>45353</v>
      </c>
      <c r="B428" t="s">
        <v>2</v>
      </c>
      <c r="C428">
        <f t="shared" si="77"/>
        <v>0.2</v>
      </c>
      <c r="D428">
        <f t="shared" si="78"/>
        <v>6</v>
      </c>
      <c r="F428">
        <f t="shared" si="81"/>
        <v>25150</v>
      </c>
      <c r="G428">
        <f t="shared" si="72"/>
        <v>25150</v>
      </c>
      <c r="H428">
        <f t="shared" si="73"/>
        <v>2</v>
      </c>
      <c r="I428">
        <f t="shared" si="74"/>
        <v>60</v>
      </c>
      <c r="J428" s="3">
        <f t="shared" si="75"/>
        <v>25150</v>
      </c>
      <c r="K428">
        <f t="shared" si="76"/>
        <v>0</v>
      </c>
      <c r="L428" s="4">
        <f t="shared" si="82"/>
        <v>17150</v>
      </c>
      <c r="M428">
        <f t="shared" si="79"/>
        <v>0</v>
      </c>
      <c r="N428" s="5">
        <f t="shared" si="83"/>
        <v>42300</v>
      </c>
      <c r="AF428" s="1">
        <v>45353</v>
      </c>
      <c r="AG428">
        <f t="shared" si="80"/>
        <v>0</v>
      </c>
    </row>
    <row r="429" spans="1:33" x14ac:dyDescent="0.25">
      <c r="A429" s="1">
        <v>45354</v>
      </c>
      <c r="B429" t="s">
        <v>2</v>
      </c>
      <c r="C429">
        <f t="shared" si="77"/>
        <v>0.2</v>
      </c>
      <c r="D429">
        <f t="shared" si="78"/>
        <v>7</v>
      </c>
      <c r="F429">
        <f t="shared" si="81"/>
        <v>25150</v>
      </c>
      <c r="G429">
        <f t="shared" si="72"/>
        <v>25000</v>
      </c>
      <c r="H429">
        <f t="shared" si="73"/>
        <v>2</v>
      </c>
      <c r="I429">
        <f t="shared" si="74"/>
        <v>60</v>
      </c>
      <c r="J429" s="3">
        <f t="shared" si="75"/>
        <v>25000</v>
      </c>
      <c r="K429">
        <f t="shared" si="76"/>
        <v>150</v>
      </c>
      <c r="L429" s="4">
        <f t="shared" si="82"/>
        <v>17300</v>
      </c>
      <c r="M429">
        <f t="shared" si="79"/>
        <v>0</v>
      </c>
      <c r="N429" s="5">
        <f t="shared" si="83"/>
        <v>42300</v>
      </c>
      <c r="AF429" s="1">
        <v>45354</v>
      </c>
      <c r="AG429">
        <f t="shared" si="80"/>
        <v>-150</v>
      </c>
    </row>
    <row r="430" spans="1:33" x14ac:dyDescent="0.25">
      <c r="A430" s="1">
        <v>45355</v>
      </c>
      <c r="B430" t="s">
        <v>2</v>
      </c>
      <c r="C430">
        <f t="shared" si="77"/>
        <v>0.2</v>
      </c>
      <c r="D430">
        <f t="shared" si="78"/>
        <v>1</v>
      </c>
      <c r="F430">
        <f t="shared" si="81"/>
        <v>25000</v>
      </c>
      <c r="G430">
        <f t="shared" si="72"/>
        <v>25000</v>
      </c>
      <c r="H430">
        <f t="shared" si="73"/>
        <v>2</v>
      </c>
      <c r="I430">
        <f t="shared" si="74"/>
        <v>60</v>
      </c>
      <c r="J430" s="3">
        <f t="shared" si="75"/>
        <v>25060</v>
      </c>
      <c r="K430">
        <f t="shared" si="76"/>
        <v>0</v>
      </c>
      <c r="L430" s="4">
        <f t="shared" si="82"/>
        <v>17300</v>
      </c>
      <c r="M430">
        <f t="shared" si="79"/>
        <v>60</v>
      </c>
      <c r="N430" s="5">
        <f t="shared" si="83"/>
        <v>42360</v>
      </c>
      <c r="AF430" s="1">
        <v>45355</v>
      </c>
      <c r="AG430">
        <f t="shared" si="80"/>
        <v>60</v>
      </c>
    </row>
    <row r="431" spans="1:33" x14ac:dyDescent="0.25">
      <c r="A431" s="1">
        <v>45356</v>
      </c>
      <c r="B431" t="s">
        <v>2</v>
      </c>
      <c r="C431">
        <f t="shared" si="77"/>
        <v>0.2</v>
      </c>
      <c r="D431">
        <f t="shared" si="78"/>
        <v>2</v>
      </c>
      <c r="F431">
        <f t="shared" si="81"/>
        <v>25060</v>
      </c>
      <c r="G431">
        <f t="shared" si="72"/>
        <v>25060</v>
      </c>
      <c r="H431">
        <f t="shared" si="73"/>
        <v>2</v>
      </c>
      <c r="I431">
        <f t="shared" si="74"/>
        <v>60</v>
      </c>
      <c r="J431" s="3">
        <f t="shared" si="75"/>
        <v>25120</v>
      </c>
      <c r="K431">
        <f t="shared" si="76"/>
        <v>0</v>
      </c>
      <c r="L431" s="4">
        <f t="shared" si="82"/>
        <v>17300</v>
      </c>
      <c r="M431">
        <f t="shared" si="79"/>
        <v>60</v>
      </c>
      <c r="N431" s="5">
        <f t="shared" si="83"/>
        <v>42420</v>
      </c>
      <c r="AF431" s="1">
        <v>45356</v>
      </c>
      <c r="AG431">
        <f t="shared" si="80"/>
        <v>60</v>
      </c>
    </row>
    <row r="432" spans="1:33" x14ac:dyDescent="0.25">
      <c r="A432" s="1">
        <v>45357</v>
      </c>
      <c r="B432" t="s">
        <v>2</v>
      </c>
      <c r="C432">
        <f t="shared" si="77"/>
        <v>0.2</v>
      </c>
      <c r="D432">
        <f t="shared" si="78"/>
        <v>3</v>
      </c>
      <c r="F432">
        <f t="shared" si="81"/>
        <v>25120</v>
      </c>
      <c r="G432">
        <f t="shared" si="72"/>
        <v>25120</v>
      </c>
      <c r="H432">
        <f t="shared" si="73"/>
        <v>2</v>
      </c>
      <c r="I432">
        <f t="shared" si="74"/>
        <v>60</v>
      </c>
      <c r="J432" s="3">
        <f t="shared" si="75"/>
        <v>25180</v>
      </c>
      <c r="K432">
        <f t="shared" si="76"/>
        <v>0</v>
      </c>
      <c r="L432" s="4">
        <f t="shared" si="82"/>
        <v>17300</v>
      </c>
      <c r="M432">
        <f t="shared" si="79"/>
        <v>60</v>
      </c>
      <c r="N432" s="5">
        <f t="shared" si="83"/>
        <v>42480</v>
      </c>
      <c r="AF432" s="1">
        <v>45357</v>
      </c>
      <c r="AG432">
        <f t="shared" si="80"/>
        <v>60</v>
      </c>
    </row>
    <row r="433" spans="1:33" x14ac:dyDescent="0.25">
      <c r="A433" s="1">
        <v>45358</v>
      </c>
      <c r="B433" t="s">
        <v>2</v>
      </c>
      <c r="C433">
        <f t="shared" si="77"/>
        <v>0.2</v>
      </c>
      <c r="D433">
        <f t="shared" si="78"/>
        <v>4</v>
      </c>
      <c r="F433">
        <f t="shared" si="81"/>
        <v>25180</v>
      </c>
      <c r="G433">
        <f t="shared" si="72"/>
        <v>25180</v>
      </c>
      <c r="H433">
        <f t="shared" si="73"/>
        <v>2</v>
      </c>
      <c r="I433">
        <f t="shared" si="74"/>
        <v>60</v>
      </c>
      <c r="J433" s="3">
        <f t="shared" si="75"/>
        <v>25240</v>
      </c>
      <c r="K433">
        <f t="shared" si="76"/>
        <v>0</v>
      </c>
      <c r="L433" s="4">
        <f t="shared" si="82"/>
        <v>17300</v>
      </c>
      <c r="M433">
        <f t="shared" si="79"/>
        <v>60</v>
      </c>
      <c r="N433" s="5">
        <f t="shared" si="83"/>
        <v>42540</v>
      </c>
      <c r="AF433" s="1">
        <v>45358</v>
      </c>
      <c r="AG433">
        <f t="shared" si="80"/>
        <v>60</v>
      </c>
    </row>
    <row r="434" spans="1:33" x14ac:dyDescent="0.25">
      <c r="A434" s="1">
        <v>45359</v>
      </c>
      <c r="B434" t="s">
        <v>2</v>
      </c>
      <c r="C434">
        <f t="shared" si="77"/>
        <v>0.2</v>
      </c>
      <c r="D434">
        <f t="shared" si="78"/>
        <v>5</v>
      </c>
      <c r="F434">
        <f t="shared" si="81"/>
        <v>25240</v>
      </c>
      <c r="G434">
        <f t="shared" si="72"/>
        <v>25240</v>
      </c>
      <c r="H434">
        <f t="shared" si="73"/>
        <v>2</v>
      </c>
      <c r="I434">
        <f t="shared" si="74"/>
        <v>60</v>
      </c>
      <c r="J434" s="3">
        <f t="shared" si="75"/>
        <v>25300</v>
      </c>
      <c r="K434">
        <f t="shared" si="76"/>
        <v>0</v>
      </c>
      <c r="L434" s="4">
        <f t="shared" si="82"/>
        <v>17300</v>
      </c>
      <c r="M434">
        <f t="shared" si="79"/>
        <v>60</v>
      </c>
      <c r="N434" s="5">
        <f t="shared" si="83"/>
        <v>42600</v>
      </c>
      <c r="AF434" s="1">
        <v>45359</v>
      </c>
      <c r="AG434">
        <f t="shared" si="80"/>
        <v>60</v>
      </c>
    </row>
    <row r="435" spans="1:33" x14ac:dyDescent="0.25">
      <c r="A435" s="1">
        <v>45360</v>
      </c>
      <c r="B435" t="s">
        <v>2</v>
      </c>
      <c r="C435">
        <f t="shared" si="77"/>
        <v>0.2</v>
      </c>
      <c r="D435">
        <f t="shared" si="78"/>
        <v>6</v>
      </c>
      <c r="F435">
        <f t="shared" si="81"/>
        <v>25300</v>
      </c>
      <c r="G435">
        <f t="shared" si="72"/>
        <v>25300</v>
      </c>
      <c r="H435">
        <f t="shared" si="73"/>
        <v>2</v>
      </c>
      <c r="I435">
        <f t="shared" si="74"/>
        <v>60</v>
      </c>
      <c r="J435" s="3">
        <f t="shared" si="75"/>
        <v>25300</v>
      </c>
      <c r="K435">
        <f t="shared" si="76"/>
        <v>0</v>
      </c>
      <c r="L435" s="4">
        <f t="shared" si="82"/>
        <v>17300</v>
      </c>
      <c r="M435">
        <f t="shared" si="79"/>
        <v>0</v>
      </c>
      <c r="N435" s="5">
        <f t="shared" si="83"/>
        <v>42600</v>
      </c>
      <c r="AF435" s="1">
        <v>45360</v>
      </c>
      <c r="AG435">
        <f t="shared" si="80"/>
        <v>0</v>
      </c>
    </row>
    <row r="436" spans="1:33" x14ac:dyDescent="0.25">
      <c r="A436" s="1">
        <v>45361</v>
      </c>
      <c r="B436" t="s">
        <v>2</v>
      </c>
      <c r="C436">
        <f t="shared" si="77"/>
        <v>0.2</v>
      </c>
      <c r="D436">
        <f t="shared" si="78"/>
        <v>7</v>
      </c>
      <c r="F436">
        <f t="shared" si="81"/>
        <v>25300</v>
      </c>
      <c r="G436">
        <f t="shared" si="72"/>
        <v>25150</v>
      </c>
      <c r="H436">
        <f t="shared" si="73"/>
        <v>2</v>
      </c>
      <c r="I436">
        <f t="shared" si="74"/>
        <v>60</v>
      </c>
      <c r="J436" s="3">
        <f t="shared" si="75"/>
        <v>25150</v>
      </c>
      <c r="K436">
        <f t="shared" si="76"/>
        <v>150</v>
      </c>
      <c r="L436" s="4">
        <f t="shared" si="82"/>
        <v>17450</v>
      </c>
      <c r="M436">
        <f t="shared" si="79"/>
        <v>0</v>
      </c>
      <c r="N436" s="5">
        <f t="shared" si="83"/>
        <v>42600</v>
      </c>
      <c r="AF436" s="1">
        <v>45361</v>
      </c>
      <c r="AG436">
        <f t="shared" si="80"/>
        <v>-150</v>
      </c>
    </row>
    <row r="437" spans="1:33" x14ac:dyDescent="0.25">
      <c r="A437" s="1">
        <v>45362</v>
      </c>
      <c r="B437" t="s">
        <v>2</v>
      </c>
      <c r="C437">
        <f t="shared" si="77"/>
        <v>0.2</v>
      </c>
      <c r="D437">
        <f t="shared" si="78"/>
        <v>1</v>
      </c>
      <c r="F437">
        <f t="shared" si="81"/>
        <v>25150</v>
      </c>
      <c r="G437">
        <f t="shared" si="72"/>
        <v>25150</v>
      </c>
      <c r="H437">
        <f t="shared" si="73"/>
        <v>2</v>
      </c>
      <c r="I437">
        <f t="shared" si="74"/>
        <v>60</v>
      </c>
      <c r="J437" s="3">
        <f t="shared" si="75"/>
        <v>25210</v>
      </c>
      <c r="K437">
        <f t="shared" si="76"/>
        <v>0</v>
      </c>
      <c r="L437" s="4">
        <f t="shared" si="82"/>
        <v>17450</v>
      </c>
      <c r="M437">
        <f t="shared" si="79"/>
        <v>60</v>
      </c>
      <c r="N437" s="5">
        <f t="shared" si="83"/>
        <v>42660</v>
      </c>
      <c r="AF437" s="1">
        <v>45362</v>
      </c>
      <c r="AG437">
        <f t="shared" si="80"/>
        <v>60</v>
      </c>
    </row>
    <row r="438" spans="1:33" x14ac:dyDescent="0.25">
      <c r="A438" s="1">
        <v>45363</v>
      </c>
      <c r="B438" t="s">
        <v>2</v>
      </c>
      <c r="C438">
        <f t="shared" si="77"/>
        <v>0.2</v>
      </c>
      <c r="D438">
        <f t="shared" si="78"/>
        <v>2</v>
      </c>
      <c r="F438">
        <f t="shared" si="81"/>
        <v>25210</v>
      </c>
      <c r="G438">
        <f t="shared" si="72"/>
        <v>25210</v>
      </c>
      <c r="H438">
        <f t="shared" si="73"/>
        <v>2</v>
      </c>
      <c r="I438">
        <f t="shared" si="74"/>
        <v>60</v>
      </c>
      <c r="J438" s="3">
        <f t="shared" si="75"/>
        <v>25270</v>
      </c>
      <c r="K438">
        <f t="shared" si="76"/>
        <v>0</v>
      </c>
      <c r="L438" s="4">
        <f t="shared" si="82"/>
        <v>17450</v>
      </c>
      <c r="M438">
        <f t="shared" si="79"/>
        <v>60</v>
      </c>
      <c r="N438" s="5">
        <f t="shared" si="83"/>
        <v>42720</v>
      </c>
      <c r="AF438" s="1">
        <v>45363</v>
      </c>
      <c r="AG438">
        <f t="shared" si="80"/>
        <v>60</v>
      </c>
    </row>
    <row r="439" spans="1:33" x14ac:dyDescent="0.25">
      <c r="A439" s="1">
        <v>45364</v>
      </c>
      <c r="B439" t="s">
        <v>2</v>
      </c>
      <c r="C439">
        <f t="shared" si="77"/>
        <v>0.2</v>
      </c>
      <c r="D439">
        <f t="shared" si="78"/>
        <v>3</v>
      </c>
      <c r="F439">
        <f t="shared" si="81"/>
        <v>25270</v>
      </c>
      <c r="G439">
        <f t="shared" si="72"/>
        <v>25270</v>
      </c>
      <c r="H439">
        <f t="shared" si="73"/>
        <v>2</v>
      </c>
      <c r="I439">
        <f t="shared" si="74"/>
        <v>60</v>
      </c>
      <c r="J439" s="3">
        <f t="shared" si="75"/>
        <v>25330</v>
      </c>
      <c r="K439">
        <f t="shared" si="76"/>
        <v>0</v>
      </c>
      <c r="L439" s="4">
        <f t="shared" si="82"/>
        <v>17450</v>
      </c>
      <c r="M439">
        <f t="shared" si="79"/>
        <v>60</v>
      </c>
      <c r="N439" s="5">
        <f t="shared" si="83"/>
        <v>42780</v>
      </c>
      <c r="AF439" s="1">
        <v>45364</v>
      </c>
      <c r="AG439">
        <f t="shared" si="80"/>
        <v>60</v>
      </c>
    </row>
    <row r="440" spans="1:33" x14ac:dyDescent="0.25">
      <c r="A440" s="1">
        <v>45365</v>
      </c>
      <c r="B440" t="s">
        <v>2</v>
      </c>
      <c r="C440">
        <f t="shared" si="77"/>
        <v>0.2</v>
      </c>
      <c r="D440">
        <f t="shared" si="78"/>
        <v>4</v>
      </c>
      <c r="F440">
        <f t="shared" si="81"/>
        <v>25330</v>
      </c>
      <c r="G440">
        <f t="shared" si="72"/>
        <v>25330</v>
      </c>
      <c r="H440">
        <f t="shared" si="73"/>
        <v>2</v>
      </c>
      <c r="I440">
        <f t="shared" si="74"/>
        <v>60</v>
      </c>
      <c r="J440" s="3">
        <f t="shared" si="75"/>
        <v>25390</v>
      </c>
      <c r="K440">
        <f t="shared" si="76"/>
        <v>0</v>
      </c>
      <c r="L440" s="4">
        <f t="shared" si="82"/>
        <v>17450</v>
      </c>
      <c r="M440">
        <f t="shared" si="79"/>
        <v>60</v>
      </c>
      <c r="N440" s="5">
        <f t="shared" si="83"/>
        <v>42840</v>
      </c>
      <c r="AF440" s="1">
        <v>45365</v>
      </c>
      <c r="AG440">
        <f t="shared" si="80"/>
        <v>60</v>
      </c>
    </row>
    <row r="441" spans="1:33" x14ac:dyDescent="0.25">
      <c r="A441" s="1">
        <v>45366</v>
      </c>
      <c r="B441" t="s">
        <v>2</v>
      </c>
      <c r="C441">
        <f t="shared" si="77"/>
        <v>0.2</v>
      </c>
      <c r="D441">
        <f t="shared" si="78"/>
        <v>5</v>
      </c>
      <c r="F441">
        <f t="shared" si="81"/>
        <v>25390</v>
      </c>
      <c r="G441">
        <f t="shared" si="72"/>
        <v>25390</v>
      </c>
      <c r="H441">
        <f t="shared" si="73"/>
        <v>2</v>
      </c>
      <c r="I441">
        <f t="shared" si="74"/>
        <v>60</v>
      </c>
      <c r="J441" s="3">
        <f t="shared" si="75"/>
        <v>25450</v>
      </c>
      <c r="K441">
        <f t="shared" si="76"/>
        <v>0</v>
      </c>
      <c r="L441" s="4">
        <f t="shared" si="82"/>
        <v>17450</v>
      </c>
      <c r="M441">
        <f t="shared" si="79"/>
        <v>60</v>
      </c>
      <c r="N441" s="5">
        <f t="shared" si="83"/>
        <v>42900</v>
      </c>
      <c r="AF441" s="1">
        <v>45366</v>
      </c>
      <c r="AG441">
        <f t="shared" si="80"/>
        <v>60</v>
      </c>
    </row>
    <row r="442" spans="1:33" x14ac:dyDescent="0.25">
      <c r="A442" s="1">
        <v>45367</v>
      </c>
      <c r="B442" t="s">
        <v>2</v>
      </c>
      <c r="C442">
        <f t="shared" si="77"/>
        <v>0.2</v>
      </c>
      <c r="D442">
        <f t="shared" si="78"/>
        <v>6</v>
      </c>
      <c r="F442">
        <f t="shared" si="81"/>
        <v>25450</v>
      </c>
      <c r="G442">
        <f t="shared" si="72"/>
        <v>25450</v>
      </c>
      <c r="H442">
        <f t="shared" si="73"/>
        <v>2</v>
      </c>
      <c r="I442">
        <f t="shared" si="74"/>
        <v>60</v>
      </c>
      <c r="J442" s="3">
        <f t="shared" si="75"/>
        <v>25450</v>
      </c>
      <c r="K442">
        <f t="shared" si="76"/>
        <v>0</v>
      </c>
      <c r="L442" s="4">
        <f t="shared" si="82"/>
        <v>17450</v>
      </c>
      <c r="M442">
        <f t="shared" si="79"/>
        <v>0</v>
      </c>
      <c r="N442" s="5">
        <f t="shared" si="83"/>
        <v>42900</v>
      </c>
      <c r="AF442" s="1">
        <v>45367</v>
      </c>
      <c r="AG442">
        <f t="shared" si="80"/>
        <v>0</v>
      </c>
    </row>
    <row r="443" spans="1:33" x14ac:dyDescent="0.25">
      <c r="A443" s="1">
        <v>45368</v>
      </c>
      <c r="B443" t="s">
        <v>2</v>
      </c>
      <c r="C443">
        <f t="shared" si="77"/>
        <v>0.2</v>
      </c>
      <c r="D443">
        <f t="shared" si="78"/>
        <v>7</v>
      </c>
      <c r="F443">
        <f t="shared" si="81"/>
        <v>25450</v>
      </c>
      <c r="G443">
        <f t="shared" si="72"/>
        <v>25300</v>
      </c>
      <c r="H443">
        <f t="shared" si="73"/>
        <v>2</v>
      </c>
      <c r="I443">
        <f t="shared" si="74"/>
        <v>60</v>
      </c>
      <c r="J443" s="3">
        <f t="shared" si="75"/>
        <v>25300</v>
      </c>
      <c r="K443">
        <f t="shared" si="76"/>
        <v>150</v>
      </c>
      <c r="L443" s="4">
        <f t="shared" si="82"/>
        <v>17600</v>
      </c>
      <c r="M443">
        <f t="shared" si="79"/>
        <v>0</v>
      </c>
      <c r="N443" s="5">
        <f t="shared" si="83"/>
        <v>42900</v>
      </c>
      <c r="AF443" s="1">
        <v>45368</v>
      </c>
      <c r="AG443">
        <f t="shared" si="80"/>
        <v>-150</v>
      </c>
    </row>
    <row r="444" spans="1:33" x14ac:dyDescent="0.25">
      <c r="A444" s="1">
        <v>45369</v>
      </c>
      <c r="B444" t="s">
        <v>2</v>
      </c>
      <c r="C444">
        <f t="shared" si="77"/>
        <v>0.2</v>
      </c>
      <c r="D444">
        <f t="shared" si="78"/>
        <v>1</v>
      </c>
      <c r="F444">
        <f t="shared" si="81"/>
        <v>25300</v>
      </c>
      <c r="G444">
        <f t="shared" si="72"/>
        <v>25300</v>
      </c>
      <c r="H444">
        <f t="shared" si="73"/>
        <v>2</v>
      </c>
      <c r="I444">
        <f t="shared" si="74"/>
        <v>60</v>
      </c>
      <c r="J444" s="3">
        <f t="shared" si="75"/>
        <v>25360</v>
      </c>
      <c r="K444">
        <f t="shared" si="76"/>
        <v>0</v>
      </c>
      <c r="L444" s="4">
        <f t="shared" si="82"/>
        <v>17600</v>
      </c>
      <c r="M444">
        <f t="shared" si="79"/>
        <v>60</v>
      </c>
      <c r="N444" s="5">
        <f t="shared" si="83"/>
        <v>42960</v>
      </c>
      <c r="AF444" s="1">
        <v>45369</v>
      </c>
      <c r="AG444">
        <f t="shared" si="80"/>
        <v>60</v>
      </c>
    </row>
    <row r="445" spans="1:33" x14ac:dyDescent="0.25">
      <c r="A445" s="1">
        <v>45370</v>
      </c>
      <c r="B445" t="s">
        <v>2</v>
      </c>
      <c r="C445">
        <f t="shared" si="77"/>
        <v>0.2</v>
      </c>
      <c r="D445">
        <f t="shared" si="78"/>
        <v>2</v>
      </c>
      <c r="F445">
        <f t="shared" si="81"/>
        <v>25360</v>
      </c>
      <c r="G445">
        <f t="shared" si="72"/>
        <v>25360</v>
      </c>
      <c r="H445">
        <f t="shared" si="73"/>
        <v>2</v>
      </c>
      <c r="I445">
        <f t="shared" si="74"/>
        <v>60</v>
      </c>
      <c r="J445" s="3">
        <f t="shared" si="75"/>
        <v>25420</v>
      </c>
      <c r="K445">
        <f t="shared" si="76"/>
        <v>0</v>
      </c>
      <c r="L445" s="4">
        <f t="shared" si="82"/>
        <v>17600</v>
      </c>
      <c r="M445">
        <f t="shared" si="79"/>
        <v>60</v>
      </c>
      <c r="N445" s="5">
        <f t="shared" si="83"/>
        <v>43020</v>
      </c>
      <c r="AF445" s="1">
        <v>45370</v>
      </c>
      <c r="AG445">
        <f t="shared" si="80"/>
        <v>60</v>
      </c>
    </row>
    <row r="446" spans="1:33" x14ac:dyDescent="0.25">
      <c r="A446" s="1">
        <v>45371</v>
      </c>
      <c r="B446" t="s">
        <v>2</v>
      </c>
      <c r="C446">
        <f t="shared" si="77"/>
        <v>0.2</v>
      </c>
      <c r="D446">
        <f t="shared" si="78"/>
        <v>3</v>
      </c>
      <c r="F446">
        <f t="shared" si="81"/>
        <v>25420</v>
      </c>
      <c r="G446">
        <f t="shared" si="72"/>
        <v>25420</v>
      </c>
      <c r="H446">
        <f t="shared" si="73"/>
        <v>2</v>
      </c>
      <c r="I446">
        <f t="shared" si="74"/>
        <v>60</v>
      </c>
      <c r="J446" s="3">
        <f t="shared" si="75"/>
        <v>25480</v>
      </c>
      <c r="K446">
        <f t="shared" si="76"/>
        <v>0</v>
      </c>
      <c r="L446" s="4">
        <f t="shared" si="82"/>
        <v>17600</v>
      </c>
      <c r="M446">
        <f t="shared" si="79"/>
        <v>60</v>
      </c>
      <c r="N446" s="5">
        <f t="shared" si="83"/>
        <v>43080</v>
      </c>
      <c r="AF446" s="1">
        <v>45371</v>
      </c>
      <c r="AG446">
        <f t="shared" si="80"/>
        <v>60</v>
      </c>
    </row>
    <row r="447" spans="1:33" x14ac:dyDescent="0.25">
      <c r="A447" s="1">
        <v>45372</v>
      </c>
      <c r="B447" t="s">
        <v>3</v>
      </c>
      <c r="C447">
        <f t="shared" si="77"/>
        <v>0.5</v>
      </c>
      <c r="D447">
        <f t="shared" si="78"/>
        <v>4</v>
      </c>
      <c r="F447">
        <f t="shared" si="81"/>
        <v>25480</v>
      </c>
      <c r="G447">
        <f t="shared" si="72"/>
        <v>25480</v>
      </c>
      <c r="H447">
        <f t="shared" si="73"/>
        <v>5</v>
      </c>
      <c r="I447">
        <f t="shared" si="74"/>
        <v>150</v>
      </c>
      <c r="J447" s="3">
        <f t="shared" si="75"/>
        <v>25630</v>
      </c>
      <c r="K447">
        <f t="shared" si="76"/>
        <v>0</v>
      </c>
      <c r="L447" s="4">
        <f t="shared" si="82"/>
        <v>17600</v>
      </c>
      <c r="M447">
        <f t="shared" si="79"/>
        <v>150</v>
      </c>
      <c r="N447" s="5">
        <f t="shared" si="83"/>
        <v>43230</v>
      </c>
      <c r="AF447" s="1">
        <v>45372</v>
      </c>
      <c r="AG447">
        <f t="shared" si="80"/>
        <v>150</v>
      </c>
    </row>
    <row r="448" spans="1:33" x14ac:dyDescent="0.25">
      <c r="A448" s="1">
        <v>45373</v>
      </c>
      <c r="B448" t="s">
        <v>3</v>
      </c>
      <c r="C448">
        <f t="shared" si="77"/>
        <v>0.5</v>
      </c>
      <c r="D448">
        <f t="shared" si="78"/>
        <v>5</v>
      </c>
      <c r="F448">
        <f t="shared" si="81"/>
        <v>25630</v>
      </c>
      <c r="G448">
        <f t="shared" si="72"/>
        <v>25630</v>
      </c>
      <c r="H448">
        <f t="shared" si="73"/>
        <v>5</v>
      </c>
      <c r="I448">
        <f t="shared" si="74"/>
        <v>150</v>
      </c>
      <c r="J448" s="3">
        <f t="shared" si="75"/>
        <v>25780</v>
      </c>
      <c r="K448">
        <f t="shared" si="76"/>
        <v>0</v>
      </c>
      <c r="L448" s="4">
        <f t="shared" si="82"/>
        <v>17600</v>
      </c>
      <c r="M448">
        <f t="shared" si="79"/>
        <v>150</v>
      </c>
      <c r="N448" s="5">
        <f t="shared" si="83"/>
        <v>43380</v>
      </c>
      <c r="AF448" s="1">
        <v>45373</v>
      </c>
      <c r="AG448">
        <f t="shared" si="80"/>
        <v>150</v>
      </c>
    </row>
    <row r="449" spans="1:33" x14ac:dyDescent="0.25">
      <c r="A449" s="1">
        <v>45374</v>
      </c>
      <c r="B449" t="s">
        <v>3</v>
      </c>
      <c r="C449">
        <f t="shared" si="77"/>
        <v>0.5</v>
      </c>
      <c r="D449">
        <f t="shared" si="78"/>
        <v>6</v>
      </c>
      <c r="F449">
        <f t="shared" si="81"/>
        <v>25780</v>
      </c>
      <c r="G449">
        <f t="shared" si="72"/>
        <v>25780</v>
      </c>
      <c r="H449">
        <f t="shared" si="73"/>
        <v>5</v>
      </c>
      <c r="I449">
        <f t="shared" si="74"/>
        <v>150</v>
      </c>
      <c r="J449" s="3">
        <f t="shared" si="75"/>
        <v>25780</v>
      </c>
      <c r="K449">
        <f t="shared" si="76"/>
        <v>0</v>
      </c>
      <c r="L449" s="4">
        <f t="shared" si="82"/>
        <v>17600</v>
      </c>
      <c r="M449">
        <f t="shared" si="79"/>
        <v>0</v>
      </c>
      <c r="N449" s="5">
        <f t="shared" si="83"/>
        <v>43380</v>
      </c>
      <c r="AF449" s="1">
        <v>45374</v>
      </c>
      <c r="AG449">
        <f t="shared" si="80"/>
        <v>0</v>
      </c>
    </row>
    <row r="450" spans="1:33" x14ac:dyDescent="0.25">
      <c r="A450" s="1">
        <v>45375</v>
      </c>
      <c r="B450" t="s">
        <v>3</v>
      </c>
      <c r="C450">
        <f t="shared" si="77"/>
        <v>0.5</v>
      </c>
      <c r="D450">
        <f t="shared" si="78"/>
        <v>7</v>
      </c>
      <c r="F450">
        <f t="shared" si="81"/>
        <v>25780</v>
      </c>
      <c r="G450">
        <f t="shared" ref="G450:G513" si="84">IF(D450=7,F450-150,F450)</f>
        <v>25630</v>
      </c>
      <c r="H450">
        <f t="shared" ref="H450:H513" si="85">ROUNDDOWN($AC$2*C450,0)</f>
        <v>5</v>
      </c>
      <c r="I450">
        <f t="shared" ref="I450:I513" si="86">H450*$AD$2</f>
        <v>150</v>
      </c>
      <c r="J450" s="3">
        <f t="shared" ref="J450:J513" si="87">IF(AND(D450&gt;=1,D450&lt;=5),G450+I450,G450)</f>
        <v>25630</v>
      </c>
      <c r="K450">
        <f t="shared" ref="K450:K513" si="88">IF(D450=7,150,0)</f>
        <v>150</v>
      </c>
      <c r="L450" s="4">
        <f t="shared" si="82"/>
        <v>17750</v>
      </c>
      <c r="M450">
        <f t="shared" si="79"/>
        <v>0</v>
      </c>
      <c r="N450" s="5">
        <f t="shared" si="83"/>
        <v>43380</v>
      </c>
      <c r="AF450" s="1">
        <v>45375</v>
      </c>
      <c r="AG450">
        <f t="shared" si="80"/>
        <v>-150</v>
      </c>
    </row>
    <row r="451" spans="1:33" x14ac:dyDescent="0.25">
      <c r="A451" s="1">
        <v>45376</v>
      </c>
      <c r="B451" t="s">
        <v>3</v>
      </c>
      <c r="C451">
        <f t="shared" ref="C451:C514" si="89">IF(B451="zima",20%,IF(B451="wiosna",50%,IF(B451="lato",90%,40%)))</f>
        <v>0.5</v>
      </c>
      <c r="D451">
        <f t="shared" ref="D451:D514" si="90">WEEKDAY(A451,2)</f>
        <v>1</v>
      </c>
      <c r="F451">
        <f t="shared" si="81"/>
        <v>25630</v>
      </c>
      <c r="G451">
        <f t="shared" si="84"/>
        <v>25630</v>
      </c>
      <c r="H451">
        <f t="shared" si="85"/>
        <v>5</v>
      </c>
      <c r="I451">
        <f t="shared" si="86"/>
        <v>150</v>
      </c>
      <c r="J451" s="3">
        <f t="shared" si="87"/>
        <v>25780</v>
      </c>
      <c r="K451">
        <f t="shared" si="88"/>
        <v>0</v>
      </c>
      <c r="L451" s="4">
        <f t="shared" si="82"/>
        <v>17750</v>
      </c>
      <c r="M451">
        <f t="shared" ref="M451:M514" si="91">IF(AND(D451&gt;=1,D451&lt;=5),I451,0)</f>
        <v>150</v>
      </c>
      <c r="N451" s="5">
        <f t="shared" si="83"/>
        <v>43530</v>
      </c>
      <c r="AF451" s="1">
        <v>45376</v>
      </c>
      <c r="AG451">
        <f t="shared" ref="AG451:AG514" si="92">M451-K451</f>
        <v>150</v>
      </c>
    </row>
    <row r="452" spans="1:33" x14ac:dyDescent="0.25">
      <c r="A452" s="1">
        <v>45377</v>
      </c>
      <c r="B452" t="s">
        <v>3</v>
      </c>
      <c r="C452">
        <f t="shared" si="89"/>
        <v>0.5</v>
      </c>
      <c r="D452">
        <f t="shared" si="90"/>
        <v>2</v>
      </c>
      <c r="F452">
        <f t="shared" ref="F452:F515" si="93">J451</f>
        <v>25780</v>
      </c>
      <c r="G452">
        <f t="shared" si="84"/>
        <v>25780</v>
      </c>
      <c r="H452">
        <f t="shared" si="85"/>
        <v>5</v>
      </c>
      <c r="I452">
        <f t="shared" si="86"/>
        <v>150</v>
      </c>
      <c r="J452" s="3">
        <f t="shared" si="87"/>
        <v>25930</v>
      </c>
      <c r="K452">
        <f t="shared" si="88"/>
        <v>0</v>
      </c>
      <c r="L452" s="4">
        <f t="shared" ref="L452:L515" si="94">K452+L451</f>
        <v>17750</v>
      </c>
      <c r="M452">
        <f t="shared" si="91"/>
        <v>150</v>
      </c>
      <c r="N452" s="5">
        <f t="shared" ref="N452:N515" si="95">N451+M452</f>
        <v>43680</v>
      </c>
      <c r="AF452" s="1">
        <v>45377</v>
      </c>
      <c r="AG452">
        <f t="shared" si="92"/>
        <v>150</v>
      </c>
    </row>
    <row r="453" spans="1:33" x14ac:dyDescent="0.25">
      <c r="A453" s="1">
        <v>45378</v>
      </c>
      <c r="B453" t="s">
        <v>3</v>
      </c>
      <c r="C453">
        <f t="shared" si="89"/>
        <v>0.5</v>
      </c>
      <c r="D453">
        <f t="shared" si="90"/>
        <v>3</v>
      </c>
      <c r="F453">
        <f t="shared" si="93"/>
        <v>25930</v>
      </c>
      <c r="G453">
        <f t="shared" si="84"/>
        <v>25930</v>
      </c>
      <c r="H453">
        <f t="shared" si="85"/>
        <v>5</v>
      </c>
      <c r="I453">
        <f t="shared" si="86"/>
        <v>150</v>
      </c>
      <c r="J453" s="3">
        <f t="shared" si="87"/>
        <v>26080</v>
      </c>
      <c r="K453">
        <f t="shared" si="88"/>
        <v>0</v>
      </c>
      <c r="L453" s="4">
        <f t="shared" si="94"/>
        <v>17750</v>
      </c>
      <c r="M453">
        <f t="shared" si="91"/>
        <v>150</v>
      </c>
      <c r="N453" s="5">
        <f t="shared" si="95"/>
        <v>43830</v>
      </c>
      <c r="AF453" s="1">
        <v>45378</v>
      </c>
      <c r="AG453">
        <f t="shared" si="92"/>
        <v>150</v>
      </c>
    </row>
    <row r="454" spans="1:33" x14ac:dyDescent="0.25">
      <c r="A454" s="1">
        <v>45379</v>
      </c>
      <c r="B454" t="s">
        <v>3</v>
      </c>
      <c r="C454">
        <f t="shared" si="89"/>
        <v>0.5</v>
      </c>
      <c r="D454">
        <f t="shared" si="90"/>
        <v>4</v>
      </c>
      <c r="F454">
        <f t="shared" si="93"/>
        <v>26080</v>
      </c>
      <c r="G454">
        <f t="shared" si="84"/>
        <v>26080</v>
      </c>
      <c r="H454">
        <f t="shared" si="85"/>
        <v>5</v>
      </c>
      <c r="I454">
        <f t="shared" si="86"/>
        <v>150</v>
      </c>
      <c r="J454" s="3">
        <f t="shared" si="87"/>
        <v>26230</v>
      </c>
      <c r="K454">
        <f t="shared" si="88"/>
        <v>0</v>
      </c>
      <c r="L454" s="4">
        <f t="shared" si="94"/>
        <v>17750</v>
      </c>
      <c r="M454">
        <f t="shared" si="91"/>
        <v>150</v>
      </c>
      <c r="N454" s="5">
        <f t="shared" si="95"/>
        <v>43980</v>
      </c>
      <c r="AF454" s="1">
        <v>45379</v>
      </c>
      <c r="AG454">
        <f t="shared" si="92"/>
        <v>150</v>
      </c>
    </row>
    <row r="455" spans="1:33" x14ac:dyDescent="0.25">
      <c r="A455" s="1">
        <v>45380</v>
      </c>
      <c r="B455" t="s">
        <v>3</v>
      </c>
      <c r="C455">
        <f t="shared" si="89"/>
        <v>0.5</v>
      </c>
      <c r="D455">
        <f t="shared" si="90"/>
        <v>5</v>
      </c>
      <c r="F455">
        <f t="shared" si="93"/>
        <v>26230</v>
      </c>
      <c r="G455">
        <f t="shared" si="84"/>
        <v>26230</v>
      </c>
      <c r="H455">
        <f t="shared" si="85"/>
        <v>5</v>
      </c>
      <c r="I455">
        <f t="shared" si="86"/>
        <v>150</v>
      </c>
      <c r="J455" s="3">
        <f t="shared" si="87"/>
        <v>26380</v>
      </c>
      <c r="K455">
        <f t="shared" si="88"/>
        <v>0</v>
      </c>
      <c r="L455" s="4">
        <f t="shared" si="94"/>
        <v>17750</v>
      </c>
      <c r="M455">
        <f t="shared" si="91"/>
        <v>150</v>
      </c>
      <c r="N455" s="5">
        <f t="shared" si="95"/>
        <v>44130</v>
      </c>
      <c r="AF455" s="1">
        <v>45380</v>
      </c>
      <c r="AG455">
        <f t="shared" si="92"/>
        <v>150</v>
      </c>
    </row>
    <row r="456" spans="1:33" x14ac:dyDescent="0.25">
      <c r="A456" s="1">
        <v>45381</v>
      </c>
      <c r="B456" t="s">
        <v>3</v>
      </c>
      <c r="C456">
        <f t="shared" si="89"/>
        <v>0.5</v>
      </c>
      <c r="D456">
        <f t="shared" si="90"/>
        <v>6</v>
      </c>
      <c r="F456">
        <f t="shared" si="93"/>
        <v>26380</v>
      </c>
      <c r="G456">
        <f t="shared" si="84"/>
        <v>26380</v>
      </c>
      <c r="H456">
        <f t="shared" si="85"/>
        <v>5</v>
      </c>
      <c r="I456">
        <f t="shared" si="86"/>
        <v>150</v>
      </c>
      <c r="J456" s="3">
        <f t="shared" si="87"/>
        <v>26380</v>
      </c>
      <c r="K456">
        <f t="shared" si="88"/>
        <v>0</v>
      </c>
      <c r="L456" s="4">
        <f t="shared" si="94"/>
        <v>17750</v>
      </c>
      <c r="M456">
        <f t="shared" si="91"/>
        <v>0</v>
      </c>
      <c r="N456" s="5">
        <f t="shared" si="95"/>
        <v>44130</v>
      </c>
      <c r="AF456" s="1">
        <v>45381</v>
      </c>
      <c r="AG456">
        <f t="shared" si="92"/>
        <v>0</v>
      </c>
    </row>
    <row r="457" spans="1:33" x14ac:dyDescent="0.25">
      <c r="A457" s="1">
        <v>45382</v>
      </c>
      <c r="B457" t="s">
        <v>3</v>
      </c>
      <c r="C457">
        <f t="shared" si="89"/>
        <v>0.5</v>
      </c>
      <c r="D457">
        <f t="shared" si="90"/>
        <v>7</v>
      </c>
      <c r="F457">
        <f t="shared" si="93"/>
        <v>26380</v>
      </c>
      <c r="G457">
        <f t="shared" si="84"/>
        <v>26230</v>
      </c>
      <c r="H457">
        <f t="shared" si="85"/>
        <v>5</v>
      </c>
      <c r="I457">
        <f t="shared" si="86"/>
        <v>150</v>
      </c>
      <c r="J457" s="3">
        <f t="shared" si="87"/>
        <v>26230</v>
      </c>
      <c r="K457">
        <f t="shared" si="88"/>
        <v>150</v>
      </c>
      <c r="L457" s="4">
        <f t="shared" si="94"/>
        <v>17900</v>
      </c>
      <c r="M457">
        <f t="shared" si="91"/>
        <v>0</v>
      </c>
      <c r="N457" s="5">
        <f t="shared" si="95"/>
        <v>44130</v>
      </c>
      <c r="AF457" s="1">
        <v>45382</v>
      </c>
      <c r="AG457">
        <f t="shared" si="92"/>
        <v>-150</v>
      </c>
    </row>
    <row r="458" spans="1:33" x14ac:dyDescent="0.25">
      <c r="A458" s="1">
        <v>45383</v>
      </c>
      <c r="B458" t="s">
        <v>3</v>
      </c>
      <c r="C458">
        <f t="shared" si="89"/>
        <v>0.5</v>
      </c>
      <c r="D458">
        <f t="shared" si="90"/>
        <v>1</v>
      </c>
      <c r="F458">
        <f t="shared" si="93"/>
        <v>26230</v>
      </c>
      <c r="G458">
        <f t="shared" si="84"/>
        <v>26230</v>
      </c>
      <c r="H458">
        <f t="shared" si="85"/>
        <v>5</v>
      </c>
      <c r="I458">
        <f t="shared" si="86"/>
        <v>150</v>
      </c>
      <c r="J458" s="3">
        <f t="shared" si="87"/>
        <v>26380</v>
      </c>
      <c r="K458">
        <f t="shared" si="88"/>
        <v>0</v>
      </c>
      <c r="L458" s="4">
        <f t="shared" si="94"/>
        <v>17900</v>
      </c>
      <c r="M458">
        <f t="shared" si="91"/>
        <v>150</v>
      </c>
      <c r="N458" s="5">
        <f t="shared" si="95"/>
        <v>44280</v>
      </c>
      <c r="AF458" s="1">
        <v>45383</v>
      </c>
      <c r="AG458">
        <f t="shared" si="92"/>
        <v>150</v>
      </c>
    </row>
    <row r="459" spans="1:33" x14ac:dyDescent="0.25">
      <c r="A459" s="1">
        <v>45384</v>
      </c>
      <c r="B459" t="s">
        <v>3</v>
      </c>
      <c r="C459">
        <f t="shared" si="89"/>
        <v>0.5</v>
      </c>
      <c r="D459">
        <f t="shared" si="90"/>
        <v>2</v>
      </c>
      <c r="F459">
        <f t="shared" si="93"/>
        <v>26380</v>
      </c>
      <c r="G459">
        <f t="shared" si="84"/>
        <v>26380</v>
      </c>
      <c r="H459">
        <f t="shared" si="85"/>
        <v>5</v>
      </c>
      <c r="I459">
        <f t="shared" si="86"/>
        <v>150</v>
      </c>
      <c r="J459" s="3">
        <f t="shared" si="87"/>
        <v>26530</v>
      </c>
      <c r="K459">
        <f t="shared" si="88"/>
        <v>0</v>
      </c>
      <c r="L459" s="4">
        <f t="shared" si="94"/>
        <v>17900</v>
      </c>
      <c r="M459">
        <f t="shared" si="91"/>
        <v>150</v>
      </c>
      <c r="N459" s="5">
        <f t="shared" si="95"/>
        <v>44430</v>
      </c>
      <c r="AF459" s="1">
        <v>45384</v>
      </c>
      <c r="AG459">
        <f t="shared" si="92"/>
        <v>150</v>
      </c>
    </row>
    <row r="460" spans="1:33" x14ac:dyDescent="0.25">
      <c r="A460" s="1">
        <v>45385</v>
      </c>
      <c r="B460" t="s">
        <v>3</v>
      </c>
      <c r="C460">
        <f t="shared" si="89"/>
        <v>0.5</v>
      </c>
      <c r="D460">
        <f t="shared" si="90"/>
        <v>3</v>
      </c>
      <c r="F460">
        <f t="shared" si="93"/>
        <v>26530</v>
      </c>
      <c r="G460">
        <f t="shared" si="84"/>
        <v>26530</v>
      </c>
      <c r="H460">
        <f t="shared" si="85"/>
        <v>5</v>
      </c>
      <c r="I460">
        <f t="shared" si="86"/>
        <v>150</v>
      </c>
      <c r="J460" s="3">
        <f t="shared" si="87"/>
        <v>26680</v>
      </c>
      <c r="K460">
        <f t="shared" si="88"/>
        <v>0</v>
      </c>
      <c r="L460" s="4">
        <f t="shared" si="94"/>
        <v>17900</v>
      </c>
      <c r="M460">
        <f t="shared" si="91"/>
        <v>150</v>
      </c>
      <c r="N460" s="5">
        <f t="shared" si="95"/>
        <v>44580</v>
      </c>
      <c r="AF460" s="1">
        <v>45385</v>
      </c>
      <c r="AG460">
        <f t="shared" si="92"/>
        <v>150</v>
      </c>
    </row>
    <row r="461" spans="1:33" x14ac:dyDescent="0.25">
      <c r="A461" s="1">
        <v>45386</v>
      </c>
      <c r="B461" t="s">
        <v>3</v>
      </c>
      <c r="C461">
        <f t="shared" si="89"/>
        <v>0.5</v>
      </c>
      <c r="D461">
        <f t="shared" si="90"/>
        <v>4</v>
      </c>
      <c r="F461">
        <f t="shared" si="93"/>
        <v>26680</v>
      </c>
      <c r="G461">
        <f t="shared" si="84"/>
        <v>26680</v>
      </c>
      <c r="H461">
        <f t="shared" si="85"/>
        <v>5</v>
      </c>
      <c r="I461">
        <f t="shared" si="86"/>
        <v>150</v>
      </c>
      <c r="J461" s="3">
        <f t="shared" si="87"/>
        <v>26830</v>
      </c>
      <c r="K461">
        <f t="shared" si="88"/>
        <v>0</v>
      </c>
      <c r="L461" s="4">
        <f t="shared" si="94"/>
        <v>17900</v>
      </c>
      <c r="M461">
        <f t="shared" si="91"/>
        <v>150</v>
      </c>
      <c r="N461" s="5">
        <f t="shared" si="95"/>
        <v>44730</v>
      </c>
      <c r="AF461" s="1">
        <v>45386</v>
      </c>
      <c r="AG461">
        <f t="shared" si="92"/>
        <v>150</v>
      </c>
    </row>
    <row r="462" spans="1:33" x14ac:dyDescent="0.25">
      <c r="A462" s="1">
        <v>45387</v>
      </c>
      <c r="B462" t="s">
        <v>3</v>
      </c>
      <c r="C462">
        <f t="shared" si="89"/>
        <v>0.5</v>
      </c>
      <c r="D462">
        <f t="shared" si="90"/>
        <v>5</v>
      </c>
      <c r="F462">
        <f t="shared" si="93"/>
        <v>26830</v>
      </c>
      <c r="G462">
        <f t="shared" si="84"/>
        <v>26830</v>
      </c>
      <c r="H462">
        <f t="shared" si="85"/>
        <v>5</v>
      </c>
      <c r="I462">
        <f t="shared" si="86"/>
        <v>150</v>
      </c>
      <c r="J462" s="3">
        <f t="shared" si="87"/>
        <v>26980</v>
      </c>
      <c r="K462">
        <f t="shared" si="88"/>
        <v>0</v>
      </c>
      <c r="L462" s="4">
        <f t="shared" si="94"/>
        <v>17900</v>
      </c>
      <c r="M462">
        <f t="shared" si="91"/>
        <v>150</v>
      </c>
      <c r="N462" s="5">
        <f t="shared" si="95"/>
        <v>44880</v>
      </c>
      <c r="AF462" s="1">
        <v>45387</v>
      </c>
      <c r="AG462">
        <f t="shared" si="92"/>
        <v>150</v>
      </c>
    </row>
    <row r="463" spans="1:33" x14ac:dyDescent="0.25">
      <c r="A463" s="1">
        <v>45388</v>
      </c>
      <c r="B463" t="s">
        <v>3</v>
      </c>
      <c r="C463">
        <f t="shared" si="89"/>
        <v>0.5</v>
      </c>
      <c r="D463">
        <f t="shared" si="90"/>
        <v>6</v>
      </c>
      <c r="F463">
        <f t="shared" si="93"/>
        <v>26980</v>
      </c>
      <c r="G463">
        <f t="shared" si="84"/>
        <v>26980</v>
      </c>
      <c r="H463">
        <f t="shared" si="85"/>
        <v>5</v>
      </c>
      <c r="I463">
        <f t="shared" si="86"/>
        <v>150</v>
      </c>
      <c r="J463" s="3">
        <f t="shared" si="87"/>
        <v>26980</v>
      </c>
      <c r="K463">
        <f t="shared" si="88"/>
        <v>0</v>
      </c>
      <c r="L463" s="4">
        <f t="shared" si="94"/>
        <v>17900</v>
      </c>
      <c r="M463">
        <f t="shared" si="91"/>
        <v>0</v>
      </c>
      <c r="N463" s="5">
        <f t="shared" si="95"/>
        <v>44880</v>
      </c>
      <c r="AF463" s="1">
        <v>45388</v>
      </c>
      <c r="AG463">
        <f t="shared" si="92"/>
        <v>0</v>
      </c>
    </row>
    <row r="464" spans="1:33" x14ac:dyDescent="0.25">
      <c r="A464" s="1">
        <v>45389</v>
      </c>
      <c r="B464" t="s">
        <v>3</v>
      </c>
      <c r="C464">
        <f t="shared" si="89"/>
        <v>0.5</v>
      </c>
      <c r="D464">
        <f t="shared" si="90"/>
        <v>7</v>
      </c>
      <c r="F464">
        <f t="shared" si="93"/>
        <v>26980</v>
      </c>
      <c r="G464">
        <f t="shared" si="84"/>
        <v>26830</v>
      </c>
      <c r="H464">
        <f t="shared" si="85"/>
        <v>5</v>
      </c>
      <c r="I464">
        <f t="shared" si="86"/>
        <v>150</v>
      </c>
      <c r="J464" s="3">
        <f t="shared" si="87"/>
        <v>26830</v>
      </c>
      <c r="K464">
        <f t="shared" si="88"/>
        <v>150</v>
      </c>
      <c r="L464" s="4">
        <f t="shared" si="94"/>
        <v>18050</v>
      </c>
      <c r="M464">
        <f t="shared" si="91"/>
        <v>0</v>
      </c>
      <c r="N464" s="5">
        <f t="shared" si="95"/>
        <v>44880</v>
      </c>
      <c r="AF464" s="1">
        <v>45389</v>
      </c>
      <c r="AG464">
        <f t="shared" si="92"/>
        <v>-150</v>
      </c>
    </row>
    <row r="465" spans="1:33" x14ac:dyDescent="0.25">
      <c r="A465" s="1">
        <v>45390</v>
      </c>
      <c r="B465" t="s">
        <v>3</v>
      </c>
      <c r="C465">
        <f t="shared" si="89"/>
        <v>0.5</v>
      </c>
      <c r="D465">
        <f t="shared" si="90"/>
        <v>1</v>
      </c>
      <c r="F465">
        <f t="shared" si="93"/>
        <v>26830</v>
      </c>
      <c r="G465">
        <f t="shared" si="84"/>
        <v>26830</v>
      </c>
      <c r="H465">
        <f t="shared" si="85"/>
        <v>5</v>
      </c>
      <c r="I465">
        <f t="shared" si="86"/>
        <v>150</v>
      </c>
      <c r="J465" s="3">
        <f t="shared" si="87"/>
        <v>26980</v>
      </c>
      <c r="K465">
        <f t="shared" si="88"/>
        <v>0</v>
      </c>
      <c r="L465" s="4">
        <f t="shared" si="94"/>
        <v>18050</v>
      </c>
      <c r="M465">
        <f t="shared" si="91"/>
        <v>150</v>
      </c>
      <c r="N465" s="5">
        <f t="shared" si="95"/>
        <v>45030</v>
      </c>
      <c r="AF465" s="1">
        <v>45390</v>
      </c>
      <c r="AG465">
        <f t="shared" si="92"/>
        <v>150</v>
      </c>
    </row>
    <row r="466" spans="1:33" x14ac:dyDescent="0.25">
      <c r="A466" s="1">
        <v>45391</v>
      </c>
      <c r="B466" t="s">
        <v>3</v>
      </c>
      <c r="C466">
        <f t="shared" si="89"/>
        <v>0.5</v>
      </c>
      <c r="D466">
        <f t="shared" si="90"/>
        <v>2</v>
      </c>
      <c r="F466">
        <f t="shared" si="93"/>
        <v>26980</v>
      </c>
      <c r="G466">
        <f t="shared" si="84"/>
        <v>26980</v>
      </c>
      <c r="H466">
        <f t="shared" si="85"/>
        <v>5</v>
      </c>
      <c r="I466">
        <f t="shared" si="86"/>
        <v>150</v>
      </c>
      <c r="J466" s="3">
        <f t="shared" si="87"/>
        <v>27130</v>
      </c>
      <c r="K466">
        <f t="shared" si="88"/>
        <v>0</v>
      </c>
      <c r="L466" s="4">
        <f t="shared" si="94"/>
        <v>18050</v>
      </c>
      <c r="M466">
        <f t="shared" si="91"/>
        <v>150</v>
      </c>
      <c r="N466" s="5">
        <f t="shared" si="95"/>
        <v>45180</v>
      </c>
      <c r="AF466" s="1">
        <v>45391</v>
      </c>
      <c r="AG466">
        <f t="shared" si="92"/>
        <v>150</v>
      </c>
    </row>
    <row r="467" spans="1:33" x14ac:dyDescent="0.25">
      <c r="A467" s="1">
        <v>45392</v>
      </c>
      <c r="B467" t="s">
        <v>3</v>
      </c>
      <c r="C467">
        <f t="shared" si="89"/>
        <v>0.5</v>
      </c>
      <c r="D467">
        <f t="shared" si="90"/>
        <v>3</v>
      </c>
      <c r="F467">
        <f t="shared" si="93"/>
        <v>27130</v>
      </c>
      <c r="G467">
        <f t="shared" si="84"/>
        <v>27130</v>
      </c>
      <c r="H467">
        <f t="shared" si="85"/>
        <v>5</v>
      </c>
      <c r="I467">
        <f t="shared" si="86"/>
        <v>150</v>
      </c>
      <c r="J467" s="3">
        <f t="shared" si="87"/>
        <v>27280</v>
      </c>
      <c r="K467">
        <f t="shared" si="88"/>
        <v>0</v>
      </c>
      <c r="L467" s="4">
        <f t="shared" si="94"/>
        <v>18050</v>
      </c>
      <c r="M467">
        <f t="shared" si="91"/>
        <v>150</v>
      </c>
      <c r="N467" s="5">
        <f t="shared" si="95"/>
        <v>45330</v>
      </c>
      <c r="AF467" s="1">
        <v>45392</v>
      </c>
      <c r="AG467">
        <f t="shared" si="92"/>
        <v>150</v>
      </c>
    </row>
    <row r="468" spans="1:33" x14ac:dyDescent="0.25">
      <c r="A468" s="1">
        <v>45393</v>
      </c>
      <c r="B468" t="s">
        <v>3</v>
      </c>
      <c r="C468">
        <f t="shared" si="89"/>
        <v>0.5</v>
      </c>
      <c r="D468">
        <f t="shared" si="90"/>
        <v>4</v>
      </c>
      <c r="F468">
        <f t="shared" si="93"/>
        <v>27280</v>
      </c>
      <c r="G468">
        <f t="shared" si="84"/>
        <v>27280</v>
      </c>
      <c r="H468">
        <f t="shared" si="85"/>
        <v>5</v>
      </c>
      <c r="I468">
        <f t="shared" si="86"/>
        <v>150</v>
      </c>
      <c r="J468" s="3">
        <f t="shared" si="87"/>
        <v>27430</v>
      </c>
      <c r="K468">
        <f t="shared" si="88"/>
        <v>0</v>
      </c>
      <c r="L468" s="4">
        <f t="shared" si="94"/>
        <v>18050</v>
      </c>
      <c r="M468">
        <f t="shared" si="91"/>
        <v>150</v>
      </c>
      <c r="N468" s="5">
        <f t="shared" si="95"/>
        <v>45480</v>
      </c>
      <c r="AF468" s="1">
        <v>45393</v>
      </c>
      <c r="AG468">
        <f t="shared" si="92"/>
        <v>150</v>
      </c>
    </row>
    <row r="469" spans="1:33" x14ac:dyDescent="0.25">
      <c r="A469" s="1">
        <v>45394</v>
      </c>
      <c r="B469" t="s">
        <v>3</v>
      </c>
      <c r="C469">
        <f t="shared" si="89"/>
        <v>0.5</v>
      </c>
      <c r="D469">
        <f t="shared" si="90"/>
        <v>5</v>
      </c>
      <c r="F469">
        <f t="shared" si="93"/>
        <v>27430</v>
      </c>
      <c r="G469">
        <f t="shared" si="84"/>
        <v>27430</v>
      </c>
      <c r="H469">
        <f t="shared" si="85"/>
        <v>5</v>
      </c>
      <c r="I469">
        <f t="shared" si="86"/>
        <v>150</v>
      </c>
      <c r="J469" s="3">
        <f t="shared" si="87"/>
        <v>27580</v>
      </c>
      <c r="K469">
        <f t="shared" si="88"/>
        <v>0</v>
      </c>
      <c r="L469" s="4">
        <f t="shared" si="94"/>
        <v>18050</v>
      </c>
      <c r="M469">
        <f t="shared" si="91"/>
        <v>150</v>
      </c>
      <c r="N469" s="5">
        <f t="shared" si="95"/>
        <v>45630</v>
      </c>
      <c r="AF469" s="1">
        <v>45394</v>
      </c>
      <c r="AG469">
        <f t="shared" si="92"/>
        <v>150</v>
      </c>
    </row>
    <row r="470" spans="1:33" x14ac:dyDescent="0.25">
      <c r="A470" s="1">
        <v>45395</v>
      </c>
      <c r="B470" t="s">
        <v>3</v>
      </c>
      <c r="C470">
        <f t="shared" si="89"/>
        <v>0.5</v>
      </c>
      <c r="D470">
        <f t="shared" si="90"/>
        <v>6</v>
      </c>
      <c r="F470">
        <f t="shared" si="93"/>
        <v>27580</v>
      </c>
      <c r="G470">
        <f t="shared" si="84"/>
        <v>27580</v>
      </c>
      <c r="H470">
        <f t="shared" si="85"/>
        <v>5</v>
      </c>
      <c r="I470">
        <f t="shared" si="86"/>
        <v>150</v>
      </c>
      <c r="J470" s="3">
        <f t="shared" si="87"/>
        <v>27580</v>
      </c>
      <c r="K470">
        <f t="shared" si="88"/>
        <v>0</v>
      </c>
      <c r="L470" s="4">
        <f t="shared" si="94"/>
        <v>18050</v>
      </c>
      <c r="M470">
        <f t="shared" si="91"/>
        <v>0</v>
      </c>
      <c r="N470" s="5">
        <f t="shared" si="95"/>
        <v>45630</v>
      </c>
      <c r="AF470" s="1">
        <v>45395</v>
      </c>
      <c r="AG470">
        <f t="shared" si="92"/>
        <v>0</v>
      </c>
    </row>
    <row r="471" spans="1:33" x14ac:dyDescent="0.25">
      <c r="A471" s="1">
        <v>45396</v>
      </c>
      <c r="B471" t="s">
        <v>3</v>
      </c>
      <c r="C471">
        <f t="shared" si="89"/>
        <v>0.5</v>
      </c>
      <c r="D471">
        <f t="shared" si="90"/>
        <v>7</v>
      </c>
      <c r="F471">
        <f t="shared" si="93"/>
        <v>27580</v>
      </c>
      <c r="G471">
        <f t="shared" si="84"/>
        <v>27430</v>
      </c>
      <c r="H471">
        <f t="shared" si="85"/>
        <v>5</v>
      </c>
      <c r="I471">
        <f t="shared" si="86"/>
        <v>150</v>
      </c>
      <c r="J471" s="3">
        <f t="shared" si="87"/>
        <v>27430</v>
      </c>
      <c r="K471">
        <f t="shared" si="88"/>
        <v>150</v>
      </c>
      <c r="L471" s="4">
        <f t="shared" si="94"/>
        <v>18200</v>
      </c>
      <c r="M471">
        <f t="shared" si="91"/>
        <v>0</v>
      </c>
      <c r="N471" s="5">
        <f t="shared" si="95"/>
        <v>45630</v>
      </c>
      <c r="AF471" s="1">
        <v>45396</v>
      </c>
      <c r="AG471">
        <f t="shared" si="92"/>
        <v>-150</v>
      </c>
    </row>
    <row r="472" spans="1:33" x14ac:dyDescent="0.25">
      <c r="A472" s="1">
        <v>45397</v>
      </c>
      <c r="B472" t="s">
        <v>3</v>
      </c>
      <c r="C472">
        <f t="shared" si="89"/>
        <v>0.5</v>
      </c>
      <c r="D472">
        <f t="shared" si="90"/>
        <v>1</v>
      </c>
      <c r="F472">
        <f t="shared" si="93"/>
        <v>27430</v>
      </c>
      <c r="G472">
        <f t="shared" si="84"/>
        <v>27430</v>
      </c>
      <c r="H472">
        <f t="shared" si="85"/>
        <v>5</v>
      </c>
      <c r="I472">
        <f t="shared" si="86"/>
        <v>150</v>
      </c>
      <c r="J472" s="3">
        <f t="shared" si="87"/>
        <v>27580</v>
      </c>
      <c r="K472">
        <f t="shared" si="88"/>
        <v>0</v>
      </c>
      <c r="L472" s="4">
        <f t="shared" si="94"/>
        <v>18200</v>
      </c>
      <c r="M472">
        <f t="shared" si="91"/>
        <v>150</v>
      </c>
      <c r="N472" s="5">
        <f t="shared" si="95"/>
        <v>45780</v>
      </c>
      <c r="AF472" s="1">
        <v>45397</v>
      </c>
      <c r="AG472">
        <f t="shared" si="92"/>
        <v>150</v>
      </c>
    </row>
    <row r="473" spans="1:33" x14ac:dyDescent="0.25">
      <c r="A473" s="1">
        <v>45398</v>
      </c>
      <c r="B473" t="s">
        <v>3</v>
      </c>
      <c r="C473">
        <f t="shared" si="89"/>
        <v>0.5</v>
      </c>
      <c r="D473">
        <f t="shared" si="90"/>
        <v>2</v>
      </c>
      <c r="F473">
        <f t="shared" si="93"/>
        <v>27580</v>
      </c>
      <c r="G473">
        <f t="shared" si="84"/>
        <v>27580</v>
      </c>
      <c r="H473">
        <f t="shared" si="85"/>
        <v>5</v>
      </c>
      <c r="I473">
        <f t="shared" si="86"/>
        <v>150</v>
      </c>
      <c r="J473" s="3">
        <f t="shared" si="87"/>
        <v>27730</v>
      </c>
      <c r="K473">
        <f t="shared" si="88"/>
        <v>0</v>
      </c>
      <c r="L473" s="4">
        <f t="shared" si="94"/>
        <v>18200</v>
      </c>
      <c r="M473">
        <f t="shared" si="91"/>
        <v>150</v>
      </c>
      <c r="N473" s="5">
        <f t="shared" si="95"/>
        <v>45930</v>
      </c>
      <c r="AF473" s="1">
        <v>45398</v>
      </c>
      <c r="AG473">
        <f t="shared" si="92"/>
        <v>150</v>
      </c>
    </row>
    <row r="474" spans="1:33" x14ac:dyDescent="0.25">
      <c r="A474" s="1">
        <v>45399</v>
      </c>
      <c r="B474" t="s">
        <v>3</v>
      </c>
      <c r="C474">
        <f t="shared" si="89"/>
        <v>0.5</v>
      </c>
      <c r="D474">
        <f t="shared" si="90"/>
        <v>3</v>
      </c>
      <c r="F474">
        <f t="shared" si="93"/>
        <v>27730</v>
      </c>
      <c r="G474">
        <f t="shared" si="84"/>
        <v>27730</v>
      </c>
      <c r="H474">
        <f t="shared" si="85"/>
        <v>5</v>
      </c>
      <c r="I474">
        <f t="shared" si="86"/>
        <v>150</v>
      </c>
      <c r="J474" s="3">
        <f t="shared" si="87"/>
        <v>27880</v>
      </c>
      <c r="K474">
        <f t="shared" si="88"/>
        <v>0</v>
      </c>
      <c r="L474" s="4">
        <f t="shared" si="94"/>
        <v>18200</v>
      </c>
      <c r="M474">
        <f t="shared" si="91"/>
        <v>150</v>
      </c>
      <c r="N474" s="5">
        <f t="shared" si="95"/>
        <v>46080</v>
      </c>
      <c r="AF474" s="1">
        <v>45399</v>
      </c>
      <c r="AG474">
        <f t="shared" si="92"/>
        <v>150</v>
      </c>
    </row>
    <row r="475" spans="1:33" x14ac:dyDescent="0.25">
      <c r="A475" s="1">
        <v>45400</v>
      </c>
      <c r="B475" t="s">
        <v>3</v>
      </c>
      <c r="C475">
        <f t="shared" si="89"/>
        <v>0.5</v>
      </c>
      <c r="D475">
        <f t="shared" si="90"/>
        <v>4</v>
      </c>
      <c r="F475">
        <f t="shared" si="93"/>
        <v>27880</v>
      </c>
      <c r="G475">
        <f t="shared" si="84"/>
        <v>27880</v>
      </c>
      <c r="H475">
        <f t="shared" si="85"/>
        <v>5</v>
      </c>
      <c r="I475">
        <f t="shared" si="86"/>
        <v>150</v>
      </c>
      <c r="J475" s="3">
        <f t="shared" si="87"/>
        <v>28030</v>
      </c>
      <c r="K475">
        <f t="shared" si="88"/>
        <v>0</v>
      </c>
      <c r="L475" s="4">
        <f t="shared" si="94"/>
        <v>18200</v>
      </c>
      <c r="M475">
        <f t="shared" si="91"/>
        <v>150</v>
      </c>
      <c r="N475" s="5">
        <f t="shared" si="95"/>
        <v>46230</v>
      </c>
      <c r="AF475" s="1">
        <v>45400</v>
      </c>
      <c r="AG475">
        <f t="shared" si="92"/>
        <v>150</v>
      </c>
    </row>
    <row r="476" spans="1:33" x14ac:dyDescent="0.25">
      <c r="A476" s="1">
        <v>45401</v>
      </c>
      <c r="B476" t="s">
        <v>3</v>
      </c>
      <c r="C476">
        <f t="shared" si="89"/>
        <v>0.5</v>
      </c>
      <c r="D476">
        <f t="shared" si="90"/>
        <v>5</v>
      </c>
      <c r="F476">
        <f t="shared" si="93"/>
        <v>28030</v>
      </c>
      <c r="G476">
        <f t="shared" si="84"/>
        <v>28030</v>
      </c>
      <c r="H476">
        <f t="shared" si="85"/>
        <v>5</v>
      </c>
      <c r="I476">
        <f t="shared" si="86"/>
        <v>150</v>
      </c>
      <c r="J476" s="3">
        <f t="shared" si="87"/>
        <v>28180</v>
      </c>
      <c r="K476">
        <f t="shared" si="88"/>
        <v>0</v>
      </c>
      <c r="L476" s="4">
        <f t="shared" si="94"/>
        <v>18200</v>
      </c>
      <c r="M476">
        <f t="shared" si="91"/>
        <v>150</v>
      </c>
      <c r="N476" s="5">
        <f t="shared" si="95"/>
        <v>46380</v>
      </c>
      <c r="AF476" s="1">
        <v>45401</v>
      </c>
      <c r="AG476">
        <f t="shared" si="92"/>
        <v>150</v>
      </c>
    </row>
    <row r="477" spans="1:33" x14ac:dyDescent="0.25">
      <c r="A477" s="1">
        <v>45402</v>
      </c>
      <c r="B477" t="s">
        <v>3</v>
      </c>
      <c r="C477">
        <f t="shared" si="89"/>
        <v>0.5</v>
      </c>
      <c r="D477">
        <f t="shared" si="90"/>
        <v>6</v>
      </c>
      <c r="F477">
        <f t="shared" si="93"/>
        <v>28180</v>
      </c>
      <c r="G477">
        <f t="shared" si="84"/>
        <v>28180</v>
      </c>
      <c r="H477">
        <f t="shared" si="85"/>
        <v>5</v>
      </c>
      <c r="I477">
        <f t="shared" si="86"/>
        <v>150</v>
      </c>
      <c r="J477" s="3">
        <f t="shared" si="87"/>
        <v>28180</v>
      </c>
      <c r="K477">
        <f t="shared" si="88"/>
        <v>0</v>
      </c>
      <c r="L477" s="4">
        <f t="shared" si="94"/>
        <v>18200</v>
      </c>
      <c r="M477">
        <f t="shared" si="91"/>
        <v>0</v>
      </c>
      <c r="N477" s="5">
        <f t="shared" si="95"/>
        <v>46380</v>
      </c>
      <c r="AF477" s="1">
        <v>45402</v>
      </c>
      <c r="AG477">
        <f t="shared" si="92"/>
        <v>0</v>
      </c>
    </row>
    <row r="478" spans="1:33" x14ac:dyDescent="0.25">
      <c r="A478" s="1">
        <v>45403</v>
      </c>
      <c r="B478" t="s">
        <v>3</v>
      </c>
      <c r="C478">
        <f t="shared" si="89"/>
        <v>0.5</v>
      </c>
      <c r="D478">
        <f t="shared" si="90"/>
        <v>7</v>
      </c>
      <c r="F478">
        <f t="shared" si="93"/>
        <v>28180</v>
      </c>
      <c r="G478">
        <f t="shared" si="84"/>
        <v>28030</v>
      </c>
      <c r="H478">
        <f t="shared" si="85"/>
        <v>5</v>
      </c>
      <c r="I478">
        <f t="shared" si="86"/>
        <v>150</v>
      </c>
      <c r="J478" s="3">
        <f t="shared" si="87"/>
        <v>28030</v>
      </c>
      <c r="K478">
        <f t="shared" si="88"/>
        <v>150</v>
      </c>
      <c r="L478" s="4">
        <f t="shared" si="94"/>
        <v>18350</v>
      </c>
      <c r="M478">
        <f t="shared" si="91"/>
        <v>0</v>
      </c>
      <c r="N478" s="5">
        <f t="shared" si="95"/>
        <v>46380</v>
      </c>
      <c r="AF478" s="1">
        <v>45403</v>
      </c>
      <c r="AG478">
        <f t="shared" si="92"/>
        <v>-150</v>
      </c>
    </row>
    <row r="479" spans="1:33" x14ac:dyDescent="0.25">
      <c r="A479" s="1">
        <v>45404</v>
      </c>
      <c r="B479" t="s">
        <v>3</v>
      </c>
      <c r="C479">
        <f t="shared" si="89"/>
        <v>0.5</v>
      </c>
      <c r="D479">
        <f t="shared" si="90"/>
        <v>1</v>
      </c>
      <c r="F479">
        <f t="shared" si="93"/>
        <v>28030</v>
      </c>
      <c r="G479">
        <f t="shared" si="84"/>
        <v>28030</v>
      </c>
      <c r="H479">
        <f t="shared" si="85"/>
        <v>5</v>
      </c>
      <c r="I479">
        <f t="shared" si="86"/>
        <v>150</v>
      </c>
      <c r="J479" s="3">
        <f t="shared" si="87"/>
        <v>28180</v>
      </c>
      <c r="K479">
        <f t="shared" si="88"/>
        <v>0</v>
      </c>
      <c r="L479" s="4">
        <f t="shared" si="94"/>
        <v>18350</v>
      </c>
      <c r="M479">
        <f t="shared" si="91"/>
        <v>150</v>
      </c>
      <c r="N479" s="5">
        <f t="shared" si="95"/>
        <v>46530</v>
      </c>
      <c r="AF479" s="1">
        <v>45404</v>
      </c>
      <c r="AG479">
        <f t="shared" si="92"/>
        <v>150</v>
      </c>
    </row>
    <row r="480" spans="1:33" x14ac:dyDescent="0.25">
      <c r="A480" s="1">
        <v>45405</v>
      </c>
      <c r="B480" t="s">
        <v>3</v>
      </c>
      <c r="C480">
        <f t="shared" si="89"/>
        <v>0.5</v>
      </c>
      <c r="D480">
        <f t="shared" si="90"/>
        <v>2</v>
      </c>
      <c r="F480">
        <f t="shared" si="93"/>
        <v>28180</v>
      </c>
      <c r="G480">
        <f t="shared" si="84"/>
        <v>28180</v>
      </c>
      <c r="H480">
        <f t="shared" si="85"/>
        <v>5</v>
      </c>
      <c r="I480">
        <f t="shared" si="86"/>
        <v>150</v>
      </c>
      <c r="J480" s="3">
        <f t="shared" si="87"/>
        <v>28330</v>
      </c>
      <c r="K480">
        <f t="shared" si="88"/>
        <v>0</v>
      </c>
      <c r="L480" s="4">
        <f t="shared" si="94"/>
        <v>18350</v>
      </c>
      <c r="M480">
        <f t="shared" si="91"/>
        <v>150</v>
      </c>
      <c r="N480" s="5">
        <f t="shared" si="95"/>
        <v>46680</v>
      </c>
      <c r="AF480" s="1">
        <v>45405</v>
      </c>
      <c r="AG480">
        <f t="shared" si="92"/>
        <v>150</v>
      </c>
    </row>
    <row r="481" spans="1:33" x14ac:dyDescent="0.25">
      <c r="A481" s="1">
        <v>45406</v>
      </c>
      <c r="B481" t="s">
        <v>3</v>
      </c>
      <c r="C481">
        <f t="shared" si="89"/>
        <v>0.5</v>
      </c>
      <c r="D481">
        <f t="shared" si="90"/>
        <v>3</v>
      </c>
      <c r="F481">
        <f t="shared" si="93"/>
        <v>28330</v>
      </c>
      <c r="G481">
        <f t="shared" si="84"/>
        <v>28330</v>
      </c>
      <c r="H481">
        <f t="shared" si="85"/>
        <v>5</v>
      </c>
      <c r="I481">
        <f t="shared" si="86"/>
        <v>150</v>
      </c>
      <c r="J481" s="3">
        <f t="shared" si="87"/>
        <v>28480</v>
      </c>
      <c r="K481">
        <f t="shared" si="88"/>
        <v>0</v>
      </c>
      <c r="L481" s="4">
        <f t="shared" si="94"/>
        <v>18350</v>
      </c>
      <c r="M481">
        <f t="shared" si="91"/>
        <v>150</v>
      </c>
      <c r="N481" s="5">
        <f t="shared" si="95"/>
        <v>46830</v>
      </c>
      <c r="AF481" s="1">
        <v>45406</v>
      </c>
      <c r="AG481">
        <f t="shared" si="92"/>
        <v>150</v>
      </c>
    </row>
    <row r="482" spans="1:33" x14ac:dyDescent="0.25">
      <c r="A482" s="1">
        <v>45407</v>
      </c>
      <c r="B482" t="s">
        <v>3</v>
      </c>
      <c r="C482">
        <f t="shared" si="89"/>
        <v>0.5</v>
      </c>
      <c r="D482">
        <f t="shared" si="90"/>
        <v>4</v>
      </c>
      <c r="F482">
        <f t="shared" si="93"/>
        <v>28480</v>
      </c>
      <c r="G482">
        <f t="shared" si="84"/>
        <v>28480</v>
      </c>
      <c r="H482">
        <f t="shared" si="85"/>
        <v>5</v>
      </c>
      <c r="I482">
        <f t="shared" si="86"/>
        <v>150</v>
      </c>
      <c r="J482" s="3">
        <f t="shared" si="87"/>
        <v>28630</v>
      </c>
      <c r="K482">
        <f t="shared" si="88"/>
        <v>0</v>
      </c>
      <c r="L482" s="4">
        <f t="shared" si="94"/>
        <v>18350</v>
      </c>
      <c r="M482">
        <f t="shared" si="91"/>
        <v>150</v>
      </c>
      <c r="N482" s="5">
        <f t="shared" si="95"/>
        <v>46980</v>
      </c>
      <c r="AF482" s="1">
        <v>45407</v>
      </c>
      <c r="AG482">
        <f t="shared" si="92"/>
        <v>150</v>
      </c>
    </row>
    <row r="483" spans="1:33" x14ac:dyDescent="0.25">
      <c r="A483" s="1">
        <v>45408</v>
      </c>
      <c r="B483" t="s">
        <v>3</v>
      </c>
      <c r="C483">
        <f t="shared" si="89"/>
        <v>0.5</v>
      </c>
      <c r="D483">
        <f t="shared" si="90"/>
        <v>5</v>
      </c>
      <c r="F483">
        <f t="shared" si="93"/>
        <v>28630</v>
      </c>
      <c r="G483">
        <f t="shared" si="84"/>
        <v>28630</v>
      </c>
      <c r="H483">
        <f t="shared" si="85"/>
        <v>5</v>
      </c>
      <c r="I483">
        <f t="shared" si="86"/>
        <v>150</v>
      </c>
      <c r="J483" s="3">
        <f t="shared" si="87"/>
        <v>28780</v>
      </c>
      <c r="K483">
        <f t="shared" si="88"/>
        <v>0</v>
      </c>
      <c r="L483" s="4">
        <f t="shared" si="94"/>
        <v>18350</v>
      </c>
      <c r="M483">
        <f t="shared" si="91"/>
        <v>150</v>
      </c>
      <c r="N483" s="5">
        <f t="shared" si="95"/>
        <v>47130</v>
      </c>
      <c r="AF483" s="1">
        <v>45408</v>
      </c>
      <c r="AG483">
        <f t="shared" si="92"/>
        <v>150</v>
      </c>
    </row>
    <row r="484" spans="1:33" x14ac:dyDescent="0.25">
      <c r="A484" s="1">
        <v>45409</v>
      </c>
      <c r="B484" t="s">
        <v>3</v>
      </c>
      <c r="C484">
        <f t="shared" si="89"/>
        <v>0.5</v>
      </c>
      <c r="D484">
        <f t="shared" si="90"/>
        <v>6</v>
      </c>
      <c r="F484">
        <f t="shared" si="93"/>
        <v>28780</v>
      </c>
      <c r="G484">
        <f t="shared" si="84"/>
        <v>28780</v>
      </c>
      <c r="H484">
        <f t="shared" si="85"/>
        <v>5</v>
      </c>
      <c r="I484">
        <f t="shared" si="86"/>
        <v>150</v>
      </c>
      <c r="J484" s="3">
        <f t="shared" si="87"/>
        <v>28780</v>
      </c>
      <c r="K484">
        <f t="shared" si="88"/>
        <v>0</v>
      </c>
      <c r="L484" s="4">
        <f t="shared" si="94"/>
        <v>18350</v>
      </c>
      <c r="M484">
        <f t="shared" si="91"/>
        <v>0</v>
      </c>
      <c r="N484" s="5">
        <f t="shared" si="95"/>
        <v>47130</v>
      </c>
      <c r="AF484" s="1">
        <v>45409</v>
      </c>
      <c r="AG484">
        <f t="shared" si="92"/>
        <v>0</v>
      </c>
    </row>
    <row r="485" spans="1:33" x14ac:dyDescent="0.25">
      <c r="A485" s="1">
        <v>45410</v>
      </c>
      <c r="B485" t="s">
        <v>3</v>
      </c>
      <c r="C485">
        <f t="shared" si="89"/>
        <v>0.5</v>
      </c>
      <c r="D485">
        <f t="shared" si="90"/>
        <v>7</v>
      </c>
      <c r="F485">
        <f t="shared" si="93"/>
        <v>28780</v>
      </c>
      <c r="G485">
        <f t="shared" si="84"/>
        <v>28630</v>
      </c>
      <c r="H485">
        <f t="shared" si="85"/>
        <v>5</v>
      </c>
      <c r="I485">
        <f t="shared" si="86"/>
        <v>150</v>
      </c>
      <c r="J485" s="3">
        <f t="shared" si="87"/>
        <v>28630</v>
      </c>
      <c r="K485">
        <f t="shared" si="88"/>
        <v>150</v>
      </c>
      <c r="L485" s="4">
        <f t="shared" si="94"/>
        <v>18500</v>
      </c>
      <c r="M485">
        <f t="shared" si="91"/>
        <v>0</v>
      </c>
      <c r="N485" s="5">
        <f t="shared" si="95"/>
        <v>47130</v>
      </c>
      <c r="AF485" s="1">
        <v>45410</v>
      </c>
      <c r="AG485">
        <f t="shared" si="92"/>
        <v>-150</v>
      </c>
    </row>
    <row r="486" spans="1:33" x14ac:dyDescent="0.25">
      <c r="A486" s="1">
        <v>45411</v>
      </c>
      <c r="B486" t="s">
        <v>3</v>
      </c>
      <c r="C486">
        <f t="shared" si="89"/>
        <v>0.5</v>
      </c>
      <c r="D486">
        <f t="shared" si="90"/>
        <v>1</v>
      </c>
      <c r="F486">
        <f t="shared" si="93"/>
        <v>28630</v>
      </c>
      <c r="G486">
        <f t="shared" si="84"/>
        <v>28630</v>
      </c>
      <c r="H486">
        <f t="shared" si="85"/>
        <v>5</v>
      </c>
      <c r="I486">
        <f t="shared" si="86"/>
        <v>150</v>
      </c>
      <c r="J486" s="3">
        <f t="shared" si="87"/>
        <v>28780</v>
      </c>
      <c r="K486">
        <f t="shared" si="88"/>
        <v>0</v>
      </c>
      <c r="L486" s="4">
        <f t="shared" si="94"/>
        <v>18500</v>
      </c>
      <c r="M486">
        <f t="shared" si="91"/>
        <v>150</v>
      </c>
      <c r="N486" s="5">
        <f t="shared" si="95"/>
        <v>47280</v>
      </c>
      <c r="AF486" s="1">
        <v>45411</v>
      </c>
      <c r="AG486">
        <f t="shared" si="92"/>
        <v>150</v>
      </c>
    </row>
    <row r="487" spans="1:33" x14ac:dyDescent="0.25">
      <c r="A487" s="1">
        <v>45412</v>
      </c>
      <c r="B487" t="s">
        <v>3</v>
      </c>
      <c r="C487">
        <f t="shared" si="89"/>
        <v>0.5</v>
      </c>
      <c r="D487">
        <f t="shared" si="90"/>
        <v>2</v>
      </c>
      <c r="F487">
        <f t="shared" si="93"/>
        <v>28780</v>
      </c>
      <c r="G487">
        <f t="shared" si="84"/>
        <v>28780</v>
      </c>
      <c r="H487">
        <f t="shared" si="85"/>
        <v>5</v>
      </c>
      <c r="I487">
        <f t="shared" si="86"/>
        <v>150</v>
      </c>
      <c r="J487" s="3">
        <f t="shared" si="87"/>
        <v>28930</v>
      </c>
      <c r="K487">
        <f t="shared" si="88"/>
        <v>0</v>
      </c>
      <c r="L487" s="4">
        <f t="shared" si="94"/>
        <v>18500</v>
      </c>
      <c r="M487">
        <f t="shared" si="91"/>
        <v>150</v>
      </c>
      <c r="N487" s="5">
        <f t="shared" si="95"/>
        <v>47430</v>
      </c>
      <c r="AF487" s="1">
        <v>45412</v>
      </c>
      <c r="AG487">
        <f t="shared" si="92"/>
        <v>150</v>
      </c>
    </row>
    <row r="488" spans="1:33" x14ac:dyDescent="0.25">
      <c r="A488" s="1">
        <v>45413</v>
      </c>
      <c r="B488" t="s">
        <v>3</v>
      </c>
      <c r="C488">
        <f t="shared" si="89"/>
        <v>0.5</v>
      </c>
      <c r="D488">
        <f t="shared" si="90"/>
        <v>3</v>
      </c>
      <c r="F488">
        <f t="shared" si="93"/>
        <v>28930</v>
      </c>
      <c r="G488">
        <f t="shared" si="84"/>
        <v>28930</v>
      </c>
      <c r="H488">
        <f t="shared" si="85"/>
        <v>5</v>
      </c>
      <c r="I488">
        <f t="shared" si="86"/>
        <v>150</v>
      </c>
      <c r="J488" s="3">
        <f t="shared" si="87"/>
        <v>29080</v>
      </c>
      <c r="K488">
        <f t="shared" si="88"/>
        <v>0</v>
      </c>
      <c r="L488" s="4">
        <f t="shared" si="94"/>
        <v>18500</v>
      </c>
      <c r="M488">
        <f t="shared" si="91"/>
        <v>150</v>
      </c>
      <c r="N488" s="5">
        <f t="shared" si="95"/>
        <v>47580</v>
      </c>
      <c r="AF488" s="1">
        <v>45413</v>
      </c>
      <c r="AG488">
        <f t="shared" si="92"/>
        <v>150</v>
      </c>
    </row>
    <row r="489" spans="1:33" x14ac:dyDescent="0.25">
      <c r="A489" s="1">
        <v>45414</v>
      </c>
      <c r="B489" t="s">
        <v>3</v>
      </c>
      <c r="C489">
        <f t="shared" si="89"/>
        <v>0.5</v>
      </c>
      <c r="D489">
        <f t="shared" si="90"/>
        <v>4</v>
      </c>
      <c r="F489">
        <f t="shared" si="93"/>
        <v>29080</v>
      </c>
      <c r="G489">
        <f t="shared" si="84"/>
        <v>29080</v>
      </c>
      <c r="H489">
        <f t="shared" si="85"/>
        <v>5</v>
      </c>
      <c r="I489">
        <f t="shared" si="86"/>
        <v>150</v>
      </c>
      <c r="J489" s="3">
        <f t="shared" si="87"/>
        <v>29230</v>
      </c>
      <c r="K489">
        <f t="shared" si="88"/>
        <v>0</v>
      </c>
      <c r="L489" s="4">
        <f t="shared" si="94"/>
        <v>18500</v>
      </c>
      <c r="M489">
        <f t="shared" si="91"/>
        <v>150</v>
      </c>
      <c r="N489" s="5">
        <f t="shared" si="95"/>
        <v>47730</v>
      </c>
      <c r="AF489" s="1">
        <v>45414</v>
      </c>
      <c r="AG489">
        <f t="shared" si="92"/>
        <v>150</v>
      </c>
    </row>
    <row r="490" spans="1:33" x14ac:dyDescent="0.25">
      <c r="A490" s="1">
        <v>45415</v>
      </c>
      <c r="B490" t="s">
        <v>3</v>
      </c>
      <c r="C490">
        <f t="shared" si="89"/>
        <v>0.5</v>
      </c>
      <c r="D490">
        <f t="shared" si="90"/>
        <v>5</v>
      </c>
      <c r="F490">
        <f t="shared" si="93"/>
        <v>29230</v>
      </c>
      <c r="G490">
        <f t="shared" si="84"/>
        <v>29230</v>
      </c>
      <c r="H490">
        <f t="shared" si="85"/>
        <v>5</v>
      </c>
      <c r="I490">
        <f t="shared" si="86"/>
        <v>150</v>
      </c>
      <c r="J490" s="3">
        <f t="shared" si="87"/>
        <v>29380</v>
      </c>
      <c r="K490">
        <f t="shared" si="88"/>
        <v>0</v>
      </c>
      <c r="L490" s="4">
        <f t="shared" si="94"/>
        <v>18500</v>
      </c>
      <c r="M490">
        <f t="shared" si="91"/>
        <v>150</v>
      </c>
      <c r="N490" s="5">
        <f t="shared" si="95"/>
        <v>47880</v>
      </c>
      <c r="AF490" s="1">
        <v>45415</v>
      </c>
      <c r="AG490">
        <f t="shared" si="92"/>
        <v>150</v>
      </c>
    </row>
    <row r="491" spans="1:33" x14ac:dyDescent="0.25">
      <c r="A491" s="1">
        <v>45416</v>
      </c>
      <c r="B491" t="s">
        <v>3</v>
      </c>
      <c r="C491">
        <f t="shared" si="89"/>
        <v>0.5</v>
      </c>
      <c r="D491">
        <f t="shared" si="90"/>
        <v>6</v>
      </c>
      <c r="F491">
        <f t="shared" si="93"/>
        <v>29380</v>
      </c>
      <c r="G491">
        <f t="shared" si="84"/>
        <v>29380</v>
      </c>
      <c r="H491">
        <f t="shared" si="85"/>
        <v>5</v>
      </c>
      <c r="I491">
        <f t="shared" si="86"/>
        <v>150</v>
      </c>
      <c r="J491" s="3">
        <f t="shared" si="87"/>
        <v>29380</v>
      </c>
      <c r="K491">
        <f t="shared" si="88"/>
        <v>0</v>
      </c>
      <c r="L491" s="4">
        <f t="shared" si="94"/>
        <v>18500</v>
      </c>
      <c r="M491">
        <f t="shared" si="91"/>
        <v>0</v>
      </c>
      <c r="N491" s="5">
        <f t="shared" si="95"/>
        <v>47880</v>
      </c>
      <c r="AF491" s="1">
        <v>45416</v>
      </c>
      <c r="AG491">
        <f t="shared" si="92"/>
        <v>0</v>
      </c>
    </row>
    <row r="492" spans="1:33" x14ac:dyDescent="0.25">
      <c r="A492" s="1">
        <v>45417</v>
      </c>
      <c r="B492" t="s">
        <v>3</v>
      </c>
      <c r="C492">
        <f t="shared" si="89"/>
        <v>0.5</v>
      </c>
      <c r="D492">
        <f t="shared" si="90"/>
        <v>7</v>
      </c>
      <c r="F492">
        <f t="shared" si="93"/>
        <v>29380</v>
      </c>
      <c r="G492">
        <f t="shared" si="84"/>
        <v>29230</v>
      </c>
      <c r="H492">
        <f t="shared" si="85"/>
        <v>5</v>
      </c>
      <c r="I492">
        <f t="shared" si="86"/>
        <v>150</v>
      </c>
      <c r="J492" s="3">
        <f t="shared" si="87"/>
        <v>29230</v>
      </c>
      <c r="K492">
        <f t="shared" si="88"/>
        <v>150</v>
      </c>
      <c r="L492" s="4">
        <f t="shared" si="94"/>
        <v>18650</v>
      </c>
      <c r="M492">
        <f t="shared" si="91"/>
        <v>0</v>
      </c>
      <c r="N492" s="5">
        <f t="shared" si="95"/>
        <v>47880</v>
      </c>
      <c r="AF492" s="1">
        <v>45417</v>
      </c>
      <c r="AG492">
        <f t="shared" si="92"/>
        <v>-150</v>
      </c>
    </row>
    <row r="493" spans="1:33" x14ac:dyDescent="0.25">
      <c r="A493" s="1">
        <v>45418</v>
      </c>
      <c r="B493" t="s">
        <v>3</v>
      </c>
      <c r="C493">
        <f t="shared" si="89"/>
        <v>0.5</v>
      </c>
      <c r="D493">
        <f t="shared" si="90"/>
        <v>1</v>
      </c>
      <c r="F493">
        <f t="shared" si="93"/>
        <v>29230</v>
      </c>
      <c r="G493">
        <f t="shared" si="84"/>
        <v>29230</v>
      </c>
      <c r="H493">
        <f t="shared" si="85"/>
        <v>5</v>
      </c>
      <c r="I493">
        <f t="shared" si="86"/>
        <v>150</v>
      </c>
      <c r="J493" s="3">
        <f t="shared" si="87"/>
        <v>29380</v>
      </c>
      <c r="K493">
        <f t="shared" si="88"/>
        <v>0</v>
      </c>
      <c r="L493" s="4">
        <f t="shared" si="94"/>
        <v>18650</v>
      </c>
      <c r="M493">
        <f t="shared" si="91"/>
        <v>150</v>
      </c>
      <c r="N493" s="5">
        <f t="shared" si="95"/>
        <v>48030</v>
      </c>
      <c r="AF493" s="1">
        <v>45418</v>
      </c>
      <c r="AG493">
        <f t="shared" si="92"/>
        <v>150</v>
      </c>
    </row>
    <row r="494" spans="1:33" x14ac:dyDescent="0.25">
      <c r="A494" s="1">
        <v>45419</v>
      </c>
      <c r="B494" t="s">
        <v>3</v>
      </c>
      <c r="C494">
        <f t="shared" si="89"/>
        <v>0.5</v>
      </c>
      <c r="D494">
        <f t="shared" si="90"/>
        <v>2</v>
      </c>
      <c r="F494">
        <f t="shared" si="93"/>
        <v>29380</v>
      </c>
      <c r="G494">
        <f t="shared" si="84"/>
        <v>29380</v>
      </c>
      <c r="H494">
        <f t="shared" si="85"/>
        <v>5</v>
      </c>
      <c r="I494">
        <f t="shared" si="86"/>
        <v>150</v>
      </c>
      <c r="J494" s="3">
        <f t="shared" si="87"/>
        <v>29530</v>
      </c>
      <c r="K494">
        <f t="shared" si="88"/>
        <v>0</v>
      </c>
      <c r="L494" s="4">
        <f t="shared" si="94"/>
        <v>18650</v>
      </c>
      <c r="M494">
        <f t="shared" si="91"/>
        <v>150</v>
      </c>
      <c r="N494" s="5">
        <f t="shared" si="95"/>
        <v>48180</v>
      </c>
      <c r="AF494" s="1">
        <v>45419</v>
      </c>
      <c r="AG494">
        <f t="shared" si="92"/>
        <v>150</v>
      </c>
    </row>
    <row r="495" spans="1:33" x14ac:dyDescent="0.25">
      <c r="A495" s="1">
        <v>45420</v>
      </c>
      <c r="B495" t="s">
        <v>3</v>
      </c>
      <c r="C495">
        <f t="shared" si="89"/>
        <v>0.5</v>
      </c>
      <c r="D495">
        <f t="shared" si="90"/>
        <v>3</v>
      </c>
      <c r="F495">
        <f t="shared" si="93"/>
        <v>29530</v>
      </c>
      <c r="G495">
        <f t="shared" si="84"/>
        <v>29530</v>
      </c>
      <c r="H495">
        <f t="shared" si="85"/>
        <v>5</v>
      </c>
      <c r="I495">
        <f t="shared" si="86"/>
        <v>150</v>
      </c>
      <c r="J495" s="3">
        <f t="shared" si="87"/>
        <v>29680</v>
      </c>
      <c r="K495">
        <f t="shared" si="88"/>
        <v>0</v>
      </c>
      <c r="L495" s="4">
        <f t="shared" si="94"/>
        <v>18650</v>
      </c>
      <c r="M495">
        <f t="shared" si="91"/>
        <v>150</v>
      </c>
      <c r="N495" s="5">
        <f t="shared" si="95"/>
        <v>48330</v>
      </c>
      <c r="AF495" s="1">
        <v>45420</v>
      </c>
      <c r="AG495">
        <f t="shared" si="92"/>
        <v>150</v>
      </c>
    </row>
    <row r="496" spans="1:33" x14ac:dyDescent="0.25">
      <c r="A496" s="1">
        <v>45421</v>
      </c>
      <c r="B496" t="s">
        <v>3</v>
      </c>
      <c r="C496">
        <f t="shared" si="89"/>
        <v>0.5</v>
      </c>
      <c r="D496">
        <f t="shared" si="90"/>
        <v>4</v>
      </c>
      <c r="F496">
        <f t="shared" si="93"/>
        <v>29680</v>
      </c>
      <c r="G496">
        <f t="shared" si="84"/>
        <v>29680</v>
      </c>
      <c r="H496">
        <f t="shared" si="85"/>
        <v>5</v>
      </c>
      <c r="I496">
        <f t="shared" si="86"/>
        <v>150</v>
      </c>
      <c r="J496" s="3">
        <f t="shared" si="87"/>
        <v>29830</v>
      </c>
      <c r="K496">
        <f t="shared" si="88"/>
        <v>0</v>
      </c>
      <c r="L496" s="4">
        <f t="shared" si="94"/>
        <v>18650</v>
      </c>
      <c r="M496">
        <f t="shared" si="91"/>
        <v>150</v>
      </c>
      <c r="N496" s="5">
        <f t="shared" si="95"/>
        <v>48480</v>
      </c>
      <c r="AF496" s="1">
        <v>45421</v>
      </c>
      <c r="AG496">
        <f t="shared" si="92"/>
        <v>150</v>
      </c>
    </row>
    <row r="497" spans="1:33" x14ac:dyDescent="0.25">
      <c r="A497" s="1">
        <v>45422</v>
      </c>
      <c r="B497" t="s">
        <v>3</v>
      </c>
      <c r="C497">
        <f t="shared" si="89"/>
        <v>0.5</v>
      </c>
      <c r="D497">
        <f t="shared" si="90"/>
        <v>5</v>
      </c>
      <c r="F497">
        <f t="shared" si="93"/>
        <v>29830</v>
      </c>
      <c r="G497">
        <f t="shared" si="84"/>
        <v>29830</v>
      </c>
      <c r="H497">
        <f t="shared" si="85"/>
        <v>5</v>
      </c>
      <c r="I497">
        <f t="shared" si="86"/>
        <v>150</v>
      </c>
      <c r="J497" s="3">
        <f t="shared" si="87"/>
        <v>29980</v>
      </c>
      <c r="K497">
        <f t="shared" si="88"/>
        <v>0</v>
      </c>
      <c r="L497" s="4">
        <f t="shared" si="94"/>
        <v>18650</v>
      </c>
      <c r="M497">
        <f t="shared" si="91"/>
        <v>150</v>
      </c>
      <c r="N497" s="5">
        <f t="shared" si="95"/>
        <v>48630</v>
      </c>
      <c r="AF497" s="1">
        <v>45422</v>
      </c>
      <c r="AG497">
        <f t="shared" si="92"/>
        <v>150</v>
      </c>
    </row>
    <row r="498" spans="1:33" x14ac:dyDescent="0.25">
      <c r="A498" s="1">
        <v>45423</v>
      </c>
      <c r="B498" t="s">
        <v>3</v>
      </c>
      <c r="C498">
        <f t="shared" si="89"/>
        <v>0.5</v>
      </c>
      <c r="D498">
        <f t="shared" si="90"/>
        <v>6</v>
      </c>
      <c r="F498">
        <f t="shared" si="93"/>
        <v>29980</v>
      </c>
      <c r="G498">
        <f t="shared" si="84"/>
        <v>29980</v>
      </c>
      <c r="H498">
        <f t="shared" si="85"/>
        <v>5</v>
      </c>
      <c r="I498">
        <f t="shared" si="86"/>
        <v>150</v>
      </c>
      <c r="J498" s="3">
        <f t="shared" si="87"/>
        <v>29980</v>
      </c>
      <c r="K498">
        <f t="shared" si="88"/>
        <v>0</v>
      </c>
      <c r="L498" s="4">
        <f t="shared" si="94"/>
        <v>18650</v>
      </c>
      <c r="M498">
        <f t="shared" si="91"/>
        <v>0</v>
      </c>
      <c r="N498" s="5">
        <f t="shared" si="95"/>
        <v>48630</v>
      </c>
      <c r="AF498" s="1">
        <v>45423</v>
      </c>
      <c r="AG498">
        <f t="shared" si="92"/>
        <v>0</v>
      </c>
    </row>
    <row r="499" spans="1:33" x14ac:dyDescent="0.25">
      <c r="A499" s="1">
        <v>45424</v>
      </c>
      <c r="B499" t="s">
        <v>3</v>
      </c>
      <c r="C499">
        <f t="shared" si="89"/>
        <v>0.5</v>
      </c>
      <c r="D499">
        <f t="shared" si="90"/>
        <v>7</v>
      </c>
      <c r="F499">
        <f t="shared" si="93"/>
        <v>29980</v>
      </c>
      <c r="G499">
        <f t="shared" si="84"/>
        <v>29830</v>
      </c>
      <c r="H499">
        <f t="shared" si="85"/>
        <v>5</v>
      </c>
      <c r="I499">
        <f t="shared" si="86"/>
        <v>150</v>
      </c>
      <c r="J499" s="3">
        <f t="shared" si="87"/>
        <v>29830</v>
      </c>
      <c r="K499">
        <f t="shared" si="88"/>
        <v>150</v>
      </c>
      <c r="L499" s="4">
        <f t="shared" si="94"/>
        <v>18800</v>
      </c>
      <c r="M499">
        <f t="shared" si="91"/>
        <v>0</v>
      </c>
      <c r="N499" s="5">
        <f t="shared" si="95"/>
        <v>48630</v>
      </c>
      <c r="AF499" s="1">
        <v>45424</v>
      </c>
      <c r="AG499">
        <f t="shared" si="92"/>
        <v>-150</v>
      </c>
    </row>
    <row r="500" spans="1:33" x14ac:dyDescent="0.25">
      <c r="A500" s="1">
        <v>45425</v>
      </c>
      <c r="B500" t="s">
        <v>3</v>
      </c>
      <c r="C500">
        <f t="shared" si="89"/>
        <v>0.5</v>
      </c>
      <c r="D500">
        <f t="shared" si="90"/>
        <v>1</v>
      </c>
      <c r="F500">
        <f t="shared" si="93"/>
        <v>29830</v>
      </c>
      <c r="G500">
        <f t="shared" si="84"/>
        <v>29830</v>
      </c>
      <c r="H500">
        <f t="shared" si="85"/>
        <v>5</v>
      </c>
      <c r="I500">
        <f t="shared" si="86"/>
        <v>150</v>
      </c>
      <c r="J500" s="3">
        <f t="shared" si="87"/>
        <v>29980</v>
      </c>
      <c r="K500">
        <f t="shared" si="88"/>
        <v>0</v>
      </c>
      <c r="L500" s="4">
        <f t="shared" si="94"/>
        <v>18800</v>
      </c>
      <c r="M500">
        <f t="shared" si="91"/>
        <v>150</v>
      </c>
      <c r="N500" s="5">
        <f t="shared" si="95"/>
        <v>48780</v>
      </c>
      <c r="AF500" s="1">
        <v>45425</v>
      </c>
      <c r="AG500">
        <f t="shared" si="92"/>
        <v>150</v>
      </c>
    </row>
    <row r="501" spans="1:33" x14ac:dyDescent="0.25">
      <c r="A501" s="1">
        <v>45426</v>
      </c>
      <c r="B501" t="s">
        <v>3</v>
      </c>
      <c r="C501">
        <f t="shared" si="89"/>
        <v>0.5</v>
      </c>
      <c r="D501">
        <f t="shared" si="90"/>
        <v>2</v>
      </c>
      <c r="F501">
        <f t="shared" si="93"/>
        <v>29980</v>
      </c>
      <c r="G501">
        <f t="shared" si="84"/>
        <v>29980</v>
      </c>
      <c r="H501">
        <f t="shared" si="85"/>
        <v>5</v>
      </c>
      <c r="I501">
        <f t="shared" si="86"/>
        <v>150</v>
      </c>
      <c r="J501" s="3">
        <f t="shared" si="87"/>
        <v>30130</v>
      </c>
      <c r="K501">
        <f t="shared" si="88"/>
        <v>0</v>
      </c>
      <c r="L501" s="4">
        <f t="shared" si="94"/>
        <v>18800</v>
      </c>
      <c r="M501">
        <f t="shared" si="91"/>
        <v>150</v>
      </c>
      <c r="N501" s="5">
        <f t="shared" si="95"/>
        <v>48930</v>
      </c>
      <c r="AF501" s="1">
        <v>45426</v>
      </c>
      <c r="AG501">
        <f t="shared" si="92"/>
        <v>150</v>
      </c>
    </row>
    <row r="502" spans="1:33" x14ac:dyDescent="0.25">
      <c r="A502" s="1">
        <v>45427</v>
      </c>
      <c r="B502" t="s">
        <v>3</v>
      </c>
      <c r="C502">
        <f t="shared" si="89"/>
        <v>0.5</v>
      </c>
      <c r="D502">
        <f t="shared" si="90"/>
        <v>3</v>
      </c>
      <c r="F502">
        <f t="shared" si="93"/>
        <v>30130</v>
      </c>
      <c r="G502">
        <f t="shared" si="84"/>
        <v>30130</v>
      </c>
      <c r="H502">
        <f t="shared" si="85"/>
        <v>5</v>
      </c>
      <c r="I502">
        <f t="shared" si="86"/>
        <v>150</v>
      </c>
      <c r="J502" s="3">
        <f t="shared" si="87"/>
        <v>30280</v>
      </c>
      <c r="K502">
        <f t="shared" si="88"/>
        <v>0</v>
      </c>
      <c r="L502" s="4">
        <f t="shared" si="94"/>
        <v>18800</v>
      </c>
      <c r="M502">
        <f t="shared" si="91"/>
        <v>150</v>
      </c>
      <c r="N502" s="5">
        <f t="shared" si="95"/>
        <v>49080</v>
      </c>
      <c r="AF502" s="1">
        <v>45427</v>
      </c>
      <c r="AG502">
        <f t="shared" si="92"/>
        <v>150</v>
      </c>
    </row>
    <row r="503" spans="1:33" x14ac:dyDescent="0.25">
      <c r="A503" s="1">
        <v>45428</v>
      </c>
      <c r="B503" t="s">
        <v>3</v>
      </c>
      <c r="C503">
        <f t="shared" si="89"/>
        <v>0.5</v>
      </c>
      <c r="D503">
        <f t="shared" si="90"/>
        <v>4</v>
      </c>
      <c r="F503">
        <f t="shared" si="93"/>
        <v>30280</v>
      </c>
      <c r="G503">
        <f t="shared" si="84"/>
        <v>30280</v>
      </c>
      <c r="H503">
        <f t="shared" si="85"/>
        <v>5</v>
      </c>
      <c r="I503">
        <f t="shared" si="86"/>
        <v>150</v>
      </c>
      <c r="J503" s="3">
        <f t="shared" si="87"/>
        <v>30430</v>
      </c>
      <c r="K503">
        <f t="shared" si="88"/>
        <v>0</v>
      </c>
      <c r="L503" s="4">
        <f t="shared" si="94"/>
        <v>18800</v>
      </c>
      <c r="M503">
        <f t="shared" si="91"/>
        <v>150</v>
      </c>
      <c r="N503" s="5">
        <f t="shared" si="95"/>
        <v>49230</v>
      </c>
      <c r="AF503" s="1">
        <v>45428</v>
      </c>
      <c r="AG503">
        <f t="shared" si="92"/>
        <v>150</v>
      </c>
    </row>
    <row r="504" spans="1:33" x14ac:dyDescent="0.25">
      <c r="A504" s="1">
        <v>45429</v>
      </c>
      <c r="B504" t="s">
        <v>3</v>
      </c>
      <c r="C504">
        <f t="shared" si="89"/>
        <v>0.5</v>
      </c>
      <c r="D504">
        <f t="shared" si="90"/>
        <v>5</v>
      </c>
      <c r="F504">
        <f t="shared" si="93"/>
        <v>30430</v>
      </c>
      <c r="G504">
        <f t="shared" si="84"/>
        <v>30430</v>
      </c>
      <c r="H504">
        <f t="shared" si="85"/>
        <v>5</v>
      </c>
      <c r="I504">
        <f t="shared" si="86"/>
        <v>150</v>
      </c>
      <c r="J504" s="3">
        <f t="shared" si="87"/>
        <v>30580</v>
      </c>
      <c r="K504">
        <f t="shared" si="88"/>
        <v>0</v>
      </c>
      <c r="L504" s="4">
        <f t="shared" si="94"/>
        <v>18800</v>
      </c>
      <c r="M504">
        <f t="shared" si="91"/>
        <v>150</v>
      </c>
      <c r="N504" s="5">
        <f t="shared" si="95"/>
        <v>49380</v>
      </c>
      <c r="AF504" s="1">
        <v>45429</v>
      </c>
      <c r="AG504">
        <f t="shared" si="92"/>
        <v>150</v>
      </c>
    </row>
    <row r="505" spans="1:33" x14ac:dyDescent="0.25">
      <c r="A505" s="1">
        <v>45430</v>
      </c>
      <c r="B505" t="s">
        <v>3</v>
      </c>
      <c r="C505">
        <f t="shared" si="89"/>
        <v>0.5</v>
      </c>
      <c r="D505">
        <f t="shared" si="90"/>
        <v>6</v>
      </c>
      <c r="F505">
        <f t="shared" si="93"/>
        <v>30580</v>
      </c>
      <c r="G505">
        <f t="shared" si="84"/>
        <v>30580</v>
      </c>
      <c r="H505">
        <f t="shared" si="85"/>
        <v>5</v>
      </c>
      <c r="I505">
        <f t="shared" si="86"/>
        <v>150</v>
      </c>
      <c r="J505" s="3">
        <f t="shared" si="87"/>
        <v>30580</v>
      </c>
      <c r="K505">
        <f t="shared" si="88"/>
        <v>0</v>
      </c>
      <c r="L505" s="4">
        <f t="shared" si="94"/>
        <v>18800</v>
      </c>
      <c r="M505">
        <f t="shared" si="91"/>
        <v>0</v>
      </c>
      <c r="N505" s="5">
        <f t="shared" si="95"/>
        <v>49380</v>
      </c>
      <c r="AF505" s="1">
        <v>45430</v>
      </c>
      <c r="AG505">
        <f t="shared" si="92"/>
        <v>0</v>
      </c>
    </row>
    <row r="506" spans="1:33" x14ac:dyDescent="0.25">
      <c r="A506" s="1">
        <v>45431</v>
      </c>
      <c r="B506" t="s">
        <v>3</v>
      </c>
      <c r="C506">
        <f t="shared" si="89"/>
        <v>0.5</v>
      </c>
      <c r="D506">
        <f t="shared" si="90"/>
        <v>7</v>
      </c>
      <c r="F506">
        <f t="shared" si="93"/>
        <v>30580</v>
      </c>
      <c r="G506">
        <f t="shared" si="84"/>
        <v>30430</v>
      </c>
      <c r="H506">
        <f t="shared" si="85"/>
        <v>5</v>
      </c>
      <c r="I506">
        <f t="shared" si="86"/>
        <v>150</v>
      </c>
      <c r="J506" s="3">
        <f t="shared" si="87"/>
        <v>30430</v>
      </c>
      <c r="K506">
        <f t="shared" si="88"/>
        <v>150</v>
      </c>
      <c r="L506" s="4">
        <f t="shared" si="94"/>
        <v>18950</v>
      </c>
      <c r="M506">
        <f t="shared" si="91"/>
        <v>0</v>
      </c>
      <c r="N506" s="5">
        <f t="shared" si="95"/>
        <v>49380</v>
      </c>
      <c r="AF506" s="1">
        <v>45431</v>
      </c>
      <c r="AG506">
        <f t="shared" si="92"/>
        <v>-150</v>
      </c>
    </row>
    <row r="507" spans="1:33" x14ac:dyDescent="0.25">
      <c r="A507" s="1">
        <v>45432</v>
      </c>
      <c r="B507" t="s">
        <v>3</v>
      </c>
      <c r="C507">
        <f t="shared" si="89"/>
        <v>0.5</v>
      </c>
      <c r="D507">
        <f t="shared" si="90"/>
        <v>1</v>
      </c>
      <c r="F507">
        <f t="shared" si="93"/>
        <v>30430</v>
      </c>
      <c r="G507">
        <f t="shared" si="84"/>
        <v>30430</v>
      </c>
      <c r="H507">
        <f t="shared" si="85"/>
        <v>5</v>
      </c>
      <c r="I507">
        <f t="shared" si="86"/>
        <v>150</v>
      </c>
      <c r="J507" s="3">
        <f t="shared" si="87"/>
        <v>30580</v>
      </c>
      <c r="K507">
        <f t="shared" si="88"/>
        <v>0</v>
      </c>
      <c r="L507" s="4">
        <f t="shared" si="94"/>
        <v>18950</v>
      </c>
      <c r="M507">
        <f t="shared" si="91"/>
        <v>150</v>
      </c>
      <c r="N507" s="5">
        <f t="shared" si="95"/>
        <v>49530</v>
      </c>
      <c r="AF507" s="1">
        <v>45432</v>
      </c>
      <c r="AG507">
        <f t="shared" si="92"/>
        <v>150</v>
      </c>
    </row>
    <row r="508" spans="1:33" x14ac:dyDescent="0.25">
      <c r="A508" s="1">
        <v>45433</v>
      </c>
      <c r="B508" t="s">
        <v>3</v>
      </c>
      <c r="C508">
        <f t="shared" si="89"/>
        <v>0.5</v>
      </c>
      <c r="D508">
        <f t="shared" si="90"/>
        <v>2</v>
      </c>
      <c r="F508">
        <f t="shared" si="93"/>
        <v>30580</v>
      </c>
      <c r="G508">
        <f t="shared" si="84"/>
        <v>30580</v>
      </c>
      <c r="H508">
        <f t="shared" si="85"/>
        <v>5</v>
      </c>
      <c r="I508">
        <f t="shared" si="86"/>
        <v>150</v>
      </c>
      <c r="J508" s="3">
        <f t="shared" si="87"/>
        <v>30730</v>
      </c>
      <c r="K508">
        <f t="shared" si="88"/>
        <v>0</v>
      </c>
      <c r="L508" s="4">
        <f t="shared" si="94"/>
        <v>18950</v>
      </c>
      <c r="M508">
        <f t="shared" si="91"/>
        <v>150</v>
      </c>
      <c r="N508" s="5">
        <f t="shared" si="95"/>
        <v>49680</v>
      </c>
      <c r="AF508" s="1">
        <v>45433</v>
      </c>
      <c r="AG508">
        <f t="shared" si="92"/>
        <v>150</v>
      </c>
    </row>
    <row r="509" spans="1:33" x14ac:dyDescent="0.25">
      <c r="A509" s="1">
        <v>45434</v>
      </c>
      <c r="B509" t="s">
        <v>3</v>
      </c>
      <c r="C509">
        <f t="shared" si="89"/>
        <v>0.5</v>
      </c>
      <c r="D509">
        <f t="shared" si="90"/>
        <v>3</v>
      </c>
      <c r="F509">
        <f t="shared" si="93"/>
        <v>30730</v>
      </c>
      <c r="G509">
        <f t="shared" si="84"/>
        <v>30730</v>
      </c>
      <c r="H509">
        <f t="shared" si="85"/>
        <v>5</v>
      </c>
      <c r="I509">
        <f t="shared" si="86"/>
        <v>150</v>
      </c>
      <c r="J509" s="3">
        <f t="shared" si="87"/>
        <v>30880</v>
      </c>
      <c r="K509">
        <f t="shared" si="88"/>
        <v>0</v>
      </c>
      <c r="L509" s="4">
        <f t="shared" si="94"/>
        <v>18950</v>
      </c>
      <c r="M509">
        <f t="shared" si="91"/>
        <v>150</v>
      </c>
      <c r="N509" s="5">
        <f t="shared" si="95"/>
        <v>49830</v>
      </c>
      <c r="AF509" s="1">
        <v>45434</v>
      </c>
      <c r="AG509">
        <f t="shared" si="92"/>
        <v>150</v>
      </c>
    </row>
    <row r="510" spans="1:33" x14ac:dyDescent="0.25">
      <c r="A510" s="1">
        <v>45435</v>
      </c>
      <c r="B510" t="s">
        <v>3</v>
      </c>
      <c r="C510">
        <f t="shared" si="89"/>
        <v>0.5</v>
      </c>
      <c r="D510">
        <f t="shared" si="90"/>
        <v>4</v>
      </c>
      <c r="F510">
        <f t="shared" si="93"/>
        <v>30880</v>
      </c>
      <c r="G510">
        <f t="shared" si="84"/>
        <v>30880</v>
      </c>
      <c r="H510">
        <f t="shared" si="85"/>
        <v>5</v>
      </c>
      <c r="I510">
        <f t="shared" si="86"/>
        <v>150</v>
      </c>
      <c r="J510" s="3">
        <f t="shared" si="87"/>
        <v>31030</v>
      </c>
      <c r="K510">
        <f t="shared" si="88"/>
        <v>0</v>
      </c>
      <c r="L510" s="4">
        <f t="shared" si="94"/>
        <v>18950</v>
      </c>
      <c r="M510">
        <f t="shared" si="91"/>
        <v>150</v>
      </c>
      <c r="N510" s="5">
        <f t="shared" si="95"/>
        <v>49980</v>
      </c>
      <c r="AF510" s="1">
        <v>45435</v>
      </c>
      <c r="AG510">
        <f t="shared" si="92"/>
        <v>150</v>
      </c>
    </row>
    <row r="511" spans="1:33" x14ac:dyDescent="0.25">
      <c r="A511" s="1">
        <v>45436</v>
      </c>
      <c r="B511" t="s">
        <v>3</v>
      </c>
      <c r="C511">
        <f t="shared" si="89"/>
        <v>0.5</v>
      </c>
      <c r="D511">
        <f t="shared" si="90"/>
        <v>5</v>
      </c>
      <c r="F511">
        <f t="shared" si="93"/>
        <v>31030</v>
      </c>
      <c r="G511">
        <f t="shared" si="84"/>
        <v>31030</v>
      </c>
      <c r="H511">
        <f t="shared" si="85"/>
        <v>5</v>
      </c>
      <c r="I511">
        <f t="shared" si="86"/>
        <v>150</v>
      </c>
      <c r="J511" s="3">
        <f t="shared" si="87"/>
        <v>31180</v>
      </c>
      <c r="K511">
        <f t="shared" si="88"/>
        <v>0</v>
      </c>
      <c r="L511" s="4">
        <f t="shared" si="94"/>
        <v>18950</v>
      </c>
      <c r="M511">
        <f t="shared" si="91"/>
        <v>150</v>
      </c>
      <c r="N511" s="5">
        <f t="shared" si="95"/>
        <v>50130</v>
      </c>
      <c r="AF511" s="1">
        <v>45436</v>
      </c>
      <c r="AG511">
        <f t="shared" si="92"/>
        <v>150</v>
      </c>
    </row>
    <row r="512" spans="1:33" x14ac:dyDescent="0.25">
      <c r="A512" s="1">
        <v>45437</v>
      </c>
      <c r="B512" t="s">
        <v>3</v>
      </c>
      <c r="C512">
        <f t="shared" si="89"/>
        <v>0.5</v>
      </c>
      <c r="D512">
        <f t="shared" si="90"/>
        <v>6</v>
      </c>
      <c r="F512">
        <f t="shared" si="93"/>
        <v>31180</v>
      </c>
      <c r="G512">
        <f t="shared" si="84"/>
        <v>31180</v>
      </c>
      <c r="H512">
        <f t="shared" si="85"/>
        <v>5</v>
      </c>
      <c r="I512">
        <f t="shared" si="86"/>
        <v>150</v>
      </c>
      <c r="J512" s="3">
        <f t="shared" si="87"/>
        <v>31180</v>
      </c>
      <c r="K512">
        <f t="shared" si="88"/>
        <v>0</v>
      </c>
      <c r="L512" s="4">
        <f t="shared" si="94"/>
        <v>18950</v>
      </c>
      <c r="M512">
        <f t="shared" si="91"/>
        <v>0</v>
      </c>
      <c r="N512" s="5">
        <f t="shared" si="95"/>
        <v>50130</v>
      </c>
      <c r="AF512" s="1">
        <v>45437</v>
      </c>
      <c r="AG512">
        <f t="shared" si="92"/>
        <v>0</v>
      </c>
    </row>
    <row r="513" spans="1:33" x14ac:dyDescent="0.25">
      <c r="A513" s="1">
        <v>45438</v>
      </c>
      <c r="B513" t="s">
        <v>3</v>
      </c>
      <c r="C513">
        <f t="shared" si="89"/>
        <v>0.5</v>
      </c>
      <c r="D513">
        <f t="shared" si="90"/>
        <v>7</v>
      </c>
      <c r="F513">
        <f t="shared" si="93"/>
        <v>31180</v>
      </c>
      <c r="G513">
        <f t="shared" si="84"/>
        <v>31030</v>
      </c>
      <c r="H513">
        <f t="shared" si="85"/>
        <v>5</v>
      </c>
      <c r="I513">
        <f t="shared" si="86"/>
        <v>150</v>
      </c>
      <c r="J513" s="3">
        <f t="shared" si="87"/>
        <v>31030</v>
      </c>
      <c r="K513">
        <f t="shared" si="88"/>
        <v>150</v>
      </c>
      <c r="L513" s="4">
        <f t="shared" si="94"/>
        <v>19100</v>
      </c>
      <c r="M513">
        <f t="shared" si="91"/>
        <v>0</v>
      </c>
      <c r="N513" s="5">
        <f t="shared" si="95"/>
        <v>50130</v>
      </c>
      <c r="AF513" s="1">
        <v>45438</v>
      </c>
      <c r="AG513">
        <f t="shared" si="92"/>
        <v>-150</v>
      </c>
    </row>
    <row r="514" spans="1:33" x14ac:dyDescent="0.25">
      <c r="A514" s="1">
        <v>45439</v>
      </c>
      <c r="B514" t="s">
        <v>3</v>
      </c>
      <c r="C514">
        <f t="shared" si="89"/>
        <v>0.5</v>
      </c>
      <c r="D514">
        <f t="shared" si="90"/>
        <v>1</v>
      </c>
      <c r="F514">
        <f t="shared" si="93"/>
        <v>31030</v>
      </c>
      <c r="G514">
        <f t="shared" ref="G514:G577" si="96">IF(D514=7,F514-150,F514)</f>
        <v>31030</v>
      </c>
      <c r="H514">
        <f t="shared" ref="H514:H577" si="97">ROUNDDOWN($AC$2*C514,0)</f>
        <v>5</v>
      </c>
      <c r="I514">
        <f t="shared" ref="I514:I577" si="98">H514*$AD$2</f>
        <v>150</v>
      </c>
      <c r="J514" s="3">
        <f t="shared" ref="J514:J577" si="99">IF(AND(D514&gt;=1,D514&lt;=5),G514+I514,G514)</f>
        <v>31180</v>
      </c>
      <c r="K514">
        <f t="shared" ref="K514:K577" si="100">IF(D514=7,150,0)</f>
        <v>0</v>
      </c>
      <c r="L514" s="4">
        <f t="shared" si="94"/>
        <v>19100</v>
      </c>
      <c r="M514">
        <f t="shared" si="91"/>
        <v>150</v>
      </c>
      <c r="N514" s="5">
        <f t="shared" si="95"/>
        <v>50280</v>
      </c>
      <c r="AF514" s="1">
        <v>45439</v>
      </c>
      <c r="AG514">
        <f t="shared" si="92"/>
        <v>150</v>
      </c>
    </row>
    <row r="515" spans="1:33" x14ac:dyDescent="0.25">
      <c r="A515" s="1">
        <v>45440</v>
      </c>
      <c r="B515" t="s">
        <v>3</v>
      </c>
      <c r="C515">
        <f t="shared" ref="C515:C578" si="101">IF(B515="zima",20%,IF(B515="wiosna",50%,IF(B515="lato",90%,40%)))</f>
        <v>0.5</v>
      </c>
      <c r="D515">
        <f t="shared" ref="D515:D578" si="102">WEEKDAY(A515,2)</f>
        <v>2</v>
      </c>
      <c r="F515">
        <f t="shared" si="93"/>
        <v>31180</v>
      </c>
      <c r="G515">
        <f t="shared" si="96"/>
        <v>31180</v>
      </c>
      <c r="H515">
        <f t="shared" si="97"/>
        <v>5</v>
      </c>
      <c r="I515">
        <f t="shared" si="98"/>
        <v>150</v>
      </c>
      <c r="J515" s="3">
        <f t="shared" si="99"/>
        <v>31330</v>
      </c>
      <c r="K515">
        <f t="shared" si="100"/>
        <v>0</v>
      </c>
      <c r="L515" s="4">
        <f t="shared" si="94"/>
        <v>19100</v>
      </c>
      <c r="M515">
        <f t="shared" ref="M515:M578" si="103">IF(AND(D515&gt;=1,D515&lt;=5),I515,0)</f>
        <v>150</v>
      </c>
      <c r="N515" s="5">
        <f t="shared" si="95"/>
        <v>50430</v>
      </c>
      <c r="AF515" s="1">
        <v>45440</v>
      </c>
      <c r="AG515">
        <f t="shared" ref="AG515:AG578" si="104">M515-K515</f>
        <v>150</v>
      </c>
    </row>
    <row r="516" spans="1:33" x14ac:dyDescent="0.25">
      <c r="A516" s="1">
        <v>45441</v>
      </c>
      <c r="B516" t="s">
        <v>3</v>
      </c>
      <c r="C516">
        <f t="shared" si="101"/>
        <v>0.5</v>
      </c>
      <c r="D516">
        <f t="shared" si="102"/>
        <v>3</v>
      </c>
      <c r="F516">
        <f t="shared" ref="F516:F579" si="105">J515</f>
        <v>31330</v>
      </c>
      <c r="G516">
        <f t="shared" si="96"/>
        <v>31330</v>
      </c>
      <c r="H516">
        <f t="shared" si="97"/>
        <v>5</v>
      </c>
      <c r="I516">
        <f t="shared" si="98"/>
        <v>150</v>
      </c>
      <c r="J516" s="3">
        <f t="shared" si="99"/>
        <v>31480</v>
      </c>
      <c r="K516">
        <f t="shared" si="100"/>
        <v>0</v>
      </c>
      <c r="L516" s="4">
        <f t="shared" ref="L516:L579" si="106">K516+L515</f>
        <v>19100</v>
      </c>
      <c r="M516">
        <f t="shared" si="103"/>
        <v>150</v>
      </c>
      <c r="N516" s="5">
        <f t="shared" ref="N516:N579" si="107">N515+M516</f>
        <v>50580</v>
      </c>
      <c r="AF516" s="1">
        <v>45441</v>
      </c>
      <c r="AG516">
        <f t="shared" si="104"/>
        <v>150</v>
      </c>
    </row>
    <row r="517" spans="1:33" x14ac:dyDescent="0.25">
      <c r="A517" s="1">
        <v>45442</v>
      </c>
      <c r="B517" t="s">
        <v>3</v>
      </c>
      <c r="C517">
        <f t="shared" si="101"/>
        <v>0.5</v>
      </c>
      <c r="D517">
        <f t="shared" si="102"/>
        <v>4</v>
      </c>
      <c r="F517">
        <f t="shared" si="105"/>
        <v>31480</v>
      </c>
      <c r="G517">
        <f t="shared" si="96"/>
        <v>31480</v>
      </c>
      <c r="H517">
        <f t="shared" si="97"/>
        <v>5</v>
      </c>
      <c r="I517">
        <f t="shared" si="98"/>
        <v>150</v>
      </c>
      <c r="J517" s="3">
        <f t="shared" si="99"/>
        <v>31630</v>
      </c>
      <c r="K517">
        <f t="shared" si="100"/>
        <v>0</v>
      </c>
      <c r="L517" s="4">
        <f t="shared" si="106"/>
        <v>19100</v>
      </c>
      <c r="M517">
        <f t="shared" si="103"/>
        <v>150</v>
      </c>
      <c r="N517" s="5">
        <f t="shared" si="107"/>
        <v>50730</v>
      </c>
      <c r="AF517" s="1">
        <v>45442</v>
      </c>
      <c r="AG517">
        <f t="shared" si="104"/>
        <v>150</v>
      </c>
    </row>
    <row r="518" spans="1:33" x14ac:dyDescent="0.25">
      <c r="A518" s="1">
        <v>45443</v>
      </c>
      <c r="B518" t="s">
        <v>3</v>
      </c>
      <c r="C518">
        <f t="shared" si="101"/>
        <v>0.5</v>
      </c>
      <c r="D518">
        <f t="shared" si="102"/>
        <v>5</v>
      </c>
      <c r="F518">
        <f t="shared" si="105"/>
        <v>31630</v>
      </c>
      <c r="G518">
        <f t="shared" si="96"/>
        <v>31630</v>
      </c>
      <c r="H518">
        <f t="shared" si="97"/>
        <v>5</v>
      </c>
      <c r="I518">
        <f t="shared" si="98"/>
        <v>150</v>
      </c>
      <c r="J518" s="3">
        <f t="shared" si="99"/>
        <v>31780</v>
      </c>
      <c r="K518">
        <f t="shared" si="100"/>
        <v>0</v>
      </c>
      <c r="L518" s="4">
        <f t="shared" si="106"/>
        <v>19100</v>
      </c>
      <c r="M518">
        <f t="shared" si="103"/>
        <v>150</v>
      </c>
      <c r="N518" s="5">
        <f t="shared" si="107"/>
        <v>50880</v>
      </c>
      <c r="AF518" s="1">
        <v>45443</v>
      </c>
      <c r="AG518">
        <f t="shared" si="104"/>
        <v>150</v>
      </c>
    </row>
    <row r="519" spans="1:33" x14ac:dyDescent="0.25">
      <c r="A519" s="1">
        <v>45444</v>
      </c>
      <c r="B519" t="s">
        <v>3</v>
      </c>
      <c r="C519">
        <f t="shared" si="101"/>
        <v>0.5</v>
      </c>
      <c r="D519">
        <f t="shared" si="102"/>
        <v>6</v>
      </c>
      <c r="F519">
        <f t="shared" si="105"/>
        <v>31780</v>
      </c>
      <c r="G519">
        <f t="shared" si="96"/>
        <v>31780</v>
      </c>
      <c r="H519">
        <f t="shared" si="97"/>
        <v>5</v>
      </c>
      <c r="I519">
        <f t="shared" si="98"/>
        <v>150</v>
      </c>
      <c r="J519" s="3">
        <f t="shared" si="99"/>
        <v>31780</v>
      </c>
      <c r="K519">
        <f t="shared" si="100"/>
        <v>0</v>
      </c>
      <c r="L519" s="4">
        <f t="shared" si="106"/>
        <v>19100</v>
      </c>
      <c r="M519">
        <f t="shared" si="103"/>
        <v>0</v>
      </c>
      <c r="N519" s="5">
        <f t="shared" si="107"/>
        <v>50880</v>
      </c>
      <c r="AF519" s="1">
        <v>45444</v>
      </c>
      <c r="AG519">
        <f t="shared" si="104"/>
        <v>0</v>
      </c>
    </row>
    <row r="520" spans="1:33" x14ac:dyDescent="0.25">
      <c r="A520" s="1">
        <v>45445</v>
      </c>
      <c r="B520" t="s">
        <v>3</v>
      </c>
      <c r="C520">
        <f t="shared" si="101"/>
        <v>0.5</v>
      </c>
      <c r="D520">
        <f t="shared" si="102"/>
        <v>7</v>
      </c>
      <c r="F520">
        <f t="shared" si="105"/>
        <v>31780</v>
      </c>
      <c r="G520">
        <f t="shared" si="96"/>
        <v>31630</v>
      </c>
      <c r="H520">
        <f t="shared" si="97"/>
        <v>5</v>
      </c>
      <c r="I520">
        <f t="shared" si="98"/>
        <v>150</v>
      </c>
      <c r="J520" s="3">
        <f t="shared" si="99"/>
        <v>31630</v>
      </c>
      <c r="K520">
        <f t="shared" si="100"/>
        <v>150</v>
      </c>
      <c r="L520" s="4">
        <f t="shared" si="106"/>
        <v>19250</v>
      </c>
      <c r="M520">
        <f t="shared" si="103"/>
        <v>0</v>
      </c>
      <c r="N520" s="5">
        <f t="shared" si="107"/>
        <v>50880</v>
      </c>
      <c r="AF520" s="1">
        <v>45445</v>
      </c>
      <c r="AG520">
        <f t="shared" si="104"/>
        <v>-150</v>
      </c>
    </row>
    <row r="521" spans="1:33" x14ac:dyDescent="0.25">
      <c r="A521" s="1">
        <v>45446</v>
      </c>
      <c r="B521" t="s">
        <v>3</v>
      </c>
      <c r="C521">
        <f t="shared" si="101"/>
        <v>0.5</v>
      </c>
      <c r="D521">
        <f t="shared" si="102"/>
        <v>1</v>
      </c>
      <c r="F521">
        <f t="shared" si="105"/>
        <v>31630</v>
      </c>
      <c r="G521">
        <f t="shared" si="96"/>
        <v>31630</v>
      </c>
      <c r="H521">
        <f t="shared" si="97"/>
        <v>5</v>
      </c>
      <c r="I521">
        <f t="shared" si="98"/>
        <v>150</v>
      </c>
      <c r="J521" s="3">
        <f t="shared" si="99"/>
        <v>31780</v>
      </c>
      <c r="K521">
        <f t="shared" si="100"/>
        <v>0</v>
      </c>
      <c r="L521" s="4">
        <f t="shared" si="106"/>
        <v>19250</v>
      </c>
      <c r="M521">
        <f t="shared" si="103"/>
        <v>150</v>
      </c>
      <c r="N521" s="5">
        <f t="shared" si="107"/>
        <v>51030</v>
      </c>
      <c r="AF521" s="1">
        <v>45446</v>
      </c>
      <c r="AG521">
        <f t="shared" si="104"/>
        <v>150</v>
      </c>
    </row>
    <row r="522" spans="1:33" x14ac:dyDescent="0.25">
      <c r="A522" s="1">
        <v>45447</v>
      </c>
      <c r="B522" t="s">
        <v>3</v>
      </c>
      <c r="C522">
        <f t="shared" si="101"/>
        <v>0.5</v>
      </c>
      <c r="D522">
        <f t="shared" si="102"/>
        <v>2</v>
      </c>
      <c r="F522">
        <f t="shared" si="105"/>
        <v>31780</v>
      </c>
      <c r="G522">
        <f t="shared" si="96"/>
        <v>31780</v>
      </c>
      <c r="H522">
        <f t="shared" si="97"/>
        <v>5</v>
      </c>
      <c r="I522">
        <f t="shared" si="98"/>
        <v>150</v>
      </c>
      <c r="J522" s="3">
        <f t="shared" si="99"/>
        <v>31930</v>
      </c>
      <c r="K522">
        <f t="shared" si="100"/>
        <v>0</v>
      </c>
      <c r="L522" s="4">
        <f t="shared" si="106"/>
        <v>19250</v>
      </c>
      <c r="M522">
        <f t="shared" si="103"/>
        <v>150</v>
      </c>
      <c r="N522" s="5">
        <f t="shared" si="107"/>
        <v>51180</v>
      </c>
      <c r="AF522" s="1">
        <v>45447</v>
      </c>
      <c r="AG522">
        <f t="shared" si="104"/>
        <v>150</v>
      </c>
    </row>
    <row r="523" spans="1:33" x14ac:dyDescent="0.25">
      <c r="A523" s="1">
        <v>45448</v>
      </c>
      <c r="B523" t="s">
        <v>3</v>
      </c>
      <c r="C523">
        <f t="shared" si="101"/>
        <v>0.5</v>
      </c>
      <c r="D523">
        <f t="shared" si="102"/>
        <v>3</v>
      </c>
      <c r="F523">
        <f t="shared" si="105"/>
        <v>31930</v>
      </c>
      <c r="G523">
        <f t="shared" si="96"/>
        <v>31930</v>
      </c>
      <c r="H523">
        <f t="shared" si="97"/>
        <v>5</v>
      </c>
      <c r="I523">
        <f t="shared" si="98"/>
        <v>150</v>
      </c>
      <c r="J523" s="3">
        <f t="shared" si="99"/>
        <v>32080</v>
      </c>
      <c r="K523">
        <f t="shared" si="100"/>
        <v>0</v>
      </c>
      <c r="L523" s="4">
        <f t="shared" si="106"/>
        <v>19250</v>
      </c>
      <c r="M523">
        <f t="shared" si="103"/>
        <v>150</v>
      </c>
      <c r="N523" s="5">
        <f t="shared" si="107"/>
        <v>51330</v>
      </c>
      <c r="AF523" s="1">
        <v>45448</v>
      </c>
      <c r="AG523">
        <f t="shared" si="104"/>
        <v>150</v>
      </c>
    </row>
    <row r="524" spans="1:33" x14ac:dyDescent="0.25">
      <c r="A524" s="1">
        <v>45449</v>
      </c>
      <c r="B524" t="s">
        <v>3</v>
      </c>
      <c r="C524">
        <f t="shared" si="101"/>
        <v>0.5</v>
      </c>
      <c r="D524">
        <f t="shared" si="102"/>
        <v>4</v>
      </c>
      <c r="F524">
        <f t="shared" si="105"/>
        <v>32080</v>
      </c>
      <c r="G524">
        <f t="shared" si="96"/>
        <v>32080</v>
      </c>
      <c r="H524">
        <f t="shared" si="97"/>
        <v>5</v>
      </c>
      <c r="I524">
        <f t="shared" si="98"/>
        <v>150</v>
      </c>
      <c r="J524" s="3">
        <f t="shared" si="99"/>
        <v>32230</v>
      </c>
      <c r="K524">
        <f t="shared" si="100"/>
        <v>0</v>
      </c>
      <c r="L524" s="4">
        <f t="shared" si="106"/>
        <v>19250</v>
      </c>
      <c r="M524">
        <f t="shared" si="103"/>
        <v>150</v>
      </c>
      <c r="N524" s="5">
        <f t="shared" si="107"/>
        <v>51480</v>
      </c>
      <c r="AF524" s="1">
        <v>45449</v>
      </c>
      <c r="AG524">
        <f t="shared" si="104"/>
        <v>150</v>
      </c>
    </row>
    <row r="525" spans="1:33" x14ac:dyDescent="0.25">
      <c r="A525" s="1">
        <v>45450</v>
      </c>
      <c r="B525" t="s">
        <v>3</v>
      </c>
      <c r="C525">
        <f t="shared" si="101"/>
        <v>0.5</v>
      </c>
      <c r="D525">
        <f t="shared" si="102"/>
        <v>5</v>
      </c>
      <c r="F525">
        <f t="shared" si="105"/>
        <v>32230</v>
      </c>
      <c r="G525">
        <f t="shared" si="96"/>
        <v>32230</v>
      </c>
      <c r="H525">
        <f t="shared" si="97"/>
        <v>5</v>
      </c>
      <c r="I525">
        <f t="shared" si="98"/>
        <v>150</v>
      </c>
      <c r="J525" s="3">
        <f t="shared" si="99"/>
        <v>32380</v>
      </c>
      <c r="K525">
        <f t="shared" si="100"/>
        <v>0</v>
      </c>
      <c r="L525" s="4">
        <f t="shared" si="106"/>
        <v>19250</v>
      </c>
      <c r="M525">
        <f t="shared" si="103"/>
        <v>150</v>
      </c>
      <c r="N525" s="5">
        <f t="shared" si="107"/>
        <v>51630</v>
      </c>
      <c r="AF525" s="1">
        <v>45450</v>
      </c>
      <c r="AG525">
        <f t="shared" si="104"/>
        <v>150</v>
      </c>
    </row>
    <row r="526" spans="1:33" x14ac:dyDescent="0.25">
      <c r="A526" s="1">
        <v>45451</v>
      </c>
      <c r="B526" t="s">
        <v>3</v>
      </c>
      <c r="C526">
        <f t="shared" si="101"/>
        <v>0.5</v>
      </c>
      <c r="D526">
        <f t="shared" si="102"/>
        <v>6</v>
      </c>
      <c r="F526">
        <f t="shared" si="105"/>
        <v>32380</v>
      </c>
      <c r="G526">
        <f t="shared" si="96"/>
        <v>32380</v>
      </c>
      <c r="H526">
        <f t="shared" si="97"/>
        <v>5</v>
      </c>
      <c r="I526">
        <f t="shared" si="98"/>
        <v>150</v>
      </c>
      <c r="J526" s="3">
        <f t="shared" si="99"/>
        <v>32380</v>
      </c>
      <c r="K526">
        <f t="shared" si="100"/>
        <v>0</v>
      </c>
      <c r="L526" s="4">
        <f t="shared" si="106"/>
        <v>19250</v>
      </c>
      <c r="M526">
        <f t="shared" si="103"/>
        <v>0</v>
      </c>
      <c r="N526" s="5">
        <f t="shared" si="107"/>
        <v>51630</v>
      </c>
      <c r="AF526" s="1">
        <v>45451</v>
      </c>
      <c r="AG526">
        <f t="shared" si="104"/>
        <v>0</v>
      </c>
    </row>
    <row r="527" spans="1:33" x14ac:dyDescent="0.25">
      <c r="A527" s="1">
        <v>45452</v>
      </c>
      <c r="B527" t="s">
        <v>3</v>
      </c>
      <c r="C527">
        <f t="shared" si="101"/>
        <v>0.5</v>
      </c>
      <c r="D527">
        <f t="shared" si="102"/>
        <v>7</v>
      </c>
      <c r="F527">
        <f t="shared" si="105"/>
        <v>32380</v>
      </c>
      <c r="G527">
        <f t="shared" si="96"/>
        <v>32230</v>
      </c>
      <c r="H527">
        <f t="shared" si="97"/>
        <v>5</v>
      </c>
      <c r="I527">
        <f t="shared" si="98"/>
        <v>150</v>
      </c>
      <c r="J527" s="3">
        <f t="shared" si="99"/>
        <v>32230</v>
      </c>
      <c r="K527">
        <f t="shared" si="100"/>
        <v>150</v>
      </c>
      <c r="L527" s="4">
        <f t="shared" si="106"/>
        <v>19400</v>
      </c>
      <c r="M527">
        <f t="shared" si="103"/>
        <v>0</v>
      </c>
      <c r="N527" s="5">
        <f t="shared" si="107"/>
        <v>51630</v>
      </c>
      <c r="AF527" s="1">
        <v>45452</v>
      </c>
      <c r="AG527">
        <f t="shared" si="104"/>
        <v>-150</v>
      </c>
    </row>
    <row r="528" spans="1:33" x14ac:dyDescent="0.25">
      <c r="A528" s="1">
        <v>45453</v>
      </c>
      <c r="B528" t="s">
        <v>3</v>
      </c>
      <c r="C528">
        <f t="shared" si="101"/>
        <v>0.5</v>
      </c>
      <c r="D528">
        <f t="shared" si="102"/>
        <v>1</v>
      </c>
      <c r="F528">
        <f t="shared" si="105"/>
        <v>32230</v>
      </c>
      <c r="G528">
        <f t="shared" si="96"/>
        <v>32230</v>
      </c>
      <c r="H528">
        <f t="shared" si="97"/>
        <v>5</v>
      </c>
      <c r="I528">
        <f t="shared" si="98"/>
        <v>150</v>
      </c>
      <c r="J528" s="3">
        <f t="shared" si="99"/>
        <v>32380</v>
      </c>
      <c r="K528">
        <f t="shared" si="100"/>
        <v>0</v>
      </c>
      <c r="L528" s="4">
        <f t="shared" si="106"/>
        <v>19400</v>
      </c>
      <c r="M528">
        <f t="shared" si="103"/>
        <v>150</v>
      </c>
      <c r="N528" s="5">
        <f t="shared" si="107"/>
        <v>51780</v>
      </c>
      <c r="AF528" s="1">
        <v>45453</v>
      </c>
      <c r="AG528">
        <f t="shared" si="104"/>
        <v>150</v>
      </c>
    </row>
    <row r="529" spans="1:33" x14ac:dyDescent="0.25">
      <c r="A529" s="1">
        <v>45454</v>
      </c>
      <c r="B529" t="s">
        <v>3</v>
      </c>
      <c r="C529">
        <f t="shared" si="101"/>
        <v>0.5</v>
      </c>
      <c r="D529">
        <f t="shared" si="102"/>
        <v>2</v>
      </c>
      <c r="F529">
        <f t="shared" si="105"/>
        <v>32380</v>
      </c>
      <c r="G529">
        <f t="shared" si="96"/>
        <v>32380</v>
      </c>
      <c r="H529">
        <f t="shared" si="97"/>
        <v>5</v>
      </c>
      <c r="I529">
        <f t="shared" si="98"/>
        <v>150</v>
      </c>
      <c r="J529" s="3">
        <f t="shared" si="99"/>
        <v>32530</v>
      </c>
      <c r="K529">
        <f t="shared" si="100"/>
        <v>0</v>
      </c>
      <c r="L529" s="4">
        <f t="shared" si="106"/>
        <v>19400</v>
      </c>
      <c r="M529">
        <f t="shared" si="103"/>
        <v>150</v>
      </c>
      <c r="N529" s="5">
        <f t="shared" si="107"/>
        <v>51930</v>
      </c>
      <c r="AF529" s="1">
        <v>45454</v>
      </c>
      <c r="AG529">
        <f t="shared" si="104"/>
        <v>150</v>
      </c>
    </row>
    <row r="530" spans="1:33" x14ac:dyDescent="0.25">
      <c r="A530" s="1">
        <v>45455</v>
      </c>
      <c r="B530" t="s">
        <v>3</v>
      </c>
      <c r="C530">
        <f t="shared" si="101"/>
        <v>0.5</v>
      </c>
      <c r="D530">
        <f t="shared" si="102"/>
        <v>3</v>
      </c>
      <c r="F530">
        <f t="shared" si="105"/>
        <v>32530</v>
      </c>
      <c r="G530">
        <f t="shared" si="96"/>
        <v>32530</v>
      </c>
      <c r="H530">
        <f t="shared" si="97"/>
        <v>5</v>
      </c>
      <c r="I530">
        <f t="shared" si="98"/>
        <v>150</v>
      </c>
      <c r="J530" s="3">
        <f t="shared" si="99"/>
        <v>32680</v>
      </c>
      <c r="K530">
        <f t="shared" si="100"/>
        <v>0</v>
      </c>
      <c r="L530" s="4">
        <f t="shared" si="106"/>
        <v>19400</v>
      </c>
      <c r="M530">
        <f t="shared" si="103"/>
        <v>150</v>
      </c>
      <c r="N530" s="5">
        <f t="shared" si="107"/>
        <v>52080</v>
      </c>
      <c r="AF530" s="1">
        <v>45455</v>
      </c>
      <c r="AG530">
        <f t="shared" si="104"/>
        <v>150</v>
      </c>
    </row>
    <row r="531" spans="1:33" x14ac:dyDescent="0.25">
      <c r="A531" s="1">
        <v>45456</v>
      </c>
      <c r="B531" t="s">
        <v>3</v>
      </c>
      <c r="C531">
        <f t="shared" si="101"/>
        <v>0.5</v>
      </c>
      <c r="D531">
        <f t="shared" si="102"/>
        <v>4</v>
      </c>
      <c r="F531">
        <f t="shared" si="105"/>
        <v>32680</v>
      </c>
      <c r="G531">
        <f t="shared" si="96"/>
        <v>32680</v>
      </c>
      <c r="H531">
        <f t="shared" si="97"/>
        <v>5</v>
      </c>
      <c r="I531">
        <f t="shared" si="98"/>
        <v>150</v>
      </c>
      <c r="J531" s="3">
        <f t="shared" si="99"/>
        <v>32830</v>
      </c>
      <c r="K531">
        <f t="shared" si="100"/>
        <v>0</v>
      </c>
      <c r="L531" s="4">
        <f t="shared" si="106"/>
        <v>19400</v>
      </c>
      <c r="M531">
        <f t="shared" si="103"/>
        <v>150</v>
      </c>
      <c r="N531" s="5">
        <f t="shared" si="107"/>
        <v>52230</v>
      </c>
      <c r="AF531" s="1">
        <v>45456</v>
      </c>
      <c r="AG531">
        <f t="shared" si="104"/>
        <v>150</v>
      </c>
    </row>
    <row r="532" spans="1:33" x14ac:dyDescent="0.25">
      <c r="A532" s="1">
        <v>45457</v>
      </c>
      <c r="B532" t="s">
        <v>3</v>
      </c>
      <c r="C532">
        <f t="shared" si="101"/>
        <v>0.5</v>
      </c>
      <c r="D532">
        <f t="shared" si="102"/>
        <v>5</v>
      </c>
      <c r="F532">
        <f t="shared" si="105"/>
        <v>32830</v>
      </c>
      <c r="G532">
        <f t="shared" si="96"/>
        <v>32830</v>
      </c>
      <c r="H532">
        <f t="shared" si="97"/>
        <v>5</v>
      </c>
      <c r="I532">
        <f t="shared" si="98"/>
        <v>150</v>
      </c>
      <c r="J532" s="3">
        <f t="shared" si="99"/>
        <v>32980</v>
      </c>
      <c r="K532">
        <f t="shared" si="100"/>
        <v>0</v>
      </c>
      <c r="L532" s="4">
        <f t="shared" si="106"/>
        <v>19400</v>
      </c>
      <c r="M532">
        <f t="shared" si="103"/>
        <v>150</v>
      </c>
      <c r="N532" s="5">
        <f t="shared" si="107"/>
        <v>52380</v>
      </c>
      <c r="AF532" s="1">
        <v>45457</v>
      </c>
      <c r="AG532">
        <f t="shared" si="104"/>
        <v>150</v>
      </c>
    </row>
    <row r="533" spans="1:33" x14ac:dyDescent="0.25">
      <c r="A533" s="1">
        <v>45458</v>
      </c>
      <c r="B533" t="s">
        <v>3</v>
      </c>
      <c r="C533">
        <f t="shared" si="101"/>
        <v>0.5</v>
      </c>
      <c r="D533">
        <f t="shared" si="102"/>
        <v>6</v>
      </c>
      <c r="F533">
        <f t="shared" si="105"/>
        <v>32980</v>
      </c>
      <c r="G533">
        <f t="shared" si="96"/>
        <v>32980</v>
      </c>
      <c r="H533">
        <f t="shared" si="97"/>
        <v>5</v>
      </c>
      <c r="I533">
        <f t="shared" si="98"/>
        <v>150</v>
      </c>
      <c r="J533" s="3">
        <f t="shared" si="99"/>
        <v>32980</v>
      </c>
      <c r="K533">
        <f t="shared" si="100"/>
        <v>0</v>
      </c>
      <c r="L533" s="4">
        <f t="shared" si="106"/>
        <v>19400</v>
      </c>
      <c r="M533">
        <f t="shared" si="103"/>
        <v>0</v>
      </c>
      <c r="N533" s="5">
        <f t="shared" si="107"/>
        <v>52380</v>
      </c>
      <c r="AF533" s="1">
        <v>45458</v>
      </c>
      <c r="AG533">
        <f t="shared" si="104"/>
        <v>0</v>
      </c>
    </row>
    <row r="534" spans="1:33" x14ac:dyDescent="0.25">
      <c r="A534" s="1">
        <v>45459</v>
      </c>
      <c r="B534" t="s">
        <v>3</v>
      </c>
      <c r="C534">
        <f t="shared" si="101"/>
        <v>0.5</v>
      </c>
      <c r="D534">
        <f t="shared" si="102"/>
        <v>7</v>
      </c>
      <c r="F534">
        <f t="shared" si="105"/>
        <v>32980</v>
      </c>
      <c r="G534">
        <f t="shared" si="96"/>
        <v>32830</v>
      </c>
      <c r="H534">
        <f t="shared" si="97"/>
        <v>5</v>
      </c>
      <c r="I534">
        <f t="shared" si="98"/>
        <v>150</v>
      </c>
      <c r="J534" s="3">
        <f t="shared" si="99"/>
        <v>32830</v>
      </c>
      <c r="K534">
        <f t="shared" si="100"/>
        <v>150</v>
      </c>
      <c r="L534" s="4">
        <f t="shared" si="106"/>
        <v>19550</v>
      </c>
      <c r="M534">
        <f t="shared" si="103"/>
        <v>0</v>
      </c>
      <c r="N534" s="5">
        <f t="shared" si="107"/>
        <v>52380</v>
      </c>
      <c r="AF534" s="1">
        <v>45459</v>
      </c>
      <c r="AG534">
        <f t="shared" si="104"/>
        <v>-150</v>
      </c>
    </row>
    <row r="535" spans="1:33" x14ac:dyDescent="0.25">
      <c r="A535" s="1">
        <v>45460</v>
      </c>
      <c r="B535" t="s">
        <v>3</v>
      </c>
      <c r="C535">
        <f t="shared" si="101"/>
        <v>0.5</v>
      </c>
      <c r="D535">
        <f t="shared" si="102"/>
        <v>1</v>
      </c>
      <c r="F535">
        <f t="shared" si="105"/>
        <v>32830</v>
      </c>
      <c r="G535">
        <f t="shared" si="96"/>
        <v>32830</v>
      </c>
      <c r="H535">
        <f t="shared" si="97"/>
        <v>5</v>
      </c>
      <c r="I535">
        <f t="shared" si="98"/>
        <v>150</v>
      </c>
      <c r="J535" s="3">
        <f t="shared" si="99"/>
        <v>32980</v>
      </c>
      <c r="K535">
        <f t="shared" si="100"/>
        <v>0</v>
      </c>
      <c r="L535" s="4">
        <f t="shared" si="106"/>
        <v>19550</v>
      </c>
      <c r="M535">
        <f t="shared" si="103"/>
        <v>150</v>
      </c>
      <c r="N535" s="5">
        <f t="shared" si="107"/>
        <v>52530</v>
      </c>
      <c r="AF535" s="1">
        <v>45460</v>
      </c>
      <c r="AG535">
        <f t="shared" si="104"/>
        <v>150</v>
      </c>
    </row>
    <row r="536" spans="1:33" x14ac:dyDescent="0.25">
      <c r="A536" s="1">
        <v>45461</v>
      </c>
      <c r="B536" t="s">
        <v>3</v>
      </c>
      <c r="C536">
        <f t="shared" si="101"/>
        <v>0.5</v>
      </c>
      <c r="D536">
        <f t="shared" si="102"/>
        <v>2</v>
      </c>
      <c r="F536">
        <f t="shared" si="105"/>
        <v>32980</v>
      </c>
      <c r="G536">
        <f t="shared" si="96"/>
        <v>32980</v>
      </c>
      <c r="H536">
        <f t="shared" si="97"/>
        <v>5</v>
      </c>
      <c r="I536">
        <f t="shared" si="98"/>
        <v>150</v>
      </c>
      <c r="J536" s="3">
        <f t="shared" si="99"/>
        <v>33130</v>
      </c>
      <c r="K536">
        <f t="shared" si="100"/>
        <v>0</v>
      </c>
      <c r="L536" s="4">
        <f t="shared" si="106"/>
        <v>19550</v>
      </c>
      <c r="M536">
        <f t="shared" si="103"/>
        <v>150</v>
      </c>
      <c r="N536" s="5">
        <f t="shared" si="107"/>
        <v>52680</v>
      </c>
      <c r="AF536" s="1">
        <v>45461</v>
      </c>
      <c r="AG536">
        <f t="shared" si="104"/>
        <v>150</v>
      </c>
    </row>
    <row r="537" spans="1:33" x14ac:dyDescent="0.25">
      <c r="A537" s="1">
        <v>45462</v>
      </c>
      <c r="B537" t="s">
        <v>3</v>
      </c>
      <c r="C537">
        <f t="shared" si="101"/>
        <v>0.5</v>
      </c>
      <c r="D537">
        <f t="shared" si="102"/>
        <v>3</v>
      </c>
      <c r="F537">
        <f t="shared" si="105"/>
        <v>33130</v>
      </c>
      <c r="G537">
        <f t="shared" si="96"/>
        <v>33130</v>
      </c>
      <c r="H537">
        <f t="shared" si="97"/>
        <v>5</v>
      </c>
      <c r="I537">
        <f t="shared" si="98"/>
        <v>150</v>
      </c>
      <c r="J537" s="3">
        <f t="shared" si="99"/>
        <v>33280</v>
      </c>
      <c r="K537">
        <f t="shared" si="100"/>
        <v>0</v>
      </c>
      <c r="L537" s="4">
        <f t="shared" si="106"/>
        <v>19550</v>
      </c>
      <c r="M537">
        <f t="shared" si="103"/>
        <v>150</v>
      </c>
      <c r="N537" s="5">
        <f t="shared" si="107"/>
        <v>52830</v>
      </c>
      <c r="AF537" s="1">
        <v>45462</v>
      </c>
      <c r="AG537">
        <f t="shared" si="104"/>
        <v>150</v>
      </c>
    </row>
    <row r="538" spans="1:33" x14ac:dyDescent="0.25">
      <c r="A538" s="1">
        <v>45463</v>
      </c>
      <c r="B538" t="s">
        <v>3</v>
      </c>
      <c r="C538">
        <f t="shared" si="101"/>
        <v>0.5</v>
      </c>
      <c r="D538">
        <f t="shared" si="102"/>
        <v>4</v>
      </c>
      <c r="F538">
        <f t="shared" si="105"/>
        <v>33280</v>
      </c>
      <c r="G538">
        <f t="shared" si="96"/>
        <v>33280</v>
      </c>
      <c r="H538">
        <f t="shared" si="97"/>
        <v>5</v>
      </c>
      <c r="I538">
        <f t="shared" si="98"/>
        <v>150</v>
      </c>
      <c r="J538" s="3">
        <f t="shared" si="99"/>
        <v>33430</v>
      </c>
      <c r="K538">
        <f t="shared" si="100"/>
        <v>0</v>
      </c>
      <c r="L538" s="4">
        <f t="shared" si="106"/>
        <v>19550</v>
      </c>
      <c r="M538">
        <f t="shared" si="103"/>
        <v>150</v>
      </c>
      <c r="N538" s="5">
        <f t="shared" si="107"/>
        <v>52980</v>
      </c>
      <c r="AF538" s="1">
        <v>45463</v>
      </c>
      <c r="AG538">
        <f t="shared" si="104"/>
        <v>150</v>
      </c>
    </row>
    <row r="539" spans="1:33" x14ac:dyDescent="0.25">
      <c r="A539" s="1">
        <v>45464</v>
      </c>
      <c r="B539" t="s">
        <v>4</v>
      </c>
      <c r="C539">
        <f t="shared" si="101"/>
        <v>0.9</v>
      </c>
      <c r="D539">
        <f t="shared" si="102"/>
        <v>5</v>
      </c>
      <c r="F539">
        <f t="shared" si="105"/>
        <v>33430</v>
      </c>
      <c r="G539">
        <f t="shared" si="96"/>
        <v>33430</v>
      </c>
      <c r="H539">
        <f t="shared" si="97"/>
        <v>9</v>
      </c>
      <c r="I539">
        <f t="shared" si="98"/>
        <v>270</v>
      </c>
      <c r="J539" s="3">
        <f t="shared" si="99"/>
        <v>33700</v>
      </c>
      <c r="K539">
        <f t="shared" si="100"/>
        <v>0</v>
      </c>
      <c r="L539" s="4">
        <f t="shared" si="106"/>
        <v>19550</v>
      </c>
      <c r="M539">
        <f t="shared" si="103"/>
        <v>270</v>
      </c>
      <c r="N539" s="5">
        <f t="shared" si="107"/>
        <v>53250</v>
      </c>
      <c r="AF539" s="1">
        <v>45464</v>
      </c>
      <c r="AG539">
        <f t="shared" si="104"/>
        <v>270</v>
      </c>
    </row>
    <row r="540" spans="1:33" x14ac:dyDescent="0.25">
      <c r="A540" s="1">
        <v>45465</v>
      </c>
      <c r="B540" t="s">
        <v>4</v>
      </c>
      <c r="C540">
        <f t="shared" si="101"/>
        <v>0.9</v>
      </c>
      <c r="D540">
        <f t="shared" si="102"/>
        <v>6</v>
      </c>
      <c r="F540">
        <f t="shared" si="105"/>
        <v>33700</v>
      </c>
      <c r="G540">
        <f t="shared" si="96"/>
        <v>33700</v>
      </c>
      <c r="H540">
        <f t="shared" si="97"/>
        <v>9</v>
      </c>
      <c r="I540">
        <f t="shared" si="98"/>
        <v>270</v>
      </c>
      <c r="J540" s="3">
        <f t="shared" si="99"/>
        <v>33700</v>
      </c>
      <c r="K540">
        <f t="shared" si="100"/>
        <v>0</v>
      </c>
      <c r="L540" s="4">
        <f t="shared" si="106"/>
        <v>19550</v>
      </c>
      <c r="M540">
        <f t="shared" si="103"/>
        <v>0</v>
      </c>
      <c r="N540" s="5">
        <f t="shared" si="107"/>
        <v>53250</v>
      </c>
      <c r="AF540" s="1">
        <v>45465</v>
      </c>
      <c r="AG540">
        <f t="shared" si="104"/>
        <v>0</v>
      </c>
    </row>
    <row r="541" spans="1:33" x14ac:dyDescent="0.25">
      <c r="A541" s="1">
        <v>45466</v>
      </c>
      <c r="B541" t="s">
        <v>4</v>
      </c>
      <c r="C541">
        <f t="shared" si="101"/>
        <v>0.9</v>
      </c>
      <c r="D541">
        <f t="shared" si="102"/>
        <v>7</v>
      </c>
      <c r="F541">
        <f t="shared" si="105"/>
        <v>33700</v>
      </c>
      <c r="G541">
        <f t="shared" si="96"/>
        <v>33550</v>
      </c>
      <c r="H541">
        <f t="shared" si="97"/>
        <v>9</v>
      </c>
      <c r="I541">
        <f t="shared" si="98"/>
        <v>270</v>
      </c>
      <c r="J541" s="3">
        <f t="shared" si="99"/>
        <v>33550</v>
      </c>
      <c r="K541">
        <f t="shared" si="100"/>
        <v>150</v>
      </c>
      <c r="L541" s="4">
        <f t="shared" si="106"/>
        <v>19700</v>
      </c>
      <c r="M541">
        <f t="shared" si="103"/>
        <v>0</v>
      </c>
      <c r="N541" s="5">
        <f t="shared" si="107"/>
        <v>53250</v>
      </c>
      <c r="AF541" s="1">
        <v>45466</v>
      </c>
      <c r="AG541">
        <f t="shared" si="104"/>
        <v>-150</v>
      </c>
    </row>
    <row r="542" spans="1:33" x14ac:dyDescent="0.25">
      <c r="A542" s="1">
        <v>45467</v>
      </c>
      <c r="B542" t="s">
        <v>4</v>
      </c>
      <c r="C542">
        <f t="shared" si="101"/>
        <v>0.9</v>
      </c>
      <c r="D542">
        <f t="shared" si="102"/>
        <v>1</v>
      </c>
      <c r="F542">
        <f t="shared" si="105"/>
        <v>33550</v>
      </c>
      <c r="G542">
        <f t="shared" si="96"/>
        <v>33550</v>
      </c>
      <c r="H542">
        <f t="shared" si="97"/>
        <v>9</v>
      </c>
      <c r="I542">
        <f t="shared" si="98"/>
        <v>270</v>
      </c>
      <c r="J542" s="3">
        <f t="shared" si="99"/>
        <v>33820</v>
      </c>
      <c r="K542">
        <f t="shared" si="100"/>
        <v>0</v>
      </c>
      <c r="L542" s="4">
        <f t="shared" si="106"/>
        <v>19700</v>
      </c>
      <c r="M542">
        <f t="shared" si="103"/>
        <v>270</v>
      </c>
      <c r="N542" s="5">
        <f t="shared" si="107"/>
        <v>53520</v>
      </c>
      <c r="AF542" s="1">
        <v>45467</v>
      </c>
      <c r="AG542">
        <f t="shared" si="104"/>
        <v>270</v>
      </c>
    </row>
    <row r="543" spans="1:33" x14ac:dyDescent="0.25">
      <c r="A543" s="1">
        <v>45468</v>
      </c>
      <c r="B543" t="s">
        <v>4</v>
      </c>
      <c r="C543">
        <f t="shared" si="101"/>
        <v>0.9</v>
      </c>
      <c r="D543">
        <f t="shared" si="102"/>
        <v>2</v>
      </c>
      <c r="F543">
        <f t="shared" si="105"/>
        <v>33820</v>
      </c>
      <c r="G543">
        <f t="shared" si="96"/>
        <v>33820</v>
      </c>
      <c r="H543">
        <f t="shared" si="97"/>
        <v>9</v>
      </c>
      <c r="I543">
        <f t="shared" si="98"/>
        <v>270</v>
      </c>
      <c r="J543" s="3">
        <f t="shared" si="99"/>
        <v>34090</v>
      </c>
      <c r="K543">
        <f t="shared" si="100"/>
        <v>0</v>
      </c>
      <c r="L543" s="4">
        <f t="shared" si="106"/>
        <v>19700</v>
      </c>
      <c r="M543">
        <f t="shared" si="103"/>
        <v>270</v>
      </c>
      <c r="N543" s="5">
        <f t="shared" si="107"/>
        <v>53790</v>
      </c>
      <c r="AF543" s="1">
        <v>45468</v>
      </c>
      <c r="AG543">
        <f t="shared" si="104"/>
        <v>270</v>
      </c>
    </row>
    <row r="544" spans="1:33" x14ac:dyDescent="0.25">
      <c r="A544" s="1">
        <v>45469</v>
      </c>
      <c r="B544" t="s">
        <v>4</v>
      </c>
      <c r="C544">
        <f t="shared" si="101"/>
        <v>0.9</v>
      </c>
      <c r="D544">
        <f t="shared" si="102"/>
        <v>3</v>
      </c>
      <c r="F544">
        <f t="shared" si="105"/>
        <v>34090</v>
      </c>
      <c r="G544">
        <f t="shared" si="96"/>
        <v>34090</v>
      </c>
      <c r="H544">
        <f t="shared" si="97"/>
        <v>9</v>
      </c>
      <c r="I544">
        <f t="shared" si="98"/>
        <v>270</v>
      </c>
      <c r="J544" s="3">
        <f t="shared" si="99"/>
        <v>34360</v>
      </c>
      <c r="K544">
        <f t="shared" si="100"/>
        <v>0</v>
      </c>
      <c r="L544" s="4">
        <f t="shared" si="106"/>
        <v>19700</v>
      </c>
      <c r="M544">
        <f t="shared" si="103"/>
        <v>270</v>
      </c>
      <c r="N544" s="5">
        <f t="shared" si="107"/>
        <v>54060</v>
      </c>
      <c r="AF544" s="1">
        <v>45469</v>
      </c>
      <c r="AG544">
        <f t="shared" si="104"/>
        <v>270</v>
      </c>
    </row>
    <row r="545" spans="1:33" x14ac:dyDescent="0.25">
      <c r="A545" s="1">
        <v>45470</v>
      </c>
      <c r="B545" t="s">
        <v>4</v>
      </c>
      <c r="C545">
        <f t="shared" si="101"/>
        <v>0.9</v>
      </c>
      <c r="D545">
        <f t="shared" si="102"/>
        <v>4</v>
      </c>
      <c r="F545">
        <f t="shared" si="105"/>
        <v>34360</v>
      </c>
      <c r="G545">
        <f t="shared" si="96"/>
        <v>34360</v>
      </c>
      <c r="H545">
        <f t="shared" si="97"/>
        <v>9</v>
      </c>
      <c r="I545">
        <f t="shared" si="98"/>
        <v>270</v>
      </c>
      <c r="J545" s="3">
        <f t="shared" si="99"/>
        <v>34630</v>
      </c>
      <c r="K545">
        <f t="shared" si="100"/>
        <v>0</v>
      </c>
      <c r="L545" s="4">
        <f t="shared" si="106"/>
        <v>19700</v>
      </c>
      <c r="M545">
        <f t="shared" si="103"/>
        <v>270</v>
      </c>
      <c r="N545" s="5">
        <f t="shared" si="107"/>
        <v>54330</v>
      </c>
      <c r="AF545" s="1">
        <v>45470</v>
      </c>
      <c r="AG545">
        <f t="shared" si="104"/>
        <v>270</v>
      </c>
    </row>
    <row r="546" spans="1:33" x14ac:dyDescent="0.25">
      <c r="A546" s="1">
        <v>45471</v>
      </c>
      <c r="B546" t="s">
        <v>4</v>
      </c>
      <c r="C546">
        <f t="shared" si="101"/>
        <v>0.9</v>
      </c>
      <c r="D546">
        <f t="shared" si="102"/>
        <v>5</v>
      </c>
      <c r="F546">
        <f t="shared" si="105"/>
        <v>34630</v>
      </c>
      <c r="G546">
        <f t="shared" si="96"/>
        <v>34630</v>
      </c>
      <c r="H546">
        <f t="shared" si="97"/>
        <v>9</v>
      </c>
      <c r="I546">
        <f t="shared" si="98"/>
        <v>270</v>
      </c>
      <c r="J546" s="3">
        <f t="shared" si="99"/>
        <v>34900</v>
      </c>
      <c r="K546">
        <f t="shared" si="100"/>
        <v>0</v>
      </c>
      <c r="L546" s="4">
        <f t="shared" si="106"/>
        <v>19700</v>
      </c>
      <c r="M546">
        <f t="shared" si="103"/>
        <v>270</v>
      </c>
      <c r="N546" s="5">
        <f t="shared" si="107"/>
        <v>54600</v>
      </c>
      <c r="AF546" s="1">
        <v>45471</v>
      </c>
      <c r="AG546">
        <f t="shared" si="104"/>
        <v>270</v>
      </c>
    </row>
    <row r="547" spans="1:33" x14ac:dyDescent="0.25">
      <c r="A547" s="1">
        <v>45472</v>
      </c>
      <c r="B547" t="s">
        <v>4</v>
      </c>
      <c r="C547">
        <f t="shared" si="101"/>
        <v>0.9</v>
      </c>
      <c r="D547">
        <f t="shared" si="102"/>
        <v>6</v>
      </c>
      <c r="F547">
        <f t="shared" si="105"/>
        <v>34900</v>
      </c>
      <c r="G547">
        <f t="shared" si="96"/>
        <v>34900</v>
      </c>
      <c r="H547">
        <f t="shared" si="97"/>
        <v>9</v>
      </c>
      <c r="I547">
        <f t="shared" si="98"/>
        <v>270</v>
      </c>
      <c r="J547" s="3">
        <f t="shared" si="99"/>
        <v>34900</v>
      </c>
      <c r="K547">
        <f t="shared" si="100"/>
        <v>0</v>
      </c>
      <c r="L547" s="4">
        <f t="shared" si="106"/>
        <v>19700</v>
      </c>
      <c r="M547">
        <f t="shared" si="103"/>
        <v>0</v>
      </c>
      <c r="N547" s="5">
        <f t="shared" si="107"/>
        <v>54600</v>
      </c>
      <c r="AF547" s="1">
        <v>45472</v>
      </c>
      <c r="AG547">
        <f t="shared" si="104"/>
        <v>0</v>
      </c>
    </row>
    <row r="548" spans="1:33" x14ac:dyDescent="0.25">
      <c r="A548" s="1">
        <v>45473</v>
      </c>
      <c r="B548" t="s">
        <v>4</v>
      </c>
      <c r="C548">
        <f t="shared" si="101"/>
        <v>0.9</v>
      </c>
      <c r="D548">
        <f t="shared" si="102"/>
        <v>7</v>
      </c>
      <c r="F548">
        <f t="shared" si="105"/>
        <v>34900</v>
      </c>
      <c r="G548">
        <f t="shared" si="96"/>
        <v>34750</v>
      </c>
      <c r="H548">
        <f t="shared" si="97"/>
        <v>9</v>
      </c>
      <c r="I548">
        <f t="shared" si="98"/>
        <v>270</v>
      </c>
      <c r="J548" s="3">
        <f t="shared" si="99"/>
        <v>34750</v>
      </c>
      <c r="K548">
        <f t="shared" si="100"/>
        <v>150</v>
      </c>
      <c r="L548" s="4">
        <f t="shared" si="106"/>
        <v>19850</v>
      </c>
      <c r="M548">
        <f t="shared" si="103"/>
        <v>0</v>
      </c>
      <c r="N548" s="5">
        <f t="shared" si="107"/>
        <v>54600</v>
      </c>
      <c r="AF548" s="1">
        <v>45473</v>
      </c>
      <c r="AG548">
        <f t="shared" si="104"/>
        <v>-150</v>
      </c>
    </row>
    <row r="549" spans="1:33" x14ac:dyDescent="0.25">
      <c r="A549" s="1">
        <v>45474</v>
      </c>
      <c r="B549" t="s">
        <v>4</v>
      </c>
      <c r="C549">
        <f t="shared" si="101"/>
        <v>0.9</v>
      </c>
      <c r="D549">
        <f t="shared" si="102"/>
        <v>1</v>
      </c>
      <c r="F549">
        <f t="shared" si="105"/>
        <v>34750</v>
      </c>
      <c r="G549">
        <f t="shared" si="96"/>
        <v>34750</v>
      </c>
      <c r="H549">
        <f t="shared" si="97"/>
        <v>9</v>
      </c>
      <c r="I549">
        <f t="shared" si="98"/>
        <v>270</v>
      </c>
      <c r="J549" s="3">
        <f t="shared" si="99"/>
        <v>35020</v>
      </c>
      <c r="K549">
        <f t="shared" si="100"/>
        <v>0</v>
      </c>
      <c r="L549" s="4">
        <f t="shared" si="106"/>
        <v>19850</v>
      </c>
      <c r="M549">
        <f t="shared" si="103"/>
        <v>270</v>
      </c>
      <c r="N549" s="5">
        <f t="shared" si="107"/>
        <v>54870</v>
      </c>
      <c r="AF549" s="1">
        <v>45474</v>
      </c>
      <c r="AG549">
        <f t="shared" si="104"/>
        <v>270</v>
      </c>
    </row>
    <row r="550" spans="1:33" x14ac:dyDescent="0.25">
      <c r="A550" s="1">
        <v>45475</v>
      </c>
      <c r="B550" t="s">
        <v>4</v>
      </c>
      <c r="C550">
        <f t="shared" si="101"/>
        <v>0.9</v>
      </c>
      <c r="D550">
        <f t="shared" si="102"/>
        <v>2</v>
      </c>
      <c r="F550">
        <f t="shared" si="105"/>
        <v>35020</v>
      </c>
      <c r="G550">
        <f t="shared" si="96"/>
        <v>35020</v>
      </c>
      <c r="H550">
        <f t="shared" si="97"/>
        <v>9</v>
      </c>
      <c r="I550">
        <f t="shared" si="98"/>
        <v>270</v>
      </c>
      <c r="J550" s="3">
        <f t="shared" si="99"/>
        <v>35290</v>
      </c>
      <c r="K550">
        <f t="shared" si="100"/>
        <v>0</v>
      </c>
      <c r="L550" s="4">
        <f t="shared" si="106"/>
        <v>19850</v>
      </c>
      <c r="M550">
        <f t="shared" si="103"/>
        <v>270</v>
      </c>
      <c r="N550" s="5">
        <f t="shared" si="107"/>
        <v>55140</v>
      </c>
      <c r="AF550" s="1">
        <v>45475</v>
      </c>
      <c r="AG550">
        <f t="shared" si="104"/>
        <v>270</v>
      </c>
    </row>
    <row r="551" spans="1:33" x14ac:dyDescent="0.25">
      <c r="A551" s="1">
        <v>45476</v>
      </c>
      <c r="B551" t="s">
        <v>4</v>
      </c>
      <c r="C551">
        <f t="shared" si="101"/>
        <v>0.9</v>
      </c>
      <c r="D551">
        <f t="shared" si="102"/>
        <v>3</v>
      </c>
      <c r="F551">
        <f t="shared" si="105"/>
        <v>35290</v>
      </c>
      <c r="G551">
        <f t="shared" si="96"/>
        <v>35290</v>
      </c>
      <c r="H551">
        <f t="shared" si="97"/>
        <v>9</v>
      </c>
      <c r="I551">
        <f t="shared" si="98"/>
        <v>270</v>
      </c>
      <c r="J551" s="3">
        <f t="shared" si="99"/>
        <v>35560</v>
      </c>
      <c r="K551">
        <f t="shared" si="100"/>
        <v>0</v>
      </c>
      <c r="L551" s="4">
        <f t="shared" si="106"/>
        <v>19850</v>
      </c>
      <c r="M551">
        <f t="shared" si="103"/>
        <v>270</v>
      </c>
      <c r="N551" s="5">
        <f t="shared" si="107"/>
        <v>55410</v>
      </c>
      <c r="AF551" s="1">
        <v>45476</v>
      </c>
      <c r="AG551">
        <f t="shared" si="104"/>
        <v>270</v>
      </c>
    </row>
    <row r="552" spans="1:33" x14ac:dyDescent="0.25">
      <c r="A552" s="1">
        <v>45477</v>
      </c>
      <c r="B552" t="s">
        <v>4</v>
      </c>
      <c r="C552">
        <f t="shared" si="101"/>
        <v>0.9</v>
      </c>
      <c r="D552">
        <f t="shared" si="102"/>
        <v>4</v>
      </c>
      <c r="F552">
        <f t="shared" si="105"/>
        <v>35560</v>
      </c>
      <c r="G552">
        <f t="shared" si="96"/>
        <v>35560</v>
      </c>
      <c r="H552">
        <f t="shared" si="97"/>
        <v>9</v>
      </c>
      <c r="I552">
        <f t="shared" si="98"/>
        <v>270</v>
      </c>
      <c r="J552" s="3">
        <f t="shared" si="99"/>
        <v>35830</v>
      </c>
      <c r="K552">
        <f t="shared" si="100"/>
        <v>0</v>
      </c>
      <c r="L552" s="4">
        <f t="shared" si="106"/>
        <v>19850</v>
      </c>
      <c r="M552">
        <f t="shared" si="103"/>
        <v>270</v>
      </c>
      <c r="N552" s="5">
        <f t="shared" si="107"/>
        <v>55680</v>
      </c>
      <c r="AF552" s="1">
        <v>45477</v>
      </c>
      <c r="AG552">
        <f t="shared" si="104"/>
        <v>270</v>
      </c>
    </row>
    <row r="553" spans="1:33" x14ac:dyDescent="0.25">
      <c r="A553" s="1">
        <v>45478</v>
      </c>
      <c r="B553" t="s">
        <v>4</v>
      </c>
      <c r="C553">
        <f t="shared" si="101"/>
        <v>0.9</v>
      </c>
      <c r="D553">
        <f t="shared" si="102"/>
        <v>5</v>
      </c>
      <c r="F553">
        <f t="shared" si="105"/>
        <v>35830</v>
      </c>
      <c r="G553">
        <f t="shared" si="96"/>
        <v>35830</v>
      </c>
      <c r="H553">
        <f t="shared" si="97"/>
        <v>9</v>
      </c>
      <c r="I553">
        <f t="shared" si="98"/>
        <v>270</v>
      </c>
      <c r="J553" s="3">
        <f t="shared" si="99"/>
        <v>36100</v>
      </c>
      <c r="K553">
        <f t="shared" si="100"/>
        <v>0</v>
      </c>
      <c r="L553" s="4">
        <f t="shared" si="106"/>
        <v>19850</v>
      </c>
      <c r="M553">
        <f t="shared" si="103"/>
        <v>270</v>
      </c>
      <c r="N553" s="5">
        <f t="shared" si="107"/>
        <v>55950</v>
      </c>
      <c r="AF553" s="1">
        <v>45478</v>
      </c>
      <c r="AG553">
        <f t="shared" si="104"/>
        <v>270</v>
      </c>
    </row>
    <row r="554" spans="1:33" x14ac:dyDescent="0.25">
      <c r="A554" s="1">
        <v>45479</v>
      </c>
      <c r="B554" t="s">
        <v>4</v>
      </c>
      <c r="C554">
        <f t="shared" si="101"/>
        <v>0.9</v>
      </c>
      <c r="D554">
        <f t="shared" si="102"/>
        <v>6</v>
      </c>
      <c r="F554">
        <f t="shared" si="105"/>
        <v>36100</v>
      </c>
      <c r="G554">
        <f t="shared" si="96"/>
        <v>36100</v>
      </c>
      <c r="H554">
        <f t="shared" si="97"/>
        <v>9</v>
      </c>
      <c r="I554">
        <f t="shared" si="98"/>
        <v>270</v>
      </c>
      <c r="J554" s="3">
        <f t="shared" si="99"/>
        <v>36100</v>
      </c>
      <c r="K554">
        <f t="shared" si="100"/>
        <v>0</v>
      </c>
      <c r="L554" s="4">
        <f t="shared" si="106"/>
        <v>19850</v>
      </c>
      <c r="M554">
        <f t="shared" si="103"/>
        <v>0</v>
      </c>
      <c r="N554" s="5">
        <f t="shared" si="107"/>
        <v>55950</v>
      </c>
      <c r="AF554" s="1">
        <v>45479</v>
      </c>
      <c r="AG554">
        <f t="shared" si="104"/>
        <v>0</v>
      </c>
    </row>
    <row r="555" spans="1:33" x14ac:dyDescent="0.25">
      <c r="A555" s="1">
        <v>45480</v>
      </c>
      <c r="B555" t="s">
        <v>4</v>
      </c>
      <c r="C555">
        <f t="shared" si="101"/>
        <v>0.9</v>
      </c>
      <c r="D555">
        <f t="shared" si="102"/>
        <v>7</v>
      </c>
      <c r="F555">
        <f t="shared" si="105"/>
        <v>36100</v>
      </c>
      <c r="G555">
        <f t="shared" si="96"/>
        <v>35950</v>
      </c>
      <c r="H555">
        <f t="shared" si="97"/>
        <v>9</v>
      </c>
      <c r="I555">
        <f t="shared" si="98"/>
        <v>270</v>
      </c>
      <c r="J555" s="3">
        <f t="shared" si="99"/>
        <v>35950</v>
      </c>
      <c r="K555">
        <f t="shared" si="100"/>
        <v>150</v>
      </c>
      <c r="L555" s="4">
        <f t="shared" si="106"/>
        <v>20000</v>
      </c>
      <c r="M555">
        <f t="shared" si="103"/>
        <v>0</v>
      </c>
      <c r="N555" s="5">
        <f t="shared" si="107"/>
        <v>55950</v>
      </c>
      <c r="AF555" s="1">
        <v>45480</v>
      </c>
      <c r="AG555">
        <f t="shared" si="104"/>
        <v>-150</v>
      </c>
    </row>
    <row r="556" spans="1:33" x14ac:dyDescent="0.25">
      <c r="A556" s="1">
        <v>45481</v>
      </c>
      <c r="B556" t="s">
        <v>4</v>
      </c>
      <c r="C556">
        <f t="shared" si="101"/>
        <v>0.9</v>
      </c>
      <c r="D556">
        <f t="shared" si="102"/>
        <v>1</v>
      </c>
      <c r="F556">
        <f t="shared" si="105"/>
        <v>35950</v>
      </c>
      <c r="G556">
        <f t="shared" si="96"/>
        <v>35950</v>
      </c>
      <c r="H556">
        <f t="shared" si="97"/>
        <v>9</v>
      </c>
      <c r="I556">
        <f t="shared" si="98"/>
        <v>270</v>
      </c>
      <c r="J556" s="3">
        <f t="shared" si="99"/>
        <v>36220</v>
      </c>
      <c r="K556">
        <f t="shared" si="100"/>
        <v>0</v>
      </c>
      <c r="L556" s="4">
        <f t="shared" si="106"/>
        <v>20000</v>
      </c>
      <c r="M556">
        <f t="shared" si="103"/>
        <v>270</v>
      </c>
      <c r="N556" s="5">
        <f t="shared" si="107"/>
        <v>56220</v>
      </c>
      <c r="AF556" s="1">
        <v>45481</v>
      </c>
      <c r="AG556">
        <f t="shared" si="104"/>
        <v>270</v>
      </c>
    </row>
    <row r="557" spans="1:33" x14ac:dyDescent="0.25">
      <c r="A557" s="1">
        <v>45482</v>
      </c>
      <c r="B557" t="s">
        <v>4</v>
      </c>
      <c r="C557">
        <f t="shared" si="101"/>
        <v>0.9</v>
      </c>
      <c r="D557">
        <f t="shared" si="102"/>
        <v>2</v>
      </c>
      <c r="F557">
        <f t="shared" si="105"/>
        <v>36220</v>
      </c>
      <c r="G557">
        <f t="shared" si="96"/>
        <v>36220</v>
      </c>
      <c r="H557">
        <f t="shared" si="97"/>
        <v>9</v>
      </c>
      <c r="I557">
        <f t="shared" si="98"/>
        <v>270</v>
      </c>
      <c r="J557" s="3">
        <f t="shared" si="99"/>
        <v>36490</v>
      </c>
      <c r="K557">
        <f t="shared" si="100"/>
        <v>0</v>
      </c>
      <c r="L557" s="4">
        <f t="shared" si="106"/>
        <v>20000</v>
      </c>
      <c r="M557">
        <f t="shared" si="103"/>
        <v>270</v>
      </c>
      <c r="N557" s="5">
        <f t="shared" si="107"/>
        <v>56490</v>
      </c>
      <c r="AF557" s="1">
        <v>45482</v>
      </c>
      <c r="AG557">
        <f t="shared" si="104"/>
        <v>270</v>
      </c>
    </row>
    <row r="558" spans="1:33" x14ac:dyDescent="0.25">
      <c r="A558" s="1">
        <v>45483</v>
      </c>
      <c r="B558" t="s">
        <v>4</v>
      </c>
      <c r="C558">
        <f t="shared" si="101"/>
        <v>0.9</v>
      </c>
      <c r="D558">
        <f t="shared" si="102"/>
        <v>3</v>
      </c>
      <c r="F558">
        <f t="shared" si="105"/>
        <v>36490</v>
      </c>
      <c r="G558">
        <f t="shared" si="96"/>
        <v>36490</v>
      </c>
      <c r="H558">
        <f t="shared" si="97"/>
        <v>9</v>
      </c>
      <c r="I558">
        <f t="shared" si="98"/>
        <v>270</v>
      </c>
      <c r="J558" s="3">
        <f t="shared" si="99"/>
        <v>36760</v>
      </c>
      <c r="K558">
        <f t="shared" si="100"/>
        <v>0</v>
      </c>
      <c r="L558" s="4">
        <f t="shared" si="106"/>
        <v>20000</v>
      </c>
      <c r="M558">
        <f t="shared" si="103"/>
        <v>270</v>
      </c>
      <c r="N558" s="5">
        <f t="shared" si="107"/>
        <v>56760</v>
      </c>
      <c r="AF558" s="1">
        <v>45483</v>
      </c>
      <c r="AG558">
        <f t="shared" si="104"/>
        <v>270</v>
      </c>
    </row>
    <row r="559" spans="1:33" x14ac:dyDescent="0.25">
      <c r="A559" s="1">
        <v>45484</v>
      </c>
      <c r="B559" t="s">
        <v>4</v>
      </c>
      <c r="C559">
        <f t="shared" si="101"/>
        <v>0.9</v>
      </c>
      <c r="D559">
        <f t="shared" si="102"/>
        <v>4</v>
      </c>
      <c r="F559">
        <f t="shared" si="105"/>
        <v>36760</v>
      </c>
      <c r="G559">
        <f t="shared" si="96"/>
        <v>36760</v>
      </c>
      <c r="H559">
        <f t="shared" si="97"/>
        <v>9</v>
      </c>
      <c r="I559">
        <f t="shared" si="98"/>
        <v>270</v>
      </c>
      <c r="J559" s="3">
        <f t="shared" si="99"/>
        <v>37030</v>
      </c>
      <c r="K559">
        <f t="shared" si="100"/>
        <v>0</v>
      </c>
      <c r="L559" s="4">
        <f t="shared" si="106"/>
        <v>20000</v>
      </c>
      <c r="M559">
        <f t="shared" si="103"/>
        <v>270</v>
      </c>
      <c r="N559" s="5">
        <f t="shared" si="107"/>
        <v>57030</v>
      </c>
      <c r="AF559" s="1">
        <v>45484</v>
      </c>
      <c r="AG559">
        <f t="shared" si="104"/>
        <v>270</v>
      </c>
    </row>
    <row r="560" spans="1:33" x14ac:dyDescent="0.25">
      <c r="A560" s="1">
        <v>45485</v>
      </c>
      <c r="B560" t="s">
        <v>4</v>
      </c>
      <c r="C560">
        <f t="shared" si="101"/>
        <v>0.9</v>
      </c>
      <c r="D560">
        <f t="shared" si="102"/>
        <v>5</v>
      </c>
      <c r="F560">
        <f t="shared" si="105"/>
        <v>37030</v>
      </c>
      <c r="G560">
        <f t="shared" si="96"/>
        <v>37030</v>
      </c>
      <c r="H560">
        <f t="shared" si="97"/>
        <v>9</v>
      </c>
      <c r="I560">
        <f t="shared" si="98"/>
        <v>270</v>
      </c>
      <c r="J560" s="3">
        <f t="shared" si="99"/>
        <v>37300</v>
      </c>
      <c r="K560">
        <f t="shared" si="100"/>
        <v>0</v>
      </c>
      <c r="L560" s="4">
        <f t="shared" si="106"/>
        <v>20000</v>
      </c>
      <c r="M560">
        <f t="shared" si="103"/>
        <v>270</v>
      </c>
      <c r="N560" s="5">
        <f t="shared" si="107"/>
        <v>57300</v>
      </c>
      <c r="AF560" s="1">
        <v>45485</v>
      </c>
      <c r="AG560">
        <f t="shared" si="104"/>
        <v>270</v>
      </c>
    </row>
    <row r="561" spans="1:33" x14ac:dyDescent="0.25">
      <c r="A561" s="1">
        <v>45486</v>
      </c>
      <c r="B561" t="s">
        <v>4</v>
      </c>
      <c r="C561">
        <f t="shared" si="101"/>
        <v>0.9</v>
      </c>
      <c r="D561">
        <f t="shared" si="102"/>
        <v>6</v>
      </c>
      <c r="F561">
        <f t="shared" si="105"/>
        <v>37300</v>
      </c>
      <c r="G561">
        <f t="shared" si="96"/>
        <v>37300</v>
      </c>
      <c r="H561">
        <f t="shared" si="97"/>
        <v>9</v>
      </c>
      <c r="I561">
        <f t="shared" si="98"/>
        <v>270</v>
      </c>
      <c r="J561" s="3">
        <f t="shared" si="99"/>
        <v>37300</v>
      </c>
      <c r="K561">
        <f t="shared" si="100"/>
        <v>0</v>
      </c>
      <c r="L561" s="4">
        <f t="shared" si="106"/>
        <v>20000</v>
      </c>
      <c r="M561">
        <f t="shared" si="103"/>
        <v>0</v>
      </c>
      <c r="N561" s="5">
        <f t="shared" si="107"/>
        <v>57300</v>
      </c>
      <c r="AF561" s="1">
        <v>45486</v>
      </c>
      <c r="AG561">
        <f t="shared" si="104"/>
        <v>0</v>
      </c>
    </row>
    <row r="562" spans="1:33" x14ac:dyDescent="0.25">
      <c r="A562" s="1">
        <v>45487</v>
      </c>
      <c r="B562" t="s">
        <v>4</v>
      </c>
      <c r="C562">
        <f t="shared" si="101"/>
        <v>0.9</v>
      </c>
      <c r="D562">
        <f t="shared" si="102"/>
        <v>7</v>
      </c>
      <c r="F562">
        <f t="shared" si="105"/>
        <v>37300</v>
      </c>
      <c r="G562">
        <f t="shared" si="96"/>
        <v>37150</v>
      </c>
      <c r="H562">
        <f t="shared" si="97"/>
        <v>9</v>
      </c>
      <c r="I562">
        <f t="shared" si="98"/>
        <v>270</v>
      </c>
      <c r="J562" s="3">
        <f t="shared" si="99"/>
        <v>37150</v>
      </c>
      <c r="K562">
        <f t="shared" si="100"/>
        <v>150</v>
      </c>
      <c r="L562" s="4">
        <f t="shared" si="106"/>
        <v>20150</v>
      </c>
      <c r="M562">
        <f t="shared" si="103"/>
        <v>0</v>
      </c>
      <c r="N562" s="5">
        <f t="shared" si="107"/>
        <v>57300</v>
      </c>
      <c r="AF562" s="1">
        <v>45487</v>
      </c>
      <c r="AG562">
        <f t="shared" si="104"/>
        <v>-150</v>
      </c>
    </row>
    <row r="563" spans="1:33" x14ac:dyDescent="0.25">
      <c r="A563" s="1">
        <v>45488</v>
      </c>
      <c r="B563" t="s">
        <v>4</v>
      </c>
      <c r="C563">
        <f t="shared" si="101"/>
        <v>0.9</v>
      </c>
      <c r="D563">
        <f t="shared" si="102"/>
        <v>1</v>
      </c>
      <c r="F563">
        <f t="shared" si="105"/>
        <v>37150</v>
      </c>
      <c r="G563">
        <f t="shared" si="96"/>
        <v>37150</v>
      </c>
      <c r="H563">
        <f t="shared" si="97"/>
        <v>9</v>
      </c>
      <c r="I563">
        <f t="shared" si="98"/>
        <v>270</v>
      </c>
      <c r="J563" s="3">
        <f t="shared" si="99"/>
        <v>37420</v>
      </c>
      <c r="K563">
        <f t="shared" si="100"/>
        <v>0</v>
      </c>
      <c r="L563" s="4">
        <f t="shared" si="106"/>
        <v>20150</v>
      </c>
      <c r="M563">
        <f t="shared" si="103"/>
        <v>270</v>
      </c>
      <c r="N563" s="5">
        <f t="shared" si="107"/>
        <v>57570</v>
      </c>
      <c r="AF563" s="1">
        <v>45488</v>
      </c>
      <c r="AG563">
        <f t="shared" si="104"/>
        <v>270</v>
      </c>
    </row>
    <row r="564" spans="1:33" x14ac:dyDescent="0.25">
      <c r="A564" s="1">
        <v>45489</v>
      </c>
      <c r="B564" t="s">
        <v>4</v>
      </c>
      <c r="C564">
        <f t="shared" si="101"/>
        <v>0.9</v>
      </c>
      <c r="D564">
        <f t="shared" si="102"/>
        <v>2</v>
      </c>
      <c r="F564">
        <f t="shared" si="105"/>
        <v>37420</v>
      </c>
      <c r="G564">
        <f t="shared" si="96"/>
        <v>37420</v>
      </c>
      <c r="H564">
        <f t="shared" si="97"/>
        <v>9</v>
      </c>
      <c r="I564">
        <f t="shared" si="98"/>
        <v>270</v>
      </c>
      <c r="J564" s="3">
        <f t="shared" si="99"/>
        <v>37690</v>
      </c>
      <c r="K564">
        <f t="shared" si="100"/>
        <v>0</v>
      </c>
      <c r="L564" s="4">
        <f t="shared" si="106"/>
        <v>20150</v>
      </c>
      <c r="M564">
        <f t="shared" si="103"/>
        <v>270</v>
      </c>
      <c r="N564" s="5">
        <f t="shared" si="107"/>
        <v>57840</v>
      </c>
      <c r="AF564" s="1">
        <v>45489</v>
      </c>
      <c r="AG564">
        <f t="shared" si="104"/>
        <v>270</v>
      </c>
    </row>
    <row r="565" spans="1:33" x14ac:dyDescent="0.25">
      <c r="A565" s="1">
        <v>45490</v>
      </c>
      <c r="B565" t="s">
        <v>4</v>
      </c>
      <c r="C565">
        <f t="shared" si="101"/>
        <v>0.9</v>
      </c>
      <c r="D565">
        <f t="shared" si="102"/>
        <v>3</v>
      </c>
      <c r="F565">
        <f t="shared" si="105"/>
        <v>37690</v>
      </c>
      <c r="G565">
        <f t="shared" si="96"/>
        <v>37690</v>
      </c>
      <c r="H565">
        <f t="shared" si="97"/>
        <v>9</v>
      </c>
      <c r="I565">
        <f t="shared" si="98"/>
        <v>270</v>
      </c>
      <c r="J565" s="3">
        <f t="shared" si="99"/>
        <v>37960</v>
      </c>
      <c r="K565">
        <f t="shared" si="100"/>
        <v>0</v>
      </c>
      <c r="L565" s="4">
        <f t="shared" si="106"/>
        <v>20150</v>
      </c>
      <c r="M565">
        <f t="shared" si="103"/>
        <v>270</v>
      </c>
      <c r="N565" s="5">
        <f t="shared" si="107"/>
        <v>58110</v>
      </c>
      <c r="AF565" s="1">
        <v>45490</v>
      </c>
      <c r="AG565">
        <f t="shared" si="104"/>
        <v>270</v>
      </c>
    </row>
    <row r="566" spans="1:33" x14ac:dyDescent="0.25">
      <c r="A566" s="1">
        <v>45491</v>
      </c>
      <c r="B566" t="s">
        <v>4</v>
      </c>
      <c r="C566">
        <f t="shared" si="101"/>
        <v>0.9</v>
      </c>
      <c r="D566">
        <f t="shared" si="102"/>
        <v>4</v>
      </c>
      <c r="F566">
        <f t="shared" si="105"/>
        <v>37960</v>
      </c>
      <c r="G566">
        <f t="shared" si="96"/>
        <v>37960</v>
      </c>
      <c r="H566">
        <f t="shared" si="97"/>
        <v>9</v>
      </c>
      <c r="I566">
        <f t="shared" si="98"/>
        <v>270</v>
      </c>
      <c r="J566" s="3">
        <f t="shared" si="99"/>
        <v>38230</v>
      </c>
      <c r="K566">
        <f t="shared" si="100"/>
        <v>0</v>
      </c>
      <c r="L566" s="4">
        <f t="shared" si="106"/>
        <v>20150</v>
      </c>
      <c r="M566">
        <f t="shared" si="103"/>
        <v>270</v>
      </c>
      <c r="N566" s="5">
        <f t="shared" si="107"/>
        <v>58380</v>
      </c>
      <c r="AF566" s="1">
        <v>45491</v>
      </c>
      <c r="AG566">
        <f t="shared" si="104"/>
        <v>270</v>
      </c>
    </row>
    <row r="567" spans="1:33" x14ac:dyDescent="0.25">
      <c r="A567" s="1">
        <v>45492</v>
      </c>
      <c r="B567" t="s">
        <v>4</v>
      </c>
      <c r="C567">
        <f t="shared" si="101"/>
        <v>0.9</v>
      </c>
      <c r="D567">
        <f t="shared" si="102"/>
        <v>5</v>
      </c>
      <c r="F567">
        <f t="shared" si="105"/>
        <v>38230</v>
      </c>
      <c r="G567">
        <f t="shared" si="96"/>
        <v>38230</v>
      </c>
      <c r="H567">
        <f t="shared" si="97"/>
        <v>9</v>
      </c>
      <c r="I567">
        <f t="shared" si="98"/>
        <v>270</v>
      </c>
      <c r="J567" s="3">
        <f t="shared" si="99"/>
        <v>38500</v>
      </c>
      <c r="K567">
        <f t="shared" si="100"/>
        <v>0</v>
      </c>
      <c r="L567" s="4">
        <f t="shared" si="106"/>
        <v>20150</v>
      </c>
      <c r="M567">
        <f t="shared" si="103"/>
        <v>270</v>
      </c>
      <c r="N567" s="5">
        <f t="shared" si="107"/>
        <v>58650</v>
      </c>
      <c r="AF567" s="1">
        <v>45492</v>
      </c>
      <c r="AG567">
        <f t="shared" si="104"/>
        <v>270</v>
      </c>
    </row>
    <row r="568" spans="1:33" x14ac:dyDescent="0.25">
      <c r="A568" s="1">
        <v>45493</v>
      </c>
      <c r="B568" t="s">
        <v>4</v>
      </c>
      <c r="C568">
        <f t="shared" si="101"/>
        <v>0.9</v>
      </c>
      <c r="D568">
        <f t="shared" si="102"/>
        <v>6</v>
      </c>
      <c r="F568">
        <f t="shared" si="105"/>
        <v>38500</v>
      </c>
      <c r="G568">
        <f t="shared" si="96"/>
        <v>38500</v>
      </c>
      <c r="H568">
        <f t="shared" si="97"/>
        <v>9</v>
      </c>
      <c r="I568">
        <f t="shared" si="98"/>
        <v>270</v>
      </c>
      <c r="J568" s="3">
        <f t="shared" si="99"/>
        <v>38500</v>
      </c>
      <c r="K568">
        <f t="shared" si="100"/>
        <v>0</v>
      </c>
      <c r="L568" s="4">
        <f t="shared" si="106"/>
        <v>20150</v>
      </c>
      <c r="M568">
        <f t="shared" si="103"/>
        <v>0</v>
      </c>
      <c r="N568" s="5">
        <f t="shared" si="107"/>
        <v>58650</v>
      </c>
      <c r="AF568" s="1">
        <v>45493</v>
      </c>
      <c r="AG568">
        <f t="shared" si="104"/>
        <v>0</v>
      </c>
    </row>
    <row r="569" spans="1:33" x14ac:dyDescent="0.25">
      <c r="A569" s="1">
        <v>45494</v>
      </c>
      <c r="B569" t="s">
        <v>4</v>
      </c>
      <c r="C569">
        <f t="shared" si="101"/>
        <v>0.9</v>
      </c>
      <c r="D569">
        <f t="shared" si="102"/>
        <v>7</v>
      </c>
      <c r="F569">
        <f t="shared" si="105"/>
        <v>38500</v>
      </c>
      <c r="G569">
        <f t="shared" si="96"/>
        <v>38350</v>
      </c>
      <c r="H569">
        <f t="shared" si="97"/>
        <v>9</v>
      </c>
      <c r="I569">
        <f t="shared" si="98"/>
        <v>270</v>
      </c>
      <c r="J569" s="3">
        <f t="shared" si="99"/>
        <v>38350</v>
      </c>
      <c r="K569">
        <f t="shared" si="100"/>
        <v>150</v>
      </c>
      <c r="L569" s="4">
        <f t="shared" si="106"/>
        <v>20300</v>
      </c>
      <c r="M569">
        <f t="shared" si="103"/>
        <v>0</v>
      </c>
      <c r="N569" s="5">
        <f t="shared" si="107"/>
        <v>58650</v>
      </c>
      <c r="AF569" s="1">
        <v>45494</v>
      </c>
      <c r="AG569">
        <f t="shared" si="104"/>
        <v>-150</v>
      </c>
    </row>
    <row r="570" spans="1:33" x14ac:dyDescent="0.25">
      <c r="A570" s="1">
        <v>45495</v>
      </c>
      <c r="B570" t="s">
        <v>4</v>
      </c>
      <c r="C570">
        <f t="shared" si="101"/>
        <v>0.9</v>
      </c>
      <c r="D570">
        <f t="shared" si="102"/>
        <v>1</v>
      </c>
      <c r="F570">
        <f t="shared" si="105"/>
        <v>38350</v>
      </c>
      <c r="G570">
        <f t="shared" si="96"/>
        <v>38350</v>
      </c>
      <c r="H570">
        <f t="shared" si="97"/>
        <v>9</v>
      </c>
      <c r="I570">
        <f t="shared" si="98"/>
        <v>270</v>
      </c>
      <c r="J570" s="3">
        <f t="shared" si="99"/>
        <v>38620</v>
      </c>
      <c r="K570">
        <f t="shared" si="100"/>
        <v>0</v>
      </c>
      <c r="L570" s="4">
        <f t="shared" si="106"/>
        <v>20300</v>
      </c>
      <c r="M570">
        <f t="shared" si="103"/>
        <v>270</v>
      </c>
      <c r="N570" s="5">
        <f t="shared" si="107"/>
        <v>58920</v>
      </c>
      <c r="AF570" s="1">
        <v>45495</v>
      </c>
      <c r="AG570">
        <f t="shared" si="104"/>
        <v>270</v>
      </c>
    </row>
    <row r="571" spans="1:33" x14ac:dyDescent="0.25">
      <c r="A571" s="1">
        <v>45496</v>
      </c>
      <c r="B571" t="s">
        <v>4</v>
      </c>
      <c r="C571">
        <f t="shared" si="101"/>
        <v>0.9</v>
      </c>
      <c r="D571">
        <f t="shared" si="102"/>
        <v>2</v>
      </c>
      <c r="F571">
        <f t="shared" si="105"/>
        <v>38620</v>
      </c>
      <c r="G571">
        <f t="shared" si="96"/>
        <v>38620</v>
      </c>
      <c r="H571">
        <f t="shared" si="97"/>
        <v>9</v>
      </c>
      <c r="I571">
        <f t="shared" si="98"/>
        <v>270</v>
      </c>
      <c r="J571" s="3">
        <f t="shared" si="99"/>
        <v>38890</v>
      </c>
      <c r="K571">
        <f t="shared" si="100"/>
        <v>0</v>
      </c>
      <c r="L571" s="4">
        <f t="shared" si="106"/>
        <v>20300</v>
      </c>
      <c r="M571">
        <f t="shared" si="103"/>
        <v>270</v>
      </c>
      <c r="N571" s="5">
        <f t="shared" si="107"/>
        <v>59190</v>
      </c>
      <c r="AF571" s="1">
        <v>45496</v>
      </c>
      <c r="AG571">
        <f t="shared" si="104"/>
        <v>270</v>
      </c>
    </row>
    <row r="572" spans="1:33" x14ac:dyDescent="0.25">
      <c r="A572" s="1">
        <v>45497</v>
      </c>
      <c r="B572" t="s">
        <v>4</v>
      </c>
      <c r="C572">
        <f t="shared" si="101"/>
        <v>0.9</v>
      </c>
      <c r="D572">
        <f t="shared" si="102"/>
        <v>3</v>
      </c>
      <c r="F572">
        <f t="shared" si="105"/>
        <v>38890</v>
      </c>
      <c r="G572">
        <f t="shared" si="96"/>
        <v>38890</v>
      </c>
      <c r="H572">
        <f t="shared" si="97"/>
        <v>9</v>
      </c>
      <c r="I572">
        <f t="shared" si="98"/>
        <v>270</v>
      </c>
      <c r="J572" s="3">
        <f t="shared" si="99"/>
        <v>39160</v>
      </c>
      <c r="K572">
        <f t="shared" si="100"/>
        <v>0</v>
      </c>
      <c r="L572" s="4">
        <f t="shared" si="106"/>
        <v>20300</v>
      </c>
      <c r="M572">
        <f t="shared" si="103"/>
        <v>270</v>
      </c>
      <c r="N572" s="5">
        <f t="shared" si="107"/>
        <v>59460</v>
      </c>
      <c r="AF572" s="1">
        <v>45497</v>
      </c>
      <c r="AG572">
        <f t="shared" si="104"/>
        <v>270</v>
      </c>
    </row>
    <row r="573" spans="1:33" x14ac:dyDescent="0.25">
      <c r="A573" s="1">
        <v>45498</v>
      </c>
      <c r="B573" t="s">
        <v>4</v>
      </c>
      <c r="C573">
        <f t="shared" si="101"/>
        <v>0.9</v>
      </c>
      <c r="D573">
        <f t="shared" si="102"/>
        <v>4</v>
      </c>
      <c r="F573">
        <f t="shared" si="105"/>
        <v>39160</v>
      </c>
      <c r="G573">
        <f t="shared" si="96"/>
        <v>39160</v>
      </c>
      <c r="H573">
        <f t="shared" si="97"/>
        <v>9</v>
      </c>
      <c r="I573">
        <f t="shared" si="98"/>
        <v>270</v>
      </c>
      <c r="J573" s="3">
        <f t="shared" si="99"/>
        <v>39430</v>
      </c>
      <c r="K573">
        <f t="shared" si="100"/>
        <v>0</v>
      </c>
      <c r="L573" s="4">
        <f t="shared" si="106"/>
        <v>20300</v>
      </c>
      <c r="M573">
        <f t="shared" si="103"/>
        <v>270</v>
      </c>
      <c r="N573" s="5">
        <f t="shared" si="107"/>
        <v>59730</v>
      </c>
      <c r="AF573" s="1">
        <v>45498</v>
      </c>
      <c r="AG573">
        <f t="shared" si="104"/>
        <v>270</v>
      </c>
    </row>
    <row r="574" spans="1:33" x14ac:dyDescent="0.25">
      <c r="A574" s="1">
        <v>45499</v>
      </c>
      <c r="B574" t="s">
        <v>4</v>
      </c>
      <c r="C574">
        <f t="shared" si="101"/>
        <v>0.9</v>
      </c>
      <c r="D574">
        <f t="shared" si="102"/>
        <v>5</v>
      </c>
      <c r="F574">
        <f t="shared" si="105"/>
        <v>39430</v>
      </c>
      <c r="G574">
        <f t="shared" si="96"/>
        <v>39430</v>
      </c>
      <c r="H574">
        <f t="shared" si="97"/>
        <v>9</v>
      </c>
      <c r="I574">
        <f t="shared" si="98"/>
        <v>270</v>
      </c>
      <c r="J574" s="3">
        <f t="shared" si="99"/>
        <v>39700</v>
      </c>
      <c r="K574">
        <f t="shared" si="100"/>
        <v>0</v>
      </c>
      <c r="L574" s="4">
        <f t="shared" si="106"/>
        <v>20300</v>
      </c>
      <c r="M574">
        <f t="shared" si="103"/>
        <v>270</v>
      </c>
      <c r="N574" s="5">
        <f t="shared" si="107"/>
        <v>60000</v>
      </c>
      <c r="AF574" s="1">
        <v>45499</v>
      </c>
      <c r="AG574">
        <f t="shared" si="104"/>
        <v>270</v>
      </c>
    </row>
    <row r="575" spans="1:33" x14ac:dyDescent="0.25">
      <c r="A575" s="1">
        <v>45500</v>
      </c>
      <c r="B575" t="s">
        <v>4</v>
      </c>
      <c r="C575">
        <f t="shared" si="101"/>
        <v>0.9</v>
      </c>
      <c r="D575">
        <f t="shared" si="102"/>
        <v>6</v>
      </c>
      <c r="F575">
        <f t="shared" si="105"/>
        <v>39700</v>
      </c>
      <c r="G575">
        <f t="shared" si="96"/>
        <v>39700</v>
      </c>
      <c r="H575">
        <f t="shared" si="97"/>
        <v>9</v>
      </c>
      <c r="I575">
        <f t="shared" si="98"/>
        <v>270</v>
      </c>
      <c r="J575" s="3">
        <f t="shared" si="99"/>
        <v>39700</v>
      </c>
      <c r="K575">
        <f t="shared" si="100"/>
        <v>0</v>
      </c>
      <c r="L575" s="4">
        <f t="shared" si="106"/>
        <v>20300</v>
      </c>
      <c r="M575">
        <f t="shared" si="103"/>
        <v>0</v>
      </c>
      <c r="N575" s="5">
        <f t="shared" si="107"/>
        <v>60000</v>
      </c>
      <c r="AF575" s="1">
        <v>45500</v>
      </c>
      <c r="AG575">
        <f t="shared" si="104"/>
        <v>0</v>
      </c>
    </row>
    <row r="576" spans="1:33" x14ac:dyDescent="0.25">
      <c r="A576" s="1">
        <v>45501</v>
      </c>
      <c r="B576" t="s">
        <v>4</v>
      </c>
      <c r="C576">
        <f t="shared" si="101"/>
        <v>0.9</v>
      </c>
      <c r="D576">
        <f t="shared" si="102"/>
        <v>7</v>
      </c>
      <c r="F576">
        <f t="shared" si="105"/>
        <v>39700</v>
      </c>
      <c r="G576">
        <f t="shared" si="96"/>
        <v>39550</v>
      </c>
      <c r="H576">
        <f t="shared" si="97"/>
        <v>9</v>
      </c>
      <c r="I576">
        <f t="shared" si="98"/>
        <v>270</v>
      </c>
      <c r="J576" s="3">
        <f t="shared" si="99"/>
        <v>39550</v>
      </c>
      <c r="K576">
        <f t="shared" si="100"/>
        <v>150</v>
      </c>
      <c r="L576" s="4">
        <f t="shared" si="106"/>
        <v>20450</v>
      </c>
      <c r="M576">
        <f t="shared" si="103"/>
        <v>0</v>
      </c>
      <c r="N576" s="5">
        <f t="shared" si="107"/>
        <v>60000</v>
      </c>
      <c r="AF576" s="1">
        <v>45501</v>
      </c>
      <c r="AG576">
        <f t="shared" si="104"/>
        <v>-150</v>
      </c>
    </row>
    <row r="577" spans="1:33" x14ac:dyDescent="0.25">
      <c r="A577" s="1">
        <v>45502</v>
      </c>
      <c r="B577" t="s">
        <v>4</v>
      </c>
      <c r="C577">
        <f t="shared" si="101"/>
        <v>0.9</v>
      </c>
      <c r="D577">
        <f t="shared" si="102"/>
        <v>1</v>
      </c>
      <c r="F577">
        <f t="shared" si="105"/>
        <v>39550</v>
      </c>
      <c r="G577">
        <f t="shared" si="96"/>
        <v>39550</v>
      </c>
      <c r="H577">
        <f t="shared" si="97"/>
        <v>9</v>
      </c>
      <c r="I577">
        <f t="shared" si="98"/>
        <v>270</v>
      </c>
      <c r="J577" s="3">
        <f t="shared" si="99"/>
        <v>39820</v>
      </c>
      <c r="K577">
        <f t="shared" si="100"/>
        <v>0</v>
      </c>
      <c r="L577" s="4">
        <f t="shared" si="106"/>
        <v>20450</v>
      </c>
      <c r="M577">
        <f t="shared" si="103"/>
        <v>270</v>
      </c>
      <c r="N577" s="5">
        <f t="shared" si="107"/>
        <v>60270</v>
      </c>
      <c r="AF577" s="1">
        <v>45502</v>
      </c>
      <c r="AG577">
        <f t="shared" si="104"/>
        <v>270</v>
      </c>
    </row>
    <row r="578" spans="1:33" x14ac:dyDescent="0.25">
      <c r="A578" s="1">
        <v>45503</v>
      </c>
      <c r="B578" t="s">
        <v>4</v>
      </c>
      <c r="C578">
        <f t="shared" si="101"/>
        <v>0.9</v>
      </c>
      <c r="D578">
        <f t="shared" si="102"/>
        <v>2</v>
      </c>
      <c r="F578">
        <f t="shared" si="105"/>
        <v>39820</v>
      </c>
      <c r="G578">
        <f t="shared" ref="G578:G641" si="108">IF(D578=7,F578-150,F578)</f>
        <v>39820</v>
      </c>
      <c r="H578">
        <f t="shared" ref="H578:H641" si="109">ROUNDDOWN($AC$2*C578,0)</f>
        <v>9</v>
      </c>
      <c r="I578">
        <f t="shared" ref="I578:I641" si="110">H578*$AD$2</f>
        <v>270</v>
      </c>
      <c r="J578" s="3">
        <f t="shared" ref="J578:J641" si="111">IF(AND(D578&gt;=1,D578&lt;=5),G578+I578,G578)</f>
        <v>40090</v>
      </c>
      <c r="K578">
        <f t="shared" ref="K578:K641" si="112">IF(D578=7,150,0)</f>
        <v>0</v>
      </c>
      <c r="L578" s="4">
        <f t="shared" si="106"/>
        <v>20450</v>
      </c>
      <c r="M578">
        <f t="shared" si="103"/>
        <v>270</v>
      </c>
      <c r="N578" s="5">
        <f t="shared" si="107"/>
        <v>60540</v>
      </c>
      <c r="AF578" s="1">
        <v>45503</v>
      </c>
      <c r="AG578">
        <f t="shared" si="104"/>
        <v>270</v>
      </c>
    </row>
    <row r="579" spans="1:33" x14ac:dyDescent="0.25">
      <c r="A579" s="1">
        <v>45504</v>
      </c>
      <c r="B579" t="s">
        <v>4</v>
      </c>
      <c r="C579">
        <f t="shared" ref="C579:C642" si="113">IF(B579="zima",20%,IF(B579="wiosna",50%,IF(B579="lato",90%,40%)))</f>
        <v>0.9</v>
      </c>
      <c r="D579">
        <f t="shared" ref="D579:D642" si="114">WEEKDAY(A579,2)</f>
        <v>3</v>
      </c>
      <c r="F579">
        <f t="shared" si="105"/>
        <v>40090</v>
      </c>
      <c r="G579">
        <f t="shared" si="108"/>
        <v>40090</v>
      </c>
      <c r="H579">
        <f t="shared" si="109"/>
        <v>9</v>
      </c>
      <c r="I579">
        <f t="shared" si="110"/>
        <v>270</v>
      </c>
      <c r="J579" s="3">
        <f t="shared" si="111"/>
        <v>40360</v>
      </c>
      <c r="K579">
        <f t="shared" si="112"/>
        <v>0</v>
      </c>
      <c r="L579" s="4">
        <f t="shared" si="106"/>
        <v>20450</v>
      </c>
      <c r="M579">
        <f t="shared" ref="M579:M642" si="115">IF(AND(D579&gt;=1,D579&lt;=5),I579,0)</f>
        <v>270</v>
      </c>
      <c r="N579" s="5">
        <f t="shared" si="107"/>
        <v>60810</v>
      </c>
      <c r="AF579" s="1">
        <v>45504</v>
      </c>
      <c r="AG579">
        <f t="shared" ref="AG579:AG642" si="116">M579-K579</f>
        <v>270</v>
      </c>
    </row>
    <row r="580" spans="1:33" x14ac:dyDescent="0.25">
      <c r="A580" s="1">
        <v>45505</v>
      </c>
      <c r="B580" t="s">
        <v>4</v>
      </c>
      <c r="C580">
        <f t="shared" si="113"/>
        <v>0.9</v>
      </c>
      <c r="D580">
        <f t="shared" si="114"/>
        <v>4</v>
      </c>
      <c r="F580">
        <f t="shared" ref="F580:F643" si="117">J579</f>
        <v>40360</v>
      </c>
      <c r="G580">
        <f t="shared" si="108"/>
        <v>40360</v>
      </c>
      <c r="H580">
        <f t="shared" si="109"/>
        <v>9</v>
      </c>
      <c r="I580">
        <f t="shared" si="110"/>
        <v>270</v>
      </c>
      <c r="J580" s="3">
        <f t="shared" si="111"/>
        <v>40630</v>
      </c>
      <c r="K580">
        <f t="shared" si="112"/>
        <v>0</v>
      </c>
      <c r="L580" s="4">
        <f t="shared" ref="L580:L643" si="118">K580+L579</f>
        <v>20450</v>
      </c>
      <c r="M580">
        <f t="shared" si="115"/>
        <v>270</v>
      </c>
      <c r="N580" s="5">
        <f t="shared" ref="N580:N643" si="119">N579+M580</f>
        <v>61080</v>
      </c>
      <c r="AF580" s="1">
        <v>45505</v>
      </c>
      <c r="AG580">
        <f t="shared" si="116"/>
        <v>270</v>
      </c>
    </row>
    <row r="581" spans="1:33" x14ac:dyDescent="0.25">
      <c r="A581" s="1">
        <v>45506</v>
      </c>
      <c r="B581" t="s">
        <v>4</v>
      </c>
      <c r="C581">
        <f t="shared" si="113"/>
        <v>0.9</v>
      </c>
      <c r="D581">
        <f t="shared" si="114"/>
        <v>5</v>
      </c>
      <c r="F581">
        <f t="shared" si="117"/>
        <v>40630</v>
      </c>
      <c r="G581">
        <f t="shared" si="108"/>
        <v>40630</v>
      </c>
      <c r="H581">
        <f t="shared" si="109"/>
        <v>9</v>
      </c>
      <c r="I581">
        <f t="shared" si="110"/>
        <v>270</v>
      </c>
      <c r="J581" s="3">
        <f t="shared" si="111"/>
        <v>40900</v>
      </c>
      <c r="K581">
        <f t="shared" si="112"/>
        <v>0</v>
      </c>
      <c r="L581" s="4">
        <f t="shared" si="118"/>
        <v>20450</v>
      </c>
      <c r="M581">
        <f t="shared" si="115"/>
        <v>270</v>
      </c>
      <c r="N581" s="5">
        <f t="shared" si="119"/>
        <v>61350</v>
      </c>
      <c r="AF581" s="1">
        <v>45506</v>
      </c>
      <c r="AG581">
        <f t="shared" si="116"/>
        <v>270</v>
      </c>
    </row>
    <row r="582" spans="1:33" x14ac:dyDescent="0.25">
      <c r="A582" s="1">
        <v>45507</v>
      </c>
      <c r="B582" t="s">
        <v>4</v>
      </c>
      <c r="C582">
        <f t="shared" si="113"/>
        <v>0.9</v>
      </c>
      <c r="D582">
        <f t="shared" si="114"/>
        <v>6</v>
      </c>
      <c r="F582">
        <f t="shared" si="117"/>
        <v>40900</v>
      </c>
      <c r="G582">
        <f t="shared" si="108"/>
        <v>40900</v>
      </c>
      <c r="H582">
        <f t="shared" si="109"/>
        <v>9</v>
      </c>
      <c r="I582">
        <f t="shared" si="110"/>
        <v>270</v>
      </c>
      <c r="J582" s="3">
        <f t="shared" si="111"/>
        <v>40900</v>
      </c>
      <c r="K582">
        <f t="shared" si="112"/>
        <v>0</v>
      </c>
      <c r="L582" s="4">
        <f t="shared" si="118"/>
        <v>20450</v>
      </c>
      <c r="M582">
        <f t="shared" si="115"/>
        <v>0</v>
      </c>
      <c r="N582" s="5">
        <f t="shared" si="119"/>
        <v>61350</v>
      </c>
      <c r="AF582" s="1">
        <v>45507</v>
      </c>
      <c r="AG582">
        <f t="shared" si="116"/>
        <v>0</v>
      </c>
    </row>
    <row r="583" spans="1:33" x14ac:dyDescent="0.25">
      <c r="A583" s="1">
        <v>45508</v>
      </c>
      <c r="B583" t="s">
        <v>4</v>
      </c>
      <c r="C583">
        <f t="shared" si="113"/>
        <v>0.9</v>
      </c>
      <c r="D583">
        <f t="shared" si="114"/>
        <v>7</v>
      </c>
      <c r="F583">
        <f t="shared" si="117"/>
        <v>40900</v>
      </c>
      <c r="G583">
        <f t="shared" si="108"/>
        <v>40750</v>
      </c>
      <c r="H583">
        <f t="shared" si="109"/>
        <v>9</v>
      </c>
      <c r="I583">
        <f t="shared" si="110"/>
        <v>270</v>
      </c>
      <c r="J583" s="3">
        <f t="shared" si="111"/>
        <v>40750</v>
      </c>
      <c r="K583">
        <f t="shared" si="112"/>
        <v>150</v>
      </c>
      <c r="L583" s="4">
        <f t="shared" si="118"/>
        <v>20600</v>
      </c>
      <c r="M583">
        <f t="shared" si="115"/>
        <v>0</v>
      </c>
      <c r="N583" s="5">
        <f t="shared" si="119"/>
        <v>61350</v>
      </c>
      <c r="AF583" s="1">
        <v>45508</v>
      </c>
      <c r="AG583">
        <f t="shared" si="116"/>
        <v>-150</v>
      </c>
    </row>
    <row r="584" spans="1:33" x14ac:dyDescent="0.25">
      <c r="A584" s="1">
        <v>45509</v>
      </c>
      <c r="B584" t="s">
        <v>4</v>
      </c>
      <c r="C584">
        <f t="shared" si="113"/>
        <v>0.9</v>
      </c>
      <c r="D584">
        <f t="shared" si="114"/>
        <v>1</v>
      </c>
      <c r="F584">
        <f t="shared" si="117"/>
        <v>40750</v>
      </c>
      <c r="G584">
        <f t="shared" si="108"/>
        <v>40750</v>
      </c>
      <c r="H584">
        <f t="shared" si="109"/>
        <v>9</v>
      </c>
      <c r="I584">
        <f t="shared" si="110"/>
        <v>270</v>
      </c>
      <c r="J584" s="3">
        <f t="shared" si="111"/>
        <v>41020</v>
      </c>
      <c r="K584">
        <f t="shared" si="112"/>
        <v>0</v>
      </c>
      <c r="L584" s="4">
        <f t="shared" si="118"/>
        <v>20600</v>
      </c>
      <c r="M584">
        <f t="shared" si="115"/>
        <v>270</v>
      </c>
      <c r="N584" s="5">
        <f t="shared" si="119"/>
        <v>61620</v>
      </c>
      <c r="AF584" s="1">
        <v>45509</v>
      </c>
      <c r="AG584">
        <f t="shared" si="116"/>
        <v>270</v>
      </c>
    </row>
    <row r="585" spans="1:33" x14ac:dyDescent="0.25">
      <c r="A585" s="1">
        <v>45510</v>
      </c>
      <c r="B585" t="s">
        <v>4</v>
      </c>
      <c r="C585">
        <f t="shared" si="113"/>
        <v>0.9</v>
      </c>
      <c r="D585">
        <f t="shared" si="114"/>
        <v>2</v>
      </c>
      <c r="F585">
        <f t="shared" si="117"/>
        <v>41020</v>
      </c>
      <c r="G585">
        <f t="shared" si="108"/>
        <v>41020</v>
      </c>
      <c r="H585">
        <f t="shared" si="109"/>
        <v>9</v>
      </c>
      <c r="I585">
        <f t="shared" si="110"/>
        <v>270</v>
      </c>
      <c r="J585" s="3">
        <f t="shared" si="111"/>
        <v>41290</v>
      </c>
      <c r="K585">
        <f t="shared" si="112"/>
        <v>0</v>
      </c>
      <c r="L585" s="4">
        <f t="shared" si="118"/>
        <v>20600</v>
      </c>
      <c r="M585">
        <f t="shared" si="115"/>
        <v>270</v>
      </c>
      <c r="N585" s="5">
        <f t="shared" si="119"/>
        <v>61890</v>
      </c>
      <c r="AF585" s="1">
        <v>45510</v>
      </c>
      <c r="AG585">
        <f t="shared" si="116"/>
        <v>270</v>
      </c>
    </row>
    <row r="586" spans="1:33" x14ac:dyDescent="0.25">
      <c r="A586" s="1">
        <v>45511</v>
      </c>
      <c r="B586" t="s">
        <v>4</v>
      </c>
      <c r="C586">
        <f t="shared" si="113"/>
        <v>0.9</v>
      </c>
      <c r="D586">
        <f t="shared" si="114"/>
        <v>3</v>
      </c>
      <c r="F586">
        <f t="shared" si="117"/>
        <v>41290</v>
      </c>
      <c r="G586">
        <f t="shared" si="108"/>
        <v>41290</v>
      </c>
      <c r="H586">
        <f t="shared" si="109"/>
        <v>9</v>
      </c>
      <c r="I586">
        <f t="shared" si="110"/>
        <v>270</v>
      </c>
      <c r="J586" s="3">
        <f t="shared" si="111"/>
        <v>41560</v>
      </c>
      <c r="K586">
        <f t="shared" si="112"/>
        <v>0</v>
      </c>
      <c r="L586" s="4">
        <f t="shared" si="118"/>
        <v>20600</v>
      </c>
      <c r="M586">
        <f t="shared" si="115"/>
        <v>270</v>
      </c>
      <c r="N586" s="5">
        <f t="shared" si="119"/>
        <v>62160</v>
      </c>
      <c r="AF586" s="1">
        <v>45511</v>
      </c>
      <c r="AG586">
        <f t="shared" si="116"/>
        <v>270</v>
      </c>
    </row>
    <row r="587" spans="1:33" x14ac:dyDescent="0.25">
      <c r="A587" s="1">
        <v>45512</v>
      </c>
      <c r="B587" t="s">
        <v>4</v>
      </c>
      <c r="C587">
        <f t="shared" si="113"/>
        <v>0.9</v>
      </c>
      <c r="D587">
        <f t="shared" si="114"/>
        <v>4</v>
      </c>
      <c r="F587">
        <f t="shared" si="117"/>
        <v>41560</v>
      </c>
      <c r="G587">
        <f t="shared" si="108"/>
        <v>41560</v>
      </c>
      <c r="H587">
        <f t="shared" si="109"/>
        <v>9</v>
      </c>
      <c r="I587">
        <f t="shared" si="110"/>
        <v>270</v>
      </c>
      <c r="J587" s="3">
        <f t="shared" si="111"/>
        <v>41830</v>
      </c>
      <c r="K587">
        <f t="shared" si="112"/>
        <v>0</v>
      </c>
      <c r="L587" s="4">
        <f t="shared" si="118"/>
        <v>20600</v>
      </c>
      <c r="M587">
        <f t="shared" si="115"/>
        <v>270</v>
      </c>
      <c r="N587" s="5">
        <f t="shared" si="119"/>
        <v>62430</v>
      </c>
      <c r="AF587" s="1">
        <v>45512</v>
      </c>
      <c r="AG587">
        <f t="shared" si="116"/>
        <v>270</v>
      </c>
    </row>
    <row r="588" spans="1:33" x14ac:dyDescent="0.25">
      <c r="A588" s="1">
        <v>45513</v>
      </c>
      <c r="B588" t="s">
        <v>4</v>
      </c>
      <c r="C588">
        <f t="shared" si="113"/>
        <v>0.9</v>
      </c>
      <c r="D588">
        <f t="shared" si="114"/>
        <v>5</v>
      </c>
      <c r="F588">
        <f t="shared" si="117"/>
        <v>41830</v>
      </c>
      <c r="G588">
        <f t="shared" si="108"/>
        <v>41830</v>
      </c>
      <c r="H588">
        <f t="shared" si="109"/>
        <v>9</v>
      </c>
      <c r="I588">
        <f t="shared" si="110"/>
        <v>270</v>
      </c>
      <c r="J588" s="3">
        <f t="shared" si="111"/>
        <v>42100</v>
      </c>
      <c r="K588">
        <f t="shared" si="112"/>
        <v>0</v>
      </c>
      <c r="L588" s="4">
        <f t="shared" si="118"/>
        <v>20600</v>
      </c>
      <c r="M588">
        <f t="shared" si="115"/>
        <v>270</v>
      </c>
      <c r="N588" s="5">
        <f t="shared" si="119"/>
        <v>62700</v>
      </c>
      <c r="AF588" s="1">
        <v>45513</v>
      </c>
      <c r="AG588">
        <f t="shared" si="116"/>
        <v>270</v>
      </c>
    </row>
    <row r="589" spans="1:33" x14ac:dyDescent="0.25">
      <c r="A589" s="1">
        <v>45514</v>
      </c>
      <c r="B589" t="s">
        <v>4</v>
      </c>
      <c r="C589">
        <f t="shared" si="113"/>
        <v>0.9</v>
      </c>
      <c r="D589">
        <f t="shared" si="114"/>
        <v>6</v>
      </c>
      <c r="F589">
        <f t="shared" si="117"/>
        <v>42100</v>
      </c>
      <c r="G589">
        <f t="shared" si="108"/>
        <v>42100</v>
      </c>
      <c r="H589">
        <f t="shared" si="109"/>
        <v>9</v>
      </c>
      <c r="I589">
        <f t="shared" si="110"/>
        <v>270</v>
      </c>
      <c r="J589" s="3">
        <f t="shared" si="111"/>
        <v>42100</v>
      </c>
      <c r="K589">
        <f t="shared" si="112"/>
        <v>0</v>
      </c>
      <c r="L589" s="4">
        <f t="shared" si="118"/>
        <v>20600</v>
      </c>
      <c r="M589">
        <f t="shared" si="115"/>
        <v>0</v>
      </c>
      <c r="N589" s="5">
        <f t="shared" si="119"/>
        <v>62700</v>
      </c>
      <c r="AF589" s="1">
        <v>45514</v>
      </c>
      <c r="AG589">
        <f t="shared" si="116"/>
        <v>0</v>
      </c>
    </row>
    <row r="590" spans="1:33" x14ac:dyDescent="0.25">
      <c r="A590" s="1">
        <v>45515</v>
      </c>
      <c r="B590" t="s">
        <v>4</v>
      </c>
      <c r="C590">
        <f t="shared" si="113"/>
        <v>0.9</v>
      </c>
      <c r="D590">
        <f t="shared" si="114"/>
        <v>7</v>
      </c>
      <c r="F590">
        <f t="shared" si="117"/>
        <v>42100</v>
      </c>
      <c r="G590">
        <f t="shared" si="108"/>
        <v>41950</v>
      </c>
      <c r="H590">
        <f t="shared" si="109"/>
        <v>9</v>
      </c>
      <c r="I590">
        <f t="shared" si="110"/>
        <v>270</v>
      </c>
      <c r="J590" s="3">
        <f t="shared" si="111"/>
        <v>41950</v>
      </c>
      <c r="K590">
        <f t="shared" si="112"/>
        <v>150</v>
      </c>
      <c r="L590" s="4">
        <f t="shared" si="118"/>
        <v>20750</v>
      </c>
      <c r="M590">
        <f t="shared" si="115"/>
        <v>0</v>
      </c>
      <c r="N590" s="5">
        <f t="shared" si="119"/>
        <v>62700</v>
      </c>
      <c r="AF590" s="1">
        <v>45515</v>
      </c>
      <c r="AG590">
        <f t="shared" si="116"/>
        <v>-150</v>
      </c>
    </row>
    <row r="591" spans="1:33" x14ac:dyDescent="0.25">
      <c r="A591" s="1">
        <v>45516</v>
      </c>
      <c r="B591" t="s">
        <v>4</v>
      </c>
      <c r="C591">
        <f t="shared" si="113"/>
        <v>0.9</v>
      </c>
      <c r="D591">
        <f t="shared" si="114"/>
        <v>1</v>
      </c>
      <c r="F591">
        <f t="shared" si="117"/>
        <v>41950</v>
      </c>
      <c r="G591">
        <f t="shared" si="108"/>
        <v>41950</v>
      </c>
      <c r="H591">
        <f t="shared" si="109"/>
        <v>9</v>
      </c>
      <c r="I591">
        <f t="shared" si="110"/>
        <v>270</v>
      </c>
      <c r="J591" s="3">
        <f t="shared" si="111"/>
        <v>42220</v>
      </c>
      <c r="K591">
        <f t="shared" si="112"/>
        <v>0</v>
      </c>
      <c r="L591" s="4">
        <f t="shared" si="118"/>
        <v>20750</v>
      </c>
      <c r="M591">
        <f t="shared" si="115"/>
        <v>270</v>
      </c>
      <c r="N591" s="5">
        <f t="shared" si="119"/>
        <v>62970</v>
      </c>
      <c r="AF591" s="1">
        <v>45516</v>
      </c>
      <c r="AG591">
        <f t="shared" si="116"/>
        <v>270</v>
      </c>
    </row>
    <row r="592" spans="1:33" x14ac:dyDescent="0.25">
      <c r="A592" s="1">
        <v>45517</v>
      </c>
      <c r="B592" t="s">
        <v>4</v>
      </c>
      <c r="C592">
        <f t="shared" si="113"/>
        <v>0.9</v>
      </c>
      <c r="D592">
        <f t="shared" si="114"/>
        <v>2</v>
      </c>
      <c r="F592">
        <f t="shared" si="117"/>
        <v>42220</v>
      </c>
      <c r="G592">
        <f t="shared" si="108"/>
        <v>42220</v>
      </c>
      <c r="H592">
        <f t="shared" si="109"/>
        <v>9</v>
      </c>
      <c r="I592">
        <f t="shared" si="110"/>
        <v>270</v>
      </c>
      <c r="J592" s="3">
        <f t="shared" si="111"/>
        <v>42490</v>
      </c>
      <c r="K592">
        <f t="shared" si="112"/>
        <v>0</v>
      </c>
      <c r="L592" s="4">
        <f t="shared" si="118"/>
        <v>20750</v>
      </c>
      <c r="M592">
        <f t="shared" si="115"/>
        <v>270</v>
      </c>
      <c r="N592" s="5">
        <f t="shared" si="119"/>
        <v>63240</v>
      </c>
      <c r="AF592" s="1">
        <v>45517</v>
      </c>
      <c r="AG592">
        <f t="shared" si="116"/>
        <v>270</v>
      </c>
    </row>
    <row r="593" spans="1:33" x14ac:dyDescent="0.25">
      <c r="A593" s="1">
        <v>45518</v>
      </c>
      <c r="B593" t="s">
        <v>4</v>
      </c>
      <c r="C593">
        <f t="shared" si="113"/>
        <v>0.9</v>
      </c>
      <c r="D593">
        <f t="shared" si="114"/>
        <v>3</v>
      </c>
      <c r="F593">
        <f t="shared" si="117"/>
        <v>42490</v>
      </c>
      <c r="G593">
        <f t="shared" si="108"/>
        <v>42490</v>
      </c>
      <c r="H593">
        <f t="shared" si="109"/>
        <v>9</v>
      </c>
      <c r="I593">
        <f t="shared" si="110"/>
        <v>270</v>
      </c>
      <c r="J593" s="3">
        <f t="shared" si="111"/>
        <v>42760</v>
      </c>
      <c r="K593">
        <f t="shared" si="112"/>
        <v>0</v>
      </c>
      <c r="L593" s="4">
        <f t="shared" si="118"/>
        <v>20750</v>
      </c>
      <c r="M593">
        <f t="shared" si="115"/>
        <v>270</v>
      </c>
      <c r="N593" s="5">
        <f t="shared" si="119"/>
        <v>63510</v>
      </c>
      <c r="AF593" s="1">
        <v>45518</v>
      </c>
      <c r="AG593">
        <f t="shared" si="116"/>
        <v>270</v>
      </c>
    </row>
    <row r="594" spans="1:33" x14ac:dyDescent="0.25">
      <c r="A594" s="1">
        <v>45519</v>
      </c>
      <c r="B594" t="s">
        <v>4</v>
      </c>
      <c r="C594">
        <f t="shared" si="113"/>
        <v>0.9</v>
      </c>
      <c r="D594">
        <f t="shared" si="114"/>
        <v>4</v>
      </c>
      <c r="F594">
        <f t="shared" si="117"/>
        <v>42760</v>
      </c>
      <c r="G594">
        <f t="shared" si="108"/>
        <v>42760</v>
      </c>
      <c r="H594">
        <f t="shared" si="109"/>
        <v>9</v>
      </c>
      <c r="I594">
        <f t="shared" si="110"/>
        <v>270</v>
      </c>
      <c r="J594" s="3">
        <f t="shared" si="111"/>
        <v>43030</v>
      </c>
      <c r="K594">
        <f t="shared" si="112"/>
        <v>0</v>
      </c>
      <c r="L594" s="4">
        <f t="shared" si="118"/>
        <v>20750</v>
      </c>
      <c r="M594">
        <f t="shared" si="115"/>
        <v>270</v>
      </c>
      <c r="N594" s="5">
        <f t="shared" si="119"/>
        <v>63780</v>
      </c>
      <c r="AF594" s="1">
        <v>45519</v>
      </c>
      <c r="AG594">
        <f t="shared" si="116"/>
        <v>270</v>
      </c>
    </row>
    <row r="595" spans="1:33" x14ac:dyDescent="0.25">
      <c r="A595" s="1">
        <v>45520</v>
      </c>
      <c r="B595" t="s">
        <v>4</v>
      </c>
      <c r="C595">
        <f t="shared" si="113"/>
        <v>0.9</v>
      </c>
      <c r="D595">
        <f t="shared" si="114"/>
        <v>5</v>
      </c>
      <c r="F595">
        <f t="shared" si="117"/>
        <v>43030</v>
      </c>
      <c r="G595">
        <f t="shared" si="108"/>
        <v>43030</v>
      </c>
      <c r="H595">
        <f t="shared" si="109"/>
        <v>9</v>
      </c>
      <c r="I595">
        <f t="shared" si="110"/>
        <v>270</v>
      </c>
      <c r="J595" s="3">
        <f t="shared" si="111"/>
        <v>43300</v>
      </c>
      <c r="K595">
        <f t="shared" si="112"/>
        <v>0</v>
      </c>
      <c r="L595" s="4">
        <f t="shared" si="118"/>
        <v>20750</v>
      </c>
      <c r="M595">
        <f t="shared" si="115"/>
        <v>270</v>
      </c>
      <c r="N595" s="5">
        <f t="shared" si="119"/>
        <v>64050</v>
      </c>
      <c r="AF595" s="1">
        <v>45520</v>
      </c>
      <c r="AG595">
        <f t="shared" si="116"/>
        <v>270</v>
      </c>
    </row>
    <row r="596" spans="1:33" x14ac:dyDescent="0.25">
      <c r="A596" s="1">
        <v>45521</v>
      </c>
      <c r="B596" t="s">
        <v>4</v>
      </c>
      <c r="C596">
        <f t="shared" si="113"/>
        <v>0.9</v>
      </c>
      <c r="D596">
        <f t="shared" si="114"/>
        <v>6</v>
      </c>
      <c r="F596">
        <f t="shared" si="117"/>
        <v>43300</v>
      </c>
      <c r="G596">
        <f t="shared" si="108"/>
        <v>43300</v>
      </c>
      <c r="H596">
        <f t="shared" si="109"/>
        <v>9</v>
      </c>
      <c r="I596">
        <f t="shared" si="110"/>
        <v>270</v>
      </c>
      <c r="J596" s="3">
        <f t="shared" si="111"/>
        <v>43300</v>
      </c>
      <c r="K596">
        <f t="shared" si="112"/>
        <v>0</v>
      </c>
      <c r="L596" s="4">
        <f t="shared" si="118"/>
        <v>20750</v>
      </c>
      <c r="M596">
        <f t="shared" si="115"/>
        <v>0</v>
      </c>
      <c r="N596" s="5">
        <f t="shared" si="119"/>
        <v>64050</v>
      </c>
      <c r="AF596" s="1">
        <v>45521</v>
      </c>
      <c r="AG596">
        <f t="shared" si="116"/>
        <v>0</v>
      </c>
    </row>
    <row r="597" spans="1:33" x14ac:dyDescent="0.25">
      <c r="A597" s="1">
        <v>45522</v>
      </c>
      <c r="B597" t="s">
        <v>4</v>
      </c>
      <c r="C597">
        <f t="shared" si="113"/>
        <v>0.9</v>
      </c>
      <c r="D597">
        <f t="shared" si="114"/>
        <v>7</v>
      </c>
      <c r="F597">
        <f t="shared" si="117"/>
        <v>43300</v>
      </c>
      <c r="G597">
        <f t="shared" si="108"/>
        <v>43150</v>
      </c>
      <c r="H597">
        <f t="shared" si="109"/>
        <v>9</v>
      </c>
      <c r="I597">
        <f t="shared" si="110"/>
        <v>270</v>
      </c>
      <c r="J597" s="3">
        <f t="shared" si="111"/>
        <v>43150</v>
      </c>
      <c r="K597">
        <f t="shared" si="112"/>
        <v>150</v>
      </c>
      <c r="L597" s="4">
        <f t="shared" si="118"/>
        <v>20900</v>
      </c>
      <c r="M597">
        <f t="shared" si="115"/>
        <v>0</v>
      </c>
      <c r="N597" s="5">
        <f t="shared" si="119"/>
        <v>64050</v>
      </c>
      <c r="AF597" s="1">
        <v>45522</v>
      </c>
      <c r="AG597">
        <f t="shared" si="116"/>
        <v>-150</v>
      </c>
    </row>
    <row r="598" spans="1:33" x14ac:dyDescent="0.25">
      <c r="A598" s="1">
        <v>45523</v>
      </c>
      <c r="B598" t="s">
        <v>4</v>
      </c>
      <c r="C598">
        <f t="shared" si="113"/>
        <v>0.9</v>
      </c>
      <c r="D598">
        <f t="shared" si="114"/>
        <v>1</v>
      </c>
      <c r="F598">
        <f t="shared" si="117"/>
        <v>43150</v>
      </c>
      <c r="G598">
        <f t="shared" si="108"/>
        <v>43150</v>
      </c>
      <c r="H598">
        <f t="shared" si="109"/>
        <v>9</v>
      </c>
      <c r="I598">
        <f t="shared" si="110"/>
        <v>270</v>
      </c>
      <c r="J598" s="3">
        <f t="shared" si="111"/>
        <v>43420</v>
      </c>
      <c r="K598">
        <f t="shared" si="112"/>
        <v>0</v>
      </c>
      <c r="L598" s="4">
        <f t="shared" si="118"/>
        <v>20900</v>
      </c>
      <c r="M598">
        <f t="shared" si="115"/>
        <v>270</v>
      </c>
      <c r="N598" s="5">
        <f t="shared" si="119"/>
        <v>64320</v>
      </c>
      <c r="AF598" s="1">
        <v>45523</v>
      </c>
      <c r="AG598">
        <f t="shared" si="116"/>
        <v>270</v>
      </c>
    </row>
    <row r="599" spans="1:33" x14ac:dyDescent="0.25">
      <c r="A599" s="1">
        <v>45524</v>
      </c>
      <c r="B599" t="s">
        <v>4</v>
      </c>
      <c r="C599">
        <f t="shared" si="113"/>
        <v>0.9</v>
      </c>
      <c r="D599">
        <f t="shared" si="114"/>
        <v>2</v>
      </c>
      <c r="F599">
        <f t="shared" si="117"/>
        <v>43420</v>
      </c>
      <c r="G599">
        <f t="shared" si="108"/>
        <v>43420</v>
      </c>
      <c r="H599">
        <f t="shared" si="109"/>
        <v>9</v>
      </c>
      <c r="I599">
        <f t="shared" si="110"/>
        <v>270</v>
      </c>
      <c r="J599" s="3">
        <f t="shared" si="111"/>
        <v>43690</v>
      </c>
      <c r="K599">
        <f t="shared" si="112"/>
        <v>0</v>
      </c>
      <c r="L599" s="4">
        <f t="shared" si="118"/>
        <v>20900</v>
      </c>
      <c r="M599">
        <f t="shared" si="115"/>
        <v>270</v>
      </c>
      <c r="N599" s="5">
        <f t="shared" si="119"/>
        <v>64590</v>
      </c>
      <c r="AF599" s="1">
        <v>45524</v>
      </c>
      <c r="AG599">
        <f t="shared" si="116"/>
        <v>270</v>
      </c>
    </row>
    <row r="600" spans="1:33" x14ac:dyDescent="0.25">
      <c r="A600" s="1">
        <v>45525</v>
      </c>
      <c r="B600" t="s">
        <v>4</v>
      </c>
      <c r="C600">
        <f t="shared" si="113"/>
        <v>0.9</v>
      </c>
      <c r="D600">
        <f t="shared" si="114"/>
        <v>3</v>
      </c>
      <c r="F600">
        <f t="shared" si="117"/>
        <v>43690</v>
      </c>
      <c r="G600">
        <f t="shared" si="108"/>
        <v>43690</v>
      </c>
      <c r="H600">
        <f t="shared" si="109"/>
        <v>9</v>
      </c>
      <c r="I600">
        <f t="shared" si="110"/>
        <v>270</v>
      </c>
      <c r="J600" s="3">
        <f t="shared" si="111"/>
        <v>43960</v>
      </c>
      <c r="K600">
        <f t="shared" si="112"/>
        <v>0</v>
      </c>
      <c r="L600" s="4">
        <f t="shared" si="118"/>
        <v>20900</v>
      </c>
      <c r="M600">
        <f t="shared" si="115"/>
        <v>270</v>
      </c>
      <c r="N600" s="5">
        <f t="shared" si="119"/>
        <v>64860</v>
      </c>
      <c r="AF600" s="1">
        <v>45525</v>
      </c>
      <c r="AG600">
        <f t="shared" si="116"/>
        <v>270</v>
      </c>
    </row>
    <row r="601" spans="1:33" x14ac:dyDescent="0.25">
      <c r="A601" s="1">
        <v>45526</v>
      </c>
      <c r="B601" t="s">
        <v>4</v>
      </c>
      <c r="C601">
        <f t="shared" si="113"/>
        <v>0.9</v>
      </c>
      <c r="D601">
        <f t="shared" si="114"/>
        <v>4</v>
      </c>
      <c r="F601">
        <f t="shared" si="117"/>
        <v>43960</v>
      </c>
      <c r="G601">
        <f t="shared" si="108"/>
        <v>43960</v>
      </c>
      <c r="H601">
        <f t="shared" si="109"/>
        <v>9</v>
      </c>
      <c r="I601">
        <f t="shared" si="110"/>
        <v>270</v>
      </c>
      <c r="J601" s="3">
        <f t="shared" si="111"/>
        <v>44230</v>
      </c>
      <c r="K601">
        <f t="shared" si="112"/>
        <v>0</v>
      </c>
      <c r="L601" s="4">
        <f t="shared" si="118"/>
        <v>20900</v>
      </c>
      <c r="M601">
        <f t="shared" si="115"/>
        <v>270</v>
      </c>
      <c r="N601" s="5">
        <f t="shared" si="119"/>
        <v>65130</v>
      </c>
      <c r="AF601" s="1">
        <v>45526</v>
      </c>
      <c r="AG601">
        <f t="shared" si="116"/>
        <v>270</v>
      </c>
    </row>
    <row r="602" spans="1:33" x14ac:dyDescent="0.25">
      <c r="A602" s="1">
        <v>45527</v>
      </c>
      <c r="B602" t="s">
        <v>4</v>
      </c>
      <c r="C602">
        <f t="shared" si="113"/>
        <v>0.9</v>
      </c>
      <c r="D602">
        <f t="shared" si="114"/>
        <v>5</v>
      </c>
      <c r="F602">
        <f t="shared" si="117"/>
        <v>44230</v>
      </c>
      <c r="G602">
        <f t="shared" si="108"/>
        <v>44230</v>
      </c>
      <c r="H602">
        <f t="shared" si="109"/>
        <v>9</v>
      </c>
      <c r="I602">
        <f t="shared" si="110"/>
        <v>270</v>
      </c>
      <c r="J602" s="3">
        <f t="shared" si="111"/>
        <v>44500</v>
      </c>
      <c r="K602">
        <f t="shared" si="112"/>
        <v>0</v>
      </c>
      <c r="L602" s="4">
        <f t="shared" si="118"/>
        <v>20900</v>
      </c>
      <c r="M602">
        <f t="shared" si="115"/>
        <v>270</v>
      </c>
      <c r="N602" s="5">
        <f t="shared" si="119"/>
        <v>65400</v>
      </c>
      <c r="AF602" s="1">
        <v>45527</v>
      </c>
      <c r="AG602">
        <f t="shared" si="116"/>
        <v>270</v>
      </c>
    </row>
    <row r="603" spans="1:33" x14ac:dyDescent="0.25">
      <c r="A603" s="1">
        <v>45528</v>
      </c>
      <c r="B603" t="s">
        <v>4</v>
      </c>
      <c r="C603">
        <f t="shared" si="113"/>
        <v>0.9</v>
      </c>
      <c r="D603">
        <f t="shared" si="114"/>
        <v>6</v>
      </c>
      <c r="F603">
        <f t="shared" si="117"/>
        <v>44500</v>
      </c>
      <c r="G603">
        <f t="shared" si="108"/>
        <v>44500</v>
      </c>
      <c r="H603">
        <f t="shared" si="109"/>
        <v>9</v>
      </c>
      <c r="I603">
        <f t="shared" si="110"/>
        <v>270</v>
      </c>
      <c r="J603" s="3">
        <f t="shared" si="111"/>
        <v>44500</v>
      </c>
      <c r="K603">
        <f t="shared" si="112"/>
        <v>0</v>
      </c>
      <c r="L603" s="4">
        <f t="shared" si="118"/>
        <v>20900</v>
      </c>
      <c r="M603">
        <f t="shared" si="115"/>
        <v>0</v>
      </c>
      <c r="N603" s="5">
        <f t="shared" si="119"/>
        <v>65400</v>
      </c>
      <c r="AF603" s="1">
        <v>45528</v>
      </c>
      <c r="AG603">
        <f t="shared" si="116"/>
        <v>0</v>
      </c>
    </row>
    <row r="604" spans="1:33" x14ac:dyDescent="0.25">
      <c r="A604" s="1">
        <v>45529</v>
      </c>
      <c r="B604" t="s">
        <v>4</v>
      </c>
      <c r="C604">
        <f t="shared" si="113"/>
        <v>0.9</v>
      </c>
      <c r="D604">
        <f t="shared" si="114"/>
        <v>7</v>
      </c>
      <c r="F604">
        <f t="shared" si="117"/>
        <v>44500</v>
      </c>
      <c r="G604">
        <f t="shared" si="108"/>
        <v>44350</v>
      </c>
      <c r="H604">
        <f t="shared" si="109"/>
        <v>9</v>
      </c>
      <c r="I604">
        <f t="shared" si="110"/>
        <v>270</v>
      </c>
      <c r="J604" s="3">
        <f t="shared" si="111"/>
        <v>44350</v>
      </c>
      <c r="K604">
        <f t="shared" si="112"/>
        <v>150</v>
      </c>
      <c r="L604" s="4">
        <f t="shared" si="118"/>
        <v>21050</v>
      </c>
      <c r="M604">
        <f t="shared" si="115"/>
        <v>0</v>
      </c>
      <c r="N604" s="5">
        <f t="shared" si="119"/>
        <v>65400</v>
      </c>
      <c r="AF604" s="1">
        <v>45529</v>
      </c>
      <c r="AG604">
        <f t="shared" si="116"/>
        <v>-150</v>
      </c>
    </row>
    <row r="605" spans="1:33" x14ac:dyDescent="0.25">
      <c r="A605" s="1">
        <v>45530</v>
      </c>
      <c r="B605" t="s">
        <v>4</v>
      </c>
      <c r="C605">
        <f t="shared" si="113"/>
        <v>0.9</v>
      </c>
      <c r="D605">
        <f t="shared" si="114"/>
        <v>1</v>
      </c>
      <c r="F605">
        <f t="shared" si="117"/>
        <v>44350</v>
      </c>
      <c r="G605">
        <f t="shared" si="108"/>
        <v>44350</v>
      </c>
      <c r="H605">
        <f t="shared" si="109"/>
        <v>9</v>
      </c>
      <c r="I605">
        <f t="shared" si="110"/>
        <v>270</v>
      </c>
      <c r="J605" s="3">
        <f t="shared" si="111"/>
        <v>44620</v>
      </c>
      <c r="K605">
        <f t="shared" si="112"/>
        <v>0</v>
      </c>
      <c r="L605" s="4">
        <f t="shared" si="118"/>
        <v>21050</v>
      </c>
      <c r="M605">
        <f t="shared" si="115"/>
        <v>270</v>
      </c>
      <c r="N605" s="5">
        <f t="shared" si="119"/>
        <v>65670</v>
      </c>
      <c r="AF605" s="1">
        <v>45530</v>
      </c>
      <c r="AG605">
        <f t="shared" si="116"/>
        <v>270</v>
      </c>
    </row>
    <row r="606" spans="1:33" x14ac:dyDescent="0.25">
      <c r="A606" s="1">
        <v>45531</v>
      </c>
      <c r="B606" t="s">
        <v>4</v>
      </c>
      <c r="C606">
        <f t="shared" si="113"/>
        <v>0.9</v>
      </c>
      <c r="D606">
        <f t="shared" si="114"/>
        <v>2</v>
      </c>
      <c r="F606">
        <f t="shared" si="117"/>
        <v>44620</v>
      </c>
      <c r="G606">
        <f t="shared" si="108"/>
        <v>44620</v>
      </c>
      <c r="H606">
        <f t="shared" si="109"/>
        <v>9</v>
      </c>
      <c r="I606">
        <f t="shared" si="110"/>
        <v>270</v>
      </c>
      <c r="J606" s="3">
        <f t="shared" si="111"/>
        <v>44890</v>
      </c>
      <c r="K606">
        <f t="shared" si="112"/>
        <v>0</v>
      </c>
      <c r="L606" s="4">
        <f t="shared" si="118"/>
        <v>21050</v>
      </c>
      <c r="M606">
        <f t="shared" si="115"/>
        <v>270</v>
      </c>
      <c r="N606" s="5">
        <f t="shared" si="119"/>
        <v>65940</v>
      </c>
      <c r="AF606" s="1">
        <v>45531</v>
      </c>
      <c r="AG606">
        <f t="shared" si="116"/>
        <v>270</v>
      </c>
    </row>
    <row r="607" spans="1:33" x14ac:dyDescent="0.25">
      <c r="A607" s="1">
        <v>45532</v>
      </c>
      <c r="B607" t="s">
        <v>4</v>
      </c>
      <c r="C607">
        <f t="shared" si="113"/>
        <v>0.9</v>
      </c>
      <c r="D607">
        <f t="shared" si="114"/>
        <v>3</v>
      </c>
      <c r="F607">
        <f t="shared" si="117"/>
        <v>44890</v>
      </c>
      <c r="G607">
        <f t="shared" si="108"/>
        <v>44890</v>
      </c>
      <c r="H607">
        <f t="shared" si="109"/>
        <v>9</v>
      </c>
      <c r="I607">
        <f t="shared" si="110"/>
        <v>270</v>
      </c>
      <c r="J607" s="3">
        <f t="shared" si="111"/>
        <v>45160</v>
      </c>
      <c r="K607">
        <f t="shared" si="112"/>
        <v>0</v>
      </c>
      <c r="L607" s="4">
        <f t="shared" si="118"/>
        <v>21050</v>
      </c>
      <c r="M607">
        <f t="shared" si="115"/>
        <v>270</v>
      </c>
      <c r="N607" s="5">
        <f t="shared" si="119"/>
        <v>66210</v>
      </c>
      <c r="AF607" s="1">
        <v>45532</v>
      </c>
      <c r="AG607">
        <f t="shared" si="116"/>
        <v>270</v>
      </c>
    </row>
    <row r="608" spans="1:33" x14ac:dyDescent="0.25">
      <c r="A608" s="1">
        <v>45533</v>
      </c>
      <c r="B608" t="s">
        <v>4</v>
      </c>
      <c r="C608">
        <f t="shared" si="113"/>
        <v>0.9</v>
      </c>
      <c r="D608">
        <f t="shared" si="114"/>
        <v>4</v>
      </c>
      <c r="F608">
        <f t="shared" si="117"/>
        <v>45160</v>
      </c>
      <c r="G608">
        <f t="shared" si="108"/>
        <v>45160</v>
      </c>
      <c r="H608">
        <f t="shared" si="109"/>
        <v>9</v>
      </c>
      <c r="I608">
        <f t="shared" si="110"/>
        <v>270</v>
      </c>
      <c r="J608" s="3">
        <f t="shared" si="111"/>
        <v>45430</v>
      </c>
      <c r="K608">
        <f t="shared" si="112"/>
        <v>0</v>
      </c>
      <c r="L608" s="4">
        <f t="shared" si="118"/>
        <v>21050</v>
      </c>
      <c r="M608">
        <f t="shared" si="115"/>
        <v>270</v>
      </c>
      <c r="N608" s="5">
        <f t="shared" si="119"/>
        <v>66480</v>
      </c>
      <c r="AF608" s="1">
        <v>45533</v>
      </c>
      <c r="AG608">
        <f t="shared" si="116"/>
        <v>270</v>
      </c>
    </row>
    <row r="609" spans="1:33" x14ac:dyDescent="0.25">
      <c r="A609" s="1">
        <v>45534</v>
      </c>
      <c r="B609" t="s">
        <v>4</v>
      </c>
      <c r="C609">
        <f t="shared" si="113"/>
        <v>0.9</v>
      </c>
      <c r="D609">
        <f t="shared" si="114"/>
        <v>5</v>
      </c>
      <c r="F609">
        <f t="shared" si="117"/>
        <v>45430</v>
      </c>
      <c r="G609">
        <f t="shared" si="108"/>
        <v>45430</v>
      </c>
      <c r="H609">
        <f t="shared" si="109"/>
        <v>9</v>
      </c>
      <c r="I609">
        <f t="shared" si="110"/>
        <v>270</v>
      </c>
      <c r="J609" s="3">
        <f t="shared" si="111"/>
        <v>45700</v>
      </c>
      <c r="K609">
        <f t="shared" si="112"/>
        <v>0</v>
      </c>
      <c r="L609" s="4">
        <f t="shared" si="118"/>
        <v>21050</v>
      </c>
      <c r="M609">
        <f t="shared" si="115"/>
        <v>270</v>
      </c>
      <c r="N609" s="5">
        <f t="shared" si="119"/>
        <v>66750</v>
      </c>
      <c r="AF609" s="1">
        <v>45534</v>
      </c>
      <c r="AG609">
        <f t="shared" si="116"/>
        <v>270</v>
      </c>
    </row>
    <row r="610" spans="1:33" x14ac:dyDescent="0.25">
      <c r="A610" s="1">
        <v>45535</v>
      </c>
      <c r="B610" t="s">
        <v>4</v>
      </c>
      <c r="C610">
        <f t="shared" si="113"/>
        <v>0.9</v>
      </c>
      <c r="D610">
        <f t="shared" si="114"/>
        <v>6</v>
      </c>
      <c r="F610">
        <f t="shared" si="117"/>
        <v>45700</v>
      </c>
      <c r="G610">
        <f t="shared" si="108"/>
        <v>45700</v>
      </c>
      <c r="H610">
        <f t="shared" si="109"/>
        <v>9</v>
      </c>
      <c r="I610">
        <f t="shared" si="110"/>
        <v>270</v>
      </c>
      <c r="J610" s="3">
        <f t="shared" si="111"/>
        <v>45700</v>
      </c>
      <c r="K610">
        <f t="shared" si="112"/>
        <v>0</v>
      </c>
      <c r="L610" s="4">
        <f t="shared" si="118"/>
        <v>21050</v>
      </c>
      <c r="M610">
        <f t="shared" si="115"/>
        <v>0</v>
      </c>
      <c r="N610" s="5">
        <f t="shared" si="119"/>
        <v>66750</v>
      </c>
      <c r="AF610" s="1">
        <v>45535</v>
      </c>
      <c r="AG610">
        <f t="shared" si="116"/>
        <v>0</v>
      </c>
    </row>
    <row r="611" spans="1:33" x14ac:dyDescent="0.25">
      <c r="A611" s="1">
        <v>45536</v>
      </c>
      <c r="B611" t="s">
        <v>4</v>
      </c>
      <c r="C611">
        <f t="shared" si="113"/>
        <v>0.9</v>
      </c>
      <c r="D611">
        <f t="shared" si="114"/>
        <v>7</v>
      </c>
      <c r="F611">
        <f t="shared" si="117"/>
        <v>45700</v>
      </c>
      <c r="G611">
        <f t="shared" si="108"/>
        <v>45550</v>
      </c>
      <c r="H611">
        <f t="shared" si="109"/>
        <v>9</v>
      </c>
      <c r="I611">
        <f t="shared" si="110"/>
        <v>270</v>
      </c>
      <c r="J611" s="3">
        <f t="shared" si="111"/>
        <v>45550</v>
      </c>
      <c r="K611">
        <f t="shared" si="112"/>
        <v>150</v>
      </c>
      <c r="L611" s="4">
        <f t="shared" si="118"/>
        <v>21200</v>
      </c>
      <c r="M611">
        <f t="shared" si="115"/>
        <v>0</v>
      </c>
      <c r="N611" s="5">
        <f t="shared" si="119"/>
        <v>66750</v>
      </c>
      <c r="AF611" s="1">
        <v>45536</v>
      </c>
      <c r="AG611">
        <f t="shared" si="116"/>
        <v>-150</v>
      </c>
    </row>
    <row r="612" spans="1:33" x14ac:dyDescent="0.25">
      <c r="A612" s="1">
        <v>45537</v>
      </c>
      <c r="B612" t="s">
        <v>4</v>
      </c>
      <c r="C612">
        <f t="shared" si="113"/>
        <v>0.9</v>
      </c>
      <c r="D612">
        <f t="shared" si="114"/>
        <v>1</v>
      </c>
      <c r="F612">
        <f t="shared" si="117"/>
        <v>45550</v>
      </c>
      <c r="G612">
        <f t="shared" si="108"/>
        <v>45550</v>
      </c>
      <c r="H612">
        <f t="shared" si="109"/>
        <v>9</v>
      </c>
      <c r="I612">
        <f t="shared" si="110"/>
        <v>270</v>
      </c>
      <c r="J612" s="3">
        <f t="shared" si="111"/>
        <v>45820</v>
      </c>
      <c r="K612">
        <f t="shared" si="112"/>
        <v>0</v>
      </c>
      <c r="L612" s="4">
        <f t="shared" si="118"/>
        <v>21200</v>
      </c>
      <c r="M612">
        <f t="shared" si="115"/>
        <v>270</v>
      </c>
      <c r="N612" s="5">
        <f t="shared" si="119"/>
        <v>67020</v>
      </c>
      <c r="AF612" s="1">
        <v>45537</v>
      </c>
      <c r="AG612">
        <f t="shared" si="116"/>
        <v>270</v>
      </c>
    </row>
    <row r="613" spans="1:33" x14ac:dyDescent="0.25">
      <c r="A613" s="1">
        <v>45538</v>
      </c>
      <c r="B613" t="s">
        <v>4</v>
      </c>
      <c r="C613">
        <f t="shared" si="113"/>
        <v>0.9</v>
      </c>
      <c r="D613">
        <f t="shared" si="114"/>
        <v>2</v>
      </c>
      <c r="F613">
        <f t="shared" si="117"/>
        <v>45820</v>
      </c>
      <c r="G613">
        <f t="shared" si="108"/>
        <v>45820</v>
      </c>
      <c r="H613">
        <f t="shared" si="109"/>
        <v>9</v>
      </c>
      <c r="I613">
        <f t="shared" si="110"/>
        <v>270</v>
      </c>
      <c r="J613" s="3">
        <f t="shared" si="111"/>
        <v>46090</v>
      </c>
      <c r="K613">
        <f t="shared" si="112"/>
        <v>0</v>
      </c>
      <c r="L613" s="4">
        <f t="shared" si="118"/>
        <v>21200</v>
      </c>
      <c r="M613">
        <f t="shared" si="115"/>
        <v>270</v>
      </c>
      <c r="N613" s="5">
        <f t="shared" si="119"/>
        <v>67290</v>
      </c>
      <c r="AF613" s="1">
        <v>45538</v>
      </c>
      <c r="AG613">
        <f t="shared" si="116"/>
        <v>270</v>
      </c>
    </row>
    <row r="614" spans="1:33" x14ac:dyDescent="0.25">
      <c r="A614" s="1">
        <v>45539</v>
      </c>
      <c r="B614" t="s">
        <v>4</v>
      </c>
      <c r="C614">
        <f t="shared" si="113"/>
        <v>0.9</v>
      </c>
      <c r="D614">
        <f t="shared" si="114"/>
        <v>3</v>
      </c>
      <c r="F614">
        <f t="shared" si="117"/>
        <v>46090</v>
      </c>
      <c r="G614">
        <f t="shared" si="108"/>
        <v>46090</v>
      </c>
      <c r="H614">
        <f t="shared" si="109"/>
        <v>9</v>
      </c>
      <c r="I614">
        <f t="shared" si="110"/>
        <v>270</v>
      </c>
      <c r="J614" s="3">
        <f t="shared" si="111"/>
        <v>46360</v>
      </c>
      <c r="K614">
        <f t="shared" si="112"/>
        <v>0</v>
      </c>
      <c r="L614" s="4">
        <f t="shared" si="118"/>
        <v>21200</v>
      </c>
      <c r="M614">
        <f t="shared" si="115"/>
        <v>270</v>
      </c>
      <c r="N614" s="5">
        <f t="shared" si="119"/>
        <v>67560</v>
      </c>
      <c r="AF614" s="1">
        <v>45539</v>
      </c>
      <c r="AG614">
        <f t="shared" si="116"/>
        <v>270</v>
      </c>
    </row>
    <row r="615" spans="1:33" x14ac:dyDescent="0.25">
      <c r="A615" s="1">
        <v>45540</v>
      </c>
      <c r="B615" t="s">
        <v>4</v>
      </c>
      <c r="C615">
        <f t="shared" si="113"/>
        <v>0.9</v>
      </c>
      <c r="D615">
        <f t="shared" si="114"/>
        <v>4</v>
      </c>
      <c r="F615">
        <f t="shared" si="117"/>
        <v>46360</v>
      </c>
      <c r="G615">
        <f t="shared" si="108"/>
        <v>46360</v>
      </c>
      <c r="H615">
        <f t="shared" si="109"/>
        <v>9</v>
      </c>
      <c r="I615">
        <f t="shared" si="110"/>
        <v>270</v>
      </c>
      <c r="J615" s="3">
        <f t="shared" si="111"/>
        <v>46630</v>
      </c>
      <c r="K615">
        <f t="shared" si="112"/>
        <v>0</v>
      </c>
      <c r="L615" s="4">
        <f t="shared" si="118"/>
        <v>21200</v>
      </c>
      <c r="M615">
        <f t="shared" si="115"/>
        <v>270</v>
      </c>
      <c r="N615" s="5">
        <f t="shared" si="119"/>
        <v>67830</v>
      </c>
      <c r="AF615" s="1">
        <v>45540</v>
      </c>
      <c r="AG615">
        <f t="shared" si="116"/>
        <v>270</v>
      </c>
    </row>
    <row r="616" spans="1:33" x14ac:dyDescent="0.25">
      <c r="A616" s="1">
        <v>45541</v>
      </c>
      <c r="B616" t="s">
        <v>4</v>
      </c>
      <c r="C616">
        <f t="shared" si="113"/>
        <v>0.9</v>
      </c>
      <c r="D616">
        <f t="shared" si="114"/>
        <v>5</v>
      </c>
      <c r="F616">
        <f t="shared" si="117"/>
        <v>46630</v>
      </c>
      <c r="G616">
        <f t="shared" si="108"/>
        <v>46630</v>
      </c>
      <c r="H616">
        <f t="shared" si="109"/>
        <v>9</v>
      </c>
      <c r="I616">
        <f t="shared" si="110"/>
        <v>270</v>
      </c>
      <c r="J616" s="3">
        <f t="shared" si="111"/>
        <v>46900</v>
      </c>
      <c r="K616">
        <f t="shared" si="112"/>
        <v>0</v>
      </c>
      <c r="L616" s="4">
        <f t="shared" si="118"/>
        <v>21200</v>
      </c>
      <c r="M616">
        <f t="shared" si="115"/>
        <v>270</v>
      </c>
      <c r="N616" s="5">
        <f t="shared" si="119"/>
        <v>68100</v>
      </c>
      <c r="AF616" s="1">
        <v>45541</v>
      </c>
      <c r="AG616">
        <f t="shared" si="116"/>
        <v>270</v>
      </c>
    </row>
    <row r="617" spans="1:33" x14ac:dyDescent="0.25">
      <c r="A617" s="1">
        <v>45542</v>
      </c>
      <c r="B617" t="s">
        <v>4</v>
      </c>
      <c r="C617">
        <f t="shared" si="113"/>
        <v>0.9</v>
      </c>
      <c r="D617">
        <f t="shared" si="114"/>
        <v>6</v>
      </c>
      <c r="F617">
        <f t="shared" si="117"/>
        <v>46900</v>
      </c>
      <c r="G617">
        <f t="shared" si="108"/>
        <v>46900</v>
      </c>
      <c r="H617">
        <f t="shared" si="109"/>
        <v>9</v>
      </c>
      <c r="I617">
        <f t="shared" si="110"/>
        <v>270</v>
      </c>
      <c r="J617" s="3">
        <f t="shared" si="111"/>
        <v>46900</v>
      </c>
      <c r="K617">
        <f t="shared" si="112"/>
        <v>0</v>
      </c>
      <c r="L617" s="4">
        <f t="shared" si="118"/>
        <v>21200</v>
      </c>
      <c r="M617">
        <f t="shared" si="115"/>
        <v>0</v>
      </c>
      <c r="N617" s="5">
        <f t="shared" si="119"/>
        <v>68100</v>
      </c>
      <c r="AF617" s="1">
        <v>45542</v>
      </c>
      <c r="AG617">
        <f t="shared" si="116"/>
        <v>0</v>
      </c>
    </row>
    <row r="618" spans="1:33" x14ac:dyDescent="0.25">
      <c r="A618" s="1">
        <v>45543</v>
      </c>
      <c r="B618" t="s">
        <v>4</v>
      </c>
      <c r="C618">
        <f t="shared" si="113"/>
        <v>0.9</v>
      </c>
      <c r="D618">
        <f t="shared" si="114"/>
        <v>7</v>
      </c>
      <c r="F618">
        <f t="shared" si="117"/>
        <v>46900</v>
      </c>
      <c r="G618">
        <f t="shared" si="108"/>
        <v>46750</v>
      </c>
      <c r="H618">
        <f t="shared" si="109"/>
        <v>9</v>
      </c>
      <c r="I618">
        <f t="shared" si="110"/>
        <v>270</v>
      </c>
      <c r="J618" s="3">
        <f t="shared" si="111"/>
        <v>46750</v>
      </c>
      <c r="K618">
        <f t="shared" si="112"/>
        <v>150</v>
      </c>
      <c r="L618" s="4">
        <f t="shared" si="118"/>
        <v>21350</v>
      </c>
      <c r="M618">
        <f t="shared" si="115"/>
        <v>0</v>
      </c>
      <c r="N618" s="5">
        <f t="shared" si="119"/>
        <v>68100</v>
      </c>
      <c r="AF618" s="1">
        <v>45543</v>
      </c>
      <c r="AG618">
        <f t="shared" si="116"/>
        <v>-150</v>
      </c>
    </row>
    <row r="619" spans="1:33" x14ac:dyDescent="0.25">
      <c r="A619" s="1">
        <v>45544</v>
      </c>
      <c r="B619" t="s">
        <v>4</v>
      </c>
      <c r="C619">
        <f t="shared" si="113"/>
        <v>0.9</v>
      </c>
      <c r="D619">
        <f t="shared" si="114"/>
        <v>1</v>
      </c>
      <c r="F619">
        <f t="shared" si="117"/>
        <v>46750</v>
      </c>
      <c r="G619">
        <f t="shared" si="108"/>
        <v>46750</v>
      </c>
      <c r="H619">
        <f t="shared" si="109"/>
        <v>9</v>
      </c>
      <c r="I619">
        <f t="shared" si="110"/>
        <v>270</v>
      </c>
      <c r="J619" s="3">
        <f t="shared" si="111"/>
        <v>47020</v>
      </c>
      <c r="K619">
        <f t="shared" si="112"/>
        <v>0</v>
      </c>
      <c r="L619" s="4">
        <f t="shared" si="118"/>
        <v>21350</v>
      </c>
      <c r="M619">
        <f t="shared" si="115"/>
        <v>270</v>
      </c>
      <c r="N619" s="5">
        <f t="shared" si="119"/>
        <v>68370</v>
      </c>
      <c r="AF619" s="1">
        <v>45544</v>
      </c>
      <c r="AG619">
        <f t="shared" si="116"/>
        <v>270</v>
      </c>
    </row>
    <row r="620" spans="1:33" x14ac:dyDescent="0.25">
      <c r="A620" s="1">
        <v>45545</v>
      </c>
      <c r="B620" t="s">
        <v>4</v>
      </c>
      <c r="C620">
        <f t="shared" si="113"/>
        <v>0.9</v>
      </c>
      <c r="D620">
        <f t="shared" si="114"/>
        <v>2</v>
      </c>
      <c r="F620">
        <f t="shared" si="117"/>
        <v>47020</v>
      </c>
      <c r="G620">
        <f t="shared" si="108"/>
        <v>47020</v>
      </c>
      <c r="H620">
        <f t="shared" si="109"/>
        <v>9</v>
      </c>
      <c r="I620">
        <f t="shared" si="110"/>
        <v>270</v>
      </c>
      <c r="J620" s="3">
        <f t="shared" si="111"/>
        <v>47290</v>
      </c>
      <c r="K620">
        <f t="shared" si="112"/>
        <v>0</v>
      </c>
      <c r="L620" s="4">
        <f t="shared" si="118"/>
        <v>21350</v>
      </c>
      <c r="M620">
        <f t="shared" si="115"/>
        <v>270</v>
      </c>
      <c r="N620" s="5">
        <f t="shared" si="119"/>
        <v>68640</v>
      </c>
      <c r="AF620" s="1">
        <v>45545</v>
      </c>
      <c r="AG620">
        <f t="shared" si="116"/>
        <v>270</v>
      </c>
    </row>
    <row r="621" spans="1:33" x14ac:dyDescent="0.25">
      <c r="A621" s="1">
        <v>45546</v>
      </c>
      <c r="B621" t="s">
        <v>4</v>
      </c>
      <c r="C621">
        <f t="shared" si="113"/>
        <v>0.9</v>
      </c>
      <c r="D621">
        <f t="shared" si="114"/>
        <v>3</v>
      </c>
      <c r="F621">
        <f t="shared" si="117"/>
        <v>47290</v>
      </c>
      <c r="G621">
        <f t="shared" si="108"/>
        <v>47290</v>
      </c>
      <c r="H621">
        <f t="shared" si="109"/>
        <v>9</v>
      </c>
      <c r="I621">
        <f t="shared" si="110"/>
        <v>270</v>
      </c>
      <c r="J621" s="3">
        <f t="shared" si="111"/>
        <v>47560</v>
      </c>
      <c r="K621">
        <f t="shared" si="112"/>
        <v>0</v>
      </c>
      <c r="L621" s="4">
        <f t="shared" si="118"/>
        <v>21350</v>
      </c>
      <c r="M621">
        <f t="shared" si="115"/>
        <v>270</v>
      </c>
      <c r="N621" s="5">
        <f t="shared" si="119"/>
        <v>68910</v>
      </c>
      <c r="AF621" s="1">
        <v>45546</v>
      </c>
      <c r="AG621">
        <f t="shared" si="116"/>
        <v>270</v>
      </c>
    </row>
    <row r="622" spans="1:33" x14ac:dyDescent="0.25">
      <c r="A622" s="1">
        <v>45547</v>
      </c>
      <c r="B622" t="s">
        <v>4</v>
      </c>
      <c r="C622">
        <f t="shared" si="113"/>
        <v>0.9</v>
      </c>
      <c r="D622">
        <f t="shared" si="114"/>
        <v>4</v>
      </c>
      <c r="F622">
        <f t="shared" si="117"/>
        <v>47560</v>
      </c>
      <c r="G622">
        <f t="shared" si="108"/>
        <v>47560</v>
      </c>
      <c r="H622">
        <f t="shared" si="109"/>
        <v>9</v>
      </c>
      <c r="I622">
        <f t="shared" si="110"/>
        <v>270</v>
      </c>
      <c r="J622" s="3">
        <f t="shared" si="111"/>
        <v>47830</v>
      </c>
      <c r="K622">
        <f t="shared" si="112"/>
        <v>0</v>
      </c>
      <c r="L622" s="4">
        <f t="shared" si="118"/>
        <v>21350</v>
      </c>
      <c r="M622">
        <f t="shared" si="115"/>
        <v>270</v>
      </c>
      <c r="N622" s="5">
        <f t="shared" si="119"/>
        <v>69180</v>
      </c>
      <c r="AF622" s="1">
        <v>45547</v>
      </c>
      <c r="AG622">
        <f t="shared" si="116"/>
        <v>270</v>
      </c>
    </row>
    <row r="623" spans="1:33" x14ac:dyDescent="0.25">
      <c r="A623" s="1">
        <v>45548</v>
      </c>
      <c r="B623" t="s">
        <v>4</v>
      </c>
      <c r="C623">
        <f t="shared" si="113"/>
        <v>0.9</v>
      </c>
      <c r="D623">
        <f t="shared" si="114"/>
        <v>5</v>
      </c>
      <c r="F623">
        <f t="shared" si="117"/>
        <v>47830</v>
      </c>
      <c r="G623">
        <f t="shared" si="108"/>
        <v>47830</v>
      </c>
      <c r="H623">
        <f t="shared" si="109"/>
        <v>9</v>
      </c>
      <c r="I623">
        <f t="shared" si="110"/>
        <v>270</v>
      </c>
      <c r="J623" s="3">
        <f t="shared" si="111"/>
        <v>48100</v>
      </c>
      <c r="K623">
        <f t="shared" si="112"/>
        <v>0</v>
      </c>
      <c r="L623" s="4">
        <f t="shared" si="118"/>
        <v>21350</v>
      </c>
      <c r="M623">
        <f t="shared" si="115"/>
        <v>270</v>
      </c>
      <c r="N623" s="5">
        <f t="shared" si="119"/>
        <v>69450</v>
      </c>
      <c r="AF623" s="1">
        <v>45548</v>
      </c>
      <c r="AG623">
        <f t="shared" si="116"/>
        <v>270</v>
      </c>
    </row>
    <row r="624" spans="1:33" x14ac:dyDescent="0.25">
      <c r="A624" s="1">
        <v>45549</v>
      </c>
      <c r="B624" t="s">
        <v>4</v>
      </c>
      <c r="C624">
        <f t="shared" si="113"/>
        <v>0.9</v>
      </c>
      <c r="D624">
        <f t="shared" si="114"/>
        <v>6</v>
      </c>
      <c r="F624">
        <f t="shared" si="117"/>
        <v>48100</v>
      </c>
      <c r="G624">
        <f t="shared" si="108"/>
        <v>48100</v>
      </c>
      <c r="H624">
        <f t="shared" si="109"/>
        <v>9</v>
      </c>
      <c r="I624">
        <f t="shared" si="110"/>
        <v>270</v>
      </c>
      <c r="J624" s="3">
        <f t="shared" si="111"/>
        <v>48100</v>
      </c>
      <c r="K624">
        <f t="shared" si="112"/>
        <v>0</v>
      </c>
      <c r="L624" s="4">
        <f t="shared" si="118"/>
        <v>21350</v>
      </c>
      <c r="M624">
        <f t="shared" si="115"/>
        <v>0</v>
      </c>
      <c r="N624" s="5">
        <f t="shared" si="119"/>
        <v>69450</v>
      </c>
      <c r="AF624" s="1">
        <v>45549</v>
      </c>
      <c r="AG624">
        <f t="shared" si="116"/>
        <v>0</v>
      </c>
    </row>
    <row r="625" spans="1:33" x14ac:dyDescent="0.25">
      <c r="A625" s="1">
        <v>45550</v>
      </c>
      <c r="B625" t="s">
        <v>4</v>
      </c>
      <c r="C625">
        <f t="shared" si="113"/>
        <v>0.9</v>
      </c>
      <c r="D625">
        <f t="shared" si="114"/>
        <v>7</v>
      </c>
      <c r="F625">
        <f t="shared" si="117"/>
        <v>48100</v>
      </c>
      <c r="G625">
        <f t="shared" si="108"/>
        <v>47950</v>
      </c>
      <c r="H625">
        <f t="shared" si="109"/>
        <v>9</v>
      </c>
      <c r="I625">
        <f t="shared" si="110"/>
        <v>270</v>
      </c>
      <c r="J625" s="3">
        <f t="shared" si="111"/>
        <v>47950</v>
      </c>
      <c r="K625">
        <f t="shared" si="112"/>
        <v>150</v>
      </c>
      <c r="L625" s="4">
        <f t="shared" si="118"/>
        <v>21500</v>
      </c>
      <c r="M625">
        <f t="shared" si="115"/>
        <v>0</v>
      </c>
      <c r="N625" s="5">
        <f t="shared" si="119"/>
        <v>69450</v>
      </c>
      <c r="AF625" s="1">
        <v>45550</v>
      </c>
      <c r="AG625">
        <f t="shared" si="116"/>
        <v>-150</v>
      </c>
    </row>
    <row r="626" spans="1:33" x14ac:dyDescent="0.25">
      <c r="A626" s="1">
        <v>45551</v>
      </c>
      <c r="B626" t="s">
        <v>4</v>
      </c>
      <c r="C626">
        <f t="shared" si="113"/>
        <v>0.9</v>
      </c>
      <c r="D626">
        <f t="shared" si="114"/>
        <v>1</v>
      </c>
      <c r="F626">
        <f t="shared" si="117"/>
        <v>47950</v>
      </c>
      <c r="G626">
        <f t="shared" si="108"/>
        <v>47950</v>
      </c>
      <c r="H626">
        <f t="shared" si="109"/>
        <v>9</v>
      </c>
      <c r="I626">
        <f t="shared" si="110"/>
        <v>270</v>
      </c>
      <c r="J626" s="3">
        <f t="shared" si="111"/>
        <v>48220</v>
      </c>
      <c r="K626">
        <f t="shared" si="112"/>
        <v>0</v>
      </c>
      <c r="L626" s="4">
        <f t="shared" si="118"/>
        <v>21500</v>
      </c>
      <c r="M626">
        <f t="shared" si="115"/>
        <v>270</v>
      </c>
      <c r="N626" s="5">
        <f t="shared" si="119"/>
        <v>69720</v>
      </c>
      <c r="AF626" s="1">
        <v>45551</v>
      </c>
      <c r="AG626">
        <f t="shared" si="116"/>
        <v>270</v>
      </c>
    </row>
    <row r="627" spans="1:33" x14ac:dyDescent="0.25">
      <c r="A627" s="1">
        <v>45552</v>
      </c>
      <c r="B627" t="s">
        <v>4</v>
      </c>
      <c r="C627">
        <f t="shared" si="113"/>
        <v>0.9</v>
      </c>
      <c r="D627">
        <f t="shared" si="114"/>
        <v>2</v>
      </c>
      <c r="F627">
        <f t="shared" si="117"/>
        <v>48220</v>
      </c>
      <c r="G627">
        <f t="shared" si="108"/>
        <v>48220</v>
      </c>
      <c r="H627">
        <f t="shared" si="109"/>
        <v>9</v>
      </c>
      <c r="I627">
        <f t="shared" si="110"/>
        <v>270</v>
      </c>
      <c r="J627" s="3">
        <f t="shared" si="111"/>
        <v>48490</v>
      </c>
      <c r="K627">
        <f t="shared" si="112"/>
        <v>0</v>
      </c>
      <c r="L627" s="4">
        <f t="shared" si="118"/>
        <v>21500</v>
      </c>
      <c r="M627">
        <f t="shared" si="115"/>
        <v>270</v>
      </c>
      <c r="N627" s="5">
        <f t="shared" si="119"/>
        <v>69990</v>
      </c>
      <c r="AF627" s="1">
        <v>45552</v>
      </c>
      <c r="AG627">
        <f t="shared" si="116"/>
        <v>270</v>
      </c>
    </row>
    <row r="628" spans="1:33" x14ac:dyDescent="0.25">
      <c r="A628" s="1">
        <v>45553</v>
      </c>
      <c r="B628" t="s">
        <v>4</v>
      </c>
      <c r="C628">
        <f t="shared" si="113"/>
        <v>0.9</v>
      </c>
      <c r="D628">
        <f t="shared" si="114"/>
        <v>3</v>
      </c>
      <c r="F628">
        <f t="shared" si="117"/>
        <v>48490</v>
      </c>
      <c r="G628">
        <f t="shared" si="108"/>
        <v>48490</v>
      </c>
      <c r="H628">
        <f t="shared" si="109"/>
        <v>9</v>
      </c>
      <c r="I628">
        <f t="shared" si="110"/>
        <v>270</v>
      </c>
      <c r="J628" s="3">
        <f t="shared" si="111"/>
        <v>48760</v>
      </c>
      <c r="K628">
        <f t="shared" si="112"/>
        <v>0</v>
      </c>
      <c r="L628" s="4">
        <f t="shared" si="118"/>
        <v>21500</v>
      </c>
      <c r="M628">
        <f t="shared" si="115"/>
        <v>270</v>
      </c>
      <c r="N628" s="5">
        <f t="shared" si="119"/>
        <v>70260</v>
      </c>
      <c r="AF628" s="1">
        <v>45553</v>
      </c>
      <c r="AG628">
        <f t="shared" si="116"/>
        <v>270</v>
      </c>
    </row>
    <row r="629" spans="1:33" x14ac:dyDescent="0.25">
      <c r="A629" s="1">
        <v>45554</v>
      </c>
      <c r="B629" t="s">
        <v>4</v>
      </c>
      <c r="C629">
        <f t="shared" si="113"/>
        <v>0.9</v>
      </c>
      <c r="D629">
        <f t="shared" si="114"/>
        <v>4</v>
      </c>
      <c r="F629">
        <f t="shared" si="117"/>
        <v>48760</v>
      </c>
      <c r="G629">
        <f t="shared" si="108"/>
        <v>48760</v>
      </c>
      <c r="H629">
        <f t="shared" si="109"/>
        <v>9</v>
      </c>
      <c r="I629">
        <f t="shared" si="110"/>
        <v>270</v>
      </c>
      <c r="J629" s="3">
        <f t="shared" si="111"/>
        <v>49030</v>
      </c>
      <c r="K629">
        <f t="shared" si="112"/>
        <v>0</v>
      </c>
      <c r="L629" s="4">
        <f t="shared" si="118"/>
        <v>21500</v>
      </c>
      <c r="M629">
        <f t="shared" si="115"/>
        <v>270</v>
      </c>
      <c r="N629" s="5">
        <f t="shared" si="119"/>
        <v>70530</v>
      </c>
      <c r="AF629" s="1">
        <v>45554</v>
      </c>
      <c r="AG629">
        <f t="shared" si="116"/>
        <v>270</v>
      </c>
    </row>
    <row r="630" spans="1:33" x14ac:dyDescent="0.25">
      <c r="A630" s="1">
        <v>45555</v>
      </c>
      <c r="B630" t="s">
        <v>4</v>
      </c>
      <c r="C630">
        <f t="shared" si="113"/>
        <v>0.9</v>
      </c>
      <c r="D630">
        <f t="shared" si="114"/>
        <v>5</v>
      </c>
      <c r="F630">
        <f t="shared" si="117"/>
        <v>49030</v>
      </c>
      <c r="G630">
        <f t="shared" si="108"/>
        <v>49030</v>
      </c>
      <c r="H630">
        <f t="shared" si="109"/>
        <v>9</v>
      </c>
      <c r="I630">
        <f t="shared" si="110"/>
        <v>270</v>
      </c>
      <c r="J630" s="3">
        <f t="shared" si="111"/>
        <v>49300</v>
      </c>
      <c r="K630">
        <f t="shared" si="112"/>
        <v>0</v>
      </c>
      <c r="L630" s="4">
        <f t="shared" si="118"/>
        <v>21500</v>
      </c>
      <c r="M630">
        <f t="shared" si="115"/>
        <v>270</v>
      </c>
      <c r="N630" s="5">
        <f t="shared" si="119"/>
        <v>70800</v>
      </c>
      <c r="AF630" s="1">
        <v>45555</v>
      </c>
      <c r="AG630">
        <f t="shared" si="116"/>
        <v>270</v>
      </c>
    </row>
    <row r="631" spans="1:33" x14ac:dyDescent="0.25">
      <c r="A631" s="1">
        <v>45556</v>
      </c>
      <c r="B631" t="s">
        <v>4</v>
      </c>
      <c r="C631">
        <f t="shared" si="113"/>
        <v>0.9</v>
      </c>
      <c r="D631">
        <f t="shared" si="114"/>
        <v>6</v>
      </c>
      <c r="F631">
        <f t="shared" si="117"/>
        <v>49300</v>
      </c>
      <c r="G631">
        <f t="shared" si="108"/>
        <v>49300</v>
      </c>
      <c r="H631">
        <f t="shared" si="109"/>
        <v>9</v>
      </c>
      <c r="I631">
        <f t="shared" si="110"/>
        <v>270</v>
      </c>
      <c r="J631" s="3">
        <f t="shared" si="111"/>
        <v>49300</v>
      </c>
      <c r="K631">
        <f t="shared" si="112"/>
        <v>0</v>
      </c>
      <c r="L631" s="4">
        <f t="shared" si="118"/>
        <v>21500</v>
      </c>
      <c r="M631">
        <f t="shared" si="115"/>
        <v>0</v>
      </c>
      <c r="N631" s="5">
        <f t="shared" si="119"/>
        <v>70800</v>
      </c>
      <c r="AF631" s="1">
        <v>45556</v>
      </c>
      <c r="AG631">
        <f t="shared" si="116"/>
        <v>0</v>
      </c>
    </row>
    <row r="632" spans="1:33" x14ac:dyDescent="0.25">
      <c r="A632" s="1">
        <v>45557</v>
      </c>
      <c r="B632" t="s">
        <v>4</v>
      </c>
      <c r="C632">
        <f t="shared" si="113"/>
        <v>0.9</v>
      </c>
      <c r="D632">
        <f t="shared" si="114"/>
        <v>7</v>
      </c>
      <c r="F632">
        <f t="shared" si="117"/>
        <v>49300</v>
      </c>
      <c r="G632">
        <f t="shared" si="108"/>
        <v>49150</v>
      </c>
      <c r="H632">
        <f t="shared" si="109"/>
        <v>9</v>
      </c>
      <c r="I632">
        <f t="shared" si="110"/>
        <v>270</v>
      </c>
      <c r="J632" s="3">
        <f t="shared" si="111"/>
        <v>49150</v>
      </c>
      <c r="K632">
        <f t="shared" si="112"/>
        <v>150</v>
      </c>
      <c r="L632" s="4">
        <f t="shared" si="118"/>
        <v>21650</v>
      </c>
      <c r="M632">
        <f t="shared" si="115"/>
        <v>0</v>
      </c>
      <c r="N632" s="5">
        <f t="shared" si="119"/>
        <v>70800</v>
      </c>
      <c r="AF632" s="1">
        <v>45557</v>
      </c>
      <c r="AG632">
        <f t="shared" si="116"/>
        <v>-150</v>
      </c>
    </row>
    <row r="633" spans="1:33" x14ac:dyDescent="0.25">
      <c r="A633" s="1">
        <v>45558</v>
      </c>
      <c r="B633" t="s">
        <v>5</v>
      </c>
      <c r="C633">
        <f t="shared" si="113"/>
        <v>0.4</v>
      </c>
      <c r="D633">
        <f t="shared" si="114"/>
        <v>1</v>
      </c>
      <c r="F633">
        <f t="shared" si="117"/>
        <v>49150</v>
      </c>
      <c r="G633">
        <f t="shared" si="108"/>
        <v>49150</v>
      </c>
      <c r="H633">
        <f t="shared" si="109"/>
        <v>4</v>
      </c>
      <c r="I633">
        <f t="shared" si="110"/>
        <v>120</v>
      </c>
      <c r="J633" s="3">
        <f t="shared" si="111"/>
        <v>49270</v>
      </c>
      <c r="K633">
        <f t="shared" si="112"/>
        <v>0</v>
      </c>
      <c r="L633" s="4">
        <f t="shared" si="118"/>
        <v>21650</v>
      </c>
      <c r="M633">
        <f t="shared" si="115"/>
        <v>120</v>
      </c>
      <c r="N633" s="5">
        <f t="shared" si="119"/>
        <v>70920</v>
      </c>
      <c r="AF633" s="1">
        <v>45558</v>
      </c>
      <c r="AG633">
        <f t="shared" si="116"/>
        <v>120</v>
      </c>
    </row>
    <row r="634" spans="1:33" x14ac:dyDescent="0.25">
      <c r="A634" s="1">
        <v>45559</v>
      </c>
      <c r="B634" t="s">
        <v>5</v>
      </c>
      <c r="C634">
        <f t="shared" si="113"/>
        <v>0.4</v>
      </c>
      <c r="D634">
        <f t="shared" si="114"/>
        <v>2</v>
      </c>
      <c r="F634">
        <f t="shared" si="117"/>
        <v>49270</v>
      </c>
      <c r="G634">
        <f t="shared" si="108"/>
        <v>49270</v>
      </c>
      <c r="H634">
        <f t="shared" si="109"/>
        <v>4</v>
      </c>
      <c r="I634">
        <f t="shared" si="110"/>
        <v>120</v>
      </c>
      <c r="J634" s="3">
        <f t="shared" si="111"/>
        <v>49390</v>
      </c>
      <c r="K634">
        <f t="shared" si="112"/>
        <v>0</v>
      </c>
      <c r="L634" s="4">
        <f t="shared" si="118"/>
        <v>21650</v>
      </c>
      <c r="M634">
        <f t="shared" si="115"/>
        <v>120</v>
      </c>
      <c r="N634" s="5">
        <f t="shared" si="119"/>
        <v>71040</v>
      </c>
      <c r="AF634" s="1">
        <v>45559</v>
      </c>
      <c r="AG634">
        <f t="shared" si="116"/>
        <v>120</v>
      </c>
    </row>
    <row r="635" spans="1:33" x14ac:dyDescent="0.25">
      <c r="A635" s="1">
        <v>45560</v>
      </c>
      <c r="B635" t="s">
        <v>5</v>
      </c>
      <c r="C635">
        <f t="shared" si="113"/>
        <v>0.4</v>
      </c>
      <c r="D635">
        <f t="shared" si="114"/>
        <v>3</v>
      </c>
      <c r="F635">
        <f t="shared" si="117"/>
        <v>49390</v>
      </c>
      <c r="G635">
        <f t="shared" si="108"/>
        <v>49390</v>
      </c>
      <c r="H635">
        <f t="shared" si="109"/>
        <v>4</v>
      </c>
      <c r="I635">
        <f t="shared" si="110"/>
        <v>120</v>
      </c>
      <c r="J635" s="3">
        <f t="shared" si="111"/>
        <v>49510</v>
      </c>
      <c r="K635">
        <f t="shared" si="112"/>
        <v>0</v>
      </c>
      <c r="L635" s="4">
        <f t="shared" si="118"/>
        <v>21650</v>
      </c>
      <c r="M635">
        <f t="shared" si="115"/>
        <v>120</v>
      </c>
      <c r="N635" s="5">
        <f t="shared" si="119"/>
        <v>71160</v>
      </c>
      <c r="AF635" s="1">
        <v>45560</v>
      </c>
      <c r="AG635">
        <f t="shared" si="116"/>
        <v>120</v>
      </c>
    </row>
    <row r="636" spans="1:33" x14ac:dyDescent="0.25">
      <c r="A636" s="1">
        <v>45561</v>
      </c>
      <c r="B636" t="s">
        <v>5</v>
      </c>
      <c r="C636">
        <f t="shared" si="113"/>
        <v>0.4</v>
      </c>
      <c r="D636">
        <f t="shared" si="114"/>
        <v>4</v>
      </c>
      <c r="F636">
        <f t="shared" si="117"/>
        <v>49510</v>
      </c>
      <c r="G636">
        <f t="shared" si="108"/>
        <v>49510</v>
      </c>
      <c r="H636">
        <f t="shared" si="109"/>
        <v>4</v>
      </c>
      <c r="I636">
        <f t="shared" si="110"/>
        <v>120</v>
      </c>
      <c r="J636" s="3">
        <f t="shared" si="111"/>
        <v>49630</v>
      </c>
      <c r="K636">
        <f t="shared" si="112"/>
        <v>0</v>
      </c>
      <c r="L636" s="4">
        <f t="shared" si="118"/>
        <v>21650</v>
      </c>
      <c r="M636">
        <f t="shared" si="115"/>
        <v>120</v>
      </c>
      <c r="N636" s="5">
        <f t="shared" si="119"/>
        <v>71280</v>
      </c>
      <c r="AF636" s="1">
        <v>45561</v>
      </c>
      <c r="AG636">
        <f t="shared" si="116"/>
        <v>120</v>
      </c>
    </row>
    <row r="637" spans="1:33" x14ac:dyDescent="0.25">
      <c r="A637" s="1">
        <v>45562</v>
      </c>
      <c r="B637" t="s">
        <v>5</v>
      </c>
      <c r="C637">
        <f t="shared" si="113"/>
        <v>0.4</v>
      </c>
      <c r="D637">
        <f t="shared" si="114"/>
        <v>5</v>
      </c>
      <c r="F637">
        <f t="shared" si="117"/>
        <v>49630</v>
      </c>
      <c r="G637">
        <f t="shared" si="108"/>
        <v>49630</v>
      </c>
      <c r="H637">
        <f t="shared" si="109"/>
        <v>4</v>
      </c>
      <c r="I637">
        <f t="shared" si="110"/>
        <v>120</v>
      </c>
      <c r="J637" s="3">
        <f t="shared" si="111"/>
        <v>49750</v>
      </c>
      <c r="K637">
        <f t="shared" si="112"/>
        <v>0</v>
      </c>
      <c r="L637" s="4">
        <f t="shared" si="118"/>
        <v>21650</v>
      </c>
      <c r="M637">
        <f t="shared" si="115"/>
        <v>120</v>
      </c>
      <c r="N637" s="5">
        <f t="shared" si="119"/>
        <v>71400</v>
      </c>
      <c r="AF637" s="1">
        <v>45562</v>
      </c>
      <c r="AG637">
        <f t="shared" si="116"/>
        <v>120</v>
      </c>
    </row>
    <row r="638" spans="1:33" x14ac:dyDescent="0.25">
      <c r="A638" s="1">
        <v>45563</v>
      </c>
      <c r="B638" t="s">
        <v>5</v>
      </c>
      <c r="C638">
        <f t="shared" si="113"/>
        <v>0.4</v>
      </c>
      <c r="D638">
        <f t="shared" si="114"/>
        <v>6</v>
      </c>
      <c r="F638">
        <f t="shared" si="117"/>
        <v>49750</v>
      </c>
      <c r="G638">
        <f t="shared" si="108"/>
        <v>49750</v>
      </c>
      <c r="H638">
        <f t="shared" si="109"/>
        <v>4</v>
      </c>
      <c r="I638">
        <f t="shared" si="110"/>
        <v>120</v>
      </c>
      <c r="J638" s="3">
        <f t="shared" si="111"/>
        <v>49750</v>
      </c>
      <c r="K638">
        <f t="shared" si="112"/>
        <v>0</v>
      </c>
      <c r="L638" s="4">
        <f t="shared" si="118"/>
        <v>21650</v>
      </c>
      <c r="M638">
        <f t="shared" si="115"/>
        <v>0</v>
      </c>
      <c r="N638" s="5">
        <f t="shared" si="119"/>
        <v>71400</v>
      </c>
      <c r="AF638" s="1">
        <v>45563</v>
      </c>
      <c r="AG638">
        <f t="shared" si="116"/>
        <v>0</v>
      </c>
    </row>
    <row r="639" spans="1:33" x14ac:dyDescent="0.25">
      <c r="A639" s="1">
        <v>45564</v>
      </c>
      <c r="B639" t="s">
        <v>5</v>
      </c>
      <c r="C639">
        <f t="shared" si="113"/>
        <v>0.4</v>
      </c>
      <c r="D639">
        <f t="shared" si="114"/>
        <v>7</v>
      </c>
      <c r="F639">
        <f t="shared" si="117"/>
        <v>49750</v>
      </c>
      <c r="G639">
        <f t="shared" si="108"/>
        <v>49600</v>
      </c>
      <c r="H639">
        <f t="shared" si="109"/>
        <v>4</v>
      </c>
      <c r="I639">
        <f t="shared" si="110"/>
        <v>120</v>
      </c>
      <c r="J639" s="3">
        <f t="shared" si="111"/>
        <v>49600</v>
      </c>
      <c r="K639">
        <f t="shared" si="112"/>
        <v>150</v>
      </c>
      <c r="L639" s="4">
        <f t="shared" si="118"/>
        <v>21800</v>
      </c>
      <c r="M639">
        <f t="shared" si="115"/>
        <v>0</v>
      </c>
      <c r="N639" s="5">
        <f t="shared" si="119"/>
        <v>71400</v>
      </c>
      <c r="AF639" s="1">
        <v>45564</v>
      </c>
      <c r="AG639">
        <f t="shared" si="116"/>
        <v>-150</v>
      </c>
    </row>
    <row r="640" spans="1:33" x14ac:dyDescent="0.25">
      <c r="A640" s="1">
        <v>45565</v>
      </c>
      <c r="B640" t="s">
        <v>5</v>
      </c>
      <c r="C640">
        <f t="shared" si="113"/>
        <v>0.4</v>
      </c>
      <c r="D640">
        <f t="shared" si="114"/>
        <v>1</v>
      </c>
      <c r="F640">
        <f t="shared" si="117"/>
        <v>49600</v>
      </c>
      <c r="G640">
        <f t="shared" si="108"/>
        <v>49600</v>
      </c>
      <c r="H640">
        <f t="shared" si="109"/>
        <v>4</v>
      </c>
      <c r="I640">
        <f t="shared" si="110"/>
        <v>120</v>
      </c>
      <c r="J640" s="3">
        <f t="shared" si="111"/>
        <v>49720</v>
      </c>
      <c r="K640">
        <f t="shared" si="112"/>
        <v>0</v>
      </c>
      <c r="L640" s="4">
        <f t="shared" si="118"/>
        <v>21800</v>
      </c>
      <c r="M640">
        <f t="shared" si="115"/>
        <v>120</v>
      </c>
      <c r="N640" s="5">
        <f t="shared" si="119"/>
        <v>71520</v>
      </c>
      <c r="AF640" s="1">
        <v>45565</v>
      </c>
      <c r="AG640">
        <f t="shared" si="116"/>
        <v>120</v>
      </c>
    </row>
    <row r="641" spans="1:33" x14ac:dyDescent="0.25">
      <c r="A641" s="1">
        <v>45566</v>
      </c>
      <c r="B641" t="s">
        <v>5</v>
      </c>
      <c r="C641">
        <f t="shared" si="113"/>
        <v>0.4</v>
      </c>
      <c r="D641">
        <f t="shared" si="114"/>
        <v>2</v>
      </c>
      <c r="F641">
        <f t="shared" si="117"/>
        <v>49720</v>
      </c>
      <c r="G641">
        <f t="shared" si="108"/>
        <v>49720</v>
      </c>
      <c r="H641">
        <f t="shared" si="109"/>
        <v>4</v>
      </c>
      <c r="I641">
        <f t="shared" si="110"/>
        <v>120</v>
      </c>
      <c r="J641" s="3">
        <f t="shared" si="111"/>
        <v>49840</v>
      </c>
      <c r="K641">
        <f t="shared" si="112"/>
        <v>0</v>
      </c>
      <c r="L641" s="4">
        <f t="shared" si="118"/>
        <v>21800</v>
      </c>
      <c r="M641">
        <f t="shared" si="115"/>
        <v>120</v>
      </c>
      <c r="N641" s="5">
        <f t="shared" si="119"/>
        <v>71640</v>
      </c>
      <c r="AF641" s="1">
        <v>45566</v>
      </c>
      <c r="AG641">
        <f t="shared" si="116"/>
        <v>120</v>
      </c>
    </row>
    <row r="642" spans="1:33" x14ac:dyDescent="0.25">
      <c r="A642" s="1">
        <v>45567</v>
      </c>
      <c r="B642" t="s">
        <v>5</v>
      </c>
      <c r="C642">
        <f t="shared" si="113"/>
        <v>0.4</v>
      </c>
      <c r="D642">
        <f t="shared" si="114"/>
        <v>3</v>
      </c>
      <c r="F642">
        <f t="shared" si="117"/>
        <v>49840</v>
      </c>
      <c r="G642">
        <f t="shared" ref="G642:G705" si="120">IF(D642=7,F642-150,F642)</f>
        <v>49840</v>
      </c>
      <c r="H642">
        <f t="shared" ref="H642:H705" si="121">ROUNDDOWN($AC$2*C642,0)</f>
        <v>4</v>
      </c>
      <c r="I642">
        <f t="shared" ref="I642:I705" si="122">H642*$AD$2</f>
        <v>120</v>
      </c>
      <c r="J642" s="3">
        <f t="shared" ref="J642:J705" si="123">IF(AND(D642&gt;=1,D642&lt;=5),G642+I642,G642)</f>
        <v>49960</v>
      </c>
      <c r="K642">
        <f t="shared" ref="K642:K705" si="124">IF(D642=7,150,0)</f>
        <v>0</v>
      </c>
      <c r="L642" s="4">
        <f t="shared" si="118"/>
        <v>21800</v>
      </c>
      <c r="M642">
        <f t="shared" si="115"/>
        <v>120</v>
      </c>
      <c r="N642" s="5">
        <f t="shared" si="119"/>
        <v>71760</v>
      </c>
      <c r="AF642" s="1">
        <v>45567</v>
      </c>
      <c r="AG642">
        <f t="shared" si="116"/>
        <v>120</v>
      </c>
    </row>
    <row r="643" spans="1:33" x14ac:dyDescent="0.25">
      <c r="A643" s="1">
        <v>45568</v>
      </c>
      <c r="B643" t="s">
        <v>5</v>
      </c>
      <c r="C643">
        <f t="shared" ref="C643:C706" si="125">IF(B643="zima",20%,IF(B643="wiosna",50%,IF(B643="lato",90%,40%)))</f>
        <v>0.4</v>
      </c>
      <c r="D643">
        <f t="shared" ref="D643:D706" si="126">WEEKDAY(A643,2)</f>
        <v>4</v>
      </c>
      <c r="F643">
        <f t="shared" si="117"/>
        <v>49960</v>
      </c>
      <c r="G643">
        <f t="shared" si="120"/>
        <v>49960</v>
      </c>
      <c r="H643">
        <f t="shared" si="121"/>
        <v>4</v>
      </c>
      <c r="I643">
        <f t="shared" si="122"/>
        <v>120</v>
      </c>
      <c r="J643" s="3">
        <f t="shared" si="123"/>
        <v>50080</v>
      </c>
      <c r="K643">
        <f t="shared" si="124"/>
        <v>0</v>
      </c>
      <c r="L643" s="4">
        <f t="shared" si="118"/>
        <v>21800</v>
      </c>
      <c r="M643">
        <f t="shared" ref="M643:M706" si="127">IF(AND(D643&gt;=1,D643&lt;=5),I643,0)</f>
        <v>120</v>
      </c>
      <c r="N643" s="5">
        <f t="shared" si="119"/>
        <v>71880</v>
      </c>
      <c r="AF643" s="1">
        <v>45568</v>
      </c>
      <c r="AG643">
        <f t="shared" ref="AG643:AG706" si="128">M643-K643</f>
        <v>120</v>
      </c>
    </row>
    <row r="644" spans="1:33" x14ac:dyDescent="0.25">
      <c r="A644" s="1">
        <v>45569</v>
      </c>
      <c r="B644" t="s">
        <v>5</v>
      </c>
      <c r="C644">
        <f t="shared" si="125"/>
        <v>0.4</v>
      </c>
      <c r="D644">
        <f t="shared" si="126"/>
        <v>5</v>
      </c>
      <c r="F644">
        <f t="shared" ref="F644:F707" si="129">J643</f>
        <v>50080</v>
      </c>
      <c r="G644">
        <f t="shared" si="120"/>
        <v>50080</v>
      </c>
      <c r="H644">
        <f t="shared" si="121"/>
        <v>4</v>
      </c>
      <c r="I644">
        <f t="shared" si="122"/>
        <v>120</v>
      </c>
      <c r="J644" s="3">
        <f t="shared" si="123"/>
        <v>50200</v>
      </c>
      <c r="K644">
        <f t="shared" si="124"/>
        <v>0</v>
      </c>
      <c r="L644" s="4">
        <f t="shared" ref="L644:L707" si="130">K644+L643</f>
        <v>21800</v>
      </c>
      <c r="M644">
        <f t="shared" si="127"/>
        <v>120</v>
      </c>
      <c r="N644" s="5">
        <f t="shared" ref="N644:N707" si="131">N643+M644</f>
        <v>72000</v>
      </c>
      <c r="AF644" s="1">
        <v>45569</v>
      </c>
      <c r="AG644">
        <f t="shared" si="128"/>
        <v>120</v>
      </c>
    </row>
    <row r="645" spans="1:33" x14ac:dyDescent="0.25">
      <c r="A645" s="1">
        <v>45570</v>
      </c>
      <c r="B645" t="s">
        <v>5</v>
      </c>
      <c r="C645">
        <f t="shared" si="125"/>
        <v>0.4</v>
      </c>
      <c r="D645">
        <f t="shared" si="126"/>
        <v>6</v>
      </c>
      <c r="F645">
        <f t="shared" si="129"/>
        <v>50200</v>
      </c>
      <c r="G645">
        <f t="shared" si="120"/>
        <v>50200</v>
      </c>
      <c r="H645">
        <f t="shared" si="121"/>
        <v>4</v>
      </c>
      <c r="I645">
        <f t="shared" si="122"/>
        <v>120</v>
      </c>
      <c r="J645" s="3">
        <f t="shared" si="123"/>
        <v>50200</v>
      </c>
      <c r="K645">
        <f t="shared" si="124"/>
        <v>0</v>
      </c>
      <c r="L645" s="4">
        <f t="shared" si="130"/>
        <v>21800</v>
      </c>
      <c r="M645">
        <f t="shared" si="127"/>
        <v>0</v>
      </c>
      <c r="N645" s="5">
        <f t="shared" si="131"/>
        <v>72000</v>
      </c>
      <c r="AF645" s="1">
        <v>45570</v>
      </c>
      <c r="AG645">
        <f t="shared" si="128"/>
        <v>0</v>
      </c>
    </row>
    <row r="646" spans="1:33" x14ac:dyDescent="0.25">
      <c r="A646" s="1">
        <v>45571</v>
      </c>
      <c r="B646" t="s">
        <v>5</v>
      </c>
      <c r="C646">
        <f t="shared" si="125"/>
        <v>0.4</v>
      </c>
      <c r="D646">
        <f t="shared" si="126"/>
        <v>7</v>
      </c>
      <c r="F646">
        <f t="shared" si="129"/>
        <v>50200</v>
      </c>
      <c r="G646">
        <f t="shared" si="120"/>
        <v>50050</v>
      </c>
      <c r="H646">
        <f t="shared" si="121"/>
        <v>4</v>
      </c>
      <c r="I646">
        <f t="shared" si="122"/>
        <v>120</v>
      </c>
      <c r="J646" s="3">
        <f t="shared" si="123"/>
        <v>50050</v>
      </c>
      <c r="K646">
        <f t="shared" si="124"/>
        <v>150</v>
      </c>
      <c r="L646" s="4">
        <f t="shared" si="130"/>
        <v>21950</v>
      </c>
      <c r="M646">
        <f t="shared" si="127"/>
        <v>0</v>
      </c>
      <c r="N646" s="5">
        <f t="shared" si="131"/>
        <v>72000</v>
      </c>
      <c r="AF646" s="1">
        <v>45571</v>
      </c>
      <c r="AG646">
        <f t="shared" si="128"/>
        <v>-150</v>
      </c>
    </row>
    <row r="647" spans="1:33" x14ac:dyDescent="0.25">
      <c r="A647" s="1">
        <v>45572</v>
      </c>
      <c r="B647" t="s">
        <v>5</v>
      </c>
      <c r="C647">
        <f t="shared" si="125"/>
        <v>0.4</v>
      </c>
      <c r="D647">
        <f t="shared" si="126"/>
        <v>1</v>
      </c>
      <c r="F647">
        <f t="shared" si="129"/>
        <v>50050</v>
      </c>
      <c r="G647">
        <f t="shared" si="120"/>
        <v>50050</v>
      </c>
      <c r="H647">
        <f t="shared" si="121"/>
        <v>4</v>
      </c>
      <c r="I647">
        <f t="shared" si="122"/>
        <v>120</v>
      </c>
      <c r="J647" s="3">
        <f t="shared" si="123"/>
        <v>50170</v>
      </c>
      <c r="K647">
        <f t="shared" si="124"/>
        <v>0</v>
      </c>
      <c r="L647" s="4">
        <f t="shared" si="130"/>
        <v>21950</v>
      </c>
      <c r="M647">
        <f t="shared" si="127"/>
        <v>120</v>
      </c>
      <c r="N647" s="5">
        <f t="shared" si="131"/>
        <v>72120</v>
      </c>
      <c r="AF647" s="1">
        <v>45572</v>
      </c>
      <c r="AG647">
        <f t="shared" si="128"/>
        <v>120</v>
      </c>
    </row>
    <row r="648" spans="1:33" x14ac:dyDescent="0.25">
      <c r="A648" s="1">
        <v>45573</v>
      </c>
      <c r="B648" t="s">
        <v>5</v>
      </c>
      <c r="C648">
        <f t="shared" si="125"/>
        <v>0.4</v>
      </c>
      <c r="D648">
        <f t="shared" si="126"/>
        <v>2</v>
      </c>
      <c r="F648">
        <f t="shared" si="129"/>
        <v>50170</v>
      </c>
      <c r="G648">
        <f t="shared" si="120"/>
        <v>50170</v>
      </c>
      <c r="H648">
        <f t="shared" si="121"/>
        <v>4</v>
      </c>
      <c r="I648">
        <f t="shared" si="122"/>
        <v>120</v>
      </c>
      <c r="J648" s="3">
        <f t="shared" si="123"/>
        <v>50290</v>
      </c>
      <c r="K648">
        <f t="shared" si="124"/>
        <v>0</v>
      </c>
      <c r="L648" s="4">
        <f t="shared" si="130"/>
        <v>21950</v>
      </c>
      <c r="M648">
        <f t="shared" si="127"/>
        <v>120</v>
      </c>
      <c r="N648" s="5">
        <f t="shared" si="131"/>
        <v>72240</v>
      </c>
      <c r="AF648" s="1">
        <v>45573</v>
      </c>
      <c r="AG648">
        <f t="shared" si="128"/>
        <v>120</v>
      </c>
    </row>
    <row r="649" spans="1:33" x14ac:dyDescent="0.25">
      <c r="A649" s="1">
        <v>45574</v>
      </c>
      <c r="B649" t="s">
        <v>5</v>
      </c>
      <c r="C649">
        <f t="shared" si="125"/>
        <v>0.4</v>
      </c>
      <c r="D649">
        <f t="shared" si="126"/>
        <v>3</v>
      </c>
      <c r="F649">
        <f t="shared" si="129"/>
        <v>50290</v>
      </c>
      <c r="G649">
        <f t="shared" si="120"/>
        <v>50290</v>
      </c>
      <c r="H649">
        <f t="shared" si="121"/>
        <v>4</v>
      </c>
      <c r="I649">
        <f t="shared" si="122"/>
        <v>120</v>
      </c>
      <c r="J649" s="3">
        <f t="shared" si="123"/>
        <v>50410</v>
      </c>
      <c r="K649">
        <f t="shared" si="124"/>
        <v>0</v>
      </c>
      <c r="L649" s="4">
        <f t="shared" si="130"/>
        <v>21950</v>
      </c>
      <c r="M649">
        <f t="shared" si="127"/>
        <v>120</v>
      </c>
      <c r="N649" s="5">
        <f t="shared" si="131"/>
        <v>72360</v>
      </c>
      <c r="AF649" s="1">
        <v>45574</v>
      </c>
      <c r="AG649">
        <f t="shared" si="128"/>
        <v>120</v>
      </c>
    </row>
    <row r="650" spans="1:33" x14ac:dyDescent="0.25">
      <c r="A650" s="1">
        <v>45575</v>
      </c>
      <c r="B650" t="s">
        <v>5</v>
      </c>
      <c r="C650">
        <f t="shared" si="125"/>
        <v>0.4</v>
      </c>
      <c r="D650">
        <f t="shared" si="126"/>
        <v>4</v>
      </c>
      <c r="F650">
        <f t="shared" si="129"/>
        <v>50410</v>
      </c>
      <c r="G650">
        <f t="shared" si="120"/>
        <v>50410</v>
      </c>
      <c r="H650">
        <f t="shared" si="121"/>
        <v>4</v>
      </c>
      <c r="I650">
        <f t="shared" si="122"/>
        <v>120</v>
      </c>
      <c r="J650" s="3">
        <f t="shared" si="123"/>
        <v>50530</v>
      </c>
      <c r="K650">
        <f t="shared" si="124"/>
        <v>0</v>
      </c>
      <c r="L650" s="4">
        <f t="shared" si="130"/>
        <v>21950</v>
      </c>
      <c r="M650">
        <f t="shared" si="127"/>
        <v>120</v>
      </c>
      <c r="N650" s="5">
        <f t="shared" si="131"/>
        <v>72480</v>
      </c>
      <c r="AF650" s="1">
        <v>45575</v>
      </c>
      <c r="AG650">
        <f t="shared" si="128"/>
        <v>120</v>
      </c>
    </row>
    <row r="651" spans="1:33" x14ac:dyDescent="0.25">
      <c r="A651" s="1">
        <v>45576</v>
      </c>
      <c r="B651" t="s">
        <v>5</v>
      </c>
      <c r="C651">
        <f t="shared" si="125"/>
        <v>0.4</v>
      </c>
      <c r="D651">
        <f t="shared" si="126"/>
        <v>5</v>
      </c>
      <c r="F651">
        <f t="shared" si="129"/>
        <v>50530</v>
      </c>
      <c r="G651">
        <f t="shared" si="120"/>
        <v>50530</v>
      </c>
      <c r="H651">
        <f t="shared" si="121"/>
        <v>4</v>
      </c>
      <c r="I651">
        <f t="shared" si="122"/>
        <v>120</v>
      </c>
      <c r="J651" s="3">
        <f t="shared" si="123"/>
        <v>50650</v>
      </c>
      <c r="K651">
        <f t="shared" si="124"/>
        <v>0</v>
      </c>
      <c r="L651" s="4">
        <f t="shared" si="130"/>
        <v>21950</v>
      </c>
      <c r="M651">
        <f t="shared" si="127"/>
        <v>120</v>
      </c>
      <c r="N651" s="5">
        <f t="shared" si="131"/>
        <v>72600</v>
      </c>
      <c r="AF651" s="1">
        <v>45576</v>
      </c>
      <c r="AG651">
        <f t="shared" si="128"/>
        <v>120</v>
      </c>
    </row>
    <row r="652" spans="1:33" x14ac:dyDescent="0.25">
      <c r="A652" s="1">
        <v>45577</v>
      </c>
      <c r="B652" t="s">
        <v>5</v>
      </c>
      <c r="C652">
        <f t="shared" si="125"/>
        <v>0.4</v>
      </c>
      <c r="D652">
        <f t="shared" si="126"/>
        <v>6</v>
      </c>
      <c r="F652">
        <f t="shared" si="129"/>
        <v>50650</v>
      </c>
      <c r="G652">
        <f t="shared" si="120"/>
        <v>50650</v>
      </c>
      <c r="H652">
        <f t="shared" si="121"/>
        <v>4</v>
      </c>
      <c r="I652">
        <f t="shared" si="122"/>
        <v>120</v>
      </c>
      <c r="J652" s="3">
        <f t="shared" si="123"/>
        <v>50650</v>
      </c>
      <c r="K652">
        <f t="shared" si="124"/>
        <v>0</v>
      </c>
      <c r="L652" s="4">
        <f t="shared" si="130"/>
        <v>21950</v>
      </c>
      <c r="M652">
        <f t="shared" si="127"/>
        <v>0</v>
      </c>
      <c r="N652" s="5">
        <f t="shared" si="131"/>
        <v>72600</v>
      </c>
      <c r="AF652" s="1">
        <v>45577</v>
      </c>
      <c r="AG652">
        <f t="shared" si="128"/>
        <v>0</v>
      </c>
    </row>
    <row r="653" spans="1:33" x14ac:dyDescent="0.25">
      <c r="A653" s="1">
        <v>45578</v>
      </c>
      <c r="B653" t="s">
        <v>5</v>
      </c>
      <c r="C653">
        <f t="shared" si="125"/>
        <v>0.4</v>
      </c>
      <c r="D653">
        <f t="shared" si="126"/>
        <v>7</v>
      </c>
      <c r="F653">
        <f t="shared" si="129"/>
        <v>50650</v>
      </c>
      <c r="G653">
        <f t="shared" si="120"/>
        <v>50500</v>
      </c>
      <c r="H653">
        <f t="shared" si="121"/>
        <v>4</v>
      </c>
      <c r="I653">
        <f t="shared" si="122"/>
        <v>120</v>
      </c>
      <c r="J653" s="3">
        <f t="shared" si="123"/>
        <v>50500</v>
      </c>
      <c r="K653">
        <f t="shared" si="124"/>
        <v>150</v>
      </c>
      <c r="L653" s="4">
        <f t="shared" si="130"/>
        <v>22100</v>
      </c>
      <c r="M653">
        <f t="shared" si="127"/>
        <v>0</v>
      </c>
      <c r="N653" s="5">
        <f t="shared" si="131"/>
        <v>72600</v>
      </c>
      <c r="AF653" s="1">
        <v>45578</v>
      </c>
      <c r="AG653">
        <f t="shared" si="128"/>
        <v>-150</v>
      </c>
    </row>
    <row r="654" spans="1:33" x14ac:dyDescent="0.25">
      <c r="A654" s="1">
        <v>45579</v>
      </c>
      <c r="B654" t="s">
        <v>5</v>
      </c>
      <c r="C654">
        <f t="shared" si="125"/>
        <v>0.4</v>
      </c>
      <c r="D654">
        <f t="shared" si="126"/>
        <v>1</v>
      </c>
      <c r="F654">
        <f t="shared" si="129"/>
        <v>50500</v>
      </c>
      <c r="G654">
        <f t="shared" si="120"/>
        <v>50500</v>
      </c>
      <c r="H654">
        <f t="shared" si="121"/>
        <v>4</v>
      </c>
      <c r="I654">
        <f t="shared" si="122"/>
        <v>120</v>
      </c>
      <c r="J654" s="3">
        <f t="shared" si="123"/>
        <v>50620</v>
      </c>
      <c r="K654">
        <f t="shared" si="124"/>
        <v>0</v>
      </c>
      <c r="L654" s="4">
        <f t="shared" si="130"/>
        <v>22100</v>
      </c>
      <c r="M654">
        <f t="shared" si="127"/>
        <v>120</v>
      </c>
      <c r="N654" s="5">
        <f t="shared" si="131"/>
        <v>72720</v>
      </c>
      <c r="AF654" s="1">
        <v>45579</v>
      </c>
      <c r="AG654">
        <f t="shared" si="128"/>
        <v>120</v>
      </c>
    </row>
    <row r="655" spans="1:33" x14ac:dyDescent="0.25">
      <c r="A655" s="1">
        <v>45580</v>
      </c>
      <c r="B655" t="s">
        <v>5</v>
      </c>
      <c r="C655">
        <f t="shared" si="125"/>
        <v>0.4</v>
      </c>
      <c r="D655">
        <f t="shared" si="126"/>
        <v>2</v>
      </c>
      <c r="F655">
        <f t="shared" si="129"/>
        <v>50620</v>
      </c>
      <c r="G655">
        <f t="shared" si="120"/>
        <v>50620</v>
      </c>
      <c r="H655">
        <f t="shared" si="121"/>
        <v>4</v>
      </c>
      <c r="I655">
        <f t="shared" si="122"/>
        <v>120</v>
      </c>
      <c r="J655" s="3">
        <f t="shared" si="123"/>
        <v>50740</v>
      </c>
      <c r="K655">
        <f t="shared" si="124"/>
        <v>0</v>
      </c>
      <c r="L655" s="4">
        <f t="shared" si="130"/>
        <v>22100</v>
      </c>
      <c r="M655">
        <f t="shared" si="127"/>
        <v>120</v>
      </c>
      <c r="N655" s="5">
        <f t="shared" si="131"/>
        <v>72840</v>
      </c>
      <c r="AF655" s="1">
        <v>45580</v>
      </c>
      <c r="AG655">
        <f t="shared" si="128"/>
        <v>120</v>
      </c>
    </row>
    <row r="656" spans="1:33" x14ac:dyDescent="0.25">
      <c r="A656" s="1">
        <v>45581</v>
      </c>
      <c r="B656" t="s">
        <v>5</v>
      </c>
      <c r="C656">
        <f t="shared" si="125"/>
        <v>0.4</v>
      </c>
      <c r="D656">
        <f t="shared" si="126"/>
        <v>3</v>
      </c>
      <c r="F656">
        <f t="shared" si="129"/>
        <v>50740</v>
      </c>
      <c r="G656">
        <f t="shared" si="120"/>
        <v>50740</v>
      </c>
      <c r="H656">
        <f t="shared" si="121"/>
        <v>4</v>
      </c>
      <c r="I656">
        <f t="shared" si="122"/>
        <v>120</v>
      </c>
      <c r="J656" s="3">
        <f t="shared" si="123"/>
        <v>50860</v>
      </c>
      <c r="K656">
        <f t="shared" si="124"/>
        <v>0</v>
      </c>
      <c r="L656" s="4">
        <f t="shared" si="130"/>
        <v>22100</v>
      </c>
      <c r="M656">
        <f t="shared" si="127"/>
        <v>120</v>
      </c>
      <c r="N656" s="5">
        <f t="shared" si="131"/>
        <v>72960</v>
      </c>
      <c r="AF656" s="1">
        <v>45581</v>
      </c>
      <c r="AG656">
        <f t="shared" si="128"/>
        <v>120</v>
      </c>
    </row>
    <row r="657" spans="1:33" x14ac:dyDescent="0.25">
      <c r="A657" s="1">
        <v>45582</v>
      </c>
      <c r="B657" t="s">
        <v>5</v>
      </c>
      <c r="C657">
        <f t="shared" si="125"/>
        <v>0.4</v>
      </c>
      <c r="D657">
        <f t="shared" si="126"/>
        <v>4</v>
      </c>
      <c r="F657">
        <f t="shared" si="129"/>
        <v>50860</v>
      </c>
      <c r="G657">
        <f t="shared" si="120"/>
        <v>50860</v>
      </c>
      <c r="H657">
        <f t="shared" si="121"/>
        <v>4</v>
      </c>
      <c r="I657">
        <f t="shared" si="122"/>
        <v>120</v>
      </c>
      <c r="J657" s="3">
        <f t="shared" si="123"/>
        <v>50980</v>
      </c>
      <c r="K657">
        <f t="shared" si="124"/>
        <v>0</v>
      </c>
      <c r="L657" s="4">
        <f t="shared" si="130"/>
        <v>22100</v>
      </c>
      <c r="M657">
        <f t="shared" si="127"/>
        <v>120</v>
      </c>
      <c r="N657" s="5">
        <f t="shared" si="131"/>
        <v>73080</v>
      </c>
      <c r="AF657" s="1">
        <v>45582</v>
      </c>
      <c r="AG657">
        <f t="shared" si="128"/>
        <v>120</v>
      </c>
    </row>
    <row r="658" spans="1:33" x14ac:dyDescent="0.25">
      <c r="A658" s="1">
        <v>45583</v>
      </c>
      <c r="B658" t="s">
        <v>5</v>
      </c>
      <c r="C658">
        <f t="shared" si="125"/>
        <v>0.4</v>
      </c>
      <c r="D658">
        <f t="shared" si="126"/>
        <v>5</v>
      </c>
      <c r="F658">
        <f t="shared" si="129"/>
        <v>50980</v>
      </c>
      <c r="G658">
        <f t="shared" si="120"/>
        <v>50980</v>
      </c>
      <c r="H658">
        <f t="shared" si="121"/>
        <v>4</v>
      </c>
      <c r="I658">
        <f t="shared" si="122"/>
        <v>120</v>
      </c>
      <c r="J658" s="3">
        <f t="shared" si="123"/>
        <v>51100</v>
      </c>
      <c r="K658">
        <f t="shared" si="124"/>
        <v>0</v>
      </c>
      <c r="L658" s="4">
        <f t="shared" si="130"/>
        <v>22100</v>
      </c>
      <c r="M658">
        <f t="shared" si="127"/>
        <v>120</v>
      </c>
      <c r="N658" s="5">
        <f t="shared" si="131"/>
        <v>73200</v>
      </c>
      <c r="AF658" s="1">
        <v>45583</v>
      </c>
      <c r="AG658">
        <f t="shared" si="128"/>
        <v>120</v>
      </c>
    </row>
    <row r="659" spans="1:33" x14ac:dyDescent="0.25">
      <c r="A659" s="1">
        <v>45584</v>
      </c>
      <c r="B659" t="s">
        <v>5</v>
      </c>
      <c r="C659">
        <f t="shared" si="125"/>
        <v>0.4</v>
      </c>
      <c r="D659">
        <f t="shared" si="126"/>
        <v>6</v>
      </c>
      <c r="F659">
        <f t="shared" si="129"/>
        <v>51100</v>
      </c>
      <c r="G659">
        <f t="shared" si="120"/>
        <v>51100</v>
      </c>
      <c r="H659">
        <f t="shared" si="121"/>
        <v>4</v>
      </c>
      <c r="I659">
        <f t="shared" si="122"/>
        <v>120</v>
      </c>
      <c r="J659" s="3">
        <f t="shared" si="123"/>
        <v>51100</v>
      </c>
      <c r="K659">
        <f t="shared" si="124"/>
        <v>0</v>
      </c>
      <c r="L659" s="4">
        <f t="shared" si="130"/>
        <v>22100</v>
      </c>
      <c r="M659">
        <f t="shared" si="127"/>
        <v>0</v>
      </c>
      <c r="N659" s="5">
        <f t="shared" si="131"/>
        <v>73200</v>
      </c>
      <c r="AF659" s="1">
        <v>45584</v>
      </c>
      <c r="AG659">
        <f t="shared" si="128"/>
        <v>0</v>
      </c>
    </row>
    <row r="660" spans="1:33" x14ac:dyDescent="0.25">
      <c r="A660" s="1">
        <v>45585</v>
      </c>
      <c r="B660" t="s">
        <v>5</v>
      </c>
      <c r="C660">
        <f t="shared" si="125"/>
        <v>0.4</v>
      </c>
      <c r="D660">
        <f t="shared" si="126"/>
        <v>7</v>
      </c>
      <c r="F660">
        <f t="shared" si="129"/>
        <v>51100</v>
      </c>
      <c r="G660">
        <f t="shared" si="120"/>
        <v>50950</v>
      </c>
      <c r="H660">
        <f t="shared" si="121"/>
        <v>4</v>
      </c>
      <c r="I660">
        <f t="shared" si="122"/>
        <v>120</v>
      </c>
      <c r="J660" s="3">
        <f t="shared" si="123"/>
        <v>50950</v>
      </c>
      <c r="K660">
        <f t="shared" si="124"/>
        <v>150</v>
      </c>
      <c r="L660" s="4">
        <f t="shared" si="130"/>
        <v>22250</v>
      </c>
      <c r="M660">
        <f t="shared" si="127"/>
        <v>0</v>
      </c>
      <c r="N660" s="5">
        <f t="shared" si="131"/>
        <v>73200</v>
      </c>
      <c r="AF660" s="1">
        <v>45585</v>
      </c>
      <c r="AG660">
        <f t="shared" si="128"/>
        <v>-150</v>
      </c>
    </row>
    <row r="661" spans="1:33" x14ac:dyDescent="0.25">
      <c r="A661" s="1">
        <v>45586</v>
      </c>
      <c r="B661" t="s">
        <v>5</v>
      </c>
      <c r="C661">
        <f t="shared" si="125"/>
        <v>0.4</v>
      </c>
      <c r="D661">
        <f t="shared" si="126"/>
        <v>1</v>
      </c>
      <c r="F661">
        <f t="shared" si="129"/>
        <v>50950</v>
      </c>
      <c r="G661">
        <f t="shared" si="120"/>
        <v>50950</v>
      </c>
      <c r="H661">
        <f t="shared" si="121"/>
        <v>4</v>
      </c>
      <c r="I661">
        <f t="shared" si="122"/>
        <v>120</v>
      </c>
      <c r="J661" s="3">
        <f t="shared" si="123"/>
        <v>51070</v>
      </c>
      <c r="K661">
        <f t="shared" si="124"/>
        <v>0</v>
      </c>
      <c r="L661" s="4">
        <f t="shared" si="130"/>
        <v>22250</v>
      </c>
      <c r="M661">
        <f t="shared" si="127"/>
        <v>120</v>
      </c>
      <c r="N661" s="5">
        <f t="shared" si="131"/>
        <v>73320</v>
      </c>
      <c r="AF661" s="1">
        <v>45586</v>
      </c>
      <c r="AG661">
        <f t="shared" si="128"/>
        <v>120</v>
      </c>
    </row>
    <row r="662" spans="1:33" x14ac:dyDescent="0.25">
      <c r="A662" s="1">
        <v>45587</v>
      </c>
      <c r="B662" t="s">
        <v>5</v>
      </c>
      <c r="C662">
        <f t="shared" si="125"/>
        <v>0.4</v>
      </c>
      <c r="D662">
        <f t="shared" si="126"/>
        <v>2</v>
      </c>
      <c r="F662">
        <f t="shared" si="129"/>
        <v>51070</v>
      </c>
      <c r="G662">
        <f t="shared" si="120"/>
        <v>51070</v>
      </c>
      <c r="H662">
        <f t="shared" si="121"/>
        <v>4</v>
      </c>
      <c r="I662">
        <f t="shared" si="122"/>
        <v>120</v>
      </c>
      <c r="J662" s="3">
        <f t="shared" si="123"/>
        <v>51190</v>
      </c>
      <c r="K662">
        <f t="shared" si="124"/>
        <v>0</v>
      </c>
      <c r="L662" s="4">
        <f t="shared" si="130"/>
        <v>22250</v>
      </c>
      <c r="M662">
        <f t="shared" si="127"/>
        <v>120</v>
      </c>
      <c r="N662" s="5">
        <f t="shared" si="131"/>
        <v>73440</v>
      </c>
      <c r="AF662" s="1">
        <v>45587</v>
      </c>
      <c r="AG662">
        <f t="shared" si="128"/>
        <v>120</v>
      </c>
    </row>
    <row r="663" spans="1:33" x14ac:dyDescent="0.25">
      <c r="A663" s="1">
        <v>45588</v>
      </c>
      <c r="B663" t="s">
        <v>5</v>
      </c>
      <c r="C663">
        <f t="shared" si="125"/>
        <v>0.4</v>
      </c>
      <c r="D663">
        <f t="shared" si="126"/>
        <v>3</v>
      </c>
      <c r="F663">
        <f t="shared" si="129"/>
        <v>51190</v>
      </c>
      <c r="G663">
        <f t="shared" si="120"/>
        <v>51190</v>
      </c>
      <c r="H663">
        <f t="shared" si="121"/>
        <v>4</v>
      </c>
      <c r="I663">
        <f t="shared" si="122"/>
        <v>120</v>
      </c>
      <c r="J663" s="3">
        <f t="shared" si="123"/>
        <v>51310</v>
      </c>
      <c r="K663">
        <f t="shared" si="124"/>
        <v>0</v>
      </c>
      <c r="L663" s="4">
        <f t="shared" si="130"/>
        <v>22250</v>
      </c>
      <c r="M663">
        <f t="shared" si="127"/>
        <v>120</v>
      </c>
      <c r="N663" s="5">
        <f t="shared" si="131"/>
        <v>73560</v>
      </c>
      <c r="AF663" s="1">
        <v>45588</v>
      </c>
      <c r="AG663">
        <f t="shared" si="128"/>
        <v>120</v>
      </c>
    </row>
    <row r="664" spans="1:33" x14ac:dyDescent="0.25">
      <c r="A664" s="1">
        <v>45589</v>
      </c>
      <c r="B664" t="s">
        <v>5</v>
      </c>
      <c r="C664">
        <f t="shared" si="125"/>
        <v>0.4</v>
      </c>
      <c r="D664">
        <f t="shared" si="126"/>
        <v>4</v>
      </c>
      <c r="F664">
        <f t="shared" si="129"/>
        <v>51310</v>
      </c>
      <c r="G664">
        <f t="shared" si="120"/>
        <v>51310</v>
      </c>
      <c r="H664">
        <f t="shared" si="121"/>
        <v>4</v>
      </c>
      <c r="I664">
        <f t="shared" si="122"/>
        <v>120</v>
      </c>
      <c r="J664" s="3">
        <f t="shared" si="123"/>
        <v>51430</v>
      </c>
      <c r="K664">
        <f t="shared" si="124"/>
        <v>0</v>
      </c>
      <c r="L664" s="4">
        <f t="shared" si="130"/>
        <v>22250</v>
      </c>
      <c r="M664">
        <f t="shared" si="127"/>
        <v>120</v>
      </c>
      <c r="N664" s="5">
        <f t="shared" si="131"/>
        <v>73680</v>
      </c>
      <c r="AF664" s="1">
        <v>45589</v>
      </c>
      <c r="AG664">
        <f t="shared" si="128"/>
        <v>120</v>
      </c>
    </row>
    <row r="665" spans="1:33" x14ac:dyDescent="0.25">
      <c r="A665" s="1">
        <v>45590</v>
      </c>
      <c r="B665" t="s">
        <v>5</v>
      </c>
      <c r="C665">
        <f t="shared" si="125"/>
        <v>0.4</v>
      </c>
      <c r="D665">
        <f t="shared" si="126"/>
        <v>5</v>
      </c>
      <c r="F665">
        <f t="shared" si="129"/>
        <v>51430</v>
      </c>
      <c r="G665">
        <f t="shared" si="120"/>
        <v>51430</v>
      </c>
      <c r="H665">
        <f t="shared" si="121"/>
        <v>4</v>
      </c>
      <c r="I665">
        <f t="shared" si="122"/>
        <v>120</v>
      </c>
      <c r="J665" s="3">
        <f t="shared" si="123"/>
        <v>51550</v>
      </c>
      <c r="K665">
        <f t="shared" si="124"/>
        <v>0</v>
      </c>
      <c r="L665" s="4">
        <f t="shared" si="130"/>
        <v>22250</v>
      </c>
      <c r="M665">
        <f t="shared" si="127"/>
        <v>120</v>
      </c>
      <c r="N665" s="5">
        <f t="shared" si="131"/>
        <v>73800</v>
      </c>
      <c r="AF665" s="1">
        <v>45590</v>
      </c>
      <c r="AG665">
        <f t="shared" si="128"/>
        <v>120</v>
      </c>
    </row>
    <row r="666" spans="1:33" x14ac:dyDescent="0.25">
      <c r="A666" s="1">
        <v>45591</v>
      </c>
      <c r="B666" t="s">
        <v>5</v>
      </c>
      <c r="C666">
        <f t="shared" si="125"/>
        <v>0.4</v>
      </c>
      <c r="D666">
        <f t="shared" si="126"/>
        <v>6</v>
      </c>
      <c r="F666">
        <f t="shared" si="129"/>
        <v>51550</v>
      </c>
      <c r="G666">
        <f t="shared" si="120"/>
        <v>51550</v>
      </c>
      <c r="H666">
        <f t="shared" si="121"/>
        <v>4</v>
      </c>
      <c r="I666">
        <f t="shared" si="122"/>
        <v>120</v>
      </c>
      <c r="J666" s="3">
        <f t="shared" si="123"/>
        <v>51550</v>
      </c>
      <c r="K666">
        <f t="shared" si="124"/>
        <v>0</v>
      </c>
      <c r="L666" s="4">
        <f t="shared" si="130"/>
        <v>22250</v>
      </c>
      <c r="M666">
        <f t="shared" si="127"/>
        <v>0</v>
      </c>
      <c r="N666" s="5">
        <f t="shared" si="131"/>
        <v>73800</v>
      </c>
      <c r="AF666" s="1">
        <v>45591</v>
      </c>
      <c r="AG666">
        <f t="shared" si="128"/>
        <v>0</v>
      </c>
    </row>
    <row r="667" spans="1:33" x14ac:dyDescent="0.25">
      <c r="A667" s="1">
        <v>45592</v>
      </c>
      <c r="B667" t="s">
        <v>5</v>
      </c>
      <c r="C667">
        <f t="shared" si="125"/>
        <v>0.4</v>
      </c>
      <c r="D667">
        <f t="shared" si="126"/>
        <v>7</v>
      </c>
      <c r="F667">
        <f t="shared" si="129"/>
        <v>51550</v>
      </c>
      <c r="G667">
        <f t="shared" si="120"/>
        <v>51400</v>
      </c>
      <c r="H667">
        <f t="shared" si="121"/>
        <v>4</v>
      </c>
      <c r="I667">
        <f t="shared" si="122"/>
        <v>120</v>
      </c>
      <c r="J667" s="3">
        <f t="shared" si="123"/>
        <v>51400</v>
      </c>
      <c r="K667">
        <f t="shared" si="124"/>
        <v>150</v>
      </c>
      <c r="L667" s="4">
        <f t="shared" si="130"/>
        <v>22400</v>
      </c>
      <c r="M667">
        <f t="shared" si="127"/>
        <v>0</v>
      </c>
      <c r="N667" s="5">
        <f t="shared" si="131"/>
        <v>73800</v>
      </c>
      <c r="AF667" s="1">
        <v>45592</v>
      </c>
      <c r="AG667">
        <f t="shared" si="128"/>
        <v>-150</v>
      </c>
    </row>
    <row r="668" spans="1:33" x14ac:dyDescent="0.25">
      <c r="A668" s="1">
        <v>45593</v>
      </c>
      <c r="B668" t="s">
        <v>5</v>
      </c>
      <c r="C668">
        <f t="shared" si="125"/>
        <v>0.4</v>
      </c>
      <c r="D668">
        <f t="shared" si="126"/>
        <v>1</v>
      </c>
      <c r="F668">
        <f t="shared" si="129"/>
        <v>51400</v>
      </c>
      <c r="G668">
        <f t="shared" si="120"/>
        <v>51400</v>
      </c>
      <c r="H668">
        <f t="shared" si="121"/>
        <v>4</v>
      </c>
      <c r="I668">
        <f t="shared" si="122"/>
        <v>120</v>
      </c>
      <c r="J668" s="3">
        <f t="shared" si="123"/>
        <v>51520</v>
      </c>
      <c r="K668">
        <f t="shared" si="124"/>
        <v>0</v>
      </c>
      <c r="L668" s="4">
        <f t="shared" si="130"/>
        <v>22400</v>
      </c>
      <c r="M668">
        <f t="shared" si="127"/>
        <v>120</v>
      </c>
      <c r="N668" s="5">
        <f t="shared" si="131"/>
        <v>73920</v>
      </c>
      <c r="AF668" s="1">
        <v>45593</v>
      </c>
      <c r="AG668">
        <f t="shared" si="128"/>
        <v>120</v>
      </c>
    </row>
    <row r="669" spans="1:33" x14ac:dyDescent="0.25">
      <c r="A669" s="1">
        <v>45594</v>
      </c>
      <c r="B669" t="s">
        <v>5</v>
      </c>
      <c r="C669">
        <f t="shared" si="125"/>
        <v>0.4</v>
      </c>
      <c r="D669">
        <f t="shared" si="126"/>
        <v>2</v>
      </c>
      <c r="F669">
        <f t="shared" si="129"/>
        <v>51520</v>
      </c>
      <c r="G669">
        <f t="shared" si="120"/>
        <v>51520</v>
      </c>
      <c r="H669">
        <f t="shared" si="121"/>
        <v>4</v>
      </c>
      <c r="I669">
        <f t="shared" si="122"/>
        <v>120</v>
      </c>
      <c r="J669" s="3">
        <f t="shared" si="123"/>
        <v>51640</v>
      </c>
      <c r="K669">
        <f t="shared" si="124"/>
        <v>0</v>
      </c>
      <c r="L669" s="4">
        <f t="shared" si="130"/>
        <v>22400</v>
      </c>
      <c r="M669">
        <f t="shared" si="127"/>
        <v>120</v>
      </c>
      <c r="N669" s="5">
        <f t="shared" si="131"/>
        <v>74040</v>
      </c>
      <c r="AF669" s="1">
        <v>45594</v>
      </c>
      <c r="AG669">
        <f t="shared" si="128"/>
        <v>120</v>
      </c>
    </row>
    <row r="670" spans="1:33" x14ac:dyDescent="0.25">
      <c r="A670" s="1">
        <v>45595</v>
      </c>
      <c r="B670" t="s">
        <v>5</v>
      </c>
      <c r="C670">
        <f t="shared" si="125"/>
        <v>0.4</v>
      </c>
      <c r="D670">
        <f t="shared" si="126"/>
        <v>3</v>
      </c>
      <c r="F670">
        <f t="shared" si="129"/>
        <v>51640</v>
      </c>
      <c r="G670">
        <f t="shared" si="120"/>
        <v>51640</v>
      </c>
      <c r="H670">
        <f t="shared" si="121"/>
        <v>4</v>
      </c>
      <c r="I670">
        <f t="shared" si="122"/>
        <v>120</v>
      </c>
      <c r="J670" s="3">
        <f t="shared" si="123"/>
        <v>51760</v>
      </c>
      <c r="K670">
        <f t="shared" si="124"/>
        <v>0</v>
      </c>
      <c r="L670" s="4">
        <f t="shared" si="130"/>
        <v>22400</v>
      </c>
      <c r="M670">
        <f t="shared" si="127"/>
        <v>120</v>
      </c>
      <c r="N670" s="5">
        <f t="shared" si="131"/>
        <v>74160</v>
      </c>
      <c r="AF670" s="1">
        <v>45595</v>
      </c>
      <c r="AG670">
        <f t="shared" si="128"/>
        <v>120</v>
      </c>
    </row>
    <row r="671" spans="1:33" x14ac:dyDescent="0.25">
      <c r="A671" s="1">
        <v>45596</v>
      </c>
      <c r="B671" t="s">
        <v>5</v>
      </c>
      <c r="C671">
        <f t="shared" si="125"/>
        <v>0.4</v>
      </c>
      <c r="D671">
        <f t="shared" si="126"/>
        <v>4</v>
      </c>
      <c r="F671">
        <f t="shared" si="129"/>
        <v>51760</v>
      </c>
      <c r="G671">
        <f t="shared" si="120"/>
        <v>51760</v>
      </c>
      <c r="H671">
        <f t="shared" si="121"/>
        <v>4</v>
      </c>
      <c r="I671">
        <f t="shared" si="122"/>
        <v>120</v>
      </c>
      <c r="J671" s="3">
        <f t="shared" si="123"/>
        <v>51880</v>
      </c>
      <c r="K671">
        <f t="shared" si="124"/>
        <v>0</v>
      </c>
      <c r="L671" s="4">
        <f t="shared" si="130"/>
        <v>22400</v>
      </c>
      <c r="M671">
        <f t="shared" si="127"/>
        <v>120</v>
      </c>
      <c r="N671" s="5">
        <f t="shared" si="131"/>
        <v>74280</v>
      </c>
      <c r="AF671" s="1">
        <v>45596</v>
      </c>
      <c r="AG671">
        <f t="shared" si="128"/>
        <v>120</v>
      </c>
    </row>
    <row r="672" spans="1:33" x14ac:dyDescent="0.25">
      <c r="A672" s="1">
        <v>45597</v>
      </c>
      <c r="B672" t="s">
        <v>5</v>
      </c>
      <c r="C672">
        <f t="shared" si="125"/>
        <v>0.4</v>
      </c>
      <c r="D672">
        <f t="shared" si="126"/>
        <v>5</v>
      </c>
      <c r="F672">
        <f t="shared" si="129"/>
        <v>51880</v>
      </c>
      <c r="G672">
        <f t="shared" si="120"/>
        <v>51880</v>
      </c>
      <c r="H672">
        <f t="shared" si="121"/>
        <v>4</v>
      </c>
      <c r="I672">
        <f t="shared" si="122"/>
        <v>120</v>
      </c>
      <c r="J672" s="3">
        <f t="shared" si="123"/>
        <v>52000</v>
      </c>
      <c r="K672">
        <f t="shared" si="124"/>
        <v>0</v>
      </c>
      <c r="L672" s="4">
        <f t="shared" si="130"/>
        <v>22400</v>
      </c>
      <c r="M672">
        <f t="shared" si="127"/>
        <v>120</v>
      </c>
      <c r="N672" s="5">
        <f t="shared" si="131"/>
        <v>74400</v>
      </c>
      <c r="AF672" s="1">
        <v>45597</v>
      </c>
      <c r="AG672">
        <f t="shared" si="128"/>
        <v>120</v>
      </c>
    </row>
    <row r="673" spans="1:33" x14ac:dyDescent="0.25">
      <c r="A673" s="1">
        <v>45598</v>
      </c>
      <c r="B673" t="s">
        <v>5</v>
      </c>
      <c r="C673">
        <f t="shared" si="125"/>
        <v>0.4</v>
      </c>
      <c r="D673">
        <f t="shared" si="126"/>
        <v>6</v>
      </c>
      <c r="F673">
        <f t="shared" si="129"/>
        <v>52000</v>
      </c>
      <c r="G673">
        <f t="shared" si="120"/>
        <v>52000</v>
      </c>
      <c r="H673">
        <f t="shared" si="121"/>
        <v>4</v>
      </c>
      <c r="I673">
        <f t="shared" si="122"/>
        <v>120</v>
      </c>
      <c r="J673" s="3">
        <f t="shared" si="123"/>
        <v>52000</v>
      </c>
      <c r="K673">
        <f t="shared" si="124"/>
        <v>0</v>
      </c>
      <c r="L673" s="4">
        <f t="shared" si="130"/>
        <v>22400</v>
      </c>
      <c r="M673">
        <f t="shared" si="127"/>
        <v>0</v>
      </c>
      <c r="N673" s="5">
        <f t="shared" si="131"/>
        <v>74400</v>
      </c>
      <c r="AF673" s="1">
        <v>45598</v>
      </c>
      <c r="AG673">
        <f t="shared" si="128"/>
        <v>0</v>
      </c>
    </row>
    <row r="674" spans="1:33" x14ac:dyDescent="0.25">
      <c r="A674" s="1">
        <v>45599</v>
      </c>
      <c r="B674" t="s">
        <v>5</v>
      </c>
      <c r="C674">
        <f t="shared" si="125"/>
        <v>0.4</v>
      </c>
      <c r="D674">
        <f t="shared" si="126"/>
        <v>7</v>
      </c>
      <c r="F674">
        <f t="shared" si="129"/>
        <v>52000</v>
      </c>
      <c r="G674">
        <f t="shared" si="120"/>
        <v>51850</v>
      </c>
      <c r="H674">
        <f t="shared" si="121"/>
        <v>4</v>
      </c>
      <c r="I674">
        <f t="shared" si="122"/>
        <v>120</v>
      </c>
      <c r="J674" s="3">
        <f t="shared" si="123"/>
        <v>51850</v>
      </c>
      <c r="K674">
        <f t="shared" si="124"/>
        <v>150</v>
      </c>
      <c r="L674" s="4">
        <f t="shared" si="130"/>
        <v>22550</v>
      </c>
      <c r="M674">
        <f t="shared" si="127"/>
        <v>0</v>
      </c>
      <c r="N674" s="5">
        <f t="shared" si="131"/>
        <v>74400</v>
      </c>
      <c r="AF674" s="1">
        <v>45599</v>
      </c>
      <c r="AG674">
        <f t="shared" si="128"/>
        <v>-150</v>
      </c>
    </row>
    <row r="675" spans="1:33" x14ac:dyDescent="0.25">
      <c r="A675" s="1">
        <v>45600</v>
      </c>
      <c r="B675" t="s">
        <v>5</v>
      </c>
      <c r="C675">
        <f t="shared" si="125"/>
        <v>0.4</v>
      </c>
      <c r="D675">
        <f t="shared" si="126"/>
        <v>1</v>
      </c>
      <c r="F675">
        <f t="shared" si="129"/>
        <v>51850</v>
      </c>
      <c r="G675">
        <f t="shared" si="120"/>
        <v>51850</v>
      </c>
      <c r="H675">
        <f t="shared" si="121"/>
        <v>4</v>
      </c>
      <c r="I675">
        <f t="shared" si="122"/>
        <v>120</v>
      </c>
      <c r="J675" s="3">
        <f t="shared" si="123"/>
        <v>51970</v>
      </c>
      <c r="K675">
        <f t="shared" si="124"/>
        <v>0</v>
      </c>
      <c r="L675" s="4">
        <f t="shared" si="130"/>
        <v>22550</v>
      </c>
      <c r="M675">
        <f t="shared" si="127"/>
        <v>120</v>
      </c>
      <c r="N675" s="5">
        <f t="shared" si="131"/>
        <v>74520</v>
      </c>
      <c r="AF675" s="1">
        <v>45600</v>
      </c>
      <c r="AG675">
        <f t="shared" si="128"/>
        <v>120</v>
      </c>
    </row>
    <row r="676" spans="1:33" x14ac:dyDescent="0.25">
      <c r="A676" s="1">
        <v>45601</v>
      </c>
      <c r="B676" t="s">
        <v>5</v>
      </c>
      <c r="C676">
        <f t="shared" si="125"/>
        <v>0.4</v>
      </c>
      <c r="D676">
        <f t="shared" si="126"/>
        <v>2</v>
      </c>
      <c r="F676">
        <f t="shared" si="129"/>
        <v>51970</v>
      </c>
      <c r="G676">
        <f t="shared" si="120"/>
        <v>51970</v>
      </c>
      <c r="H676">
        <f t="shared" si="121"/>
        <v>4</v>
      </c>
      <c r="I676">
        <f t="shared" si="122"/>
        <v>120</v>
      </c>
      <c r="J676" s="3">
        <f t="shared" si="123"/>
        <v>52090</v>
      </c>
      <c r="K676">
        <f t="shared" si="124"/>
        <v>0</v>
      </c>
      <c r="L676" s="4">
        <f t="shared" si="130"/>
        <v>22550</v>
      </c>
      <c r="M676">
        <f t="shared" si="127"/>
        <v>120</v>
      </c>
      <c r="N676" s="5">
        <f t="shared" si="131"/>
        <v>74640</v>
      </c>
      <c r="AF676" s="1">
        <v>45601</v>
      </c>
      <c r="AG676">
        <f t="shared" si="128"/>
        <v>120</v>
      </c>
    </row>
    <row r="677" spans="1:33" x14ac:dyDescent="0.25">
      <c r="A677" s="1">
        <v>45602</v>
      </c>
      <c r="B677" t="s">
        <v>5</v>
      </c>
      <c r="C677">
        <f t="shared" si="125"/>
        <v>0.4</v>
      </c>
      <c r="D677">
        <f t="shared" si="126"/>
        <v>3</v>
      </c>
      <c r="F677">
        <f t="shared" si="129"/>
        <v>52090</v>
      </c>
      <c r="G677">
        <f t="shared" si="120"/>
        <v>52090</v>
      </c>
      <c r="H677">
        <f t="shared" si="121"/>
        <v>4</v>
      </c>
      <c r="I677">
        <f t="shared" si="122"/>
        <v>120</v>
      </c>
      <c r="J677" s="3">
        <f t="shared" si="123"/>
        <v>52210</v>
      </c>
      <c r="K677">
        <f t="shared" si="124"/>
        <v>0</v>
      </c>
      <c r="L677" s="4">
        <f t="shared" si="130"/>
        <v>22550</v>
      </c>
      <c r="M677">
        <f t="shared" si="127"/>
        <v>120</v>
      </c>
      <c r="N677" s="5">
        <f t="shared" si="131"/>
        <v>74760</v>
      </c>
      <c r="AF677" s="1">
        <v>45602</v>
      </c>
      <c r="AG677">
        <f t="shared" si="128"/>
        <v>120</v>
      </c>
    </row>
    <row r="678" spans="1:33" x14ac:dyDescent="0.25">
      <c r="A678" s="1">
        <v>45603</v>
      </c>
      <c r="B678" t="s">
        <v>5</v>
      </c>
      <c r="C678">
        <f t="shared" si="125"/>
        <v>0.4</v>
      </c>
      <c r="D678">
        <f t="shared" si="126"/>
        <v>4</v>
      </c>
      <c r="F678">
        <f t="shared" si="129"/>
        <v>52210</v>
      </c>
      <c r="G678">
        <f t="shared" si="120"/>
        <v>52210</v>
      </c>
      <c r="H678">
        <f t="shared" si="121"/>
        <v>4</v>
      </c>
      <c r="I678">
        <f t="shared" si="122"/>
        <v>120</v>
      </c>
      <c r="J678" s="3">
        <f t="shared" si="123"/>
        <v>52330</v>
      </c>
      <c r="K678">
        <f t="shared" si="124"/>
        <v>0</v>
      </c>
      <c r="L678" s="4">
        <f t="shared" si="130"/>
        <v>22550</v>
      </c>
      <c r="M678">
        <f t="shared" si="127"/>
        <v>120</v>
      </c>
      <c r="N678" s="5">
        <f t="shared" si="131"/>
        <v>74880</v>
      </c>
      <c r="AF678" s="1">
        <v>45603</v>
      </c>
      <c r="AG678">
        <f t="shared" si="128"/>
        <v>120</v>
      </c>
    </row>
    <row r="679" spans="1:33" x14ac:dyDescent="0.25">
      <c r="A679" s="1">
        <v>45604</v>
      </c>
      <c r="B679" t="s">
        <v>5</v>
      </c>
      <c r="C679">
        <f t="shared" si="125"/>
        <v>0.4</v>
      </c>
      <c r="D679">
        <f t="shared" si="126"/>
        <v>5</v>
      </c>
      <c r="F679">
        <f t="shared" si="129"/>
        <v>52330</v>
      </c>
      <c r="G679">
        <f t="shared" si="120"/>
        <v>52330</v>
      </c>
      <c r="H679">
        <f t="shared" si="121"/>
        <v>4</v>
      </c>
      <c r="I679">
        <f t="shared" si="122"/>
        <v>120</v>
      </c>
      <c r="J679" s="3">
        <f t="shared" si="123"/>
        <v>52450</v>
      </c>
      <c r="K679">
        <f t="shared" si="124"/>
        <v>0</v>
      </c>
      <c r="L679" s="4">
        <f t="shared" si="130"/>
        <v>22550</v>
      </c>
      <c r="M679">
        <f t="shared" si="127"/>
        <v>120</v>
      </c>
      <c r="N679" s="5">
        <f t="shared" si="131"/>
        <v>75000</v>
      </c>
      <c r="AF679" s="1">
        <v>45604</v>
      </c>
      <c r="AG679">
        <f t="shared" si="128"/>
        <v>120</v>
      </c>
    </row>
    <row r="680" spans="1:33" x14ac:dyDescent="0.25">
      <c r="A680" s="1">
        <v>45605</v>
      </c>
      <c r="B680" t="s">
        <v>5</v>
      </c>
      <c r="C680">
        <f t="shared" si="125"/>
        <v>0.4</v>
      </c>
      <c r="D680">
        <f t="shared" si="126"/>
        <v>6</v>
      </c>
      <c r="F680">
        <f t="shared" si="129"/>
        <v>52450</v>
      </c>
      <c r="G680">
        <f t="shared" si="120"/>
        <v>52450</v>
      </c>
      <c r="H680">
        <f t="shared" si="121"/>
        <v>4</v>
      </c>
      <c r="I680">
        <f t="shared" si="122"/>
        <v>120</v>
      </c>
      <c r="J680" s="3">
        <f t="shared" si="123"/>
        <v>52450</v>
      </c>
      <c r="K680">
        <f t="shared" si="124"/>
        <v>0</v>
      </c>
      <c r="L680" s="4">
        <f t="shared" si="130"/>
        <v>22550</v>
      </c>
      <c r="M680">
        <f t="shared" si="127"/>
        <v>0</v>
      </c>
      <c r="N680" s="5">
        <f t="shared" si="131"/>
        <v>75000</v>
      </c>
      <c r="AF680" s="1">
        <v>45605</v>
      </c>
      <c r="AG680">
        <f t="shared" si="128"/>
        <v>0</v>
      </c>
    </row>
    <row r="681" spans="1:33" x14ac:dyDescent="0.25">
      <c r="A681" s="1">
        <v>45606</v>
      </c>
      <c r="B681" t="s">
        <v>5</v>
      </c>
      <c r="C681">
        <f t="shared" si="125"/>
        <v>0.4</v>
      </c>
      <c r="D681">
        <f t="shared" si="126"/>
        <v>7</v>
      </c>
      <c r="F681">
        <f t="shared" si="129"/>
        <v>52450</v>
      </c>
      <c r="G681">
        <f t="shared" si="120"/>
        <v>52300</v>
      </c>
      <c r="H681">
        <f t="shared" si="121"/>
        <v>4</v>
      </c>
      <c r="I681">
        <f t="shared" si="122"/>
        <v>120</v>
      </c>
      <c r="J681" s="3">
        <f t="shared" si="123"/>
        <v>52300</v>
      </c>
      <c r="K681">
        <f t="shared" si="124"/>
        <v>150</v>
      </c>
      <c r="L681" s="4">
        <f t="shared" si="130"/>
        <v>22700</v>
      </c>
      <c r="M681">
        <f t="shared" si="127"/>
        <v>0</v>
      </c>
      <c r="N681" s="5">
        <f t="shared" si="131"/>
        <v>75000</v>
      </c>
      <c r="AF681" s="1">
        <v>45606</v>
      </c>
      <c r="AG681">
        <f t="shared" si="128"/>
        <v>-150</v>
      </c>
    </row>
    <row r="682" spans="1:33" x14ac:dyDescent="0.25">
      <c r="A682" s="1">
        <v>45607</v>
      </c>
      <c r="B682" t="s">
        <v>5</v>
      </c>
      <c r="C682">
        <f t="shared" si="125"/>
        <v>0.4</v>
      </c>
      <c r="D682">
        <f t="shared" si="126"/>
        <v>1</v>
      </c>
      <c r="F682">
        <f t="shared" si="129"/>
        <v>52300</v>
      </c>
      <c r="G682">
        <f t="shared" si="120"/>
        <v>52300</v>
      </c>
      <c r="H682">
        <f t="shared" si="121"/>
        <v>4</v>
      </c>
      <c r="I682">
        <f t="shared" si="122"/>
        <v>120</v>
      </c>
      <c r="J682" s="3">
        <f t="shared" si="123"/>
        <v>52420</v>
      </c>
      <c r="K682">
        <f t="shared" si="124"/>
        <v>0</v>
      </c>
      <c r="L682" s="4">
        <f t="shared" si="130"/>
        <v>22700</v>
      </c>
      <c r="M682">
        <f t="shared" si="127"/>
        <v>120</v>
      </c>
      <c r="N682" s="5">
        <f t="shared" si="131"/>
        <v>75120</v>
      </c>
      <c r="AF682" s="1">
        <v>45607</v>
      </c>
      <c r="AG682">
        <f t="shared" si="128"/>
        <v>120</v>
      </c>
    </row>
    <row r="683" spans="1:33" x14ac:dyDescent="0.25">
      <c r="A683" s="1">
        <v>45608</v>
      </c>
      <c r="B683" t="s">
        <v>5</v>
      </c>
      <c r="C683">
        <f t="shared" si="125"/>
        <v>0.4</v>
      </c>
      <c r="D683">
        <f t="shared" si="126"/>
        <v>2</v>
      </c>
      <c r="F683">
        <f t="shared" si="129"/>
        <v>52420</v>
      </c>
      <c r="G683">
        <f t="shared" si="120"/>
        <v>52420</v>
      </c>
      <c r="H683">
        <f t="shared" si="121"/>
        <v>4</v>
      </c>
      <c r="I683">
        <f t="shared" si="122"/>
        <v>120</v>
      </c>
      <c r="J683" s="3">
        <f t="shared" si="123"/>
        <v>52540</v>
      </c>
      <c r="K683">
        <f t="shared" si="124"/>
        <v>0</v>
      </c>
      <c r="L683" s="4">
        <f t="shared" si="130"/>
        <v>22700</v>
      </c>
      <c r="M683">
        <f t="shared" si="127"/>
        <v>120</v>
      </c>
      <c r="N683" s="5">
        <f t="shared" si="131"/>
        <v>75240</v>
      </c>
      <c r="AF683" s="1">
        <v>45608</v>
      </c>
      <c r="AG683">
        <f t="shared" si="128"/>
        <v>120</v>
      </c>
    </row>
    <row r="684" spans="1:33" x14ac:dyDescent="0.25">
      <c r="A684" s="1">
        <v>45609</v>
      </c>
      <c r="B684" t="s">
        <v>5</v>
      </c>
      <c r="C684">
        <f t="shared" si="125"/>
        <v>0.4</v>
      </c>
      <c r="D684">
        <f t="shared" si="126"/>
        <v>3</v>
      </c>
      <c r="F684">
        <f t="shared" si="129"/>
        <v>52540</v>
      </c>
      <c r="G684">
        <f t="shared" si="120"/>
        <v>52540</v>
      </c>
      <c r="H684">
        <f t="shared" si="121"/>
        <v>4</v>
      </c>
      <c r="I684">
        <f t="shared" si="122"/>
        <v>120</v>
      </c>
      <c r="J684" s="3">
        <f t="shared" si="123"/>
        <v>52660</v>
      </c>
      <c r="K684">
        <f t="shared" si="124"/>
        <v>0</v>
      </c>
      <c r="L684" s="4">
        <f t="shared" si="130"/>
        <v>22700</v>
      </c>
      <c r="M684">
        <f t="shared" si="127"/>
        <v>120</v>
      </c>
      <c r="N684" s="5">
        <f t="shared" si="131"/>
        <v>75360</v>
      </c>
      <c r="AF684" s="1">
        <v>45609</v>
      </c>
      <c r="AG684">
        <f t="shared" si="128"/>
        <v>120</v>
      </c>
    </row>
    <row r="685" spans="1:33" x14ac:dyDescent="0.25">
      <c r="A685" s="1">
        <v>45610</v>
      </c>
      <c r="B685" t="s">
        <v>5</v>
      </c>
      <c r="C685">
        <f t="shared" si="125"/>
        <v>0.4</v>
      </c>
      <c r="D685">
        <f t="shared" si="126"/>
        <v>4</v>
      </c>
      <c r="F685">
        <f t="shared" si="129"/>
        <v>52660</v>
      </c>
      <c r="G685">
        <f t="shared" si="120"/>
        <v>52660</v>
      </c>
      <c r="H685">
        <f t="shared" si="121"/>
        <v>4</v>
      </c>
      <c r="I685">
        <f t="shared" si="122"/>
        <v>120</v>
      </c>
      <c r="J685" s="3">
        <f t="shared" si="123"/>
        <v>52780</v>
      </c>
      <c r="K685">
        <f t="shared" si="124"/>
        <v>0</v>
      </c>
      <c r="L685" s="4">
        <f t="shared" si="130"/>
        <v>22700</v>
      </c>
      <c r="M685">
        <f t="shared" si="127"/>
        <v>120</v>
      </c>
      <c r="N685" s="5">
        <f t="shared" si="131"/>
        <v>75480</v>
      </c>
      <c r="AF685" s="1">
        <v>45610</v>
      </c>
      <c r="AG685">
        <f t="shared" si="128"/>
        <v>120</v>
      </c>
    </row>
    <row r="686" spans="1:33" x14ac:dyDescent="0.25">
      <c r="A686" s="1">
        <v>45611</v>
      </c>
      <c r="B686" t="s">
        <v>5</v>
      </c>
      <c r="C686">
        <f t="shared" si="125"/>
        <v>0.4</v>
      </c>
      <c r="D686">
        <f t="shared" si="126"/>
        <v>5</v>
      </c>
      <c r="F686">
        <f t="shared" si="129"/>
        <v>52780</v>
      </c>
      <c r="G686">
        <f t="shared" si="120"/>
        <v>52780</v>
      </c>
      <c r="H686">
        <f t="shared" si="121"/>
        <v>4</v>
      </c>
      <c r="I686">
        <f t="shared" si="122"/>
        <v>120</v>
      </c>
      <c r="J686" s="3">
        <f t="shared" si="123"/>
        <v>52900</v>
      </c>
      <c r="K686">
        <f t="shared" si="124"/>
        <v>0</v>
      </c>
      <c r="L686" s="4">
        <f t="shared" si="130"/>
        <v>22700</v>
      </c>
      <c r="M686">
        <f t="shared" si="127"/>
        <v>120</v>
      </c>
      <c r="N686" s="5">
        <f t="shared" si="131"/>
        <v>75600</v>
      </c>
      <c r="AF686" s="1">
        <v>45611</v>
      </c>
      <c r="AG686">
        <f t="shared" si="128"/>
        <v>120</v>
      </c>
    </row>
    <row r="687" spans="1:33" x14ac:dyDescent="0.25">
      <c r="A687" s="1">
        <v>45612</v>
      </c>
      <c r="B687" t="s">
        <v>5</v>
      </c>
      <c r="C687">
        <f t="shared" si="125"/>
        <v>0.4</v>
      </c>
      <c r="D687">
        <f t="shared" si="126"/>
        <v>6</v>
      </c>
      <c r="F687">
        <f t="shared" si="129"/>
        <v>52900</v>
      </c>
      <c r="G687">
        <f t="shared" si="120"/>
        <v>52900</v>
      </c>
      <c r="H687">
        <f t="shared" si="121"/>
        <v>4</v>
      </c>
      <c r="I687">
        <f t="shared" si="122"/>
        <v>120</v>
      </c>
      <c r="J687" s="3">
        <f t="shared" si="123"/>
        <v>52900</v>
      </c>
      <c r="K687">
        <f t="shared" si="124"/>
        <v>0</v>
      </c>
      <c r="L687" s="4">
        <f t="shared" si="130"/>
        <v>22700</v>
      </c>
      <c r="M687">
        <f t="shared" si="127"/>
        <v>0</v>
      </c>
      <c r="N687" s="5">
        <f t="shared" si="131"/>
        <v>75600</v>
      </c>
      <c r="AF687" s="1">
        <v>45612</v>
      </c>
      <c r="AG687">
        <f t="shared" si="128"/>
        <v>0</v>
      </c>
    </row>
    <row r="688" spans="1:33" x14ac:dyDescent="0.25">
      <c r="A688" s="1">
        <v>45613</v>
      </c>
      <c r="B688" t="s">
        <v>5</v>
      </c>
      <c r="C688">
        <f t="shared" si="125"/>
        <v>0.4</v>
      </c>
      <c r="D688">
        <f t="shared" si="126"/>
        <v>7</v>
      </c>
      <c r="F688">
        <f t="shared" si="129"/>
        <v>52900</v>
      </c>
      <c r="G688">
        <f t="shared" si="120"/>
        <v>52750</v>
      </c>
      <c r="H688">
        <f t="shared" si="121"/>
        <v>4</v>
      </c>
      <c r="I688">
        <f t="shared" si="122"/>
        <v>120</v>
      </c>
      <c r="J688" s="3">
        <f t="shared" si="123"/>
        <v>52750</v>
      </c>
      <c r="K688">
        <f t="shared" si="124"/>
        <v>150</v>
      </c>
      <c r="L688" s="4">
        <f t="shared" si="130"/>
        <v>22850</v>
      </c>
      <c r="M688">
        <f t="shared" si="127"/>
        <v>0</v>
      </c>
      <c r="N688" s="5">
        <f t="shared" si="131"/>
        <v>75600</v>
      </c>
      <c r="AF688" s="1">
        <v>45613</v>
      </c>
      <c r="AG688">
        <f t="shared" si="128"/>
        <v>-150</v>
      </c>
    </row>
    <row r="689" spans="1:33" x14ac:dyDescent="0.25">
      <c r="A689" s="1">
        <v>45614</v>
      </c>
      <c r="B689" t="s">
        <v>5</v>
      </c>
      <c r="C689">
        <f t="shared" si="125"/>
        <v>0.4</v>
      </c>
      <c r="D689">
        <f t="shared" si="126"/>
        <v>1</v>
      </c>
      <c r="F689">
        <f t="shared" si="129"/>
        <v>52750</v>
      </c>
      <c r="G689">
        <f t="shared" si="120"/>
        <v>52750</v>
      </c>
      <c r="H689">
        <f t="shared" si="121"/>
        <v>4</v>
      </c>
      <c r="I689">
        <f t="shared" si="122"/>
        <v>120</v>
      </c>
      <c r="J689" s="3">
        <f t="shared" si="123"/>
        <v>52870</v>
      </c>
      <c r="K689">
        <f t="shared" si="124"/>
        <v>0</v>
      </c>
      <c r="L689" s="4">
        <f t="shared" si="130"/>
        <v>22850</v>
      </c>
      <c r="M689">
        <f t="shared" si="127"/>
        <v>120</v>
      </c>
      <c r="N689" s="5">
        <f t="shared" si="131"/>
        <v>75720</v>
      </c>
      <c r="AF689" s="1">
        <v>45614</v>
      </c>
      <c r="AG689">
        <f t="shared" si="128"/>
        <v>120</v>
      </c>
    </row>
    <row r="690" spans="1:33" x14ac:dyDescent="0.25">
      <c r="A690" s="1">
        <v>45615</v>
      </c>
      <c r="B690" t="s">
        <v>5</v>
      </c>
      <c r="C690">
        <f t="shared" si="125"/>
        <v>0.4</v>
      </c>
      <c r="D690">
        <f t="shared" si="126"/>
        <v>2</v>
      </c>
      <c r="F690">
        <f t="shared" si="129"/>
        <v>52870</v>
      </c>
      <c r="G690">
        <f t="shared" si="120"/>
        <v>52870</v>
      </c>
      <c r="H690">
        <f t="shared" si="121"/>
        <v>4</v>
      </c>
      <c r="I690">
        <f t="shared" si="122"/>
        <v>120</v>
      </c>
      <c r="J690" s="3">
        <f t="shared" si="123"/>
        <v>52990</v>
      </c>
      <c r="K690">
        <f t="shared" si="124"/>
        <v>0</v>
      </c>
      <c r="L690" s="4">
        <f t="shared" si="130"/>
        <v>22850</v>
      </c>
      <c r="M690">
        <f t="shared" si="127"/>
        <v>120</v>
      </c>
      <c r="N690" s="5">
        <f t="shared" si="131"/>
        <v>75840</v>
      </c>
      <c r="AF690" s="1">
        <v>45615</v>
      </c>
      <c r="AG690">
        <f t="shared" si="128"/>
        <v>120</v>
      </c>
    </row>
    <row r="691" spans="1:33" x14ac:dyDescent="0.25">
      <c r="A691" s="1">
        <v>45616</v>
      </c>
      <c r="B691" t="s">
        <v>5</v>
      </c>
      <c r="C691">
        <f t="shared" si="125"/>
        <v>0.4</v>
      </c>
      <c r="D691">
        <f t="shared" si="126"/>
        <v>3</v>
      </c>
      <c r="F691">
        <f t="shared" si="129"/>
        <v>52990</v>
      </c>
      <c r="G691">
        <f t="shared" si="120"/>
        <v>52990</v>
      </c>
      <c r="H691">
        <f t="shared" si="121"/>
        <v>4</v>
      </c>
      <c r="I691">
        <f t="shared" si="122"/>
        <v>120</v>
      </c>
      <c r="J691" s="3">
        <f t="shared" si="123"/>
        <v>53110</v>
      </c>
      <c r="K691">
        <f t="shared" si="124"/>
        <v>0</v>
      </c>
      <c r="L691" s="4">
        <f t="shared" si="130"/>
        <v>22850</v>
      </c>
      <c r="M691">
        <f t="shared" si="127"/>
        <v>120</v>
      </c>
      <c r="N691" s="5">
        <f t="shared" si="131"/>
        <v>75960</v>
      </c>
      <c r="AF691" s="1">
        <v>45616</v>
      </c>
      <c r="AG691">
        <f t="shared" si="128"/>
        <v>120</v>
      </c>
    </row>
    <row r="692" spans="1:33" x14ac:dyDescent="0.25">
      <c r="A692" s="1">
        <v>45617</v>
      </c>
      <c r="B692" t="s">
        <v>5</v>
      </c>
      <c r="C692">
        <f t="shared" si="125"/>
        <v>0.4</v>
      </c>
      <c r="D692">
        <f t="shared" si="126"/>
        <v>4</v>
      </c>
      <c r="F692">
        <f t="shared" si="129"/>
        <v>53110</v>
      </c>
      <c r="G692">
        <f t="shared" si="120"/>
        <v>53110</v>
      </c>
      <c r="H692">
        <f t="shared" si="121"/>
        <v>4</v>
      </c>
      <c r="I692">
        <f t="shared" si="122"/>
        <v>120</v>
      </c>
      <c r="J692" s="3">
        <f t="shared" si="123"/>
        <v>53230</v>
      </c>
      <c r="K692">
        <f t="shared" si="124"/>
        <v>0</v>
      </c>
      <c r="L692" s="4">
        <f t="shared" si="130"/>
        <v>22850</v>
      </c>
      <c r="M692">
        <f t="shared" si="127"/>
        <v>120</v>
      </c>
      <c r="N692" s="5">
        <f t="shared" si="131"/>
        <v>76080</v>
      </c>
      <c r="AF692" s="1">
        <v>45617</v>
      </c>
      <c r="AG692">
        <f t="shared" si="128"/>
        <v>120</v>
      </c>
    </row>
    <row r="693" spans="1:33" x14ac:dyDescent="0.25">
      <c r="A693" s="1">
        <v>45618</v>
      </c>
      <c r="B693" t="s">
        <v>5</v>
      </c>
      <c r="C693">
        <f t="shared" si="125"/>
        <v>0.4</v>
      </c>
      <c r="D693">
        <f t="shared" si="126"/>
        <v>5</v>
      </c>
      <c r="F693">
        <f t="shared" si="129"/>
        <v>53230</v>
      </c>
      <c r="G693">
        <f t="shared" si="120"/>
        <v>53230</v>
      </c>
      <c r="H693">
        <f t="shared" si="121"/>
        <v>4</v>
      </c>
      <c r="I693">
        <f t="shared" si="122"/>
        <v>120</v>
      </c>
      <c r="J693" s="3">
        <f t="shared" si="123"/>
        <v>53350</v>
      </c>
      <c r="K693">
        <f t="shared" si="124"/>
        <v>0</v>
      </c>
      <c r="L693" s="4">
        <f t="shared" si="130"/>
        <v>22850</v>
      </c>
      <c r="M693">
        <f t="shared" si="127"/>
        <v>120</v>
      </c>
      <c r="N693" s="5">
        <f t="shared" si="131"/>
        <v>76200</v>
      </c>
      <c r="AF693" s="1">
        <v>45618</v>
      </c>
      <c r="AG693">
        <f t="shared" si="128"/>
        <v>120</v>
      </c>
    </row>
    <row r="694" spans="1:33" x14ac:dyDescent="0.25">
      <c r="A694" s="1">
        <v>45619</v>
      </c>
      <c r="B694" t="s">
        <v>5</v>
      </c>
      <c r="C694">
        <f t="shared" si="125"/>
        <v>0.4</v>
      </c>
      <c r="D694">
        <f t="shared" si="126"/>
        <v>6</v>
      </c>
      <c r="F694">
        <f t="shared" si="129"/>
        <v>53350</v>
      </c>
      <c r="G694">
        <f t="shared" si="120"/>
        <v>53350</v>
      </c>
      <c r="H694">
        <f t="shared" si="121"/>
        <v>4</v>
      </c>
      <c r="I694">
        <f t="shared" si="122"/>
        <v>120</v>
      </c>
      <c r="J694" s="3">
        <f t="shared" si="123"/>
        <v>53350</v>
      </c>
      <c r="K694">
        <f t="shared" si="124"/>
        <v>0</v>
      </c>
      <c r="L694" s="4">
        <f t="shared" si="130"/>
        <v>22850</v>
      </c>
      <c r="M694">
        <f t="shared" si="127"/>
        <v>0</v>
      </c>
      <c r="N694" s="5">
        <f t="shared" si="131"/>
        <v>76200</v>
      </c>
      <c r="AF694" s="1">
        <v>45619</v>
      </c>
      <c r="AG694">
        <f t="shared" si="128"/>
        <v>0</v>
      </c>
    </row>
    <row r="695" spans="1:33" x14ac:dyDescent="0.25">
      <c r="A695" s="1">
        <v>45620</v>
      </c>
      <c r="B695" t="s">
        <v>5</v>
      </c>
      <c r="C695">
        <f t="shared" si="125"/>
        <v>0.4</v>
      </c>
      <c r="D695">
        <f t="shared" si="126"/>
        <v>7</v>
      </c>
      <c r="F695">
        <f t="shared" si="129"/>
        <v>53350</v>
      </c>
      <c r="G695">
        <f t="shared" si="120"/>
        <v>53200</v>
      </c>
      <c r="H695">
        <f t="shared" si="121"/>
        <v>4</v>
      </c>
      <c r="I695">
        <f t="shared" si="122"/>
        <v>120</v>
      </c>
      <c r="J695" s="3">
        <f t="shared" si="123"/>
        <v>53200</v>
      </c>
      <c r="K695">
        <f t="shared" si="124"/>
        <v>150</v>
      </c>
      <c r="L695" s="4">
        <f t="shared" si="130"/>
        <v>23000</v>
      </c>
      <c r="M695">
        <f t="shared" si="127"/>
        <v>0</v>
      </c>
      <c r="N695" s="5">
        <f t="shared" si="131"/>
        <v>76200</v>
      </c>
      <c r="AF695" s="1">
        <v>45620</v>
      </c>
      <c r="AG695">
        <f t="shared" si="128"/>
        <v>-150</v>
      </c>
    </row>
    <row r="696" spans="1:33" x14ac:dyDescent="0.25">
      <c r="A696" s="1">
        <v>45621</v>
      </c>
      <c r="B696" t="s">
        <v>5</v>
      </c>
      <c r="C696">
        <f t="shared" si="125"/>
        <v>0.4</v>
      </c>
      <c r="D696">
        <f t="shared" si="126"/>
        <v>1</v>
      </c>
      <c r="F696">
        <f t="shared" si="129"/>
        <v>53200</v>
      </c>
      <c r="G696">
        <f t="shared" si="120"/>
        <v>53200</v>
      </c>
      <c r="H696">
        <f t="shared" si="121"/>
        <v>4</v>
      </c>
      <c r="I696">
        <f t="shared" si="122"/>
        <v>120</v>
      </c>
      <c r="J696" s="3">
        <f t="shared" si="123"/>
        <v>53320</v>
      </c>
      <c r="K696">
        <f t="shared" si="124"/>
        <v>0</v>
      </c>
      <c r="L696" s="4">
        <f t="shared" si="130"/>
        <v>23000</v>
      </c>
      <c r="M696">
        <f t="shared" si="127"/>
        <v>120</v>
      </c>
      <c r="N696" s="5">
        <f t="shared" si="131"/>
        <v>76320</v>
      </c>
      <c r="AF696" s="1">
        <v>45621</v>
      </c>
      <c r="AG696">
        <f t="shared" si="128"/>
        <v>120</v>
      </c>
    </row>
    <row r="697" spans="1:33" x14ac:dyDescent="0.25">
      <c r="A697" s="1">
        <v>45622</v>
      </c>
      <c r="B697" t="s">
        <v>5</v>
      </c>
      <c r="C697">
        <f t="shared" si="125"/>
        <v>0.4</v>
      </c>
      <c r="D697">
        <f t="shared" si="126"/>
        <v>2</v>
      </c>
      <c r="F697">
        <f t="shared" si="129"/>
        <v>53320</v>
      </c>
      <c r="G697">
        <f t="shared" si="120"/>
        <v>53320</v>
      </c>
      <c r="H697">
        <f t="shared" si="121"/>
        <v>4</v>
      </c>
      <c r="I697">
        <f t="shared" si="122"/>
        <v>120</v>
      </c>
      <c r="J697" s="3">
        <f t="shared" si="123"/>
        <v>53440</v>
      </c>
      <c r="K697">
        <f t="shared" si="124"/>
        <v>0</v>
      </c>
      <c r="L697" s="4">
        <f t="shared" si="130"/>
        <v>23000</v>
      </c>
      <c r="M697">
        <f t="shared" si="127"/>
        <v>120</v>
      </c>
      <c r="N697" s="5">
        <f t="shared" si="131"/>
        <v>76440</v>
      </c>
      <c r="AF697" s="1">
        <v>45622</v>
      </c>
      <c r="AG697">
        <f t="shared" si="128"/>
        <v>120</v>
      </c>
    </row>
    <row r="698" spans="1:33" x14ac:dyDescent="0.25">
      <c r="A698" s="1">
        <v>45623</v>
      </c>
      <c r="B698" t="s">
        <v>5</v>
      </c>
      <c r="C698">
        <f t="shared" si="125"/>
        <v>0.4</v>
      </c>
      <c r="D698">
        <f t="shared" si="126"/>
        <v>3</v>
      </c>
      <c r="F698">
        <f t="shared" si="129"/>
        <v>53440</v>
      </c>
      <c r="G698">
        <f t="shared" si="120"/>
        <v>53440</v>
      </c>
      <c r="H698">
        <f t="shared" si="121"/>
        <v>4</v>
      </c>
      <c r="I698">
        <f t="shared" si="122"/>
        <v>120</v>
      </c>
      <c r="J698" s="3">
        <f t="shared" si="123"/>
        <v>53560</v>
      </c>
      <c r="K698">
        <f t="shared" si="124"/>
        <v>0</v>
      </c>
      <c r="L698" s="4">
        <f t="shared" si="130"/>
        <v>23000</v>
      </c>
      <c r="M698">
        <f t="shared" si="127"/>
        <v>120</v>
      </c>
      <c r="N698" s="5">
        <f t="shared" si="131"/>
        <v>76560</v>
      </c>
      <c r="AF698" s="1">
        <v>45623</v>
      </c>
      <c r="AG698">
        <f t="shared" si="128"/>
        <v>120</v>
      </c>
    </row>
    <row r="699" spans="1:33" x14ac:dyDescent="0.25">
      <c r="A699" s="1">
        <v>45624</v>
      </c>
      <c r="B699" t="s">
        <v>5</v>
      </c>
      <c r="C699">
        <f t="shared" si="125"/>
        <v>0.4</v>
      </c>
      <c r="D699">
        <f t="shared" si="126"/>
        <v>4</v>
      </c>
      <c r="F699">
        <f t="shared" si="129"/>
        <v>53560</v>
      </c>
      <c r="G699">
        <f t="shared" si="120"/>
        <v>53560</v>
      </c>
      <c r="H699">
        <f t="shared" si="121"/>
        <v>4</v>
      </c>
      <c r="I699">
        <f t="shared" si="122"/>
        <v>120</v>
      </c>
      <c r="J699" s="3">
        <f t="shared" si="123"/>
        <v>53680</v>
      </c>
      <c r="K699">
        <f t="shared" si="124"/>
        <v>0</v>
      </c>
      <c r="L699" s="4">
        <f t="shared" si="130"/>
        <v>23000</v>
      </c>
      <c r="M699">
        <f t="shared" si="127"/>
        <v>120</v>
      </c>
      <c r="N699" s="5">
        <f t="shared" si="131"/>
        <v>76680</v>
      </c>
      <c r="AF699" s="1">
        <v>45624</v>
      </c>
      <c r="AG699">
        <f t="shared" si="128"/>
        <v>120</v>
      </c>
    </row>
    <row r="700" spans="1:33" x14ac:dyDescent="0.25">
      <c r="A700" s="1">
        <v>45625</v>
      </c>
      <c r="B700" t="s">
        <v>5</v>
      </c>
      <c r="C700">
        <f t="shared" si="125"/>
        <v>0.4</v>
      </c>
      <c r="D700">
        <f t="shared" si="126"/>
        <v>5</v>
      </c>
      <c r="F700">
        <f t="shared" si="129"/>
        <v>53680</v>
      </c>
      <c r="G700">
        <f t="shared" si="120"/>
        <v>53680</v>
      </c>
      <c r="H700">
        <f t="shared" si="121"/>
        <v>4</v>
      </c>
      <c r="I700">
        <f t="shared" si="122"/>
        <v>120</v>
      </c>
      <c r="J700" s="3">
        <f t="shared" si="123"/>
        <v>53800</v>
      </c>
      <c r="K700">
        <f t="shared" si="124"/>
        <v>0</v>
      </c>
      <c r="L700" s="4">
        <f t="shared" si="130"/>
        <v>23000</v>
      </c>
      <c r="M700">
        <f t="shared" si="127"/>
        <v>120</v>
      </c>
      <c r="N700" s="5">
        <f t="shared" si="131"/>
        <v>76800</v>
      </c>
      <c r="AF700" s="1">
        <v>45625</v>
      </c>
      <c r="AG700">
        <f t="shared" si="128"/>
        <v>120</v>
      </c>
    </row>
    <row r="701" spans="1:33" x14ac:dyDescent="0.25">
      <c r="A701" s="1">
        <v>45626</v>
      </c>
      <c r="B701" t="s">
        <v>5</v>
      </c>
      <c r="C701">
        <f t="shared" si="125"/>
        <v>0.4</v>
      </c>
      <c r="D701">
        <f t="shared" si="126"/>
        <v>6</v>
      </c>
      <c r="F701">
        <f t="shared" si="129"/>
        <v>53800</v>
      </c>
      <c r="G701">
        <f t="shared" si="120"/>
        <v>53800</v>
      </c>
      <c r="H701">
        <f t="shared" si="121"/>
        <v>4</v>
      </c>
      <c r="I701">
        <f t="shared" si="122"/>
        <v>120</v>
      </c>
      <c r="J701" s="3">
        <f t="shared" si="123"/>
        <v>53800</v>
      </c>
      <c r="K701">
        <f t="shared" si="124"/>
        <v>0</v>
      </c>
      <c r="L701" s="4">
        <f t="shared" si="130"/>
        <v>23000</v>
      </c>
      <c r="M701">
        <f t="shared" si="127"/>
        <v>0</v>
      </c>
      <c r="N701" s="5">
        <f t="shared" si="131"/>
        <v>76800</v>
      </c>
      <c r="AF701" s="1">
        <v>45626</v>
      </c>
      <c r="AG701">
        <f t="shared" si="128"/>
        <v>0</v>
      </c>
    </row>
    <row r="702" spans="1:33" x14ac:dyDescent="0.25">
      <c r="A702" s="1">
        <v>45627</v>
      </c>
      <c r="B702" t="s">
        <v>5</v>
      </c>
      <c r="C702">
        <f t="shared" si="125"/>
        <v>0.4</v>
      </c>
      <c r="D702">
        <f t="shared" si="126"/>
        <v>7</v>
      </c>
      <c r="F702">
        <f t="shared" si="129"/>
        <v>53800</v>
      </c>
      <c r="G702">
        <f t="shared" si="120"/>
        <v>53650</v>
      </c>
      <c r="H702">
        <f t="shared" si="121"/>
        <v>4</v>
      </c>
      <c r="I702">
        <f t="shared" si="122"/>
        <v>120</v>
      </c>
      <c r="J702" s="3">
        <f t="shared" si="123"/>
        <v>53650</v>
      </c>
      <c r="K702">
        <f t="shared" si="124"/>
        <v>150</v>
      </c>
      <c r="L702" s="4">
        <f t="shared" si="130"/>
        <v>23150</v>
      </c>
      <c r="M702">
        <f t="shared" si="127"/>
        <v>0</v>
      </c>
      <c r="N702" s="5">
        <f t="shared" si="131"/>
        <v>76800</v>
      </c>
      <c r="AF702" s="1">
        <v>45627</v>
      </c>
      <c r="AG702">
        <f t="shared" si="128"/>
        <v>-150</v>
      </c>
    </row>
    <row r="703" spans="1:33" x14ac:dyDescent="0.25">
      <c r="A703" s="1">
        <v>45628</v>
      </c>
      <c r="B703" t="s">
        <v>5</v>
      </c>
      <c r="C703">
        <f t="shared" si="125"/>
        <v>0.4</v>
      </c>
      <c r="D703">
        <f t="shared" si="126"/>
        <v>1</v>
      </c>
      <c r="F703">
        <f t="shared" si="129"/>
        <v>53650</v>
      </c>
      <c r="G703">
        <f t="shared" si="120"/>
        <v>53650</v>
      </c>
      <c r="H703">
        <f t="shared" si="121"/>
        <v>4</v>
      </c>
      <c r="I703">
        <f t="shared" si="122"/>
        <v>120</v>
      </c>
      <c r="J703" s="3">
        <f t="shared" si="123"/>
        <v>53770</v>
      </c>
      <c r="K703">
        <f t="shared" si="124"/>
        <v>0</v>
      </c>
      <c r="L703" s="4">
        <f t="shared" si="130"/>
        <v>23150</v>
      </c>
      <c r="M703">
        <f t="shared" si="127"/>
        <v>120</v>
      </c>
      <c r="N703" s="5">
        <f t="shared" si="131"/>
        <v>76920</v>
      </c>
      <c r="AF703" s="1">
        <v>45628</v>
      </c>
      <c r="AG703">
        <f t="shared" si="128"/>
        <v>120</v>
      </c>
    </row>
    <row r="704" spans="1:33" x14ac:dyDescent="0.25">
      <c r="A704" s="1">
        <v>45629</v>
      </c>
      <c r="B704" t="s">
        <v>5</v>
      </c>
      <c r="C704">
        <f t="shared" si="125"/>
        <v>0.4</v>
      </c>
      <c r="D704">
        <f t="shared" si="126"/>
        <v>2</v>
      </c>
      <c r="F704">
        <f t="shared" si="129"/>
        <v>53770</v>
      </c>
      <c r="G704">
        <f t="shared" si="120"/>
        <v>53770</v>
      </c>
      <c r="H704">
        <f t="shared" si="121"/>
        <v>4</v>
      </c>
      <c r="I704">
        <f t="shared" si="122"/>
        <v>120</v>
      </c>
      <c r="J704" s="3">
        <f t="shared" si="123"/>
        <v>53890</v>
      </c>
      <c r="K704">
        <f t="shared" si="124"/>
        <v>0</v>
      </c>
      <c r="L704" s="4">
        <f t="shared" si="130"/>
        <v>23150</v>
      </c>
      <c r="M704">
        <f t="shared" si="127"/>
        <v>120</v>
      </c>
      <c r="N704" s="5">
        <f t="shared" si="131"/>
        <v>77040</v>
      </c>
      <c r="AF704" s="1">
        <v>45629</v>
      </c>
      <c r="AG704">
        <f t="shared" si="128"/>
        <v>120</v>
      </c>
    </row>
    <row r="705" spans="1:33" x14ac:dyDescent="0.25">
      <c r="A705" s="1">
        <v>45630</v>
      </c>
      <c r="B705" t="s">
        <v>5</v>
      </c>
      <c r="C705">
        <f t="shared" si="125"/>
        <v>0.4</v>
      </c>
      <c r="D705">
        <f t="shared" si="126"/>
        <v>3</v>
      </c>
      <c r="F705">
        <f t="shared" si="129"/>
        <v>53890</v>
      </c>
      <c r="G705">
        <f t="shared" si="120"/>
        <v>53890</v>
      </c>
      <c r="H705">
        <f t="shared" si="121"/>
        <v>4</v>
      </c>
      <c r="I705">
        <f t="shared" si="122"/>
        <v>120</v>
      </c>
      <c r="J705" s="3">
        <f t="shared" si="123"/>
        <v>54010</v>
      </c>
      <c r="K705">
        <f t="shared" si="124"/>
        <v>0</v>
      </c>
      <c r="L705" s="4">
        <f t="shared" si="130"/>
        <v>23150</v>
      </c>
      <c r="M705">
        <f t="shared" si="127"/>
        <v>120</v>
      </c>
      <c r="N705" s="5">
        <f t="shared" si="131"/>
        <v>77160</v>
      </c>
      <c r="AF705" s="1">
        <v>45630</v>
      </c>
      <c r="AG705">
        <f t="shared" si="128"/>
        <v>120</v>
      </c>
    </row>
    <row r="706" spans="1:33" x14ac:dyDescent="0.25">
      <c r="A706" s="1">
        <v>45631</v>
      </c>
      <c r="B706" t="s">
        <v>5</v>
      </c>
      <c r="C706">
        <f t="shared" si="125"/>
        <v>0.4</v>
      </c>
      <c r="D706">
        <f t="shared" si="126"/>
        <v>4</v>
      </c>
      <c r="F706">
        <f t="shared" si="129"/>
        <v>54010</v>
      </c>
      <c r="G706">
        <f t="shared" ref="G706:G769" si="132">IF(D706=7,F706-150,F706)</f>
        <v>54010</v>
      </c>
      <c r="H706">
        <f t="shared" ref="H706:H732" si="133">ROUNDDOWN($AC$2*C706,0)</f>
        <v>4</v>
      </c>
      <c r="I706">
        <f t="shared" ref="I706:I769" si="134">H706*$AD$2</f>
        <v>120</v>
      </c>
      <c r="J706" s="3">
        <f t="shared" ref="J706:J769" si="135">IF(AND(D706&gt;=1,D706&lt;=5),G706+I706,G706)</f>
        <v>54130</v>
      </c>
      <c r="K706">
        <f t="shared" ref="K706:K732" si="136">IF(D706=7,150,0)</f>
        <v>0</v>
      </c>
      <c r="L706" s="4">
        <f t="shared" si="130"/>
        <v>23150</v>
      </c>
      <c r="M706">
        <f t="shared" si="127"/>
        <v>120</v>
      </c>
      <c r="N706" s="5">
        <f t="shared" si="131"/>
        <v>77280</v>
      </c>
      <c r="AF706" s="1">
        <v>45631</v>
      </c>
      <c r="AG706">
        <f t="shared" si="128"/>
        <v>120</v>
      </c>
    </row>
    <row r="707" spans="1:33" x14ac:dyDescent="0.25">
      <c r="A707" s="1">
        <v>45632</v>
      </c>
      <c r="B707" t="s">
        <v>5</v>
      </c>
      <c r="C707">
        <f t="shared" ref="C707:C732" si="137">IF(B707="zima",20%,IF(B707="wiosna",50%,IF(B707="lato",90%,40%)))</f>
        <v>0.4</v>
      </c>
      <c r="D707">
        <f t="shared" ref="D707:D732" si="138">WEEKDAY(A707,2)</f>
        <v>5</v>
      </c>
      <c r="F707">
        <f t="shared" si="129"/>
        <v>54130</v>
      </c>
      <c r="G707">
        <f t="shared" si="132"/>
        <v>54130</v>
      </c>
      <c r="H707">
        <f t="shared" si="133"/>
        <v>4</v>
      </c>
      <c r="I707">
        <f t="shared" si="134"/>
        <v>120</v>
      </c>
      <c r="J707" s="3">
        <f t="shared" si="135"/>
        <v>54250</v>
      </c>
      <c r="K707">
        <f t="shared" si="136"/>
        <v>0</v>
      </c>
      <c r="L707" s="4">
        <f t="shared" si="130"/>
        <v>23150</v>
      </c>
      <c r="M707">
        <f t="shared" ref="M707:M732" si="139">IF(AND(D707&gt;=1,D707&lt;=5),I707,0)</f>
        <v>120</v>
      </c>
      <c r="N707" s="5">
        <f t="shared" si="131"/>
        <v>77400</v>
      </c>
      <c r="AF707" s="1">
        <v>45632</v>
      </c>
      <c r="AG707">
        <f t="shared" ref="AG707:AG732" si="140">M707-K707</f>
        <v>120</v>
      </c>
    </row>
    <row r="708" spans="1:33" x14ac:dyDescent="0.25">
      <c r="A708" s="1">
        <v>45633</v>
      </c>
      <c r="B708" t="s">
        <v>5</v>
      </c>
      <c r="C708">
        <f t="shared" si="137"/>
        <v>0.4</v>
      </c>
      <c r="D708">
        <f t="shared" si="138"/>
        <v>6</v>
      </c>
      <c r="F708">
        <f t="shared" ref="F708:F732" si="141">J707</f>
        <v>54250</v>
      </c>
      <c r="G708">
        <f t="shared" si="132"/>
        <v>54250</v>
      </c>
      <c r="H708">
        <f t="shared" si="133"/>
        <v>4</v>
      </c>
      <c r="I708">
        <f t="shared" si="134"/>
        <v>120</v>
      </c>
      <c r="J708" s="3">
        <f t="shared" si="135"/>
        <v>54250</v>
      </c>
      <c r="K708">
        <f t="shared" si="136"/>
        <v>0</v>
      </c>
      <c r="L708" s="4">
        <f t="shared" ref="L708:L732" si="142">K708+L707</f>
        <v>23150</v>
      </c>
      <c r="M708">
        <f t="shared" si="139"/>
        <v>0</v>
      </c>
      <c r="N708" s="5">
        <f t="shared" ref="N708:N732" si="143">N707+M708</f>
        <v>77400</v>
      </c>
      <c r="AF708" s="1">
        <v>45633</v>
      </c>
      <c r="AG708">
        <f t="shared" si="140"/>
        <v>0</v>
      </c>
    </row>
    <row r="709" spans="1:33" x14ac:dyDescent="0.25">
      <c r="A709" s="1">
        <v>45634</v>
      </c>
      <c r="B709" t="s">
        <v>5</v>
      </c>
      <c r="C709">
        <f t="shared" si="137"/>
        <v>0.4</v>
      </c>
      <c r="D709">
        <f t="shared" si="138"/>
        <v>7</v>
      </c>
      <c r="F709">
        <f t="shared" si="141"/>
        <v>54250</v>
      </c>
      <c r="G709">
        <f t="shared" si="132"/>
        <v>54100</v>
      </c>
      <c r="H709">
        <f t="shared" si="133"/>
        <v>4</v>
      </c>
      <c r="I709">
        <f t="shared" si="134"/>
        <v>120</v>
      </c>
      <c r="J709" s="3">
        <f t="shared" si="135"/>
        <v>54100</v>
      </c>
      <c r="K709">
        <f t="shared" si="136"/>
        <v>150</v>
      </c>
      <c r="L709" s="4">
        <f t="shared" si="142"/>
        <v>23300</v>
      </c>
      <c r="M709">
        <f t="shared" si="139"/>
        <v>0</v>
      </c>
      <c r="N709" s="5">
        <f t="shared" si="143"/>
        <v>77400</v>
      </c>
      <c r="AF709" s="1">
        <v>45634</v>
      </c>
      <c r="AG709">
        <f t="shared" si="140"/>
        <v>-150</v>
      </c>
    </row>
    <row r="710" spans="1:33" x14ac:dyDescent="0.25">
      <c r="A710" s="1">
        <v>45635</v>
      </c>
      <c r="B710" t="s">
        <v>5</v>
      </c>
      <c r="C710">
        <f t="shared" si="137"/>
        <v>0.4</v>
      </c>
      <c r="D710">
        <f t="shared" si="138"/>
        <v>1</v>
      </c>
      <c r="F710">
        <f t="shared" si="141"/>
        <v>54100</v>
      </c>
      <c r="G710">
        <f t="shared" si="132"/>
        <v>54100</v>
      </c>
      <c r="H710">
        <f t="shared" si="133"/>
        <v>4</v>
      </c>
      <c r="I710">
        <f t="shared" si="134"/>
        <v>120</v>
      </c>
      <c r="J710" s="3">
        <f t="shared" si="135"/>
        <v>54220</v>
      </c>
      <c r="K710">
        <f t="shared" si="136"/>
        <v>0</v>
      </c>
      <c r="L710" s="4">
        <f t="shared" si="142"/>
        <v>23300</v>
      </c>
      <c r="M710">
        <f t="shared" si="139"/>
        <v>120</v>
      </c>
      <c r="N710" s="5">
        <f t="shared" si="143"/>
        <v>77520</v>
      </c>
      <c r="AF710" s="1">
        <v>45635</v>
      </c>
      <c r="AG710">
        <f t="shared" si="140"/>
        <v>120</v>
      </c>
    </row>
    <row r="711" spans="1:33" x14ac:dyDescent="0.25">
      <c r="A711" s="1">
        <v>45636</v>
      </c>
      <c r="B711" t="s">
        <v>5</v>
      </c>
      <c r="C711">
        <f t="shared" si="137"/>
        <v>0.4</v>
      </c>
      <c r="D711">
        <f t="shared" si="138"/>
        <v>2</v>
      </c>
      <c r="F711">
        <f t="shared" si="141"/>
        <v>54220</v>
      </c>
      <c r="G711">
        <f t="shared" si="132"/>
        <v>54220</v>
      </c>
      <c r="H711">
        <f t="shared" si="133"/>
        <v>4</v>
      </c>
      <c r="I711">
        <f t="shared" si="134"/>
        <v>120</v>
      </c>
      <c r="J711" s="3">
        <f t="shared" si="135"/>
        <v>54340</v>
      </c>
      <c r="K711">
        <f t="shared" si="136"/>
        <v>0</v>
      </c>
      <c r="L711" s="4">
        <f t="shared" si="142"/>
        <v>23300</v>
      </c>
      <c r="M711">
        <f t="shared" si="139"/>
        <v>120</v>
      </c>
      <c r="N711" s="5">
        <f t="shared" si="143"/>
        <v>77640</v>
      </c>
      <c r="AF711" s="1">
        <v>45636</v>
      </c>
      <c r="AG711">
        <f t="shared" si="140"/>
        <v>120</v>
      </c>
    </row>
    <row r="712" spans="1:33" x14ac:dyDescent="0.25">
      <c r="A712" s="1">
        <v>45637</v>
      </c>
      <c r="B712" t="s">
        <v>5</v>
      </c>
      <c r="C712">
        <f t="shared" si="137"/>
        <v>0.4</v>
      </c>
      <c r="D712">
        <f t="shared" si="138"/>
        <v>3</v>
      </c>
      <c r="F712">
        <f t="shared" si="141"/>
        <v>54340</v>
      </c>
      <c r="G712">
        <f t="shared" si="132"/>
        <v>54340</v>
      </c>
      <c r="H712">
        <f t="shared" si="133"/>
        <v>4</v>
      </c>
      <c r="I712">
        <f t="shared" si="134"/>
        <v>120</v>
      </c>
      <c r="J712" s="3">
        <f t="shared" si="135"/>
        <v>54460</v>
      </c>
      <c r="K712">
        <f t="shared" si="136"/>
        <v>0</v>
      </c>
      <c r="L712" s="4">
        <f t="shared" si="142"/>
        <v>23300</v>
      </c>
      <c r="M712">
        <f t="shared" si="139"/>
        <v>120</v>
      </c>
      <c r="N712" s="5">
        <f t="shared" si="143"/>
        <v>77760</v>
      </c>
      <c r="AF712" s="1">
        <v>45637</v>
      </c>
      <c r="AG712">
        <f t="shared" si="140"/>
        <v>120</v>
      </c>
    </row>
    <row r="713" spans="1:33" x14ac:dyDescent="0.25">
      <c r="A713" s="1">
        <v>45638</v>
      </c>
      <c r="B713" t="s">
        <v>5</v>
      </c>
      <c r="C713">
        <f t="shared" si="137"/>
        <v>0.4</v>
      </c>
      <c r="D713">
        <f t="shared" si="138"/>
        <v>4</v>
      </c>
      <c r="F713">
        <f t="shared" si="141"/>
        <v>54460</v>
      </c>
      <c r="G713">
        <f t="shared" si="132"/>
        <v>54460</v>
      </c>
      <c r="H713">
        <f t="shared" si="133"/>
        <v>4</v>
      </c>
      <c r="I713">
        <f t="shared" si="134"/>
        <v>120</v>
      </c>
      <c r="J713" s="3">
        <f t="shared" si="135"/>
        <v>54580</v>
      </c>
      <c r="K713">
        <f t="shared" si="136"/>
        <v>0</v>
      </c>
      <c r="L713" s="4">
        <f t="shared" si="142"/>
        <v>23300</v>
      </c>
      <c r="M713">
        <f t="shared" si="139"/>
        <v>120</v>
      </c>
      <c r="N713" s="5">
        <f t="shared" si="143"/>
        <v>77880</v>
      </c>
      <c r="AF713" s="1">
        <v>45638</v>
      </c>
      <c r="AG713">
        <f t="shared" si="140"/>
        <v>120</v>
      </c>
    </row>
    <row r="714" spans="1:33" x14ac:dyDescent="0.25">
      <c r="A714" s="1">
        <v>45639</v>
      </c>
      <c r="B714" t="s">
        <v>5</v>
      </c>
      <c r="C714">
        <f t="shared" si="137"/>
        <v>0.4</v>
      </c>
      <c r="D714">
        <f t="shared" si="138"/>
        <v>5</v>
      </c>
      <c r="F714">
        <f t="shared" si="141"/>
        <v>54580</v>
      </c>
      <c r="G714">
        <f t="shared" si="132"/>
        <v>54580</v>
      </c>
      <c r="H714">
        <f t="shared" si="133"/>
        <v>4</v>
      </c>
      <c r="I714">
        <f t="shared" si="134"/>
        <v>120</v>
      </c>
      <c r="J714" s="3">
        <f t="shared" si="135"/>
        <v>54700</v>
      </c>
      <c r="K714">
        <f t="shared" si="136"/>
        <v>0</v>
      </c>
      <c r="L714" s="4">
        <f t="shared" si="142"/>
        <v>23300</v>
      </c>
      <c r="M714">
        <f t="shared" si="139"/>
        <v>120</v>
      </c>
      <c r="N714" s="5">
        <f t="shared" si="143"/>
        <v>78000</v>
      </c>
      <c r="AF714" s="1">
        <v>45639</v>
      </c>
      <c r="AG714">
        <f t="shared" si="140"/>
        <v>120</v>
      </c>
    </row>
    <row r="715" spans="1:33" x14ac:dyDescent="0.25">
      <c r="A715" s="1">
        <v>45640</v>
      </c>
      <c r="B715" t="s">
        <v>5</v>
      </c>
      <c r="C715">
        <f t="shared" si="137"/>
        <v>0.4</v>
      </c>
      <c r="D715">
        <f t="shared" si="138"/>
        <v>6</v>
      </c>
      <c r="F715">
        <f t="shared" si="141"/>
        <v>54700</v>
      </c>
      <c r="G715">
        <f t="shared" si="132"/>
        <v>54700</v>
      </c>
      <c r="H715">
        <f t="shared" si="133"/>
        <v>4</v>
      </c>
      <c r="I715">
        <f t="shared" si="134"/>
        <v>120</v>
      </c>
      <c r="J715" s="3">
        <f t="shared" si="135"/>
        <v>54700</v>
      </c>
      <c r="K715">
        <f t="shared" si="136"/>
        <v>0</v>
      </c>
      <c r="L715" s="4">
        <f t="shared" si="142"/>
        <v>23300</v>
      </c>
      <c r="M715">
        <f t="shared" si="139"/>
        <v>0</v>
      </c>
      <c r="N715" s="5">
        <f t="shared" si="143"/>
        <v>78000</v>
      </c>
      <c r="AF715" s="1">
        <v>45640</v>
      </c>
      <c r="AG715">
        <f t="shared" si="140"/>
        <v>0</v>
      </c>
    </row>
    <row r="716" spans="1:33" x14ac:dyDescent="0.25">
      <c r="A716" s="1">
        <v>45641</v>
      </c>
      <c r="B716" t="s">
        <v>5</v>
      </c>
      <c r="C716">
        <f t="shared" si="137"/>
        <v>0.4</v>
      </c>
      <c r="D716">
        <f t="shared" si="138"/>
        <v>7</v>
      </c>
      <c r="F716">
        <f t="shared" si="141"/>
        <v>54700</v>
      </c>
      <c r="G716">
        <f t="shared" si="132"/>
        <v>54550</v>
      </c>
      <c r="H716">
        <f t="shared" si="133"/>
        <v>4</v>
      </c>
      <c r="I716">
        <f t="shared" si="134"/>
        <v>120</v>
      </c>
      <c r="J716" s="3">
        <f t="shared" si="135"/>
        <v>54550</v>
      </c>
      <c r="K716">
        <f t="shared" si="136"/>
        <v>150</v>
      </c>
      <c r="L716" s="4">
        <f t="shared" si="142"/>
        <v>23450</v>
      </c>
      <c r="M716">
        <f t="shared" si="139"/>
        <v>0</v>
      </c>
      <c r="N716" s="5">
        <f t="shared" si="143"/>
        <v>78000</v>
      </c>
      <c r="AF716" s="1">
        <v>45641</v>
      </c>
      <c r="AG716">
        <f t="shared" si="140"/>
        <v>-150</v>
      </c>
    </row>
    <row r="717" spans="1:33" x14ac:dyDescent="0.25">
      <c r="A717" s="1">
        <v>45642</v>
      </c>
      <c r="B717" t="s">
        <v>5</v>
      </c>
      <c r="C717">
        <f t="shared" si="137"/>
        <v>0.4</v>
      </c>
      <c r="D717">
        <f t="shared" si="138"/>
        <v>1</v>
      </c>
      <c r="F717">
        <f t="shared" si="141"/>
        <v>54550</v>
      </c>
      <c r="G717">
        <f t="shared" si="132"/>
        <v>54550</v>
      </c>
      <c r="H717">
        <f t="shared" si="133"/>
        <v>4</v>
      </c>
      <c r="I717">
        <f t="shared" si="134"/>
        <v>120</v>
      </c>
      <c r="J717" s="3">
        <f t="shared" si="135"/>
        <v>54670</v>
      </c>
      <c r="K717">
        <f t="shared" si="136"/>
        <v>0</v>
      </c>
      <c r="L717" s="4">
        <f t="shared" si="142"/>
        <v>23450</v>
      </c>
      <c r="M717">
        <f t="shared" si="139"/>
        <v>120</v>
      </c>
      <c r="N717" s="5">
        <f t="shared" si="143"/>
        <v>78120</v>
      </c>
      <c r="AF717" s="1">
        <v>45642</v>
      </c>
      <c r="AG717">
        <f t="shared" si="140"/>
        <v>120</v>
      </c>
    </row>
    <row r="718" spans="1:33" x14ac:dyDescent="0.25">
      <c r="A718" s="1">
        <v>45643</v>
      </c>
      <c r="B718" t="s">
        <v>5</v>
      </c>
      <c r="C718">
        <f t="shared" si="137"/>
        <v>0.4</v>
      </c>
      <c r="D718">
        <f t="shared" si="138"/>
        <v>2</v>
      </c>
      <c r="F718">
        <f t="shared" si="141"/>
        <v>54670</v>
      </c>
      <c r="G718">
        <f t="shared" si="132"/>
        <v>54670</v>
      </c>
      <c r="H718">
        <f t="shared" si="133"/>
        <v>4</v>
      </c>
      <c r="I718">
        <f t="shared" si="134"/>
        <v>120</v>
      </c>
      <c r="J718" s="3">
        <f t="shared" si="135"/>
        <v>54790</v>
      </c>
      <c r="K718">
        <f t="shared" si="136"/>
        <v>0</v>
      </c>
      <c r="L718" s="4">
        <f t="shared" si="142"/>
        <v>23450</v>
      </c>
      <c r="M718">
        <f t="shared" si="139"/>
        <v>120</v>
      </c>
      <c r="N718" s="5">
        <f t="shared" si="143"/>
        <v>78240</v>
      </c>
      <c r="AF718" s="1">
        <v>45643</v>
      </c>
      <c r="AG718">
        <f t="shared" si="140"/>
        <v>120</v>
      </c>
    </row>
    <row r="719" spans="1:33" x14ac:dyDescent="0.25">
      <c r="A719" s="1">
        <v>45644</v>
      </c>
      <c r="B719" t="s">
        <v>5</v>
      </c>
      <c r="C719">
        <f t="shared" si="137"/>
        <v>0.4</v>
      </c>
      <c r="D719">
        <f t="shared" si="138"/>
        <v>3</v>
      </c>
      <c r="F719">
        <f t="shared" si="141"/>
        <v>54790</v>
      </c>
      <c r="G719">
        <f t="shared" si="132"/>
        <v>54790</v>
      </c>
      <c r="H719">
        <f t="shared" si="133"/>
        <v>4</v>
      </c>
      <c r="I719">
        <f t="shared" si="134"/>
        <v>120</v>
      </c>
      <c r="J719" s="3">
        <f t="shared" si="135"/>
        <v>54910</v>
      </c>
      <c r="K719">
        <f t="shared" si="136"/>
        <v>0</v>
      </c>
      <c r="L719" s="4">
        <f t="shared" si="142"/>
        <v>23450</v>
      </c>
      <c r="M719">
        <f t="shared" si="139"/>
        <v>120</v>
      </c>
      <c r="N719" s="5">
        <f t="shared" si="143"/>
        <v>78360</v>
      </c>
      <c r="AF719" s="1">
        <v>45644</v>
      </c>
      <c r="AG719">
        <f t="shared" si="140"/>
        <v>120</v>
      </c>
    </row>
    <row r="720" spans="1:33" x14ac:dyDescent="0.25">
      <c r="A720" s="1">
        <v>45645</v>
      </c>
      <c r="B720" t="s">
        <v>5</v>
      </c>
      <c r="C720">
        <f t="shared" si="137"/>
        <v>0.4</v>
      </c>
      <c r="D720">
        <f t="shared" si="138"/>
        <v>4</v>
      </c>
      <c r="F720">
        <f t="shared" si="141"/>
        <v>54910</v>
      </c>
      <c r="G720">
        <f t="shared" si="132"/>
        <v>54910</v>
      </c>
      <c r="H720">
        <f t="shared" si="133"/>
        <v>4</v>
      </c>
      <c r="I720">
        <f t="shared" si="134"/>
        <v>120</v>
      </c>
      <c r="J720" s="3">
        <f t="shared" si="135"/>
        <v>55030</v>
      </c>
      <c r="K720">
        <f t="shared" si="136"/>
        <v>0</v>
      </c>
      <c r="L720" s="4">
        <f t="shared" si="142"/>
        <v>23450</v>
      </c>
      <c r="M720">
        <f t="shared" si="139"/>
        <v>120</v>
      </c>
      <c r="N720" s="5">
        <f t="shared" si="143"/>
        <v>78480</v>
      </c>
      <c r="AF720" s="1">
        <v>45645</v>
      </c>
      <c r="AG720">
        <f t="shared" si="140"/>
        <v>120</v>
      </c>
    </row>
    <row r="721" spans="1:33" x14ac:dyDescent="0.25">
      <c r="A721" s="1">
        <v>45646</v>
      </c>
      <c r="B721" t="s">
        <v>5</v>
      </c>
      <c r="C721">
        <f t="shared" si="137"/>
        <v>0.4</v>
      </c>
      <c r="D721">
        <f t="shared" si="138"/>
        <v>5</v>
      </c>
      <c r="F721">
        <f t="shared" si="141"/>
        <v>55030</v>
      </c>
      <c r="G721">
        <f t="shared" si="132"/>
        <v>55030</v>
      </c>
      <c r="H721">
        <f t="shared" si="133"/>
        <v>4</v>
      </c>
      <c r="I721">
        <f t="shared" si="134"/>
        <v>120</v>
      </c>
      <c r="J721" s="3">
        <f t="shared" si="135"/>
        <v>55150</v>
      </c>
      <c r="K721">
        <f t="shared" si="136"/>
        <v>0</v>
      </c>
      <c r="L721" s="4">
        <f t="shared" si="142"/>
        <v>23450</v>
      </c>
      <c r="M721">
        <f t="shared" si="139"/>
        <v>120</v>
      </c>
      <c r="N721" s="5">
        <f t="shared" si="143"/>
        <v>78600</v>
      </c>
      <c r="AF721" s="1">
        <v>45646</v>
      </c>
      <c r="AG721">
        <f t="shared" si="140"/>
        <v>120</v>
      </c>
    </row>
    <row r="722" spans="1:33" x14ac:dyDescent="0.25">
      <c r="A722" s="1">
        <v>45647</v>
      </c>
      <c r="B722" t="s">
        <v>5</v>
      </c>
      <c r="C722">
        <f t="shared" si="137"/>
        <v>0.4</v>
      </c>
      <c r="D722">
        <f t="shared" si="138"/>
        <v>6</v>
      </c>
      <c r="F722">
        <f t="shared" si="141"/>
        <v>55150</v>
      </c>
      <c r="G722">
        <f t="shared" si="132"/>
        <v>55150</v>
      </c>
      <c r="H722">
        <f t="shared" si="133"/>
        <v>4</v>
      </c>
      <c r="I722">
        <f t="shared" si="134"/>
        <v>120</v>
      </c>
      <c r="J722" s="3">
        <f t="shared" si="135"/>
        <v>55150</v>
      </c>
      <c r="K722">
        <f t="shared" si="136"/>
        <v>0</v>
      </c>
      <c r="L722" s="4">
        <f t="shared" si="142"/>
        <v>23450</v>
      </c>
      <c r="M722">
        <f t="shared" si="139"/>
        <v>0</v>
      </c>
      <c r="N722" s="5">
        <f t="shared" si="143"/>
        <v>78600</v>
      </c>
      <c r="AF722" s="1">
        <v>45647</v>
      </c>
      <c r="AG722">
        <f t="shared" si="140"/>
        <v>0</v>
      </c>
    </row>
    <row r="723" spans="1:33" x14ac:dyDescent="0.25">
      <c r="A723" s="1">
        <v>45648</v>
      </c>
      <c r="B723" t="s">
        <v>5</v>
      </c>
      <c r="C723">
        <f t="shared" si="137"/>
        <v>0.4</v>
      </c>
      <c r="D723">
        <f t="shared" si="138"/>
        <v>7</v>
      </c>
      <c r="F723">
        <f t="shared" si="141"/>
        <v>55150</v>
      </c>
      <c r="G723">
        <f t="shared" si="132"/>
        <v>55000</v>
      </c>
      <c r="H723">
        <f t="shared" si="133"/>
        <v>4</v>
      </c>
      <c r="I723">
        <f t="shared" si="134"/>
        <v>120</v>
      </c>
      <c r="J723" s="3">
        <f t="shared" si="135"/>
        <v>55000</v>
      </c>
      <c r="K723">
        <f t="shared" si="136"/>
        <v>150</v>
      </c>
      <c r="L723" s="4">
        <f t="shared" si="142"/>
        <v>23600</v>
      </c>
      <c r="M723">
        <f t="shared" si="139"/>
        <v>0</v>
      </c>
      <c r="N723" s="5">
        <f t="shared" si="143"/>
        <v>78600</v>
      </c>
      <c r="AF723" s="1">
        <v>45648</v>
      </c>
      <c r="AG723">
        <f t="shared" si="140"/>
        <v>-150</v>
      </c>
    </row>
    <row r="724" spans="1:33" x14ac:dyDescent="0.25">
      <c r="A724" s="1">
        <v>45649</v>
      </c>
      <c r="B724" t="s">
        <v>5</v>
      </c>
      <c r="C724">
        <f t="shared" si="137"/>
        <v>0.4</v>
      </c>
      <c r="D724">
        <f t="shared" si="138"/>
        <v>1</v>
      </c>
      <c r="F724">
        <f t="shared" si="141"/>
        <v>55000</v>
      </c>
      <c r="G724">
        <f t="shared" si="132"/>
        <v>55000</v>
      </c>
      <c r="H724">
        <f t="shared" si="133"/>
        <v>4</v>
      </c>
      <c r="I724">
        <f t="shared" si="134"/>
        <v>120</v>
      </c>
      <c r="J724" s="3">
        <f t="shared" si="135"/>
        <v>55120</v>
      </c>
      <c r="K724">
        <f t="shared" si="136"/>
        <v>0</v>
      </c>
      <c r="L724" s="4">
        <f t="shared" si="142"/>
        <v>23600</v>
      </c>
      <c r="M724">
        <f t="shared" si="139"/>
        <v>120</v>
      </c>
      <c r="N724" s="5">
        <f t="shared" si="143"/>
        <v>78720</v>
      </c>
      <c r="AF724" s="1">
        <v>45649</v>
      </c>
      <c r="AG724">
        <f t="shared" si="140"/>
        <v>120</v>
      </c>
    </row>
    <row r="725" spans="1:33" x14ac:dyDescent="0.25">
      <c r="A725" s="1">
        <v>45650</v>
      </c>
      <c r="B725" t="s">
        <v>5</v>
      </c>
      <c r="C725">
        <f t="shared" si="137"/>
        <v>0.4</v>
      </c>
      <c r="D725">
        <f t="shared" si="138"/>
        <v>2</v>
      </c>
      <c r="F725">
        <f t="shared" si="141"/>
        <v>55120</v>
      </c>
      <c r="G725">
        <f t="shared" si="132"/>
        <v>55120</v>
      </c>
      <c r="H725">
        <f t="shared" si="133"/>
        <v>4</v>
      </c>
      <c r="I725">
        <f t="shared" si="134"/>
        <v>120</v>
      </c>
      <c r="J725" s="3">
        <f t="shared" si="135"/>
        <v>55240</v>
      </c>
      <c r="K725">
        <f t="shared" si="136"/>
        <v>0</v>
      </c>
      <c r="L725" s="4">
        <f t="shared" si="142"/>
        <v>23600</v>
      </c>
      <c r="M725">
        <f t="shared" si="139"/>
        <v>120</v>
      </c>
      <c r="N725" s="5">
        <f t="shared" si="143"/>
        <v>78840</v>
      </c>
      <c r="AF725" s="1">
        <v>45650</v>
      </c>
      <c r="AG725">
        <f t="shared" si="140"/>
        <v>120</v>
      </c>
    </row>
    <row r="726" spans="1:33" x14ac:dyDescent="0.25">
      <c r="A726" s="1">
        <v>45651</v>
      </c>
      <c r="B726" t="s">
        <v>5</v>
      </c>
      <c r="C726">
        <f t="shared" si="137"/>
        <v>0.4</v>
      </c>
      <c r="D726">
        <f t="shared" si="138"/>
        <v>3</v>
      </c>
      <c r="F726">
        <f t="shared" si="141"/>
        <v>55240</v>
      </c>
      <c r="G726">
        <f t="shared" si="132"/>
        <v>55240</v>
      </c>
      <c r="H726">
        <f t="shared" si="133"/>
        <v>4</v>
      </c>
      <c r="I726">
        <f t="shared" si="134"/>
        <v>120</v>
      </c>
      <c r="J726" s="3">
        <f t="shared" si="135"/>
        <v>55360</v>
      </c>
      <c r="K726">
        <f t="shared" si="136"/>
        <v>0</v>
      </c>
      <c r="L726" s="4">
        <f t="shared" si="142"/>
        <v>23600</v>
      </c>
      <c r="M726">
        <f t="shared" si="139"/>
        <v>120</v>
      </c>
      <c r="N726" s="5">
        <f t="shared" si="143"/>
        <v>78960</v>
      </c>
      <c r="AF726" s="1">
        <v>45651</v>
      </c>
      <c r="AG726">
        <f t="shared" si="140"/>
        <v>120</v>
      </c>
    </row>
    <row r="727" spans="1:33" x14ac:dyDescent="0.25">
      <c r="A727" s="1">
        <v>45652</v>
      </c>
      <c r="B727" t="s">
        <v>5</v>
      </c>
      <c r="C727">
        <f t="shared" si="137"/>
        <v>0.4</v>
      </c>
      <c r="D727">
        <f t="shared" si="138"/>
        <v>4</v>
      </c>
      <c r="F727">
        <f t="shared" si="141"/>
        <v>55360</v>
      </c>
      <c r="G727">
        <f t="shared" si="132"/>
        <v>55360</v>
      </c>
      <c r="H727">
        <f t="shared" si="133"/>
        <v>4</v>
      </c>
      <c r="I727">
        <f t="shared" si="134"/>
        <v>120</v>
      </c>
      <c r="J727" s="3">
        <f t="shared" si="135"/>
        <v>55480</v>
      </c>
      <c r="K727">
        <f t="shared" si="136"/>
        <v>0</v>
      </c>
      <c r="L727" s="4">
        <f t="shared" si="142"/>
        <v>23600</v>
      </c>
      <c r="M727">
        <f t="shared" si="139"/>
        <v>120</v>
      </c>
      <c r="N727" s="5">
        <f t="shared" si="143"/>
        <v>79080</v>
      </c>
      <c r="AF727" s="1">
        <v>45652</v>
      </c>
      <c r="AG727">
        <f t="shared" si="140"/>
        <v>120</v>
      </c>
    </row>
    <row r="728" spans="1:33" x14ac:dyDescent="0.25">
      <c r="A728" s="1">
        <v>45653</v>
      </c>
      <c r="B728" t="s">
        <v>5</v>
      </c>
      <c r="C728">
        <f t="shared" si="137"/>
        <v>0.4</v>
      </c>
      <c r="D728">
        <f t="shared" si="138"/>
        <v>5</v>
      </c>
      <c r="F728">
        <f t="shared" si="141"/>
        <v>55480</v>
      </c>
      <c r="G728">
        <f t="shared" si="132"/>
        <v>55480</v>
      </c>
      <c r="H728">
        <f t="shared" si="133"/>
        <v>4</v>
      </c>
      <c r="I728">
        <f t="shared" si="134"/>
        <v>120</v>
      </c>
      <c r="J728" s="3">
        <f t="shared" si="135"/>
        <v>55600</v>
      </c>
      <c r="K728">
        <f t="shared" si="136"/>
        <v>0</v>
      </c>
      <c r="L728" s="4">
        <f t="shared" si="142"/>
        <v>23600</v>
      </c>
      <c r="M728">
        <f t="shared" si="139"/>
        <v>120</v>
      </c>
      <c r="N728" s="5">
        <f t="shared" si="143"/>
        <v>79200</v>
      </c>
      <c r="AF728" s="1">
        <v>45653</v>
      </c>
      <c r="AG728">
        <f t="shared" si="140"/>
        <v>120</v>
      </c>
    </row>
    <row r="729" spans="1:33" x14ac:dyDescent="0.25">
      <c r="A729" s="1">
        <v>45654</v>
      </c>
      <c r="B729" t="s">
        <v>5</v>
      </c>
      <c r="C729">
        <f t="shared" si="137"/>
        <v>0.4</v>
      </c>
      <c r="D729">
        <f t="shared" si="138"/>
        <v>6</v>
      </c>
      <c r="F729">
        <f t="shared" si="141"/>
        <v>55600</v>
      </c>
      <c r="G729">
        <f t="shared" si="132"/>
        <v>55600</v>
      </c>
      <c r="H729">
        <f t="shared" si="133"/>
        <v>4</v>
      </c>
      <c r="I729">
        <f t="shared" si="134"/>
        <v>120</v>
      </c>
      <c r="J729" s="3">
        <f t="shared" si="135"/>
        <v>55600</v>
      </c>
      <c r="K729">
        <f t="shared" si="136"/>
        <v>0</v>
      </c>
      <c r="L729" s="4">
        <f t="shared" si="142"/>
        <v>23600</v>
      </c>
      <c r="M729">
        <f t="shared" si="139"/>
        <v>0</v>
      </c>
      <c r="N729" s="5">
        <f t="shared" si="143"/>
        <v>79200</v>
      </c>
      <c r="AF729" s="1">
        <v>45654</v>
      </c>
      <c r="AG729">
        <f t="shared" si="140"/>
        <v>0</v>
      </c>
    </row>
    <row r="730" spans="1:33" x14ac:dyDescent="0.25">
      <c r="A730" s="1">
        <v>45655</v>
      </c>
      <c r="B730" t="s">
        <v>5</v>
      </c>
      <c r="C730">
        <f t="shared" si="137"/>
        <v>0.4</v>
      </c>
      <c r="D730">
        <f t="shared" si="138"/>
        <v>7</v>
      </c>
      <c r="F730">
        <f t="shared" si="141"/>
        <v>55600</v>
      </c>
      <c r="G730">
        <f t="shared" si="132"/>
        <v>55450</v>
      </c>
      <c r="H730">
        <f t="shared" si="133"/>
        <v>4</v>
      </c>
      <c r="I730">
        <f t="shared" si="134"/>
        <v>120</v>
      </c>
      <c r="J730" s="3">
        <f t="shared" si="135"/>
        <v>55450</v>
      </c>
      <c r="K730">
        <f t="shared" si="136"/>
        <v>150</v>
      </c>
      <c r="L730" s="4">
        <f t="shared" si="142"/>
        <v>23750</v>
      </c>
      <c r="M730">
        <f t="shared" si="139"/>
        <v>0</v>
      </c>
      <c r="N730" s="5">
        <f t="shared" si="143"/>
        <v>79200</v>
      </c>
      <c r="AF730" s="1">
        <v>45655</v>
      </c>
      <c r="AG730">
        <f t="shared" si="140"/>
        <v>-150</v>
      </c>
    </row>
    <row r="731" spans="1:33" x14ac:dyDescent="0.25">
      <c r="A731" s="1">
        <v>45656</v>
      </c>
      <c r="B731" t="s">
        <v>5</v>
      </c>
      <c r="C731">
        <f t="shared" si="137"/>
        <v>0.4</v>
      </c>
      <c r="D731">
        <f t="shared" si="138"/>
        <v>1</v>
      </c>
      <c r="F731">
        <f t="shared" si="141"/>
        <v>55450</v>
      </c>
      <c r="G731">
        <f t="shared" si="132"/>
        <v>55450</v>
      </c>
      <c r="H731">
        <f t="shared" si="133"/>
        <v>4</v>
      </c>
      <c r="I731">
        <f t="shared" si="134"/>
        <v>120</v>
      </c>
      <c r="J731" s="3">
        <f t="shared" si="135"/>
        <v>55570</v>
      </c>
      <c r="K731">
        <f t="shared" si="136"/>
        <v>0</v>
      </c>
      <c r="L731" s="4">
        <f t="shared" si="142"/>
        <v>23750</v>
      </c>
      <c r="M731">
        <f t="shared" si="139"/>
        <v>120</v>
      </c>
      <c r="N731" s="5">
        <f t="shared" si="143"/>
        <v>79320</v>
      </c>
      <c r="AF731" s="1">
        <v>45656</v>
      </c>
      <c r="AG731">
        <f t="shared" si="140"/>
        <v>120</v>
      </c>
    </row>
    <row r="732" spans="1:33" x14ac:dyDescent="0.25">
      <c r="A732" s="1">
        <v>45657</v>
      </c>
      <c r="B732" t="s">
        <v>5</v>
      </c>
      <c r="C732">
        <f t="shared" si="137"/>
        <v>0.4</v>
      </c>
      <c r="D732">
        <f t="shared" si="138"/>
        <v>2</v>
      </c>
      <c r="F732">
        <f t="shared" si="141"/>
        <v>55570</v>
      </c>
      <c r="G732">
        <f t="shared" si="132"/>
        <v>55570</v>
      </c>
      <c r="H732">
        <f t="shared" si="133"/>
        <v>4</v>
      </c>
      <c r="I732">
        <f t="shared" si="134"/>
        <v>120</v>
      </c>
      <c r="J732" s="3">
        <f t="shared" si="135"/>
        <v>55690</v>
      </c>
      <c r="K732">
        <f t="shared" si="136"/>
        <v>0</v>
      </c>
      <c r="L732" s="4">
        <f t="shared" si="142"/>
        <v>23750</v>
      </c>
      <c r="M732">
        <f t="shared" si="139"/>
        <v>120</v>
      </c>
      <c r="N732" s="5">
        <f t="shared" si="143"/>
        <v>79440</v>
      </c>
      <c r="AF732" s="1">
        <v>45657</v>
      </c>
      <c r="AG732">
        <f t="shared" si="140"/>
        <v>120</v>
      </c>
    </row>
  </sheetData>
  <phoneticPr fontId="3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E71D-C59A-4D86-AA8A-7744520E9319}">
  <dimension ref="A1:R732"/>
  <sheetViews>
    <sheetView tabSelected="1" zoomScaleNormal="100" workbookViewId="0">
      <selection activeCell="Q12" sqref="Q12"/>
    </sheetView>
  </sheetViews>
  <sheetFormatPr defaultRowHeight="15" x14ac:dyDescent="0.25"/>
  <cols>
    <col min="1" max="1" width="10.85546875" bestFit="1" customWidth="1"/>
    <col min="4" max="4" width="20.85546875" bestFit="1" customWidth="1"/>
    <col min="5" max="5" width="20.85546875" customWidth="1"/>
    <col min="6" max="6" width="14.28515625" bestFit="1" customWidth="1"/>
    <col min="7" max="8" width="14.28515625" customWidth="1"/>
    <col min="9" max="9" width="6.7109375" bestFit="1" customWidth="1"/>
    <col min="10" max="10" width="13.5703125" bestFit="1" customWidth="1"/>
    <col min="11" max="12" width="14.42578125" bestFit="1" customWidth="1"/>
  </cols>
  <sheetData>
    <row r="1" spans="1:18" x14ac:dyDescent="0.25">
      <c r="A1" t="s">
        <v>0</v>
      </c>
      <c r="B1" t="s">
        <v>1</v>
      </c>
      <c r="C1" t="s">
        <v>19</v>
      </c>
      <c r="D1" t="s">
        <v>6</v>
      </c>
      <c r="E1" t="s">
        <v>11</v>
      </c>
      <c r="F1" t="s">
        <v>10</v>
      </c>
      <c r="G1" t="s">
        <v>48</v>
      </c>
      <c r="H1" t="s">
        <v>49</v>
      </c>
      <c r="I1" t="s">
        <v>8</v>
      </c>
      <c r="J1" t="s">
        <v>46</v>
      </c>
      <c r="K1" t="s">
        <v>47</v>
      </c>
      <c r="L1" t="s">
        <v>19</v>
      </c>
      <c r="M1" t="s">
        <v>44</v>
      </c>
      <c r="N1" t="s">
        <v>45</v>
      </c>
    </row>
    <row r="2" spans="1:18" x14ac:dyDescent="0.25">
      <c r="A2" s="1">
        <v>44927</v>
      </c>
      <c r="B2" t="s">
        <v>2</v>
      </c>
      <c r="C2">
        <f>-8000</f>
        <v>-8000</v>
      </c>
      <c r="D2">
        <f>IF(B2="zima",20%,IF(B2="wiosna",50%,IF(B2="lato",90%,40%)))</f>
        <v>0.2</v>
      </c>
      <c r="E2">
        <v>10</v>
      </c>
      <c r="F2">
        <f>WEEKDAY(A2,2)</f>
        <v>7</v>
      </c>
      <c r="G2">
        <f>IF(AND(F2&lt;&gt;6,F2&lt;&gt;7),1,0)</f>
        <v>0</v>
      </c>
      <c r="H2">
        <f>ROUNDDOWN(D2*E2,0)*30*G2</f>
        <v>0</v>
      </c>
      <c r="I2">
        <f>IF(F2=7,E2*15,0)</f>
        <v>150</v>
      </c>
      <c r="J2">
        <f>IF(AND(DAY(A3)=1,C2&gt;=2400),2400,0)</f>
        <v>0</v>
      </c>
      <c r="K2">
        <f>IF(J2&gt;0,E2+3,E2)</f>
        <v>10</v>
      </c>
      <c r="L2">
        <f>C2+H2-I2-J2</f>
        <v>-8150</v>
      </c>
      <c r="M2">
        <f>H2</f>
        <v>0</v>
      </c>
      <c r="N2">
        <f>8150</f>
        <v>8150</v>
      </c>
    </row>
    <row r="3" spans="1:18" x14ac:dyDescent="0.25">
      <c r="A3" s="1">
        <v>44928</v>
      </c>
      <c r="B3" t="s">
        <v>2</v>
      </c>
      <c r="C3">
        <f>L2</f>
        <v>-8150</v>
      </c>
      <c r="D3">
        <f>IF(B3="zima",20%,IF(B3="wiosna",50%,IF(B3="lato",90%,40%)))</f>
        <v>0.2</v>
      </c>
      <c r="E3">
        <f>K2</f>
        <v>10</v>
      </c>
      <c r="F3">
        <f>WEEKDAY(A3,2)</f>
        <v>1</v>
      </c>
      <c r="G3">
        <f t="shared" ref="G3:G66" si="0">IF(AND(F3&lt;&gt;6,F3&lt;&gt;7),1,0)</f>
        <v>1</v>
      </c>
      <c r="H3">
        <f t="shared" ref="H3:H66" si="1">ROUNDDOWN(D3*E3,0)*30*G3</f>
        <v>60</v>
      </c>
      <c r="I3">
        <f t="shared" ref="I3:I66" si="2">IF(F3=7,E3*15,0)</f>
        <v>0</v>
      </c>
      <c r="J3">
        <f>IF(AND(DAY(A4)=1,C3&gt;=2400),2400,0)</f>
        <v>0</v>
      </c>
      <c r="K3">
        <f t="shared" ref="K3:K66" si="3">IF(J3&gt;0,E3+3,E3)</f>
        <v>10</v>
      </c>
      <c r="L3">
        <f t="shared" ref="L3:L66" si="4">C3+H3-I3-J3</f>
        <v>-8090</v>
      </c>
      <c r="M3">
        <f t="shared" ref="M3:M66" si="5">H3</f>
        <v>60</v>
      </c>
      <c r="N3">
        <f>J3+I3</f>
        <v>0</v>
      </c>
      <c r="Q3" s="3" t="s">
        <v>44</v>
      </c>
      <c r="R3" s="3">
        <f>SUM(M2:M732)</f>
        <v>249630</v>
      </c>
    </row>
    <row r="4" spans="1:18" x14ac:dyDescent="0.25">
      <c r="A4" s="1">
        <v>44929</v>
      </c>
      <c r="B4" t="s">
        <v>2</v>
      </c>
      <c r="C4">
        <f t="shared" ref="C4:C67" si="6">L3</f>
        <v>-8090</v>
      </c>
      <c r="D4">
        <f>IF(B4="zima",20%,IF(B4="wiosna",50%,IF(B4="lato",90%,40%)))</f>
        <v>0.2</v>
      </c>
      <c r="E4">
        <f t="shared" ref="E4:E67" si="7">K3</f>
        <v>10</v>
      </c>
      <c r="F4">
        <f>WEEKDAY(A4,2)</f>
        <v>2</v>
      </c>
      <c r="G4">
        <f t="shared" si="0"/>
        <v>1</v>
      </c>
      <c r="H4">
        <f t="shared" si="1"/>
        <v>60</v>
      </c>
      <c r="I4">
        <f t="shared" si="2"/>
        <v>0</v>
      </c>
      <c r="J4">
        <f t="shared" ref="J4:J67" si="8">IF(AND(DAY(A5)=1,C4&gt;=2400),2400,0)</f>
        <v>0</v>
      </c>
      <c r="K4">
        <f t="shared" si="3"/>
        <v>10</v>
      </c>
      <c r="L4">
        <f t="shared" si="4"/>
        <v>-8030</v>
      </c>
      <c r="M4">
        <f t="shared" si="5"/>
        <v>60</v>
      </c>
      <c r="N4">
        <f t="shared" ref="N4:N67" si="9">J4+I4</f>
        <v>0</v>
      </c>
      <c r="Q4" s="3" t="s">
        <v>45</v>
      </c>
      <c r="R4" s="3">
        <f>SUM(N2:N732)</f>
        <v>100655</v>
      </c>
    </row>
    <row r="5" spans="1:18" x14ac:dyDescent="0.25">
      <c r="A5" s="1">
        <v>44930</v>
      </c>
      <c r="B5" t="s">
        <v>2</v>
      </c>
      <c r="C5">
        <f t="shared" si="6"/>
        <v>-8030</v>
      </c>
      <c r="D5">
        <f>IF(B5="zima",20%,IF(B5="wiosna",50%,IF(B5="lato",90%,40%)))</f>
        <v>0.2</v>
      </c>
      <c r="E5">
        <f t="shared" si="7"/>
        <v>10</v>
      </c>
      <c r="F5">
        <f>WEEKDAY(A5,2)</f>
        <v>3</v>
      </c>
      <c r="G5">
        <f t="shared" si="0"/>
        <v>1</v>
      </c>
      <c r="H5">
        <f t="shared" si="1"/>
        <v>60</v>
      </c>
      <c r="I5">
        <f t="shared" si="2"/>
        <v>0</v>
      </c>
      <c r="J5">
        <f t="shared" si="8"/>
        <v>0</v>
      </c>
      <c r="K5">
        <f t="shared" si="3"/>
        <v>10</v>
      </c>
      <c r="L5">
        <f t="shared" si="4"/>
        <v>-7970</v>
      </c>
      <c r="M5">
        <f t="shared" si="5"/>
        <v>60</v>
      </c>
      <c r="N5">
        <f t="shared" si="9"/>
        <v>0</v>
      </c>
    </row>
    <row r="6" spans="1:18" x14ac:dyDescent="0.25">
      <c r="A6" s="1">
        <v>44931</v>
      </c>
      <c r="B6" t="s">
        <v>2</v>
      </c>
      <c r="C6">
        <f t="shared" si="6"/>
        <v>-7970</v>
      </c>
      <c r="D6">
        <f>IF(B6="zima",20%,IF(B6="wiosna",50%,IF(B6="lato",90%,40%)))</f>
        <v>0.2</v>
      </c>
      <c r="E6">
        <f t="shared" si="7"/>
        <v>10</v>
      </c>
      <c r="F6">
        <f>WEEKDAY(A6,2)</f>
        <v>4</v>
      </c>
      <c r="G6">
        <f t="shared" si="0"/>
        <v>1</v>
      </c>
      <c r="H6">
        <f t="shared" si="1"/>
        <v>60</v>
      </c>
      <c r="I6">
        <f t="shared" si="2"/>
        <v>0</v>
      </c>
      <c r="J6">
        <f t="shared" si="8"/>
        <v>0</v>
      </c>
      <c r="K6">
        <f t="shared" si="3"/>
        <v>10</v>
      </c>
      <c r="L6">
        <f t="shared" si="4"/>
        <v>-7910</v>
      </c>
      <c r="M6">
        <f t="shared" si="5"/>
        <v>60</v>
      </c>
      <c r="N6">
        <f t="shared" si="9"/>
        <v>0</v>
      </c>
    </row>
    <row r="7" spans="1:18" x14ac:dyDescent="0.25">
      <c r="A7" s="1">
        <v>44932</v>
      </c>
      <c r="B7" t="s">
        <v>2</v>
      </c>
      <c r="C7">
        <f t="shared" si="6"/>
        <v>-7910</v>
      </c>
      <c r="D7">
        <f>IF(B7="zima",20%,IF(B7="wiosna",50%,IF(B7="lato",90%,40%)))</f>
        <v>0.2</v>
      </c>
      <c r="E7">
        <f t="shared" si="7"/>
        <v>10</v>
      </c>
      <c r="F7">
        <f>WEEKDAY(A7,2)</f>
        <v>5</v>
      </c>
      <c r="G7">
        <f t="shared" si="0"/>
        <v>1</v>
      </c>
      <c r="H7">
        <f t="shared" si="1"/>
        <v>60</v>
      </c>
      <c r="I7">
        <f t="shared" si="2"/>
        <v>0</v>
      </c>
      <c r="J7">
        <f t="shared" si="8"/>
        <v>0</v>
      </c>
      <c r="K7">
        <f t="shared" si="3"/>
        <v>10</v>
      </c>
      <c r="L7">
        <f t="shared" si="4"/>
        <v>-7850</v>
      </c>
      <c r="M7">
        <f t="shared" si="5"/>
        <v>60</v>
      </c>
      <c r="N7">
        <f t="shared" si="9"/>
        <v>0</v>
      </c>
    </row>
    <row r="8" spans="1:18" x14ac:dyDescent="0.25">
      <c r="A8" s="1">
        <v>44933</v>
      </c>
      <c r="B8" t="s">
        <v>2</v>
      </c>
      <c r="C8">
        <f t="shared" si="6"/>
        <v>-7850</v>
      </c>
      <c r="D8">
        <f>IF(B8="zima",20%,IF(B8="wiosna",50%,IF(B8="lato",90%,40%)))</f>
        <v>0.2</v>
      </c>
      <c r="E8">
        <f t="shared" si="7"/>
        <v>10</v>
      </c>
      <c r="F8">
        <f>WEEKDAY(A8,2)</f>
        <v>6</v>
      </c>
      <c r="G8">
        <f t="shared" si="0"/>
        <v>0</v>
      </c>
      <c r="H8">
        <f t="shared" si="1"/>
        <v>0</v>
      </c>
      <c r="I8">
        <f t="shared" si="2"/>
        <v>0</v>
      </c>
      <c r="J8">
        <f t="shared" si="8"/>
        <v>0</v>
      </c>
      <c r="K8">
        <f t="shared" si="3"/>
        <v>10</v>
      </c>
      <c r="L8">
        <f t="shared" si="4"/>
        <v>-7850</v>
      </c>
      <c r="M8">
        <f t="shared" si="5"/>
        <v>0</v>
      </c>
      <c r="N8">
        <f t="shared" si="9"/>
        <v>0</v>
      </c>
    </row>
    <row r="9" spans="1:18" x14ac:dyDescent="0.25">
      <c r="A9" s="1">
        <v>44934</v>
      </c>
      <c r="B9" t="s">
        <v>2</v>
      </c>
      <c r="C9">
        <f t="shared" si="6"/>
        <v>-7850</v>
      </c>
      <c r="D9">
        <f>IF(B9="zima",20%,IF(B9="wiosna",50%,IF(B9="lato",90%,40%)))</f>
        <v>0.2</v>
      </c>
      <c r="E9">
        <f t="shared" si="7"/>
        <v>10</v>
      </c>
      <c r="F9">
        <f>WEEKDAY(A9,2)</f>
        <v>7</v>
      </c>
      <c r="G9">
        <f t="shared" si="0"/>
        <v>0</v>
      </c>
      <c r="H9">
        <f t="shared" si="1"/>
        <v>0</v>
      </c>
      <c r="I9">
        <f t="shared" si="2"/>
        <v>150</v>
      </c>
      <c r="J9">
        <f t="shared" si="8"/>
        <v>0</v>
      </c>
      <c r="K9">
        <f t="shared" si="3"/>
        <v>10</v>
      </c>
      <c r="L9">
        <f t="shared" si="4"/>
        <v>-8000</v>
      </c>
      <c r="M9">
        <f t="shared" si="5"/>
        <v>0</v>
      </c>
      <c r="N9">
        <f t="shared" si="9"/>
        <v>150</v>
      </c>
    </row>
    <row r="10" spans="1:18" x14ac:dyDescent="0.25">
      <c r="A10" s="1">
        <v>44935</v>
      </c>
      <c r="B10" t="s">
        <v>2</v>
      </c>
      <c r="C10">
        <f t="shared" si="6"/>
        <v>-8000</v>
      </c>
      <c r="D10">
        <f>IF(B10="zima",20%,IF(B10="wiosna",50%,IF(B10="lato",90%,40%)))</f>
        <v>0.2</v>
      </c>
      <c r="E10">
        <f t="shared" si="7"/>
        <v>10</v>
      </c>
      <c r="F10">
        <f>WEEKDAY(A10,2)</f>
        <v>1</v>
      </c>
      <c r="G10">
        <f t="shared" si="0"/>
        <v>1</v>
      </c>
      <c r="H10">
        <f t="shared" si="1"/>
        <v>60</v>
      </c>
      <c r="I10">
        <f t="shared" si="2"/>
        <v>0</v>
      </c>
      <c r="J10">
        <f t="shared" si="8"/>
        <v>0</v>
      </c>
      <c r="K10">
        <f t="shared" si="3"/>
        <v>10</v>
      </c>
      <c r="L10">
        <f t="shared" si="4"/>
        <v>-7940</v>
      </c>
      <c r="M10">
        <f t="shared" si="5"/>
        <v>60</v>
      </c>
      <c r="N10">
        <f t="shared" si="9"/>
        <v>0</v>
      </c>
    </row>
    <row r="11" spans="1:18" x14ac:dyDescent="0.25">
      <c r="A11" s="1">
        <v>44936</v>
      </c>
      <c r="B11" t="s">
        <v>2</v>
      </c>
      <c r="C11">
        <f t="shared" si="6"/>
        <v>-7940</v>
      </c>
      <c r="D11">
        <f>IF(B11="zima",20%,IF(B11="wiosna",50%,IF(B11="lato",90%,40%)))</f>
        <v>0.2</v>
      </c>
      <c r="E11">
        <f t="shared" si="7"/>
        <v>10</v>
      </c>
      <c r="F11">
        <f>WEEKDAY(A11,2)</f>
        <v>2</v>
      </c>
      <c r="G11">
        <f t="shared" si="0"/>
        <v>1</v>
      </c>
      <c r="H11">
        <f t="shared" si="1"/>
        <v>60</v>
      </c>
      <c r="I11">
        <f t="shared" si="2"/>
        <v>0</v>
      </c>
      <c r="J11">
        <f t="shared" si="8"/>
        <v>0</v>
      </c>
      <c r="K11">
        <f t="shared" si="3"/>
        <v>10</v>
      </c>
      <c r="L11">
        <f t="shared" si="4"/>
        <v>-7880</v>
      </c>
      <c r="M11">
        <f t="shared" si="5"/>
        <v>60</v>
      </c>
      <c r="N11">
        <f t="shared" si="9"/>
        <v>0</v>
      </c>
    </row>
    <row r="12" spans="1:18" x14ac:dyDescent="0.25">
      <c r="A12" s="1">
        <v>44937</v>
      </c>
      <c r="B12" t="s">
        <v>2</v>
      </c>
      <c r="C12">
        <f t="shared" si="6"/>
        <v>-7880</v>
      </c>
      <c r="D12">
        <f>IF(B12="zima",20%,IF(B12="wiosna",50%,IF(B12="lato",90%,40%)))</f>
        <v>0.2</v>
      </c>
      <c r="E12">
        <f t="shared" si="7"/>
        <v>10</v>
      </c>
      <c r="F12">
        <f>WEEKDAY(A12,2)</f>
        <v>3</v>
      </c>
      <c r="G12">
        <f t="shared" si="0"/>
        <v>1</v>
      </c>
      <c r="H12">
        <f t="shared" si="1"/>
        <v>60</v>
      </c>
      <c r="I12">
        <f t="shared" si="2"/>
        <v>0</v>
      </c>
      <c r="J12">
        <f t="shared" si="8"/>
        <v>0</v>
      </c>
      <c r="K12">
        <f t="shared" si="3"/>
        <v>10</v>
      </c>
      <c r="L12">
        <f t="shared" si="4"/>
        <v>-7820</v>
      </c>
      <c r="M12">
        <f t="shared" si="5"/>
        <v>60</v>
      </c>
      <c r="N12">
        <f t="shared" si="9"/>
        <v>0</v>
      </c>
    </row>
    <row r="13" spans="1:18" x14ac:dyDescent="0.25">
      <c r="A13" s="1">
        <v>44938</v>
      </c>
      <c r="B13" t="s">
        <v>2</v>
      </c>
      <c r="C13">
        <f t="shared" si="6"/>
        <v>-7820</v>
      </c>
      <c r="D13">
        <f>IF(B13="zima",20%,IF(B13="wiosna",50%,IF(B13="lato",90%,40%)))</f>
        <v>0.2</v>
      </c>
      <c r="E13">
        <f t="shared" si="7"/>
        <v>10</v>
      </c>
      <c r="F13">
        <f>WEEKDAY(A13,2)</f>
        <v>4</v>
      </c>
      <c r="G13">
        <f t="shared" si="0"/>
        <v>1</v>
      </c>
      <c r="H13">
        <f t="shared" si="1"/>
        <v>60</v>
      </c>
      <c r="I13">
        <f t="shared" si="2"/>
        <v>0</v>
      </c>
      <c r="J13">
        <f t="shared" si="8"/>
        <v>0</v>
      </c>
      <c r="K13">
        <f t="shared" si="3"/>
        <v>10</v>
      </c>
      <c r="L13">
        <f t="shared" si="4"/>
        <v>-7760</v>
      </c>
      <c r="M13">
        <f t="shared" si="5"/>
        <v>60</v>
      </c>
      <c r="N13">
        <f t="shared" si="9"/>
        <v>0</v>
      </c>
    </row>
    <row r="14" spans="1:18" x14ac:dyDescent="0.25">
      <c r="A14" s="1">
        <v>44939</v>
      </c>
      <c r="B14" t="s">
        <v>2</v>
      </c>
      <c r="C14">
        <f t="shared" si="6"/>
        <v>-7760</v>
      </c>
      <c r="D14">
        <f>IF(B14="zima",20%,IF(B14="wiosna",50%,IF(B14="lato",90%,40%)))</f>
        <v>0.2</v>
      </c>
      <c r="E14">
        <f t="shared" si="7"/>
        <v>10</v>
      </c>
      <c r="F14">
        <f>WEEKDAY(A14,2)</f>
        <v>5</v>
      </c>
      <c r="G14">
        <f t="shared" si="0"/>
        <v>1</v>
      </c>
      <c r="H14">
        <f t="shared" si="1"/>
        <v>60</v>
      </c>
      <c r="I14">
        <f t="shared" si="2"/>
        <v>0</v>
      </c>
      <c r="J14">
        <f t="shared" si="8"/>
        <v>0</v>
      </c>
      <c r="K14">
        <f t="shared" si="3"/>
        <v>10</v>
      </c>
      <c r="L14">
        <f t="shared" si="4"/>
        <v>-7700</v>
      </c>
      <c r="M14">
        <f t="shared" si="5"/>
        <v>60</v>
      </c>
      <c r="N14">
        <f t="shared" si="9"/>
        <v>0</v>
      </c>
    </row>
    <row r="15" spans="1:18" x14ac:dyDescent="0.25">
      <c r="A15" s="1">
        <v>44940</v>
      </c>
      <c r="B15" t="s">
        <v>2</v>
      </c>
      <c r="C15">
        <f t="shared" si="6"/>
        <v>-7700</v>
      </c>
      <c r="D15">
        <f>IF(B15="zima",20%,IF(B15="wiosna",50%,IF(B15="lato",90%,40%)))</f>
        <v>0.2</v>
      </c>
      <c r="E15">
        <f t="shared" si="7"/>
        <v>10</v>
      </c>
      <c r="F15">
        <f>WEEKDAY(A15,2)</f>
        <v>6</v>
      </c>
      <c r="G15">
        <f t="shared" si="0"/>
        <v>0</v>
      </c>
      <c r="H15">
        <f t="shared" si="1"/>
        <v>0</v>
      </c>
      <c r="I15">
        <f t="shared" si="2"/>
        <v>0</v>
      </c>
      <c r="J15">
        <f t="shared" si="8"/>
        <v>0</v>
      </c>
      <c r="K15">
        <f t="shared" si="3"/>
        <v>10</v>
      </c>
      <c r="L15">
        <f t="shared" si="4"/>
        <v>-7700</v>
      </c>
      <c r="M15">
        <f t="shared" si="5"/>
        <v>0</v>
      </c>
      <c r="N15">
        <f t="shared" si="9"/>
        <v>0</v>
      </c>
    </row>
    <row r="16" spans="1:18" x14ac:dyDescent="0.25">
      <c r="A16" s="1">
        <v>44941</v>
      </c>
      <c r="B16" t="s">
        <v>2</v>
      </c>
      <c r="C16">
        <f t="shared" si="6"/>
        <v>-7700</v>
      </c>
      <c r="D16">
        <f>IF(B16="zima",20%,IF(B16="wiosna",50%,IF(B16="lato",90%,40%)))</f>
        <v>0.2</v>
      </c>
      <c r="E16">
        <f t="shared" si="7"/>
        <v>10</v>
      </c>
      <c r="F16">
        <f>WEEKDAY(A16,2)</f>
        <v>7</v>
      </c>
      <c r="G16">
        <f t="shared" si="0"/>
        <v>0</v>
      </c>
      <c r="H16">
        <f t="shared" si="1"/>
        <v>0</v>
      </c>
      <c r="I16">
        <f t="shared" si="2"/>
        <v>150</v>
      </c>
      <c r="J16">
        <f t="shared" si="8"/>
        <v>0</v>
      </c>
      <c r="K16">
        <f t="shared" si="3"/>
        <v>10</v>
      </c>
      <c r="L16">
        <f t="shared" si="4"/>
        <v>-7850</v>
      </c>
      <c r="M16">
        <f t="shared" si="5"/>
        <v>0</v>
      </c>
      <c r="N16">
        <f t="shared" si="9"/>
        <v>150</v>
      </c>
    </row>
    <row r="17" spans="1:14" x14ac:dyDescent="0.25">
      <c r="A17" s="1">
        <v>44942</v>
      </c>
      <c r="B17" t="s">
        <v>2</v>
      </c>
      <c r="C17">
        <f t="shared" si="6"/>
        <v>-7850</v>
      </c>
      <c r="D17">
        <f>IF(B17="zima",20%,IF(B17="wiosna",50%,IF(B17="lato",90%,40%)))</f>
        <v>0.2</v>
      </c>
      <c r="E17">
        <f t="shared" si="7"/>
        <v>10</v>
      </c>
      <c r="F17">
        <f>WEEKDAY(A17,2)</f>
        <v>1</v>
      </c>
      <c r="G17">
        <f t="shared" si="0"/>
        <v>1</v>
      </c>
      <c r="H17">
        <f t="shared" si="1"/>
        <v>60</v>
      </c>
      <c r="I17">
        <f t="shared" si="2"/>
        <v>0</v>
      </c>
      <c r="J17">
        <f t="shared" si="8"/>
        <v>0</v>
      </c>
      <c r="K17">
        <f t="shared" si="3"/>
        <v>10</v>
      </c>
      <c r="L17">
        <f t="shared" si="4"/>
        <v>-7790</v>
      </c>
      <c r="M17">
        <f t="shared" si="5"/>
        <v>60</v>
      </c>
      <c r="N17">
        <f t="shared" si="9"/>
        <v>0</v>
      </c>
    </row>
    <row r="18" spans="1:14" x14ac:dyDescent="0.25">
      <c r="A18" s="1">
        <v>44943</v>
      </c>
      <c r="B18" t="s">
        <v>2</v>
      </c>
      <c r="C18">
        <f t="shared" si="6"/>
        <v>-7790</v>
      </c>
      <c r="D18">
        <f>IF(B18="zima",20%,IF(B18="wiosna",50%,IF(B18="lato",90%,40%)))</f>
        <v>0.2</v>
      </c>
      <c r="E18">
        <f t="shared" si="7"/>
        <v>10</v>
      </c>
      <c r="F18">
        <f>WEEKDAY(A18,2)</f>
        <v>2</v>
      </c>
      <c r="G18">
        <f t="shared" si="0"/>
        <v>1</v>
      </c>
      <c r="H18">
        <f t="shared" si="1"/>
        <v>60</v>
      </c>
      <c r="I18">
        <f t="shared" si="2"/>
        <v>0</v>
      </c>
      <c r="J18">
        <f t="shared" si="8"/>
        <v>0</v>
      </c>
      <c r="K18">
        <f t="shared" si="3"/>
        <v>10</v>
      </c>
      <c r="L18">
        <f t="shared" si="4"/>
        <v>-7730</v>
      </c>
      <c r="M18">
        <f t="shared" si="5"/>
        <v>60</v>
      </c>
      <c r="N18">
        <f t="shared" si="9"/>
        <v>0</v>
      </c>
    </row>
    <row r="19" spans="1:14" x14ac:dyDescent="0.25">
      <c r="A19" s="1">
        <v>44944</v>
      </c>
      <c r="B19" t="s">
        <v>2</v>
      </c>
      <c r="C19">
        <f t="shared" si="6"/>
        <v>-7730</v>
      </c>
      <c r="D19">
        <f>IF(B19="zima",20%,IF(B19="wiosna",50%,IF(B19="lato",90%,40%)))</f>
        <v>0.2</v>
      </c>
      <c r="E19">
        <f t="shared" si="7"/>
        <v>10</v>
      </c>
      <c r="F19">
        <f>WEEKDAY(A19,2)</f>
        <v>3</v>
      </c>
      <c r="G19">
        <f t="shared" si="0"/>
        <v>1</v>
      </c>
      <c r="H19">
        <f t="shared" si="1"/>
        <v>60</v>
      </c>
      <c r="I19">
        <f t="shared" si="2"/>
        <v>0</v>
      </c>
      <c r="J19">
        <f t="shared" si="8"/>
        <v>0</v>
      </c>
      <c r="K19">
        <f t="shared" si="3"/>
        <v>10</v>
      </c>
      <c r="L19">
        <f t="shared" si="4"/>
        <v>-7670</v>
      </c>
      <c r="M19">
        <f t="shared" si="5"/>
        <v>60</v>
      </c>
      <c r="N19">
        <f t="shared" si="9"/>
        <v>0</v>
      </c>
    </row>
    <row r="20" spans="1:14" x14ac:dyDescent="0.25">
      <c r="A20" s="1">
        <v>44945</v>
      </c>
      <c r="B20" t="s">
        <v>2</v>
      </c>
      <c r="C20">
        <f t="shared" si="6"/>
        <v>-7670</v>
      </c>
      <c r="D20">
        <f>IF(B20="zima",20%,IF(B20="wiosna",50%,IF(B20="lato",90%,40%)))</f>
        <v>0.2</v>
      </c>
      <c r="E20">
        <f t="shared" si="7"/>
        <v>10</v>
      </c>
      <c r="F20">
        <f>WEEKDAY(A20,2)</f>
        <v>4</v>
      </c>
      <c r="G20">
        <f t="shared" si="0"/>
        <v>1</v>
      </c>
      <c r="H20">
        <f t="shared" si="1"/>
        <v>60</v>
      </c>
      <c r="I20">
        <f t="shared" si="2"/>
        <v>0</v>
      </c>
      <c r="J20">
        <f t="shared" si="8"/>
        <v>0</v>
      </c>
      <c r="K20">
        <f t="shared" si="3"/>
        <v>10</v>
      </c>
      <c r="L20">
        <f t="shared" si="4"/>
        <v>-7610</v>
      </c>
      <c r="M20">
        <f t="shared" si="5"/>
        <v>60</v>
      </c>
      <c r="N20">
        <f t="shared" si="9"/>
        <v>0</v>
      </c>
    </row>
    <row r="21" spans="1:14" x14ac:dyDescent="0.25">
      <c r="A21" s="1">
        <v>44946</v>
      </c>
      <c r="B21" t="s">
        <v>2</v>
      </c>
      <c r="C21">
        <f t="shared" si="6"/>
        <v>-7610</v>
      </c>
      <c r="D21">
        <f>IF(B21="zima",20%,IF(B21="wiosna",50%,IF(B21="lato",90%,40%)))</f>
        <v>0.2</v>
      </c>
      <c r="E21">
        <f t="shared" si="7"/>
        <v>10</v>
      </c>
      <c r="F21">
        <f>WEEKDAY(A21,2)</f>
        <v>5</v>
      </c>
      <c r="G21">
        <f t="shared" si="0"/>
        <v>1</v>
      </c>
      <c r="H21">
        <f t="shared" si="1"/>
        <v>60</v>
      </c>
      <c r="I21">
        <f t="shared" si="2"/>
        <v>0</v>
      </c>
      <c r="J21">
        <f t="shared" si="8"/>
        <v>0</v>
      </c>
      <c r="K21">
        <f t="shared" si="3"/>
        <v>10</v>
      </c>
      <c r="L21">
        <f t="shared" si="4"/>
        <v>-7550</v>
      </c>
      <c r="M21">
        <f t="shared" si="5"/>
        <v>60</v>
      </c>
      <c r="N21">
        <f t="shared" si="9"/>
        <v>0</v>
      </c>
    </row>
    <row r="22" spans="1:14" x14ac:dyDescent="0.25">
      <c r="A22" s="1">
        <v>44947</v>
      </c>
      <c r="B22" t="s">
        <v>2</v>
      </c>
      <c r="C22">
        <f t="shared" si="6"/>
        <v>-7550</v>
      </c>
      <c r="D22">
        <f>IF(B22="zima",20%,IF(B22="wiosna",50%,IF(B22="lato",90%,40%)))</f>
        <v>0.2</v>
      </c>
      <c r="E22">
        <f t="shared" si="7"/>
        <v>10</v>
      </c>
      <c r="F22">
        <f>WEEKDAY(A22,2)</f>
        <v>6</v>
      </c>
      <c r="G22">
        <f t="shared" si="0"/>
        <v>0</v>
      </c>
      <c r="H22">
        <f t="shared" si="1"/>
        <v>0</v>
      </c>
      <c r="I22">
        <f t="shared" si="2"/>
        <v>0</v>
      </c>
      <c r="J22">
        <f t="shared" si="8"/>
        <v>0</v>
      </c>
      <c r="K22">
        <f t="shared" si="3"/>
        <v>10</v>
      </c>
      <c r="L22">
        <f t="shared" si="4"/>
        <v>-7550</v>
      </c>
      <c r="M22">
        <f t="shared" si="5"/>
        <v>0</v>
      </c>
      <c r="N22">
        <f t="shared" si="9"/>
        <v>0</v>
      </c>
    </row>
    <row r="23" spans="1:14" x14ac:dyDescent="0.25">
      <c r="A23" s="1">
        <v>44948</v>
      </c>
      <c r="B23" t="s">
        <v>2</v>
      </c>
      <c r="C23">
        <f t="shared" si="6"/>
        <v>-7550</v>
      </c>
      <c r="D23">
        <f>IF(B23="zima",20%,IF(B23="wiosna",50%,IF(B23="lato",90%,40%)))</f>
        <v>0.2</v>
      </c>
      <c r="E23">
        <f t="shared" si="7"/>
        <v>10</v>
      </c>
      <c r="F23">
        <f>WEEKDAY(A23,2)</f>
        <v>7</v>
      </c>
      <c r="G23">
        <f t="shared" si="0"/>
        <v>0</v>
      </c>
      <c r="H23">
        <f t="shared" si="1"/>
        <v>0</v>
      </c>
      <c r="I23">
        <f t="shared" si="2"/>
        <v>150</v>
      </c>
      <c r="J23">
        <f t="shared" si="8"/>
        <v>0</v>
      </c>
      <c r="K23">
        <f t="shared" si="3"/>
        <v>10</v>
      </c>
      <c r="L23">
        <f t="shared" si="4"/>
        <v>-7700</v>
      </c>
      <c r="M23">
        <f t="shared" si="5"/>
        <v>0</v>
      </c>
      <c r="N23">
        <f t="shared" si="9"/>
        <v>150</v>
      </c>
    </row>
    <row r="24" spans="1:14" x14ac:dyDescent="0.25">
      <c r="A24" s="1">
        <v>44949</v>
      </c>
      <c r="B24" t="s">
        <v>2</v>
      </c>
      <c r="C24">
        <f t="shared" si="6"/>
        <v>-7700</v>
      </c>
      <c r="D24">
        <f>IF(B24="zima",20%,IF(B24="wiosna",50%,IF(B24="lato",90%,40%)))</f>
        <v>0.2</v>
      </c>
      <c r="E24">
        <f t="shared" si="7"/>
        <v>10</v>
      </c>
      <c r="F24">
        <f>WEEKDAY(A24,2)</f>
        <v>1</v>
      </c>
      <c r="G24">
        <f t="shared" si="0"/>
        <v>1</v>
      </c>
      <c r="H24">
        <f t="shared" si="1"/>
        <v>60</v>
      </c>
      <c r="I24">
        <f t="shared" si="2"/>
        <v>0</v>
      </c>
      <c r="J24">
        <f t="shared" si="8"/>
        <v>0</v>
      </c>
      <c r="K24">
        <f t="shared" si="3"/>
        <v>10</v>
      </c>
      <c r="L24">
        <f t="shared" si="4"/>
        <v>-7640</v>
      </c>
      <c r="M24">
        <f t="shared" si="5"/>
        <v>60</v>
      </c>
      <c r="N24">
        <f t="shared" si="9"/>
        <v>0</v>
      </c>
    </row>
    <row r="25" spans="1:14" x14ac:dyDescent="0.25">
      <c r="A25" s="1">
        <v>44950</v>
      </c>
      <c r="B25" t="s">
        <v>2</v>
      </c>
      <c r="C25">
        <f t="shared" si="6"/>
        <v>-7640</v>
      </c>
      <c r="D25">
        <f>IF(B25="zima",20%,IF(B25="wiosna",50%,IF(B25="lato",90%,40%)))</f>
        <v>0.2</v>
      </c>
      <c r="E25">
        <f t="shared" si="7"/>
        <v>10</v>
      </c>
      <c r="F25">
        <f>WEEKDAY(A25,2)</f>
        <v>2</v>
      </c>
      <c r="G25">
        <f t="shared" si="0"/>
        <v>1</v>
      </c>
      <c r="H25">
        <f t="shared" si="1"/>
        <v>60</v>
      </c>
      <c r="I25">
        <f t="shared" si="2"/>
        <v>0</v>
      </c>
      <c r="J25">
        <f t="shared" si="8"/>
        <v>0</v>
      </c>
      <c r="K25">
        <f t="shared" si="3"/>
        <v>10</v>
      </c>
      <c r="L25">
        <f t="shared" si="4"/>
        <v>-7580</v>
      </c>
      <c r="M25">
        <f t="shared" si="5"/>
        <v>60</v>
      </c>
      <c r="N25">
        <f t="shared" si="9"/>
        <v>0</v>
      </c>
    </row>
    <row r="26" spans="1:14" x14ac:dyDescent="0.25">
      <c r="A26" s="1">
        <v>44951</v>
      </c>
      <c r="B26" t="s">
        <v>2</v>
      </c>
      <c r="C26">
        <f t="shared" si="6"/>
        <v>-7580</v>
      </c>
      <c r="D26">
        <f>IF(B26="zima",20%,IF(B26="wiosna",50%,IF(B26="lato",90%,40%)))</f>
        <v>0.2</v>
      </c>
      <c r="E26">
        <f t="shared" si="7"/>
        <v>10</v>
      </c>
      <c r="F26">
        <f>WEEKDAY(A26,2)</f>
        <v>3</v>
      </c>
      <c r="G26">
        <f t="shared" si="0"/>
        <v>1</v>
      </c>
      <c r="H26">
        <f t="shared" si="1"/>
        <v>60</v>
      </c>
      <c r="I26">
        <f t="shared" si="2"/>
        <v>0</v>
      </c>
      <c r="J26">
        <f t="shared" si="8"/>
        <v>0</v>
      </c>
      <c r="K26">
        <f t="shared" si="3"/>
        <v>10</v>
      </c>
      <c r="L26">
        <f t="shared" si="4"/>
        <v>-7520</v>
      </c>
      <c r="M26">
        <f t="shared" si="5"/>
        <v>60</v>
      </c>
      <c r="N26">
        <f t="shared" si="9"/>
        <v>0</v>
      </c>
    </row>
    <row r="27" spans="1:14" x14ac:dyDescent="0.25">
      <c r="A27" s="1">
        <v>44952</v>
      </c>
      <c r="B27" t="s">
        <v>2</v>
      </c>
      <c r="C27">
        <f t="shared" si="6"/>
        <v>-7520</v>
      </c>
      <c r="D27">
        <f>IF(B27="zima",20%,IF(B27="wiosna",50%,IF(B27="lato",90%,40%)))</f>
        <v>0.2</v>
      </c>
      <c r="E27">
        <f t="shared" si="7"/>
        <v>10</v>
      </c>
      <c r="F27">
        <f>WEEKDAY(A27,2)</f>
        <v>4</v>
      </c>
      <c r="G27">
        <f t="shared" si="0"/>
        <v>1</v>
      </c>
      <c r="H27">
        <f t="shared" si="1"/>
        <v>60</v>
      </c>
      <c r="I27">
        <f t="shared" si="2"/>
        <v>0</v>
      </c>
      <c r="J27">
        <f t="shared" si="8"/>
        <v>0</v>
      </c>
      <c r="K27">
        <f t="shared" si="3"/>
        <v>10</v>
      </c>
      <c r="L27">
        <f t="shared" si="4"/>
        <v>-7460</v>
      </c>
      <c r="M27">
        <f t="shared" si="5"/>
        <v>60</v>
      </c>
      <c r="N27">
        <f t="shared" si="9"/>
        <v>0</v>
      </c>
    </row>
    <row r="28" spans="1:14" x14ac:dyDescent="0.25">
      <c r="A28" s="1">
        <v>44953</v>
      </c>
      <c r="B28" t="s">
        <v>2</v>
      </c>
      <c r="C28">
        <f t="shared" si="6"/>
        <v>-7460</v>
      </c>
      <c r="D28">
        <f>IF(B28="zima",20%,IF(B28="wiosna",50%,IF(B28="lato",90%,40%)))</f>
        <v>0.2</v>
      </c>
      <c r="E28">
        <f t="shared" si="7"/>
        <v>10</v>
      </c>
      <c r="F28">
        <f>WEEKDAY(A28,2)</f>
        <v>5</v>
      </c>
      <c r="G28">
        <f t="shared" si="0"/>
        <v>1</v>
      </c>
      <c r="H28">
        <f t="shared" si="1"/>
        <v>60</v>
      </c>
      <c r="I28">
        <f t="shared" si="2"/>
        <v>0</v>
      </c>
      <c r="J28">
        <f t="shared" si="8"/>
        <v>0</v>
      </c>
      <c r="K28">
        <f t="shared" si="3"/>
        <v>10</v>
      </c>
      <c r="L28">
        <f t="shared" si="4"/>
        <v>-7400</v>
      </c>
      <c r="M28">
        <f t="shared" si="5"/>
        <v>60</v>
      </c>
      <c r="N28">
        <f t="shared" si="9"/>
        <v>0</v>
      </c>
    </row>
    <row r="29" spans="1:14" x14ac:dyDescent="0.25">
      <c r="A29" s="1">
        <v>44954</v>
      </c>
      <c r="B29" t="s">
        <v>2</v>
      </c>
      <c r="C29">
        <f t="shared" si="6"/>
        <v>-7400</v>
      </c>
      <c r="D29">
        <f>IF(B29="zima",20%,IF(B29="wiosna",50%,IF(B29="lato",90%,40%)))</f>
        <v>0.2</v>
      </c>
      <c r="E29">
        <f t="shared" si="7"/>
        <v>10</v>
      </c>
      <c r="F29">
        <f>WEEKDAY(A29,2)</f>
        <v>6</v>
      </c>
      <c r="G29">
        <f t="shared" si="0"/>
        <v>0</v>
      </c>
      <c r="H29">
        <f t="shared" si="1"/>
        <v>0</v>
      </c>
      <c r="I29">
        <f t="shared" si="2"/>
        <v>0</v>
      </c>
      <c r="J29">
        <f t="shared" si="8"/>
        <v>0</v>
      </c>
      <c r="K29">
        <f t="shared" si="3"/>
        <v>10</v>
      </c>
      <c r="L29">
        <f t="shared" si="4"/>
        <v>-7400</v>
      </c>
      <c r="M29">
        <f t="shared" si="5"/>
        <v>0</v>
      </c>
      <c r="N29">
        <f t="shared" si="9"/>
        <v>0</v>
      </c>
    </row>
    <row r="30" spans="1:14" x14ac:dyDescent="0.25">
      <c r="A30" s="1">
        <v>44955</v>
      </c>
      <c r="B30" t="s">
        <v>2</v>
      </c>
      <c r="C30">
        <f t="shared" si="6"/>
        <v>-7400</v>
      </c>
      <c r="D30">
        <f>IF(B30="zima",20%,IF(B30="wiosna",50%,IF(B30="lato",90%,40%)))</f>
        <v>0.2</v>
      </c>
      <c r="E30">
        <f t="shared" si="7"/>
        <v>10</v>
      </c>
      <c r="F30">
        <f>WEEKDAY(A30,2)</f>
        <v>7</v>
      </c>
      <c r="G30">
        <f t="shared" si="0"/>
        <v>0</v>
      </c>
      <c r="H30">
        <f t="shared" si="1"/>
        <v>0</v>
      </c>
      <c r="I30">
        <f t="shared" si="2"/>
        <v>150</v>
      </c>
      <c r="J30">
        <f t="shared" si="8"/>
        <v>0</v>
      </c>
      <c r="K30">
        <f t="shared" si="3"/>
        <v>10</v>
      </c>
      <c r="L30">
        <f t="shared" si="4"/>
        <v>-7550</v>
      </c>
      <c r="M30">
        <f t="shared" si="5"/>
        <v>0</v>
      </c>
      <c r="N30">
        <f t="shared" si="9"/>
        <v>150</v>
      </c>
    </row>
    <row r="31" spans="1:14" x14ac:dyDescent="0.25">
      <c r="A31" s="1">
        <v>44956</v>
      </c>
      <c r="B31" t="s">
        <v>2</v>
      </c>
      <c r="C31">
        <f t="shared" si="6"/>
        <v>-7550</v>
      </c>
      <c r="D31">
        <f>IF(B31="zima",20%,IF(B31="wiosna",50%,IF(B31="lato",90%,40%)))</f>
        <v>0.2</v>
      </c>
      <c r="E31">
        <f t="shared" si="7"/>
        <v>10</v>
      </c>
      <c r="F31">
        <f>WEEKDAY(A31,2)</f>
        <v>1</v>
      </c>
      <c r="G31">
        <f t="shared" si="0"/>
        <v>1</v>
      </c>
      <c r="H31">
        <f t="shared" si="1"/>
        <v>60</v>
      </c>
      <c r="I31">
        <f t="shared" si="2"/>
        <v>0</v>
      </c>
      <c r="J31">
        <f t="shared" si="8"/>
        <v>0</v>
      </c>
      <c r="K31">
        <f t="shared" si="3"/>
        <v>10</v>
      </c>
      <c r="L31">
        <f t="shared" si="4"/>
        <v>-7490</v>
      </c>
      <c r="M31">
        <f t="shared" si="5"/>
        <v>60</v>
      </c>
      <c r="N31">
        <f t="shared" si="9"/>
        <v>0</v>
      </c>
    </row>
    <row r="32" spans="1:14" x14ac:dyDescent="0.25">
      <c r="A32" s="1">
        <v>44957</v>
      </c>
      <c r="B32" t="s">
        <v>2</v>
      </c>
      <c r="C32">
        <f t="shared" si="6"/>
        <v>-7490</v>
      </c>
      <c r="D32">
        <f>IF(B32="zima",20%,IF(B32="wiosna",50%,IF(B32="lato",90%,40%)))</f>
        <v>0.2</v>
      </c>
      <c r="E32">
        <f t="shared" si="7"/>
        <v>10</v>
      </c>
      <c r="F32">
        <f>WEEKDAY(A32,2)</f>
        <v>2</v>
      </c>
      <c r="G32">
        <f t="shared" si="0"/>
        <v>1</v>
      </c>
      <c r="H32">
        <f t="shared" si="1"/>
        <v>60</v>
      </c>
      <c r="I32">
        <f t="shared" si="2"/>
        <v>0</v>
      </c>
      <c r="J32">
        <f t="shared" si="8"/>
        <v>0</v>
      </c>
      <c r="K32">
        <f t="shared" si="3"/>
        <v>10</v>
      </c>
      <c r="L32">
        <f t="shared" si="4"/>
        <v>-7430</v>
      </c>
      <c r="M32">
        <f t="shared" si="5"/>
        <v>60</v>
      </c>
      <c r="N32">
        <f t="shared" si="9"/>
        <v>0</v>
      </c>
    </row>
    <row r="33" spans="1:14" x14ac:dyDescent="0.25">
      <c r="A33" s="1">
        <v>44958</v>
      </c>
      <c r="B33" t="s">
        <v>2</v>
      </c>
      <c r="C33">
        <f t="shared" si="6"/>
        <v>-7430</v>
      </c>
      <c r="D33">
        <f>IF(B33="zima",20%,IF(B33="wiosna",50%,IF(B33="lato",90%,40%)))</f>
        <v>0.2</v>
      </c>
      <c r="E33">
        <f t="shared" si="7"/>
        <v>10</v>
      </c>
      <c r="F33">
        <f>WEEKDAY(A33,2)</f>
        <v>3</v>
      </c>
      <c r="G33">
        <f t="shared" si="0"/>
        <v>1</v>
      </c>
      <c r="H33">
        <f t="shared" si="1"/>
        <v>60</v>
      </c>
      <c r="I33">
        <f t="shared" si="2"/>
        <v>0</v>
      </c>
      <c r="J33">
        <f t="shared" si="8"/>
        <v>0</v>
      </c>
      <c r="K33">
        <f t="shared" si="3"/>
        <v>10</v>
      </c>
      <c r="L33">
        <f t="shared" si="4"/>
        <v>-7370</v>
      </c>
      <c r="M33">
        <f t="shared" si="5"/>
        <v>60</v>
      </c>
      <c r="N33">
        <f t="shared" si="9"/>
        <v>0</v>
      </c>
    </row>
    <row r="34" spans="1:14" x14ac:dyDescent="0.25">
      <c r="A34" s="1">
        <v>44959</v>
      </c>
      <c r="B34" t="s">
        <v>2</v>
      </c>
      <c r="C34">
        <f t="shared" si="6"/>
        <v>-7370</v>
      </c>
      <c r="D34">
        <f>IF(B34="zima",20%,IF(B34="wiosna",50%,IF(B34="lato",90%,40%)))</f>
        <v>0.2</v>
      </c>
      <c r="E34">
        <f t="shared" si="7"/>
        <v>10</v>
      </c>
      <c r="F34">
        <f>WEEKDAY(A34,2)</f>
        <v>4</v>
      </c>
      <c r="G34">
        <f t="shared" si="0"/>
        <v>1</v>
      </c>
      <c r="H34">
        <f t="shared" si="1"/>
        <v>60</v>
      </c>
      <c r="I34">
        <f t="shared" si="2"/>
        <v>0</v>
      </c>
      <c r="J34">
        <f t="shared" si="8"/>
        <v>0</v>
      </c>
      <c r="K34">
        <f t="shared" si="3"/>
        <v>10</v>
      </c>
      <c r="L34">
        <f t="shared" si="4"/>
        <v>-7310</v>
      </c>
      <c r="M34">
        <f t="shared" si="5"/>
        <v>60</v>
      </c>
      <c r="N34">
        <f t="shared" si="9"/>
        <v>0</v>
      </c>
    </row>
    <row r="35" spans="1:14" x14ac:dyDescent="0.25">
      <c r="A35" s="1">
        <v>44960</v>
      </c>
      <c r="B35" t="s">
        <v>2</v>
      </c>
      <c r="C35">
        <f t="shared" si="6"/>
        <v>-7310</v>
      </c>
      <c r="D35">
        <f>IF(B35="zima",20%,IF(B35="wiosna",50%,IF(B35="lato",90%,40%)))</f>
        <v>0.2</v>
      </c>
      <c r="E35">
        <f t="shared" si="7"/>
        <v>10</v>
      </c>
      <c r="F35">
        <f>WEEKDAY(A35,2)</f>
        <v>5</v>
      </c>
      <c r="G35">
        <f t="shared" si="0"/>
        <v>1</v>
      </c>
      <c r="H35">
        <f t="shared" si="1"/>
        <v>60</v>
      </c>
      <c r="I35">
        <f t="shared" si="2"/>
        <v>0</v>
      </c>
      <c r="J35">
        <f t="shared" si="8"/>
        <v>0</v>
      </c>
      <c r="K35">
        <f t="shared" si="3"/>
        <v>10</v>
      </c>
      <c r="L35">
        <f t="shared" si="4"/>
        <v>-7250</v>
      </c>
      <c r="M35">
        <f t="shared" si="5"/>
        <v>60</v>
      </c>
      <c r="N35">
        <f t="shared" si="9"/>
        <v>0</v>
      </c>
    </row>
    <row r="36" spans="1:14" x14ac:dyDescent="0.25">
      <c r="A36" s="1">
        <v>44961</v>
      </c>
      <c r="B36" t="s">
        <v>2</v>
      </c>
      <c r="C36">
        <f t="shared" si="6"/>
        <v>-7250</v>
      </c>
      <c r="D36">
        <f>IF(B36="zima",20%,IF(B36="wiosna",50%,IF(B36="lato",90%,40%)))</f>
        <v>0.2</v>
      </c>
      <c r="E36">
        <f t="shared" si="7"/>
        <v>10</v>
      </c>
      <c r="F36">
        <f>WEEKDAY(A36,2)</f>
        <v>6</v>
      </c>
      <c r="G36">
        <f t="shared" si="0"/>
        <v>0</v>
      </c>
      <c r="H36">
        <f t="shared" si="1"/>
        <v>0</v>
      </c>
      <c r="I36">
        <f t="shared" si="2"/>
        <v>0</v>
      </c>
      <c r="J36">
        <f t="shared" si="8"/>
        <v>0</v>
      </c>
      <c r="K36">
        <f t="shared" si="3"/>
        <v>10</v>
      </c>
      <c r="L36">
        <f t="shared" si="4"/>
        <v>-7250</v>
      </c>
      <c r="M36">
        <f t="shared" si="5"/>
        <v>0</v>
      </c>
      <c r="N36">
        <f t="shared" si="9"/>
        <v>0</v>
      </c>
    </row>
    <row r="37" spans="1:14" x14ac:dyDescent="0.25">
      <c r="A37" s="1">
        <v>44962</v>
      </c>
      <c r="B37" t="s">
        <v>2</v>
      </c>
      <c r="C37">
        <f t="shared" si="6"/>
        <v>-7250</v>
      </c>
      <c r="D37">
        <f>IF(B37="zima",20%,IF(B37="wiosna",50%,IF(B37="lato",90%,40%)))</f>
        <v>0.2</v>
      </c>
      <c r="E37">
        <f t="shared" si="7"/>
        <v>10</v>
      </c>
      <c r="F37">
        <f>WEEKDAY(A37,2)</f>
        <v>7</v>
      </c>
      <c r="G37">
        <f t="shared" si="0"/>
        <v>0</v>
      </c>
      <c r="H37">
        <f t="shared" si="1"/>
        <v>0</v>
      </c>
      <c r="I37">
        <f t="shared" si="2"/>
        <v>150</v>
      </c>
      <c r="J37">
        <f t="shared" si="8"/>
        <v>0</v>
      </c>
      <c r="K37">
        <f t="shared" si="3"/>
        <v>10</v>
      </c>
      <c r="L37">
        <f t="shared" si="4"/>
        <v>-7400</v>
      </c>
      <c r="M37">
        <f t="shared" si="5"/>
        <v>0</v>
      </c>
      <c r="N37">
        <f t="shared" si="9"/>
        <v>150</v>
      </c>
    </row>
    <row r="38" spans="1:14" x14ac:dyDescent="0.25">
      <c r="A38" s="1">
        <v>44963</v>
      </c>
      <c r="B38" t="s">
        <v>2</v>
      </c>
      <c r="C38">
        <f t="shared" si="6"/>
        <v>-7400</v>
      </c>
      <c r="D38">
        <f>IF(B38="zima",20%,IF(B38="wiosna",50%,IF(B38="lato",90%,40%)))</f>
        <v>0.2</v>
      </c>
      <c r="E38">
        <f t="shared" si="7"/>
        <v>10</v>
      </c>
      <c r="F38">
        <f>WEEKDAY(A38,2)</f>
        <v>1</v>
      </c>
      <c r="G38">
        <f t="shared" si="0"/>
        <v>1</v>
      </c>
      <c r="H38">
        <f t="shared" si="1"/>
        <v>60</v>
      </c>
      <c r="I38">
        <f t="shared" si="2"/>
        <v>0</v>
      </c>
      <c r="J38">
        <f t="shared" si="8"/>
        <v>0</v>
      </c>
      <c r="K38">
        <f t="shared" si="3"/>
        <v>10</v>
      </c>
      <c r="L38">
        <f t="shared" si="4"/>
        <v>-7340</v>
      </c>
      <c r="M38">
        <f t="shared" si="5"/>
        <v>60</v>
      </c>
      <c r="N38">
        <f t="shared" si="9"/>
        <v>0</v>
      </c>
    </row>
    <row r="39" spans="1:14" x14ac:dyDescent="0.25">
      <c r="A39" s="1">
        <v>44964</v>
      </c>
      <c r="B39" t="s">
        <v>2</v>
      </c>
      <c r="C39">
        <f t="shared" si="6"/>
        <v>-7340</v>
      </c>
      <c r="D39">
        <f>IF(B39="zima",20%,IF(B39="wiosna",50%,IF(B39="lato",90%,40%)))</f>
        <v>0.2</v>
      </c>
      <c r="E39">
        <f t="shared" si="7"/>
        <v>10</v>
      </c>
      <c r="F39">
        <f>WEEKDAY(A39,2)</f>
        <v>2</v>
      </c>
      <c r="G39">
        <f t="shared" si="0"/>
        <v>1</v>
      </c>
      <c r="H39">
        <f t="shared" si="1"/>
        <v>60</v>
      </c>
      <c r="I39">
        <f t="shared" si="2"/>
        <v>0</v>
      </c>
      <c r="J39">
        <f t="shared" si="8"/>
        <v>0</v>
      </c>
      <c r="K39">
        <f t="shared" si="3"/>
        <v>10</v>
      </c>
      <c r="L39">
        <f t="shared" si="4"/>
        <v>-7280</v>
      </c>
      <c r="M39">
        <f t="shared" si="5"/>
        <v>60</v>
      </c>
      <c r="N39">
        <f t="shared" si="9"/>
        <v>0</v>
      </c>
    </row>
    <row r="40" spans="1:14" x14ac:dyDescent="0.25">
      <c r="A40" s="1">
        <v>44965</v>
      </c>
      <c r="B40" t="s">
        <v>2</v>
      </c>
      <c r="C40">
        <f t="shared" si="6"/>
        <v>-7280</v>
      </c>
      <c r="D40">
        <f>IF(B40="zima",20%,IF(B40="wiosna",50%,IF(B40="lato",90%,40%)))</f>
        <v>0.2</v>
      </c>
      <c r="E40">
        <f t="shared" si="7"/>
        <v>10</v>
      </c>
      <c r="F40">
        <f>WEEKDAY(A40,2)</f>
        <v>3</v>
      </c>
      <c r="G40">
        <f t="shared" si="0"/>
        <v>1</v>
      </c>
      <c r="H40">
        <f t="shared" si="1"/>
        <v>60</v>
      </c>
      <c r="I40">
        <f t="shared" si="2"/>
        <v>0</v>
      </c>
      <c r="J40">
        <f t="shared" si="8"/>
        <v>0</v>
      </c>
      <c r="K40">
        <f t="shared" si="3"/>
        <v>10</v>
      </c>
      <c r="L40">
        <f t="shared" si="4"/>
        <v>-7220</v>
      </c>
      <c r="M40">
        <f t="shared" si="5"/>
        <v>60</v>
      </c>
      <c r="N40">
        <f t="shared" si="9"/>
        <v>0</v>
      </c>
    </row>
    <row r="41" spans="1:14" x14ac:dyDescent="0.25">
      <c r="A41" s="1">
        <v>44966</v>
      </c>
      <c r="B41" t="s">
        <v>2</v>
      </c>
      <c r="C41">
        <f t="shared" si="6"/>
        <v>-7220</v>
      </c>
      <c r="D41">
        <f>IF(B41="zima",20%,IF(B41="wiosna",50%,IF(B41="lato",90%,40%)))</f>
        <v>0.2</v>
      </c>
      <c r="E41">
        <f t="shared" si="7"/>
        <v>10</v>
      </c>
      <c r="F41">
        <f>WEEKDAY(A41,2)</f>
        <v>4</v>
      </c>
      <c r="G41">
        <f t="shared" si="0"/>
        <v>1</v>
      </c>
      <c r="H41">
        <f t="shared" si="1"/>
        <v>60</v>
      </c>
      <c r="I41">
        <f t="shared" si="2"/>
        <v>0</v>
      </c>
      <c r="J41">
        <f t="shared" si="8"/>
        <v>0</v>
      </c>
      <c r="K41">
        <f t="shared" si="3"/>
        <v>10</v>
      </c>
      <c r="L41">
        <f t="shared" si="4"/>
        <v>-7160</v>
      </c>
      <c r="M41">
        <f t="shared" si="5"/>
        <v>60</v>
      </c>
      <c r="N41">
        <f t="shared" si="9"/>
        <v>0</v>
      </c>
    </row>
    <row r="42" spans="1:14" x14ac:dyDescent="0.25">
      <c r="A42" s="1">
        <v>44967</v>
      </c>
      <c r="B42" t="s">
        <v>2</v>
      </c>
      <c r="C42">
        <f t="shared" si="6"/>
        <v>-7160</v>
      </c>
      <c r="D42">
        <f>IF(B42="zima",20%,IF(B42="wiosna",50%,IF(B42="lato",90%,40%)))</f>
        <v>0.2</v>
      </c>
      <c r="E42">
        <f t="shared" si="7"/>
        <v>10</v>
      </c>
      <c r="F42">
        <f>WEEKDAY(A42,2)</f>
        <v>5</v>
      </c>
      <c r="G42">
        <f t="shared" si="0"/>
        <v>1</v>
      </c>
      <c r="H42">
        <f t="shared" si="1"/>
        <v>60</v>
      </c>
      <c r="I42">
        <f t="shared" si="2"/>
        <v>0</v>
      </c>
      <c r="J42">
        <f t="shared" si="8"/>
        <v>0</v>
      </c>
      <c r="K42">
        <f t="shared" si="3"/>
        <v>10</v>
      </c>
      <c r="L42">
        <f t="shared" si="4"/>
        <v>-7100</v>
      </c>
      <c r="M42">
        <f t="shared" si="5"/>
        <v>60</v>
      </c>
      <c r="N42">
        <f t="shared" si="9"/>
        <v>0</v>
      </c>
    </row>
    <row r="43" spans="1:14" x14ac:dyDescent="0.25">
      <c r="A43" s="1">
        <v>44968</v>
      </c>
      <c r="B43" t="s">
        <v>2</v>
      </c>
      <c r="C43">
        <f t="shared" si="6"/>
        <v>-7100</v>
      </c>
      <c r="D43">
        <f>IF(B43="zima",20%,IF(B43="wiosna",50%,IF(B43="lato",90%,40%)))</f>
        <v>0.2</v>
      </c>
      <c r="E43">
        <f t="shared" si="7"/>
        <v>10</v>
      </c>
      <c r="F43">
        <f>WEEKDAY(A43,2)</f>
        <v>6</v>
      </c>
      <c r="G43">
        <f t="shared" si="0"/>
        <v>0</v>
      </c>
      <c r="H43">
        <f t="shared" si="1"/>
        <v>0</v>
      </c>
      <c r="I43">
        <f t="shared" si="2"/>
        <v>0</v>
      </c>
      <c r="J43">
        <f t="shared" si="8"/>
        <v>0</v>
      </c>
      <c r="K43">
        <f t="shared" si="3"/>
        <v>10</v>
      </c>
      <c r="L43">
        <f t="shared" si="4"/>
        <v>-7100</v>
      </c>
      <c r="M43">
        <f t="shared" si="5"/>
        <v>0</v>
      </c>
      <c r="N43">
        <f t="shared" si="9"/>
        <v>0</v>
      </c>
    </row>
    <row r="44" spans="1:14" x14ac:dyDescent="0.25">
      <c r="A44" s="1">
        <v>44969</v>
      </c>
      <c r="B44" t="s">
        <v>2</v>
      </c>
      <c r="C44">
        <f t="shared" si="6"/>
        <v>-7100</v>
      </c>
      <c r="D44">
        <f>IF(B44="zima",20%,IF(B44="wiosna",50%,IF(B44="lato",90%,40%)))</f>
        <v>0.2</v>
      </c>
      <c r="E44">
        <f t="shared" si="7"/>
        <v>10</v>
      </c>
      <c r="F44">
        <f>WEEKDAY(A44,2)</f>
        <v>7</v>
      </c>
      <c r="G44">
        <f t="shared" si="0"/>
        <v>0</v>
      </c>
      <c r="H44">
        <f t="shared" si="1"/>
        <v>0</v>
      </c>
      <c r="I44">
        <f t="shared" si="2"/>
        <v>150</v>
      </c>
      <c r="J44">
        <f t="shared" si="8"/>
        <v>0</v>
      </c>
      <c r="K44">
        <f t="shared" si="3"/>
        <v>10</v>
      </c>
      <c r="L44">
        <f t="shared" si="4"/>
        <v>-7250</v>
      </c>
      <c r="M44">
        <f t="shared" si="5"/>
        <v>0</v>
      </c>
      <c r="N44">
        <f t="shared" si="9"/>
        <v>150</v>
      </c>
    </row>
    <row r="45" spans="1:14" x14ac:dyDescent="0.25">
      <c r="A45" s="1">
        <v>44970</v>
      </c>
      <c r="B45" t="s">
        <v>2</v>
      </c>
      <c r="C45">
        <f t="shared" si="6"/>
        <v>-7250</v>
      </c>
      <c r="D45">
        <f>IF(B45="zima",20%,IF(B45="wiosna",50%,IF(B45="lato",90%,40%)))</f>
        <v>0.2</v>
      </c>
      <c r="E45">
        <f t="shared" si="7"/>
        <v>10</v>
      </c>
      <c r="F45">
        <f>WEEKDAY(A45,2)</f>
        <v>1</v>
      </c>
      <c r="G45">
        <f t="shared" si="0"/>
        <v>1</v>
      </c>
      <c r="H45">
        <f t="shared" si="1"/>
        <v>60</v>
      </c>
      <c r="I45">
        <f t="shared" si="2"/>
        <v>0</v>
      </c>
      <c r="J45">
        <f t="shared" si="8"/>
        <v>0</v>
      </c>
      <c r="K45">
        <f t="shared" si="3"/>
        <v>10</v>
      </c>
      <c r="L45">
        <f t="shared" si="4"/>
        <v>-7190</v>
      </c>
      <c r="M45">
        <f t="shared" si="5"/>
        <v>60</v>
      </c>
      <c r="N45">
        <f t="shared" si="9"/>
        <v>0</v>
      </c>
    </row>
    <row r="46" spans="1:14" x14ac:dyDescent="0.25">
      <c r="A46" s="1">
        <v>44971</v>
      </c>
      <c r="B46" t="s">
        <v>2</v>
      </c>
      <c r="C46">
        <f t="shared" si="6"/>
        <v>-7190</v>
      </c>
      <c r="D46">
        <f>IF(B46="zima",20%,IF(B46="wiosna",50%,IF(B46="lato",90%,40%)))</f>
        <v>0.2</v>
      </c>
      <c r="E46">
        <f t="shared" si="7"/>
        <v>10</v>
      </c>
      <c r="F46">
        <f>WEEKDAY(A46,2)</f>
        <v>2</v>
      </c>
      <c r="G46">
        <f t="shared" si="0"/>
        <v>1</v>
      </c>
      <c r="H46">
        <f t="shared" si="1"/>
        <v>60</v>
      </c>
      <c r="I46">
        <f t="shared" si="2"/>
        <v>0</v>
      </c>
      <c r="J46">
        <f t="shared" si="8"/>
        <v>0</v>
      </c>
      <c r="K46">
        <f t="shared" si="3"/>
        <v>10</v>
      </c>
      <c r="L46">
        <f t="shared" si="4"/>
        <v>-7130</v>
      </c>
      <c r="M46">
        <f t="shared" si="5"/>
        <v>60</v>
      </c>
      <c r="N46">
        <f t="shared" si="9"/>
        <v>0</v>
      </c>
    </row>
    <row r="47" spans="1:14" x14ac:dyDescent="0.25">
      <c r="A47" s="1">
        <v>44972</v>
      </c>
      <c r="B47" t="s">
        <v>2</v>
      </c>
      <c r="C47">
        <f t="shared" si="6"/>
        <v>-7130</v>
      </c>
      <c r="D47">
        <f>IF(B47="zima",20%,IF(B47="wiosna",50%,IF(B47="lato",90%,40%)))</f>
        <v>0.2</v>
      </c>
      <c r="E47">
        <f t="shared" si="7"/>
        <v>10</v>
      </c>
      <c r="F47">
        <f>WEEKDAY(A47,2)</f>
        <v>3</v>
      </c>
      <c r="G47">
        <f t="shared" si="0"/>
        <v>1</v>
      </c>
      <c r="H47">
        <f t="shared" si="1"/>
        <v>60</v>
      </c>
      <c r="I47">
        <f t="shared" si="2"/>
        <v>0</v>
      </c>
      <c r="J47">
        <f t="shared" si="8"/>
        <v>0</v>
      </c>
      <c r="K47">
        <f t="shared" si="3"/>
        <v>10</v>
      </c>
      <c r="L47">
        <f t="shared" si="4"/>
        <v>-7070</v>
      </c>
      <c r="M47">
        <f t="shared" si="5"/>
        <v>60</v>
      </c>
      <c r="N47">
        <f t="shared" si="9"/>
        <v>0</v>
      </c>
    </row>
    <row r="48" spans="1:14" x14ac:dyDescent="0.25">
      <c r="A48" s="1">
        <v>44973</v>
      </c>
      <c r="B48" t="s">
        <v>2</v>
      </c>
      <c r="C48">
        <f t="shared" si="6"/>
        <v>-7070</v>
      </c>
      <c r="D48">
        <f>IF(B48="zima",20%,IF(B48="wiosna",50%,IF(B48="lato",90%,40%)))</f>
        <v>0.2</v>
      </c>
      <c r="E48">
        <f t="shared" si="7"/>
        <v>10</v>
      </c>
      <c r="F48">
        <f>WEEKDAY(A48,2)</f>
        <v>4</v>
      </c>
      <c r="G48">
        <f t="shared" si="0"/>
        <v>1</v>
      </c>
      <c r="H48">
        <f t="shared" si="1"/>
        <v>60</v>
      </c>
      <c r="I48">
        <f t="shared" si="2"/>
        <v>0</v>
      </c>
      <c r="J48">
        <f t="shared" si="8"/>
        <v>0</v>
      </c>
      <c r="K48">
        <f t="shared" si="3"/>
        <v>10</v>
      </c>
      <c r="L48">
        <f t="shared" si="4"/>
        <v>-7010</v>
      </c>
      <c r="M48">
        <f t="shared" si="5"/>
        <v>60</v>
      </c>
      <c r="N48">
        <f t="shared" si="9"/>
        <v>0</v>
      </c>
    </row>
    <row r="49" spans="1:14" x14ac:dyDescent="0.25">
      <c r="A49" s="1">
        <v>44974</v>
      </c>
      <c r="B49" t="s">
        <v>2</v>
      </c>
      <c r="C49">
        <f t="shared" si="6"/>
        <v>-7010</v>
      </c>
      <c r="D49">
        <f>IF(B49="zima",20%,IF(B49="wiosna",50%,IF(B49="lato",90%,40%)))</f>
        <v>0.2</v>
      </c>
      <c r="E49">
        <f t="shared" si="7"/>
        <v>10</v>
      </c>
      <c r="F49">
        <f>WEEKDAY(A49,2)</f>
        <v>5</v>
      </c>
      <c r="G49">
        <f t="shared" si="0"/>
        <v>1</v>
      </c>
      <c r="H49">
        <f t="shared" si="1"/>
        <v>60</v>
      </c>
      <c r="I49">
        <f t="shared" si="2"/>
        <v>0</v>
      </c>
      <c r="J49">
        <f t="shared" si="8"/>
        <v>0</v>
      </c>
      <c r="K49">
        <f t="shared" si="3"/>
        <v>10</v>
      </c>
      <c r="L49">
        <f t="shared" si="4"/>
        <v>-6950</v>
      </c>
      <c r="M49">
        <f t="shared" si="5"/>
        <v>60</v>
      </c>
      <c r="N49">
        <f t="shared" si="9"/>
        <v>0</v>
      </c>
    </row>
    <row r="50" spans="1:14" x14ac:dyDescent="0.25">
      <c r="A50" s="1">
        <v>44975</v>
      </c>
      <c r="B50" t="s">
        <v>2</v>
      </c>
      <c r="C50">
        <f t="shared" si="6"/>
        <v>-6950</v>
      </c>
      <c r="D50">
        <f>IF(B50="zima",20%,IF(B50="wiosna",50%,IF(B50="lato",90%,40%)))</f>
        <v>0.2</v>
      </c>
      <c r="E50">
        <f t="shared" si="7"/>
        <v>10</v>
      </c>
      <c r="F50">
        <f>WEEKDAY(A50,2)</f>
        <v>6</v>
      </c>
      <c r="G50">
        <f t="shared" si="0"/>
        <v>0</v>
      </c>
      <c r="H50">
        <f t="shared" si="1"/>
        <v>0</v>
      </c>
      <c r="I50">
        <f t="shared" si="2"/>
        <v>0</v>
      </c>
      <c r="J50">
        <f t="shared" si="8"/>
        <v>0</v>
      </c>
      <c r="K50">
        <f t="shared" si="3"/>
        <v>10</v>
      </c>
      <c r="L50">
        <f t="shared" si="4"/>
        <v>-6950</v>
      </c>
      <c r="M50">
        <f t="shared" si="5"/>
        <v>0</v>
      </c>
      <c r="N50">
        <f t="shared" si="9"/>
        <v>0</v>
      </c>
    </row>
    <row r="51" spans="1:14" x14ac:dyDescent="0.25">
      <c r="A51" s="1">
        <v>44976</v>
      </c>
      <c r="B51" t="s">
        <v>2</v>
      </c>
      <c r="C51">
        <f t="shared" si="6"/>
        <v>-6950</v>
      </c>
      <c r="D51">
        <f>IF(B51="zima",20%,IF(B51="wiosna",50%,IF(B51="lato",90%,40%)))</f>
        <v>0.2</v>
      </c>
      <c r="E51">
        <f t="shared" si="7"/>
        <v>10</v>
      </c>
      <c r="F51">
        <f>WEEKDAY(A51,2)</f>
        <v>7</v>
      </c>
      <c r="G51">
        <f t="shared" si="0"/>
        <v>0</v>
      </c>
      <c r="H51">
        <f t="shared" si="1"/>
        <v>0</v>
      </c>
      <c r="I51">
        <f t="shared" si="2"/>
        <v>150</v>
      </c>
      <c r="J51">
        <f t="shared" si="8"/>
        <v>0</v>
      </c>
      <c r="K51">
        <f t="shared" si="3"/>
        <v>10</v>
      </c>
      <c r="L51">
        <f t="shared" si="4"/>
        <v>-7100</v>
      </c>
      <c r="M51">
        <f t="shared" si="5"/>
        <v>0</v>
      </c>
      <c r="N51">
        <f t="shared" si="9"/>
        <v>150</v>
      </c>
    </row>
    <row r="52" spans="1:14" x14ac:dyDescent="0.25">
      <c r="A52" s="1">
        <v>44977</v>
      </c>
      <c r="B52" t="s">
        <v>2</v>
      </c>
      <c r="C52">
        <f t="shared" si="6"/>
        <v>-7100</v>
      </c>
      <c r="D52">
        <f>IF(B52="zima",20%,IF(B52="wiosna",50%,IF(B52="lato",90%,40%)))</f>
        <v>0.2</v>
      </c>
      <c r="E52">
        <f t="shared" si="7"/>
        <v>10</v>
      </c>
      <c r="F52">
        <f>WEEKDAY(A52,2)</f>
        <v>1</v>
      </c>
      <c r="G52">
        <f t="shared" si="0"/>
        <v>1</v>
      </c>
      <c r="H52">
        <f t="shared" si="1"/>
        <v>60</v>
      </c>
      <c r="I52">
        <f t="shared" si="2"/>
        <v>0</v>
      </c>
      <c r="J52">
        <f t="shared" si="8"/>
        <v>0</v>
      </c>
      <c r="K52">
        <f t="shared" si="3"/>
        <v>10</v>
      </c>
      <c r="L52">
        <f t="shared" si="4"/>
        <v>-7040</v>
      </c>
      <c r="M52">
        <f t="shared" si="5"/>
        <v>60</v>
      </c>
      <c r="N52">
        <f t="shared" si="9"/>
        <v>0</v>
      </c>
    </row>
    <row r="53" spans="1:14" x14ac:dyDescent="0.25">
      <c r="A53" s="1">
        <v>44978</v>
      </c>
      <c r="B53" t="s">
        <v>2</v>
      </c>
      <c r="C53">
        <f t="shared" si="6"/>
        <v>-7040</v>
      </c>
      <c r="D53">
        <f>IF(B53="zima",20%,IF(B53="wiosna",50%,IF(B53="lato",90%,40%)))</f>
        <v>0.2</v>
      </c>
      <c r="E53">
        <f t="shared" si="7"/>
        <v>10</v>
      </c>
      <c r="F53">
        <f>WEEKDAY(A53,2)</f>
        <v>2</v>
      </c>
      <c r="G53">
        <f t="shared" si="0"/>
        <v>1</v>
      </c>
      <c r="H53">
        <f t="shared" si="1"/>
        <v>60</v>
      </c>
      <c r="I53">
        <f t="shared" si="2"/>
        <v>0</v>
      </c>
      <c r="J53">
        <f t="shared" si="8"/>
        <v>0</v>
      </c>
      <c r="K53">
        <f t="shared" si="3"/>
        <v>10</v>
      </c>
      <c r="L53">
        <f t="shared" si="4"/>
        <v>-6980</v>
      </c>
      <c r="M53">
        <f t="shared" si="5"/>
        <v>60</v>
      </c>
      <c r="N53">
        <f t="shared" si="9"/>
        <v>0</v>
      </c>
    </row>
    <row r="54" spans="1:14" x14ac:dyDescent="0.25">
      <c r="A54" s="1">
        <v>44979</v>
      </c>
      <c r="B54" t="s">
        <v>2</v>
      </c>
      <c r="C54">
        <f t="shared" si="6"/>
        <v>-6980</v>
      </c>
      <c r="D54">
        <f>IF(B54="zima",20%,IF(B54="wiosna",50%,IF(B54="lato",90%,40%)))</f>
        <v>0.2</v>
      </c>
      <c r="E54">
        <f t="shared" si="7"/>
        <v>10</v>
      </c>
      <c r="F54">
        <f>WEEKDAY(A54,2)</f>
        <v>3</v>
      </c>
      <c r="G54">
        <f t="shared" si="0"/>
        <v>1</v>
      </c>
      <c r="H54">
        <f t="shared" si="1"/>
        <v>60</v>
      </c>
      <c r="I54">
        <f t="shared" si="2"/>
        <v>0</v>
      </c>
      <c r="J54">
        <f t="shared" si="8"/>
        <v>0</v>
      </c>
      <c r="K54">
        <f t="shared" si="3"/>
        <v>10</v>
      </c>
      <c r="L54">
        <f t="shared" si="4"/>
        <v>-6920</v>
      </c>
      <c r="M54">
        <f t="shared" si="5"/>
        <v>60</v>
      </c>
      <c r="N54">
        <f t="shared" si="9"/>
        <v>0</v>
      </c>
    </row>
    <row r="55" spans="1:14" x14ac:dyDescent="0.25">
      <c r="A55" s="1">
        <v>44980</v>
      </c>
      <c r="B55" t="s">
        <v>2</v>
      </c>
      <c r="C55">
        <f t="shared" si="6"/>
        <v>-6920</v>
      </c>
      <c r="D55">
        <f>IF(B55="zima",20%,IF(B55="wiosna",50%,IF(B55="lato",90%,40%)))</f>
        <v>0.2</v>
      </c>
      <c r="E55">
        <f t="shared" si="7"/>
        <v>10</v>
      </c>
      <c r="F55">
        <f>WEEKDAY(A55,2)</f>
        <v>4</v>
      </c>
      <c r="G55">
        <f t="shared" si="0"/>
        <v>1</v>
      </c>
      <c r="H55">
        <f t="shared" si="1"/>
        <v>60</v>
      </c>
      <c r="I55">
        <f t="shared" si="2"/>
        <v>0</v>
      </c>
      <c r="J55">
        <f t="shared" si="8"/>
        <v>0</v>
      </c>
      <c r="K55">
        <f t="shared" si="3"/>
        <v>10</v>
      </c>
      <c r="L55">
        <f t="shared" si="4"/>
        <v>-6860</v>
      </c>
      <c r="M55">
        <f t="shared" si="5"/>
        <v>60</v>
      </c>
      <c r="N55">
        <f t="shared" si="9"/>
        <v>0</v>
      </c>
    </row>
    <row r="56" spans="1:14" x14ac:dyDescent="0.25">
      <c r="A56" s="1">
        <v>44981</v>
      </c>
      <c r="B56" t="s">
        <v>2</v>
      </c>
      <c r="C56">
        <f t="shared" si="6"/>
        <v>-6860</v>
      </c>
      <c r="D56">
        <f>IF(B56="zima",20%,IF(B56="wiosna",50%,IF(B56="lato",90%,40%)))</f>
        <v>0.2</v>
      </c>
      <c r="E56">
        <f t="shared" si="7"/>
        <v>10</v>
      </c>
      <c r="F56">
        <f>WEEKDAY(A56,2)</f>
        <v>5</v>
      </c>
      <c r="G56">
        <f t="shared" si="0"/>
        <v>1</v>
      </c>
      <c r="H56">
        <f t="shared" si="1"/>
        <v>60</v>
      </c>
      <c r="I56">
        <f t="shared" si="2"/>
        <v>0</v>
      </c>
      <c r="J56">
        <f t="shared" si="8"/>
        <v>0</v>
      </c>
      <c r="K56">
        <f t="shared" si="3"/>
        <v>10</v>
      </c>
      <c r="L56">
        <f t="shared" si="4"/>
        <v>-6800</v>
      </c>
      <c r="M56">
        <f t="shared" si="5"/>
        <v>60</v>
      </c>
      <c r="N56">
        <f t="shared" si="9"/>
        <v>0</v>
      </c>
    </row>
    <row r="57" spans="1:14" x14ac:dyDescent="0.25">
      <c r="A57" s="1">
        <v>44982</v>
      </c>
      <c r="B57" t="s">
        <v>2</v>
      </c>
      <c r="C57">
        <f t="shared" si="6"/>
        <v>-6800</v>
      </c>
      <c r="D57">
        <f>IF(B57="zima",20%,IF(B57="wiosna",50%,IF(B57="lato",90%,40%)))</f>
        <v>0.2</v>
      </c>
      <c r="E57">
        <f t="shared" si="7"/>
        <v>10</v>
      </c>
      <c r="F57">
        <f>WEEKDAY(A57,2)</f>
        <v>6</v>
      </c>
      <c r="G57">
        <f t="shared" si="0"/>
        <v>0</v>
      </c>
      <c r="H57">
        <f t="shared" si="1"/>
        <v>0</v>
      </c>
      <c r="I57">
        <f t="shared" si="2"/>
        <v>0</v>
      </c>
      <c r="J57">
        <f t="shared" si="8"/>
        <v>0</v>
      </c>
      <c r="K57">
        <f t="shared" si="3"/>
        <v>10</v>
      </c>
      <c r="L57">
        <f t="shared" si="4"/>
        <v>-6800</v>
      </c>
      <c r="M57">
        <f t="shared" si="5"/>
        <v>0</v>
      </c>
      <c r="N57">
        <f t="shared" si="9"/>
        <v>0</v>
      </c>
    </row>
    <row r="58" spans="1:14" x14ac:dyDescent="0.25">
      <c r="A58" s="1">
        <v>44983</v>
      </c>
      <c r="B58" t="s">
        <v>2</v>
      </c>
      <c r="C58">
        <f t="shared" si="6"/>
        <v>-6800</v>
      </c>
      <c r="D58">
        <f>IF(B58="zima",20%,IF(B58="wiosna",50%,IF(B58="lato",90%,40%)))</f>
        <v>0.2</v>
      </c>
      <c r="E58">
        <f t="shared" si="7"/>
        <v>10</v>
      </c>
      <c r="F58">
        <f>WEEKDAY(A58,2)</f>
        <v>7</v>
      </c>
      <c r="G58">
        <f t="shared" si="0"/>
        <v>0</v>
      </c>
      <c r="H58">
        <f t="shared" si="1"/>
        <v>0</v>
      </c>
      <c r="I58">
        <f t="shared" si="2"/>
        <v>150</v>
      </c>
      <c r="J58">
        <f t="shared" si="8"/>
        <v>0</v>
      </c>
      <c r="K58">
        <f t="shared" si="3"/>
        <v>10</v>
      </c>
      <c r="L58">
        <f t="shared" si="4"/>
        <v>-6950</v>
      </c>
      <c r="M58">
        <f t="shared" si="5"/>
        <v>0</v>
      </c>
      <c r="N58">
        <f t="shared" si="9"/>
        <v>150</v>
      </c>
    </row>
    <row r="59" spans="1:14" x14ac:dyDescent="0.25">
      <c r="A59" s="1">
        <v>44984</v>
      </c>
      <c r="B59" t="s">
        <v>2</v>
      </c>
      <c r="C59">
        <f t="shared" si="6"/>
        <v>-6950</v>
      </c>
      <c r="D59">
        <f>IF(B59="zima",20%,IF(B59="wiosna",50%,IF(B59="lato",90%,40%)))</f>
        <v>0.2</v>
      </c>
      <c r="E59">
        <f t="shared" si="7"/>
        <v>10</v>
      </c>
      <c r="F59">
        <f>WEEKDAY(A59,2)</f>
        <v>1</v>
      </c>
      <c r="G59">
        <f t="shared" si="0"/>
        <v>1</v>
      </c>
      <c r="H59">
        <f t="shared" si="1"/>
        <v>60</v>
      </c>
      <c r="I59">
        <f t="shared" si="2"/>
        <v>0</v>
      </c>
      <c r="J59">
        <f t="shared" si="8"/>
        <v>0</v>
      </c>
      <c r="K59">
        <f t="shared" si="3"/>
        <v>10</v>
      </c>
      <c r="L59">
        <f t="shared" si="4"/>
        <v>-6890</v>
      </c>
      <c r="M59">
        <f t="shared" si="5"/>
        <v>60</v>
      </c>
      <c r="N59">
        <f t="shared" si="9"/>
        <v>0</v>
      </c>
    </row>
    <row r="60" spans="1:14" x14ac:dyDescent="0.25">
      <c r="A60" s="1">
        <v>44985</v>
      </c>
      <c r="B60" t="s">
        <v>2</v>
      </c>
      <c r="C60">
        <f t="shared" si="6"/>
        <v>-6890</v>
      </c>
      <c r="D60">
        <f>IF(B60="zima",20%,IF(B60="wiosna",50%,IF(B60="lato",90%,40%)))</f>
        <v>0.2</v>
      </c>
      <c r="E60">
        <f t="shared" si="7"/>
        <v>10</v>
      </c>
      <c r="F60">
        <f>WEEKDAY(A60,2)</f>
        <v>2</v>
      </c>
      <c r="G60">
        <f t="shared" si="0"/>
        <v>1</v>
      </c>
      <c r="H60">
        <f t="shared" si="1"/>
        <v>60</v>
      </c>
      <c r="I60">
        <f t="shared" si="2"/>
        <v>0</v>
      </c>
      <c r="J60">
        <f t="shared" si="8"/>
        <v>0</v>
      </c>
      <c r="K60">
        <f t="shared" si="3"/>
        <v>10</v>
      </c>
      <c r="L60">
        <f t="shared" si="4"/>
        <v>-6830</v>
      </c>
      <c r="M60">
        <f t="shared" si="5"/>
        <v>60</v>
      </c>
      <c r="N60">
        <f t="shared" si="9"/>
        <v>0</v>
      </c>
    </row>
    <row r="61" spans="1:14" x14ac:dyDescent="0.25">
      <c r="A61" s="1">
        <v>44986</v>
      </c>
      <c r="B61" t="s">
        <v>2</v>
      </c>
      <c r="C61">
        <f t="shared" si="6"/>
        <v>-6830</v>
      </c>
      <c r="D61">
        <f>IF(B61="zima",20%,IF(B61="wiosna",50%,IF(B61="lato",90%,40%)))</f>
        <v>0.2</v>
      </c>
      <c r="E61">
        <f t="shared" si="7"/>
        <v>10</v>
      </c>
      <c r="F61">
        <f>WEEKDAY(A61,2)</f>
        <v>3</v>
      </c>
      <c r="G61">
        <f t="shared" si="0"/>
        <v>1</v>
      </c>
      <c r="H61">
        <f t="shared" si="1"/>
        <v>60</v>
      </c>
      <c r="I61">
        <f t="shared" si="2"/>
        <v>0</v>
      </c>
      <c r="J61">
        <f t="shared" si="8"/>
        <v>0</v>
      </c>
      <c r="K61">
        <f t="shared" si="3"/>
        <v>10</v>
      </c>
      <c r="L61">
        <f t="shared" si="4"/>
        <v>-6770</v>
      </c>
      <c r="M61">
        <f t="shared" si="5"/>
        <v>60</v>
      </c>
      <c r="N61">
        <f t="shared" si="9"/>
        <v>0</v>
      </c>
    </row>
    <row r="62" spans="1:14" x14ac:dyDescent="0.25">
      <c r="A62" s="1">
        <v>44987</v>
      </c>
      <c r="B62" t="s">
        <v>2</v>
      </c>
      <c r="C62">
        <f t="shared" si="6"/>
        <v>-6770</v>
      </c>
      <c r="D62">
        <f>IF(B62="zima",20%,IF(B62="wiosna",50%,IF(B62="lato",90%,40%)))</f>
        <v>0.2</v>
      </c>
      <c r="E62">
        <f t="shared" si="7"/>
        <v>10</v>
      </c>
      <c r="F62">
        <f>WEEKDAY(A62,2)</f>
        <v>4</v>
      </c>
      <c r="G62">
        <f t="shared" si="0"/>
        <v>1</v>
      </c>
      <c r="H62">
        <f t="shared" si="1"/>
        <v>60</v>
      </c>
      <c r="I62">
        <f t="shared" si="2"/>
        <v>0</v>
      </c>
      <c r="J62">
        <f t="shared" si="8"/>
        <v>0</v>
      </c>
      <c r="K62">
        <f t="shared" si="3"/>
        <v>10</v>
      </c>
      <c r="L62">
        <f t="shared" si="4"/>
        <v>-6710</v>
      </c>
      <c r="M62">
        <f t="shared" si="5"/>
        <v>60</v>
      </c>
      <c r="N62">
        <f t="shared" si="9"/>
        <v>0</v>
      </c>
    </row>
    <row r="63" spans="1:14" x14ac:dyDescent="0.25">
      <c r="A63" s="1">
        <v>44988</v>
      </c>
      <c r="B63" t="s">
        <v>2</v>
      </c>
      <c r="C63">
        <f t="shared" si="6"/>
        <v>-6710</v>
      </c>
      <c r="D63">
        <f>IF(B63="zima",20%,IF(B63="wiosna",50%,IF(B63="lato",90%,40%)))</f>
        <v>0.2</v>
      </c>
      <c r="E63">
        <f t="shared" si="7"/>
        <v>10</v>
      </c>
      <c r="F63">
        <f>WEEKDAY(A63,2)</f>
        <v>5</v>
      </c>
      <c r="G63">
        <f t="shared" si="0"/>
        <v>1</v>
      </c>
      <c r="H63">
        <f t="shared" si="1"/>
        <v>60</v>
      </c>
      <c r="I63">
        <f t="shared" si="2"/>
        <v>0</v>
      </c>
      <c r="J63">
        <f t="shared" si="8"/>
        <v>0</v>
      </c>
      <c r="K63">
        <f t="shared" si="3"/>
        <v>10</v>
      </c>
      <c r="L63">
        <f t="shared" si="4"/>
        <v>-6650</v>
      </c>
      <c r="M63">
        <f t="shared" si="5"/>
        <v>60</v>
      </c>
      <c r="N63">
        <f t="shared" si="9"/>
        <v>0</v>
      </c>
    </row>
    <row r="64" spans="1:14" x14ac:dyDescent="0.25">
      <c r="A64" s="1">
        <v>44989</v>
      </c>
      <c r="B64" t="s">
        <v>2</v>
      </c>
      <c r="C64">
        <f t="shared" si="6"/>
        <v>-6650</v>
      </c>
      <c r="D64">
        <f>IF(B64="zima",20%,IF(B64="wiosna",50%,IF(B64="lato",90%,40%)))</f>
        <v>0.2</v>
      </c>
      <c r="E64">
        <f t="shared" si="7"/>
        <v>10</v>
      </c>
      <c r="F64">
        <f>WEEKDAY(A64,2)</f>
        <v>6</v>
      </c>
      <c r="G64">
        <f t="shared" si="0"/>
        <v>0</v>
      </c>
      <c r="H64">
        <f t="shared" si="1"/>
        <v>0</v>
      </c>
      <c r="I64">
        <f t="shared" si="2"/>
        <v>0</v>
      </c>
      <c r="J64">
        <f t="shared" si="8"/>
        <v>0</v>
      </c>
      <c r="K64">
        <f t="shared" si="3"/>
        <v>10</v>
      </c>
      <c r="L64">
        <f t="shared" si="4"/>
        <v>-6650</v>
      </c>
      <c r="M64">
        <f t="shared" si="5"/>
        <v>0</v>
      </c>
      <c r="N64">
        <f t="shared" si="9"/>
        <v>0</v>
      </c>
    </row>
    <row r="65" spans="1:14" x14ac:dyDescent="0.25">
      <c r="A65" s="1">
        <v>44990</v>
      </c>
      <c r="B65" t="s">
        <v>2</v>
      </c>
      <c r="C65">
        <f t="shared" si="6"/>
        <v>-6650</v>
      </c>
      <c r="D65">
        <f>IF(B65="zima",20%,IF(B65="wiosna",50%,IF(B65="lato",90%,40%)))</f>
        <v>0.2</v>
      </c>
      <c r="E65">
        <f t="shared" si="7"/>
        <v>10</v>
      </c>
      <c r="F65">
        <f>WEEKDAY(A65,2)</f>
        <v>7</v>
      </c>
      <c r="G65">
        <f t="shared" si="0"/>
        <v>0</v>
      </c>
      <c r="H65">
        <f t="shared" si="1"/>
        <v>0</v>
      </c>
      <c r="I65">
        <f t="shared" si="2"/>
        <v>150</v>
      </c>
      <c r="J65">
        <f t="shared" si="8"/>
        <v>0</v>
      </c>
      <c r="K65">
        <f t="shared" si="3"/>
        <v>10</v>
      </c>
      <c r="L65">
        <f t="shared" si="4"/>
        <v>-6800</v>
      </c>
      <c r="M65">
        <f t="shared" si="5"/>
        <v>0</v>
      </c>
      <c r="N65">
        <f t="shared" si="9"/>
        <v>150</v>
      </c>
    </row>
    <row r="66" spans="1:14" x14ac:dyDescent="0.25">
      <c r="A66" s="1">
        <v>44991</v>
      </c>
      <c r="B66" t="s">
        <v>2</v>
      </c>
      <c r="C66">
        <f t="shared" si="6"/>
        <v>-6800</v>
      </c>
      <c r="D66">
        <f>IF(B66="zima",20%,IF(B66="wiosna",50%,IF(B66="lato",90%,40%)))</f>
        <v>0.2</v>
      </c>
      <c r="E66">
        <f t="shared" si="7"/>
        <v>10</v>
      </c>
      <c r="F66">
        <f>WEEKDAY(A66,2)</f>
        <v>1</v>
      </c>
      <c r="G66">
        <f t="shared" si="0"/>
        <v>1</v>
      </c>
      <c r="H66">
        <f t="shared" si="1"/>
        <v>60</v>
      </c>
      <c r="I66">
        <f t="shared" si="2"/>
        <v>0</v>
      </c>
      <c r="J66">
        <f t="shared" si="8"/>
        <v>0</v>
      </c>
      <c r="K66">
        <f t="shared" si="3"/>
        <v>10</v>
      </c>
      <c r="L66">
        <f t="shared" si="4"/>
        <v>-6740</v>
      </c>
      <c r="M66">
        <f t="shared" si="5"/>
        <v>60</v>
      </c>
      <c r="N66">
        <f t="shared" si="9"/>
        <v>0</v>
      </c>
    </row>
    <row r="67" spans="1:14" x14ac:dyDescent="0.25">
      <c r="A67" s="1">
        <v>44992</v>
      </c>
      <c r="B67" t="s">
        <v>2</v>
      </c>
      <c r="C67">
        <f t="shared" si="6"/>
        <v>-6740</v>
      </c>
      <c r="D67">
        <f>IF(B67="zima",20%,IF(B67="wiosna",50%,IF(B67="lato",90%,40%)))</f>
        <v>0.2</v>
      </c>
      <c r="E67">
        <f t="shared" si="7"/>
        <v>10</v>
      </c>
      <c r="F67">
        <f>WEEKDAY(A67,2)</f>
        <v>2</v>
      </c>
      <c r="G67">
        <f t="shared" ref="G67:G130" si="10">IF(AND(F67&lt;&gt;6,F67&lt;&gt;7),1,0)</f>
        <v>1</v>
      </c>
      <c r="H67">
        <f t="shared" ref="H67:H130" si="11">ROUNDDOWN(D67*E67,0)*30*G67</f>
        <v>60</v>
      </c>
      <c r="I67">
        <f t="shared" ref="I67:I130" si="12">IF(F67=7,E67*15,0)</f>
        <v>0</v>
      </c>
      <c r="J67">
        <f t="shared" si="8"/>
        <v>0</v>
      </c>
      <c r="K67">
        <f t="shared" ref="K67:K130" si="13">IF(J67&gt;0,E67+3,E67)</f>
        <v>10</v>
      </c>
      <c r="L67">
        <f t="shared" ref="L67:L130" si="14">C67+H67-I67-J67</f>
        <v>-6680</v>
      </c>
      <c r="M67">
        <f t="shared" ref="M67:M130" si="15">H67</f>
        <v>60</v>
      </c>
      <c r="N67">
        <f t="shared" si="9"/>
        <v>0</v>
      </c>
    </row>
    <row r="68" spans="1:14" x14ac:dyDescent="0.25">
      <c r="A68" s="1">
        <v>44993</v>
      </c>
      <c r="B68" t="s">
        <v>2</v>
      </c>
      <c r="C68">
        <f t="shared" ref="C68:C131" si="16">L67</f>
        <v>-6680</v>
      </c>
      <c r="D68">
        <f>IF(B68="zima",20%,IF(B68="wiosna",50%,IF(B68="lato",90%,40%)))</f>
        <v>0.2</v>
      </c>
      <c r="E68">
        <f t="shared" ref="E68:E131" si="17">K67</f>
        <v>10</v>
      </c>
      <c r="F68">
        <f>WEEKDAY(A68,2)</f>
        <v>3</v>
      </c>
      <c r="G68">
        <f t="shared" si="10"/>
        <v>1</v>
      </c>
      <c r="H68">
        <f t="shared" si="11"/>
        <v>60</v>
      </c>
      <c r="I68">
        <f t="shared" si="12"/>
        <v>0</v>
      </c>
      <c r="J68">
        <f t="shared" ref="J68:J131" si="18">IF(AND(DAY(A69)=1,C68&gt;=2400),2400,0)</f>
        <v>0</v>
      </c>
      <c r="K68">
        <f t="shared" si="13"/>
        <v>10</v>
      </c>
      <c r="L68">
        <f t="shared" si="14"/>
        <v>-6620</v>
      </c>
      <c r="M68">
        <f t="shared" si="15"/>
        <v>60</v>
      </c>
      <c r="N68">
        <f t="shared" ref="N68:N131" si="19">J68+I68</f>
        <v>0</v>
      </c>
    </row>
    <row r="69" spans="1:14" x14ac:dyDescent="0.25">
      <c r="A69" s="1">
        <v>44994</v>
      </c>
      <c r="B69" t="s">
        <v>2</v>
      </c>
      <c r="C69">
        <f t="shared" si="16"/>
        <v>-6620</v>
      </c>
      <c r="D69">
        <f>IF(B69="zima",20%,IF(B69="wiosna",50%,IF(B69="lato",90%,40%)))</f>
        <v>0.2</v>
      </c>
      <c r="E69">
        <f t="shared" si="17"/>
        <v>10</v>
      </c>
      <c r="F69">
        <f>WEEKDAY(A69,2)</f>
        <v>4</v>
      </c>
      <c r="G69">
        <f t="shared" si="10"/>
        <v>1</v>
      </c>
      <c r="H69">
        <f t="shared" si="11"/>
        <v>60</v>
      </c>
      <c r="I69">
        <f t="shared" si="12"/>
        <v>0</v>
      </c>
      <c r="J69">
        <f t="shared" si="18"/>
        <v>0</v>
      </c>
      <c r="K69">
        <f t="shared" si="13"/>
        <v>10</v>
      </c>
      <c r="L69">
        <f t="shared" si="14"/>
        <v>-6560</v>
      </c>
      <c r="M69">
        <f t="shared" si="15"/>
        <v>60</v>
      </c>
      <c r="N69">
        <f t="shared" si="19"/>
        <v>0</v>
      </c>
    </row>
    <row r="70" spans="1:14" x14ac:dyDescent="0.25">
      <c r="A70" s="1">
        <v>44995</v>
      </c>
      <c r="B70" t="s">
        <v>2</v>
      </c>
      <c r="C70">
        <f t="shared" si="16"/>
        <v>-6560</v>
      </c>
      <c r="D70">
        <f>IF(B70="zima",20%,IF(B70="wiosna",50%,IF(B70="lato",90%,40%)))</f>
        <v>0.2</v>
      </c>
      <c r="E70">
        <f t="shared" si="17"/>
        <v>10</v>
      </c>
      <c r="F70">
        <f>WEEKDAY(A70,2)</f>
        <v>5</v>
      </c>
      <c r="G70">
        <f t="shared" si="10"/>
        <v>1</v>
      </c>
      <c r="H70">
        <f t="shared" si="11"/>
        <v>60</v>
      </c>
      <c r="I70">
        <f t="shared" si="12"/>
        <v>0</v>
      </c>
      <c r="J70">
        <f t="shared" si="18"/>
        <v>0</v>
      </c>
      <c r="K70">
        <f t="shared" si="13"/>
        <v>10</v>
      </c>
      <c r="L70">
        <f t="shared" si="14"/>
        <v>-6500</v>
      </c>
      <c r="M70">
        <f t="shared" si="15"/>
        <v>60</v>
      </c>
      <c r="N70">
        <f t="shared" si="19"/>
        <v>0</v>
      </c>
    </row>
    <row r="71" spans="1:14" x14ac:dyDescent="0.25">
      <c r="A71" s="1">
        <v>44996</v>
      </c>
      <c r="B71" t="s">
        <v>2</v>
      </c>
      <c r="C71">
        <f t="shared" si="16"/>
        <v>-6500</v>
      </c>
      <c r="D71">
        <f>IF(B71="zima",20%,IF(B71="wiosna",50%,IF(B71="lato",90%,40%)))</f>
        <v>0.2</v>
      </c>
      <c r="E71">
        <f t="shared" si="17"/>
        <v>10</v>
      </c>
      <c r="F71">
        <f>WEEKDAY(A71,2)</f>
        <v>6</v>
      </c>
      <c r="G71">
        <f t="shared" si="10"/>
        <v>0</v>
      </c>
      <c r="H71">
        <f t="shared" si="11"/>
        <v>0</v>
      </c>
      <c r="I71">
        <f t="shared" si="12"/>
        <v>0</v>
      </c>
      <c r="J71">
        <f t="shared" si="18"/>
        <v>0</v>
      </c>
      <c r="K71">
        <f t="shared" si="13"/>
        <v>10</v>
      </c>
      <c r="L71">
        <f t="shared" si="14"/>
        <v>-6500</v>
      </c>
      <c r="M71">
        <f t="shared" si="15"/>
        <v>0</v>
      </c>
      <c r="N71">
        <f t="shared" si="19"/>
        <v>0</v>
      </c>
    </row>
    <row r="72" spans="1:14" x14ac:dyDescent="0.25">
      <c r="A72" s="1">
        <v>44997</v>
      </c>
      <c r="B72" t="s">
        <v>2</v>
      </c>
      <c r="C72">
        <f t="shared" si="16"/>
        <v>-6500</v>
      </c>
      <c r="D72">
        <f>IF(B72="zima",20%,IF(B72="wiosna",50%,IF(B72="lato",90%,40%)))</f>
        <v>0.2</v>
      </c>
      <c r="E72">
        <f t="shared" si="17"/>
        <v>10</v>
      </c>
      <c r="F72">
        <f>WEEKDAY(A72,2)</f>
        <v>7</v>
      </c>
      <c r="G72">
        <f t="shared" si="10"/>
        <v>0</v>
      </c>
      <c r="H72">
        <f t="shared" si="11"/>
        <v>0</v>
      </c>
      <c r="I72">
        <f t="shared" si="12"/>
        <v>150</v>
      </c>
      <c r="J72">
        <f t="shared" si="18"/>
        <v>0</v>
      </c>
      <c r="K72">
        <f t="shared" si="13"/>
        <v>10</v>
      </c>
      <c r="L72">
        <f t="shared" si="14"/>
        <v>-6650</v>
      </c>
      <c r="M72">
        <f t="shared" si="15"/>
        <v>0</v>
      </c>
      <c r="N72">
        <f t="shared" si="19"/>
        <v>150</v>
      </c>
    </row>
    <row r="73" spans="1:14" x14ac:dyDescent="0.25">
      <c r="A73" s="1">
        <v>44998</v>
      </c>
      <c r="B73" t="s">
        <v>2</v>
      </c>
      <c r="C73">
        <f t="shared" si="16"/>
        <v>-6650</v>
      </c>
      <c r="D73">
        <f>IF(B73="zima",20%,IF(B73="wiosna",50%,IF(B73="lato",90%,40%)))</f>
        <v>0.2</v>
      </c>
      <c r="E73">
        <f t="shared" si="17"/>
        <v>10</v>
      </c>
      <c r="F73">
        <f>WEEKDAY(A73,2)</f>
        <v>1</v>
      </c>
      <c r="G73">
        <f t="shared" si="10"/>
        <v>1</v>
      </c>
      <c r="H73">
        <f t="shared" si="11"/>
        <v>60</v>
      </c>
      <c r="I73">
        <f t="shared" si="12"/>
        <v>0</v>
      </c>
      <c r="J73">
        <f t="shared" si="18"/>
        <v>0</v>
      </c>
      <c r="K73">
        <f t="shared" si="13"/>
        <v>10</v>
      </c>
      <c r="L73">
        <f t="shared" si="14"/>
        <v>-6590</v>
      </c>
      <c r="M73">
        <f t="shared" si="15"/>
        <v>60</v>
      </c>
      <c r="N73">
        <f t="shared" si="19"/>
        <v>0</v>
      </c>
    </row>
    <row r="74" spans="1:14" x14ac:dyDescent="0.25">
      <c r="A74" s="1">
        <v>44999</v>
      </c>
      <c r="B74" t="s">
        <v>2</v>
      </c>
      <c r="C74">
        <f t="shared" si="16"/>
        <v>-6590</v>
      </c>
      <c r="D74">
        <f>IF(B74="zima",20%,IF(B74="wiosna",50%,IF(B74="lato",90%,40%)))</f>
        <v>0.2</v>
      </c>
      <c r="E74">
        <f t="shared" si="17"/>
        <v>10</v>
      </c>
      <c r="F74">
        <f>WEEKDAY(A74,2)</f>
        <v>2</v>
      </c>
      <c r="G74">
        <f t="shared" si="10"/>
        <v>1</v>
      </c>
      <c r="H74">
        <f t="shared" si="11"/>
        <v>60</v>
      </c>
      <c r="I74">
        <f t="shared" si="12"/>
        <v>0</v>
      </c>
      <c r="J74">
        <f t="shared" si="18"/>
        <v>0</v>
      </c>
      <c r="K74">
        <f t="shared" si="13"/>
        <v>10</v>
      </c>
      <c r="L74">
        <f t="shared" si="14"/>
        <v>-6530</v>
      </c>
      <c r="M74">
        <f t="shared" si="15"/>
        <v>60</v>
      </c>
      <c r="N74">
        <f t="shared" si="19"/>
        <v>0</v>
      </c>
    </row>
    <row r="75" spans="1:14" x14ac:dyDescent="0.25">
      <c r="A75" s="1">
        <v>45000</v>
      </c>
      <c r="B75" t="s">
        <v>2</v>
      </c>
      <c r="C75">
        <f t="shared" si="16"/>
        <v>-6530</v>
      </c>
      <c r="D75">
        <f>IF(B75="zima",20%,IF(B75="wiosna",50%,IF(B75="lato",90%,40%)))</f>
        <v>0.2</v>
      </c>
      <c r="E75">
        <f t="shared" si="17"/>
        <v>10</v>
      </c>
      <c r="F75">
        <f>WEEKDAY(A75,2)</f>
        <v>3</v>
      </c>
      <c r="G75">
        <f t="shared" si="10"/>
        <v>1</v>
      </c>
      <c r="H75">
        <f t="shared" si="11"/>
        <v>60</v>
      </c>
      <c r="I75">
        <f t="shared" si="12"/>
        <v>0</v>
      </c>
      <c r="J75">
        <f t="shared" si="18"/>
        <v>0</v>
      </c>
      <c r="K75">
        <f t="shared" si="13"/>
        <v>10</v>
      </c>
      <c r="L75">
        <f t="shared" si="14"/>
        <v>-6470</v>
      </c>
      <c r="M75">
        <f t="shared" si="15"/>
        <v>60</v>
      </c>
      <c r="N75">
        <f t="shared" si="19"/>
        <v>0</v>
      </c>
    </row>
    <row r="76" spans="1:14" x14ac:dyDescent="0.25">
      <c r="A76" s="1">
        <v>45001</v>
      </c>
      <c r="B76" t="s">
        <v>2</v>
      </c>
      <c r="C76">
        <f t="shared" si="16"/>
        <v>-6470</v>
      </c>
      <c r="D76">
        <f>IF(B76="zima",20%,IF(B76="wiosna",50%,IF(B76="lato",90%,40%)))</f>
        <v>0.2</v>
      </c>
      <c r="E76">
        <f t="shared" si="17"/>
        <v>10</v>
      </c>
      <c r="F76">
        <f>WEEKDAY(A76,2)</f>
        <v>4</v>
      </c>
      <c r="G76">
        <f t="shared" si="10"/>
        <v>1</v>
      </c>
      <c r="H76">
        <f t="shared" si="11"/>
        <v>60</v>
      </c>
      <c r="I76">
        <f t="shared" si="12"/>
        <v>0</v>
      </c>
      <c r="J76">
        <f t="shared" si="18"/>
        <v>0</v>
      </c>
      <c r="K76">
        <f t="shared" si="13"/>
        <v>10</v>
      </c>
      <c r="L76">
        <f t="shared" si="14"/>
        <v>-6410</v>
      </c>
      <c r="M76">
        <f t="shared" si="15"/>
        <v>60</v>
      </c>
      <c r="N76">
        <f t="shared" si="19"/>
        <v>0</v>
      </c>
    </row>
    <row r="77" spans="1:14" x14ac:dyDescent="0.25">
      <c r="A77" s="1">
        <v>45002</v>
      </c>
      <c r="B77" t="s">
        <v>2</v>
      </c>
      <c r="C77">
        <f t="shared" si="16"/>
        <v>-6410</v>
      </c>
      <c r="D77">
        <f>IF(B77="zima",20%,IF(B77="wiosna",50%,IF(B77="lato",90%,40%)))</f>
        <v>0.2</v>
      </c>
      <c r="E77">
        <f t="shared" si="17"/>
        <v>10</v>
      </c>
      <c r="F77">
        <f>WEEKDAY(A77,2)</f>
        <v>5</v>
      </c>
      <c r="G77">
        <f t="shared" si="10"/>
        <v>1</v>
      </c>
      <c r="H77">
        <f t="shared" si="11"/>
        <v>60</v>
      </c>
      <c r="I77">
        <f t="shared" si="12"/>
        <v>0</v>
      </c>
      <c r="J77">
        <f t="shared" si="18"/>
        <v>0</v>
      </c>
      <c r="K77">
        <f t="shared" si="13"/>
        <v>10</v>
      </c>
      <c r="L77">
        <f t="shared" si="14"/>
        <v>-6350</v>
      </c>
      <c r="M77">
        <f t="shared" si="15"/>
        <v>60</v>
      </c>
      <c r="N77">
        <f t="shared" si="19"/>
        <v>0</v>
      </c>
    </row>
    <row r="78" spans="1:14" x14ac:dyDescent="0.25">
      <c r="A78" s="1">
        <v>45003</v>
      </c>
      <c r="B78" t="s">
        <v>2</v>
      </c>
      <c r="C78">
        <f t="shared" si="16"/>
        <v>-6350</v>
      </c>
      <c r="D78">
        <f>IF(B78="zima",20%,IF(B78="wiosna",50%,IF(B78="lato",90%,40%)))</f>
        <v>0.2</v>
      </c>
      <c r="E78">
        <f t="shared" si="17"/>
        <v>10</v>
      </c>
      <c r="F78">
        <f>WEEKDAY(A78,2)</f>
        <v>6</v>
      </c>
      <c r="G78">
        <f t="shared" si="10"/>
        <v>0</v>
      </c>
      <c r="H78">
        <f t="shared" si="11"/>
        <v>0</v>
      </c>
      <c r="I78">
        <f t="shared" si="12"/>
        <v>0</v>
      </c>
      <c r="J78">
        <f t="shared" si="18"/>
        <v>0</v>
      </c>
      <c r="K78">
        <f t="shared" si="13"/>
        <v>10</v>
      </c>
      <c r="L78">
        <f t="shared" si="14"/>
        <v>-6350</v>
      </c>
      <c r="M78">
        <f t="shared" si="15"/>
        <v>0</v>
      </c>
      <c r="N78">
        <f t="shared" si="19"/>
        <v>0</v>
      </c>
    </row>
    <row r="79" spans="1:14" x14ac:dyDescent="0.25">
      <c r="A79" s="1">
        <v>45004</v>
      </c>
      <c r="B79" t="s">
        <v>2</v>
      </c>
      <c r="C79">
        <f t="shared" si="16"/>
        <v>-6350</v>
      </c>
      <c r="D79">
        <f>IF(B79="zima",20%,IF(B79="wiosna",50%,IF(B79="lato",90%,40%)))</f>
        <v>0.2</v>
      </c>
      <c r="E79">
        <f t="shared" si="17"/>
        <v>10</v>
      </c>
      <c r="F79">
        <f>WEEKDAY(A79,2)</f>
        <v>7</v>
      </c>
      <c r="G79">
        <f t="shared" si="10"/>
        <v>0</v>
      </c>
      <c r="H79">
        <f t="shared" si="11"/>
        <v>0</v>
      </c>
      <c r="I79">
        <f t="shared" si="12"/>
        <v>150</v>
      </c>
      <c r="J79">
        <f t="shared" si="18"/>
        <v>0</v>
      </c>
      <c r="K79">
        <f t="shared" si="13"/>
        <v>10</v>
      </c>
      <c r="L79">
        <f t="shared" si="14"/>
        <v>-6500</v>
      </c>
      <c r="M79">
        <f t="shared" si="15"/>
        <v>0</v>
      </c>
      <c r="N79">
        <f t="shared" si="19"/>
        <v>150</v>
      </c>
    </row>
    <row r="80" spans="1:14" x14ac:dyDescent="0.25">
      <c r="A80" s="1">
        <v>45005</v>
      </c>
      <c r="B80" t="s">
        <v>2</v>
      </c>
      <c r="C80">
        <f t="shared" si="16"/>
        <v>-6500</v>
      </c>
      <c r="D80">
        <f>IF(B80="zima",20%,IF(B80="wiosna",50%,IF(B80="lato",90%,40%)))</f>
        <v>0.2</v>
      </c>
      <c r="E80">
        <f t="shared" si="17"/>
        <v>10</v>
      </c>
      <c r="F80">
        <f>WEEKDAY(A80,2)</f>
        <v>1</v>
      </c>
      <c r="G80">
        <f t="shared" si="10"/>
        <v>1</v>
      </c>
      <c r="H80">
        <f t="shared" si="11"/>
        <v>60</v>
      </c>
      <c r="I80">
        <f t="shared" si="12"/>
        <v>0</v>
      </c>
      <c r="J80">
        <f t="shared" si="18"/>
        <v>0</v>
      </c>
      <c r="K80">
        <f t="shared" si="13"/>
        <v>10</v>
      </c>
      <c r="L80">
        <f t="shared" si="14"/>
        <v>-6440</v>
      </c>
      <c r="M80">
        <f t="shared" si="15"/>
        <v>60</v>
      </c>
      <c r="N80">
        <f t="shared" si="19"/>
        <v>0</v>
      </c>
    </row>
    <row r="81" spans="1:14" x14ac:dyDescent="0.25">
      <c r="A81" s="1">
        <v>45006</v>
      </c>
      <c r="B81" t="s">
        <v>3</v>
      </c>
      <c r="C81">
        <f t="shared" si="16"/>
        <v>-6440</v>
      </c>
      <c r="D81">
        <f>IF(B81="zima",20%,IF(B81="wiosna",50%,IF(B81="lato",90%,40%)))</f>
        <v>0.5</v>
      </c>
      <c r="E81">
        <f t="shared" si="17"/>
        <v>10</v>
      </c>
      <c r="F81">
        <f>WEEKDAY(A81,2)</f>
        <v>2</v>
      </c>
      <c r="G81">
        <f t="shared" si="10"/>
        <v>1</v>
      </c>
      <c r="H81">
        <f t="shared" si="11"/>
        <v>150</v>
      </c>
      <c r="I81">
        <f t="shared" si="12"/>
        <v>0</v>
      </c>
      <c r="J81">
        <f t="shared" si="18"/>
        <v>0</v>
      </c>
      <c r="K81">
        <f t="shared" si="13"/>
        <v>10</v>
      </c>
      <c r="L81">
        <f t="shared" si="14"/>
        <v>-6290</v>
      </c>
      <c r="M81">
        <f t="shared" si="15"/>
        <v>150</v>
      </c>
      <c r="N81">
        <f t="shared" si="19"/>
        <v>0</v>
      </c>
    </row>
    <row r="82" spans="1:14" x14ac:dyDescent="0.25">
      <c r="A82" s="1">
        <v>45007</v>
      </c>
      <c r="B82" t="s">
        <v>3</v>
      </c>
      <c r="C82">
        <f t="shared" si="16"/>
        <v>-6290</v>
      </c>
      <c r="D82">
        <f>IF(B82="zima",20%,IF(B82="wiosna",50%,IF(B82="lato",90%,40%)))</f>
        <v>0.5</v>
      </c>
      <c r="E82">
        <f t="shared" si="17"/>
        <v>10</v>
      </c>
      <c r="F82">
        <f>WEEKDAY(A82,2)</f>
        <v>3</v>
      </c>
      <c r="G82">
        <f t="shared" si="10"/>
        <v>1</v>
      </c>
      <c r="H82">
        <f t="shared" si="11"/>
        <v>150</v>
      </c>
      <c r="I82">
        <f t="shared" si="12"/>
        <v>0</v>
      </c>
      <c r="J82">
        <f t="shared" si="18"/>
        <v>0</v>
      </c>
      <c r="K82">
        <f t="shared" si="13"/>
        <v>10</v>
      </c>
      <c r="L82">
        <f t="shared" si="14"/>
        <v>-6140</v>
      </c>
      <c r="M82">
        <f t="shared" si="15"/>
        <v>150</v>
      </c>
      <c r="N82">
        <f t="shared" si="19"/>
        <v>0</v>
      </c>
    </row>
    <row r="83" spans="1:14" x14ac:dyDescent="0.25">
      <c r="A83" s="1">
        <v>45008</v>
      </c>
      <c r="B83" t="s">
        <v>3</v>
      </c>
      <c r="C83">
        <f t="shared" si="16"/>
        <v>-6140</v>
      </c>
      <c r="D83">
        <f>IF(B83="zima",20%,IF(B83="wiosna",50%,IF(B83="lato",90%,40%)))</f>
        <v>0.5</v>
      </c>
      <c r="E83">
        <f t="shared" si="17"/>
        <v>10</v>
      </c>
      <c r="F83">
        <f>WEEKDAY(A83,2)</f>
        <v>4</v>
      </c>
      <c r="G83">
        <f t="shared" si="10"/>
        <v>1</v>
      </c>
      <c r="H83">
        <f t="shared" si="11"/>
        <v>150</v>
      </c>
      <c r="I83">
        <f t="shared" si="12"/>
        <v>0</v>
      </c>
      <c r="J83">
        <f t="shared" si="18"/>
        <v>0</v>
      </c>
      <c r="K83">
        <f t="shared" si="13"/>
        <v>10</v>
      </c>
      <c r="L83">
        <f t="shared" si="14"/>
        <v>-5990</v>
      </c>
      <c r="M83">
        <f t="shared" si="15"/>
        <v>150</v>
      </c>
      <c r="N83">
        <f t="shared" si="19"/>
        <v>0</v>
      </c>
    </row>
    <row r="84" spans="1:14" x14ac:dyDescent="0.25">
      <c r="A84" s="1">
        <v>45009</v>
      </c>
      <c r="B84" t="s">
        <v>3</v>
      </c>
      <c r="C84">
        <f t="shared" si="16"/>
        <v>-5990</v>
      </c>
      <c r="D84">
        <f>IF(B84="zima",20%,IF(B84="wiosna",50%,IF(B84="lato",90%,40%)))</f>
        <v>0.5</v>
      </c>
      <c r="E84">
        <f t="shared" si="17"/>
        <v>10</v>
      </c>
      <c r="F84">
        <f>WEEKDAY(A84,2)</f>
        <v>5</v>
      </c>
      <c r="G84">
        <f t="shared" si="10"/>
        <v>1</v>
      </c>
      <c r="H84">
        <f t="shared" si="11"/>
        <v>150</v>
      </c>
      <c r="I84">
        <f t="shared" si="12"/>
        <v>0</v>
      </c>
      <c r="J84">
        <f t="shared" si="18"/>
        <v>0</v>
      </c>
      <c r="K84">
        <f t="shared" si="13"/>
        <v>10</v>
      </c>
      <c r="L84">
        <f t="shared" si="14"/>
        <v>-5840</v>
      </c>
      <c r="M84">
        <f t="shared" si="15"/>
        <v>150</v>
      </c>
      <c r="N84">
        <f t="shared" si="19"/>
        <v>0</v>
      </c>
    </row>
    <row r="85" spans="1:14" x14ac:dyDescent="0.25">
      <c r="A85" s="1">
        <v>45010</v>
      </c>
      <c r="B85" t="s">
        <v>3</v>
      </c>
      <c r="C85">
        <f t="shared" si="16"/>
        <v>-5840</v>
      </c>
      <c r="D85">
        <f>IF(B85="zima",20%,IF(B85="wiosna",50%,IF(B85="lato",90%,40%)))</f>
        <v>0.5</v>
      </c>
      <c r="E85">
        <f t="shared" si="17"/>
        <v>10</v>
      </c>
      <c r="F85">
        <f>WEEKDAY(A85,2)</f>
        <v>6</v>
      </c>
      <c r="G85">
        <f t="shared" si="10"/>
        <v>0</v>
      </c>
      <c r="H85">
        <f t="shared" si="11"/>
        <v>0</v>
      </c>
      <c r="I85">
        <f t="shared" si="12"/>
        <v>0</v>
      </c>
      <c r="J85">
        <f t="shared" si="18"/>
        <v>0</v>
      </c>
      <c r="K85">
        <f t="shared" si="13"/>
        <v>10</v>
      </c>
      <c r="L85">
        <f t="shared" si="14"/>
        <v>-5840</v>
      </c>
      <c r="M85">
        <f t="shared" si="15"/>
        <v>0</v>
      </c>
      <c r="N85">
        <f t="shared" si="19"/>
        <v>0</v>
      </c>
    </row>
    <row r="86" spans="1:14" x14ac:dyDescent="0.25">
      <c r="A86" s="1">
        <v>45011</v>
      </c>
      <c r="B86" t="s">
        <v>3</v>
      </c>
      <c r="C86">
        <f t="shared" si="16"/>
        <v>-5840</v>
      </c>
      <c r="D86">
        <f>IF(B86="zima",20%,IF(B86="wiosna",50%,IF(B86="lato",90%,40%)))</f>
        <v>0.5</v>
      </c>
      <c r="E86">
        <f t="shared" si="17"/>
        <v>10</v>
      </c>
      <c r="F86">
        <f>WEEKDAY(A86,2)</f>
        <v>7</v>
      </c>
      <c r="G86">
        <f t="shared" si="10"/>
        <v>0</v>
      </c>
      <c r="H86">
        <f t="shared" si="11"/>
        <v>0</v>
      </c>
      <c r="I86">
        <f t="shared" si="12"/>
        <v>150</v>
      </c>
      <c r="J86">
        <f t="shared" si="18"/>
        <v>0</v>
      </c>
      <c r="K86">
        <f t="shared" si="13"/>
        <v>10</v>
      </c>
      <c r="L86">
        <f t="shared" si="14"/>
        <v>-5990</v>
      </c>
      <c r="M86">
        <f t="shared" si="15"/>
        <v>0</v>
      </c>
      <c r="N86">
        <f t="shared" si="19"/>
        <v>150</v>
      </c>
    </row>
    <row r="87" spans="1:14" x14ac:dyDescent="0.25">
      <c r="A87" s="1">
        <v>45012</v>
      </c>
      <c r="B87" t="s">
        <v>3</v>
      </c>
      <c r="C87">
        <f t="shared" si="16"/>
        <v>-5990</v>
      </c>
      <c r="D87">
        <f>IF(B87="zima",20%,IF(B87="wiosna",50%,IF(B87="lato",90%,40%)))</f>
        <v>0.5</v>
      </c>
      <c r="E87">
        <f t="shared" si="17"/>
        <v>10</v>
      </c>
      <c r="F87">
        <f>WEEKDAY(A87,2)</f>
        <v>1</v>
      </c>
      <c r="G87">
        <f t="shared" si="10"/>
        <v>1</v>
      </c>
      <c r="H87">
        <f t="shared" si="11"/>
        <v>150</v>
      </c>
      <c r="I87">
        <f t="shared" si="12"/>
        <v>0</v>
      </c>
      <c r="J87">
        <f t="shared" si="18"/>
        <v>0</v>
      </c>
      <c r="K87">
        <f t="shared" si="13"/>
        <v>10</v>
      </c>
      <c r="L87">
        <f t="shared" si="14"/>
        <v>-5840</v>
      </c>
      <c r="M87">
        <f t="shared" si="15"/>
        <v>150</v>
      </c>
      <c r="N87">
        <f t="shared" si="19"/>
        <v>0</v>
      </c>
    </row>
    <row r="88" spans="1:14" x14ac:dyDescent="0.25">
      <c r="A88" s="1">
        <v>45013</v>
      </c>
      <c r="B88" t="s">
        <v>3</v>
      </c>
      <c r="C88">
        <f t="shared" si="16"/>
        <v>-5840</v>
      </c>
      <c r="D88">
        <f>IF(B88="zima",20%,IF(B88="wiosna",50%,IF(B88="lato",90%,40%)))</f>
        <v>0.5</v>
      </c>
      <c r="E88">
        <f t="shared" si="17"/>
        <v>10</v>
      </c>
      <c r="F88">
        <f>WEEKDAY(A88,2)</f>
        <v>2</v>
      </c>
      <c r="G88">
        <f t="shared" si="10"/>
        <v>1</v>
      </c>
      <c r="H88">
        <f t="shared" si="11"/>
        <v>150</v>
      </c>
      <c r="I88">
        <f t="shared" si="12"/>
        <v>0</v>
      </c>
      <c r="J88">
        <f t="shared" si="18"/>
        <v>0</v>
      </c>
      <c r="K88">
        <f t="shared" si="13"/>
        <v>10</v>
      </c>
      <c r="L88">
        <f t="shared" si="14"/>
        <v>-5690</v>
      </c>
      <c r="M88">
        <f t="shared" si="15"/>
        <v>150</v>
      </c>
      <c r="N88">
        <f t="shared" si="19"/>
        <v>0</v>
      </c>
    </row>
    <row r="89" spans="1:14" x14ac:dyDescent="0.25">
      <c r="A89" s="1">
        <v>45014</v>
      </c>
      <c r="B89" t="s">
        <v>3</v>
      </c>
      <c r="C89">
        <f t="shared" si="16"/>
        <v>-5690</v>
      </c>
      <c r="D89">
        <f>IF(B89="zima",20%,IF(B89="wiosna",50%,IF(B89="lato",90%,40%)))</f>
        <v>0.5</v>
      </c>
      <c r="E89">
        <f t="shared" si="17"/>
        <v>10</v>
      </c>
      <c r="F89">
        <f>WEEKDAY(A89,2)</f>
        <v>3</v>
      </c>
      <c r="G89">
        <f t="shared" si="10"/>
        <v>1</v>
      </c>
      <c r="H89">
        <f t="shared" si="11"/>
        <v>150</v>
      </c>
      <c r="I89">
        <f t="shared" si="12"/>
        <v>0</v>
      </c>
      <c r="J89">
        <f t="shared" si="18"/>
        <v>0</v>
      </c>
      <c r="K89">
        <f t="shared" si="13"/>
        <v>10</v>
      </c>
      <c r="L89">
        <f t="shared" si="14"/>
        <v>-5540</v>
      </c>
      <c r="M89">
        <f t="shared" si="15"/>
        <v>150</v>
      </c>
      <c r="N89">
        <f t="shared" si="19"/>
        <v>0</v>
      </c>
    </row>
    <row r="90" spans="1:14" x14ac:dyDescent="0.25">
      <c r="A90" s="1">
        <v>45015</v>
      </c>
      <c r="B90" t="s">
        <v>3</v>
      </c>
      <c r="C90">
        <f t="shared" si="16"/>
        <v>-5540</v>
      </c>
      <c r="D90">
        <f>IF(B90="zima",20%,IF(B90="wiosna",50%,IF(B90="lato",90%,40%)))</f>
        <v>0.5</v>
      </c>
      <c r="E90">
        <f t="shared" si="17"/>
        <v>10</v>
      </c>
      <c r="F90">
        <f>WEEKDAY(A90,2)</f>
        <v>4</v>
      </c>
      <c r="G90">
        <f t="shared" si="10"/>
        <v>1</v>
      </c>
      <c r="H90">
        <f t="shared" si="11"/>
        <v>150</v>
      </c>
      <c r="I90">
        <f t="shared" si="12"/>
        <v>0</v>
      </c>
      <c r="J90">
        <f t="shared" si="18"/>
        <v>0</v>
      </c>
      <c r="K90">
        <f t="shared" si="13"/>
        <v>10</v>
      </c>
      <c r="L90">
        <f t="shared" si="14"/>
        <v>-5390</v>
      </c>
      <c r="M90">
        <f t="shared" si="15"/>
        <v>150</v>
      </c>
      <c r="N90">
        <f t="shared" si="19"/>
        <v>0</v>
      </c>
    </row>
    <row r="91" spans="1:14" x14ac:dyDescent="0.25">
      <c r="A91" s="1">
        <v>45016</v>
      </c>
      <c r="B91" t="s">
        <v>3</v>
      </c>
      <c r="C91">
        <f t="shared" si="16"/>
        <v>-5390</v>
      </c>
      <c r="D91">
        <f>IF(B91="zima",20%,IF(B91="wiosna",50%,IF(B91="lato",90%,40%)))</f>
        <v>0.5</v>
      </c>
      <c r="E91">
        <f t="shared" si="17"/>
        <v>10</v>
      </c>
      <c r="F91">
        <f>WEEKDAY(A91,2)</f>
        <v>5</v>
      </c>
      <c r="G91">
        <f t="shared" si="10"/>
        <v>1</v>
      </c>
      <c r="H91">
        <f t="shared" si="11"/>
        <v>150</v>
      </c>
      <c r="I91">
        <f t="shared" si="12"/>
        <v>0</v>
      </c>
      <c r="J91">
        <f t="shared" si="18"/>
        <v>0</v>
      </c>
      <c r="K91">
        <f t="shared" si="13"/>
        <v>10</v>
      </c>
      <c r="L91">
        <f t="shared" si="14"/>
        <v>-5240</v>
      </c>
      <c r="M91">
        <f t="shared" si="15"/>
        <v>150</v>
      </c>
      <c r="N91">
        <f t="shared" si="19"/>
        <v>0</v>
      </c>
    </row>
    <row r="92" spans="1:14" x14ac:dyDescent="0.25">
      <c r="A92" s="1">
        <v>45017</v>
      </c>
      <c r="B92" t="s">
        <v>3</v>
      </c>
      <c r="C92">
        <f t="shared" si="16"/>
        <v>-5240</v>
      </c>
      <c r="D92">
        <f>IF(B92="zima",20%,IF(B92="wiosna",50%,IF(B92="lato",90%,40%)))</f>
        <v>0.5</v>
      </c>
      <c r="E92">
        <f t="shared" si="17"/>
        <v>10</v>
      </c>
      <c r="F92">
        <f>WEEKDAY(A92,2)</f>
        <v>6</v>
      </c>
      <c r="G92">
        <f t="shared" si="10"/>
        <v>0</v>
      </c>
      <c r="H92">
        <f t="shared" si="11"/>
        <v>0</v>
      </c>
      <c r="I92">
        <f t="shared" si="12"/>
        <v>0</v>
      </c>
      <c r="J92">
        <f t="shared" si="18"/>
        <v>0</v>
      </c>
      <c r="K92">
        <f t="shared" si="13"/>
        <v>10</v>
      </c>
      <c r="L92">
        <f t="shared" si="14"/>
        <v>-5240</v>
      </c>
      <c r="M92">
        <f t="shared" si="15"/>
        <v>0</v>
      </c>
      <c r="N92">
        <f t="shared" si="19"/>
        <v>0</v>
      </c>
    </row>
    <row r="93" spans="1:14" x14ac:dyDescent="0.25">
      <c r="A93" s="1">
        <v>45018</v>
      </c>
      <c r="B93" t="s">
        <v>3</v>
      </c>
      <c r="C93">
        <f t="shared" si="16"/>
        <v>-5240</v>
      </c>
      <c r="D93">
        <f>IF(B93="zima",20%,IF(B93="wiosna",50%,IF(B93="lato",90%,40%)))</f>
        <v>0.5</v>
      </c>
      <c r="E93">
        <f t="shared" si="17"/>
        <v>10</v>
      </c>
      <c r="F93">
        <f>WEEKDAY(A93,2)</f>
        <v>7</v>
      </c>
      <c r="G93">
        <f t="shared" si="10"/>
        <v>0</v>
      </c>
      <c r="H93">
        <f t="shared" si="11"/>
        <v>0</v>
      </c>
      <c r="I93">
        <f t="shared" si="12"/>
        <v>150</v>
      </c>
      <c r="J93">
        <f t="shared" si="18"/>
        <v>0</v>
      </c>
      <c r="K93">
        <f t="shared" si="13"/>
        <v>10</v>
      </c>
      <c r="L93">
        <f t="shared" si="14"/>
        <v>-5390</v>
      </c>
      <c r="M93">
        <f t="shared" si="15"/>
        <v>0</v>
      </c>
      <c r="N93">
        <f t="shared" si="19"/>
        <v>150</v>
      </c>
    </row>
    <row r="94" spans="1:14" x14ac:dyDescent="0.25">
      <c r="A94" s="1">
        <v>45019</v>
      </c>
      <c r="B94" t="s">
        <v>3</v>
      </c>
      <c r="C94">
        <f t="shared" si="16"/>
        <v>-5390</v>
      </c>
      <c r="D94">
        <f>IF(B94="zima",20%,IF(B94="wiosna",50%,IF(B94="lato",90%,40%)))</f>
        <v>0.5</v>
      </c>
      <c r="E94">
        <f t="shared" si="17"/>
        <v>10</v>
      </c>
      <c r="F94">
        <f>WEEKDAY(A94,2)</f>
        <v>1</v>
      </c>
      <c r="G94">
        <f t="shared" si="10"/>
        <v>1</v>
      </c>
      <c r="H94">
        <f t="shared" si="11"/>
        <v>150</v>
      </c>
      <c r="I94">
        <f t="shared" si="12"/>
        <v>0</v>
      </c>
      <c r="J94">
        <f t="shared" si="18"/>
        <v>0</v>
      </c>
      <c r="K94">
        <f t="shared" si="13"/>
        <v>10</v>
      </c>
      <c r="L94">
        <f t="shared" si="14"/>
        <v>-5240</v>
      </c>
      <c r="M94">
        <f t="shared" si="15"/>
        <v>150</v>
      </c>
      <c r="N94">
        <f t="shared" si="19"/>
        <v>0</v>
      </c>
    </row>
    <row r="95" spans="1:14" x14ac:dyDescent="0.25">
      <c r="A95" s="1">
        <v>45020</v>
      </c>
      <c r="B95" t="s">
        <v>3</v>
      </c>
      <c r="C95">
        <f t="shared" si="16"/>
        <v>-5240</v>
      </c>
      <c r="D95">
        <f>IF(B95="zima",20%,IF(B95="wiosna",50%,IF(B95="lato",90%,40%)))</f>
        <v>0.5</v>
      </c>
      <c r="E95">
        <f t="shared" si="17"/>
        <v>10</v>
      </c>
      <c r="F95">
        <f>WEEKDAY(A95,2)</f>
        <v>2</v>
      </c>
      <c r="G95">
        <f t="shared" si="10"/>
        <v>1</v>
      </c>
      <c r="H95">
        <f t="shared" si="11"/>
        <v>150</v>
      </c>
      <c r="I95">
        <f t="shared" si="12"/>
        <v>0</v>
      </c>
      <c r="J95">
        <f t="shared" si="18"/>
        <v>0</v>
      </c>
      <c r="K95">
        <f t="shared" si="13"/>
        <v>10</v>
      </c>
      <c r="L95">
        <f t="shared" si="14"/>
        <v>-5090</v>
      </c>
      <c r="M95">
        <f t="shared" si="15"/>
        <v>150</v>
      </c>
      <c r="N95">
        <f t="shared" si="19"/>
        <v>0</v>
      </c>
    </row>
    <row r="96" spans="1:14" x14ac:dyDescent="0.25">
      <c r="A96" s="1">
        <v>45021</v>
      </c>
      <c r="B96" t="s">
        <v>3</v>
      </c>
      <c r="C96">
        <f t="shared" si="16"/>
        <v>-5090</v>
      </c>
      <c r="D96">
        <f>IF(B96="zima",20%,IF(B96="wiosna",50%,IF(B96="lato",90%,40%)))</f>
        <v>0.5</v>
      </c>
      <c r="E96">
        <f t="shared" si="17"/>
        <v>10</v>
      </c>
      <c r="F96">
        <f>WEEKDAY(A96,2)</f>
        <v>3</v>
      </c>
      <c r="G96">
        <f t="shared" si="10"/>
        <v>1</v>
      </c>
      <c r="H96">
        <f t="shared" si="11"/>
        <v>150</v>
      </c>
      <c r="I96">
        <f t="shared" si="12"/>
        <v>0</v>
      </c>
      <c r="J96">
        <f t="shared" si="18"/>
        <v>0</v>
      </c>
      <c r="K96">
        <f t="shared" si="13"/>
        <v>10</v>
      </c>
      <c r="L96">
        <f t="shared" si="14"/>
        <v>-4940</v>
      </c>
      <c r="M96">
        <f t="shared" si="15"/>
        <v>150</v>
      </c>
      <c r="N96">
        <f t="shared" si="19"/>
        <v>0</v>
      </c>
    </row>
    <row r="97" spans="1:14" x14ac:dyDescent="0.25">
      <c r="A97" s="1">
        <v>45022</v>
      </c>
      <c r="B97" t="s">
        <v>3</v>
      </c>
      <c r="C97">
        <f t="shared" si="16"/>
        <v>-4940</v>
      </c>
      <c r="D97">
        <f>IF(B97="zima",20%,IF(B97="wiosna",50%,IF(B97="lato",90%,40%)))</f>
        <v>0.5</v>
      </c>
      <c r="E97">
        <f t="shared" si="17"/>
        <v>10</v>
      </c>
      <c r="F97">
        <f>WEEKDAY(A97,2)</f>
        <v>4</v>
      </c>
      <c r="G97">
        <f t="shared" si="10"/>
        <v>1</v>
      </c>
      <c r="H97">
        <f t="shared" si="11"/>
        <v>150</v>
      </c>
      <c r="I97">
        <f t="shared" si="12"/>
        <v>0</v>
      </c>
      <c r="J97">
        <f t="shared" si="18"/>
        <v>0</v>
      </c>
      <c r="K97">
        <f t="shared" si="13"/>
        <v>10</v>
      </c>
      <c r="L97">
        <f t="shared" si="14"/>
        <v>-4790</v>
      </c>
      <c r="M97">
        <f t="shared" si="15"/>
        <v>150</v>
      </c>
      <c r="N97">
        <f t="shared" si="19"/>
        <v>0</v>
      </c>
    </row>
    <row r="98" spans="1:14" x14ac:dyDescent="0.25">
      <c r="A98" s="1">
        <v>45023</v>
      </c>
      <c r="B98" t="s">
        <v>3</v>
      </c>
      <c r="C98">
        <f t="shared" si="16"/>
        <v>-4790</v>
      </c>
      <c r="D98">
        <f>IF(B98="zima",20%,IF(B98="wiosna",50%,IF(B98="lato",90%,40%)))</f>
        <v>0.5</v>
      </c>
      <c r="E98">
        <f t="shared" si="17"/>
        <v>10</v>
      </c>
      <c r="F98">
        <f>WEEKDAY(A98,2)</f>
        <v>5</v>
      </c>
      <c r="G98">
        <f t="shared" si="10"/>
        <v>1</v>
      </c>
      <c r="H98">
        <f t="shared" si="11"/>
        <v>150</v>
      </c>
      <c r="I98">
        <f t="shared" si="12"/>
        <v>0</v>
      </c>
      <c r="J98">
        <f t="shared" si="18"/>
        <v>0</v>
      </c>
      <c r="K98">
        <f t="shared" si="13"/>
        <v>10</v>
      </c>
      <c r="L98">
        <f t="shared" si="14"/>
        <v>-4640</v>
      </c>
      <c r="M98">
        <f t="shared" si="15"/>
        <v>150</v>
      </c>
      <c r="N98">
        <f t="shared" si="19"/>
        <v>0</v>
      </c>
    </row>
    <row r="99" spans="1:14" x14ac:dyDescent="0.25">
      <c r="A99" s="1">
        <v>45024</v>
      </c>
      <c r="B99" t="s">
        <v>3</v>
      </c>
      <c r="C99">
        <f t="shared" si="16"/>
        <v>-4640</v>
      </c>
      <c r="D99">
        <f>IF(B99="zima",20%,IF(B99="wiosna",50%,IF(B99="lato",90%,40%)))</f>
        <v>0.5</v>
      </c>
      <c r="E99">
        <f t="shared" si="17"/>
        <v>10</v>
      </c>
      <c r="F99">
        <f>WEEKDAY(A99,2)</f>
        <v>6</v>
      </c>
      <c r="G99">
        <f t="shared" si="10"/>
        <v>0</v>
      </c>
      <c r="H99">
        <f t="shared" si="11"/>
        <v>0</v>
      </c>
      <c r="I99">
        <f t="shared" si="12"/>
        <v>0</v>
      </c>
      <c r="J99">
        <f t="shared" si="18"/>
        <v>0</v>
      </c>
      <c r="K99">
        <f t="shared" si="13"/>
        <v>10</v>
      </c>
      <c r="L99">
        <f t="shared" si="14"/>
        <v>-4640</v>
      </c>
      <c r="M99">
        <f t="shared" si="15"/>
        <v>0</v>
      </c>
      <c r="N99">
        <f t="shared" si="19"/>
        <v>0</v>
      </c>
    </row>
    <row r="100" spans="1:14" x14ac:dyDescent="0.25">
      <c r="A100" s="1">
        <v>45025</v>
      </c>
      <c r="B100" t="s">
        <v>3</v>
      </c>
      <c r="C100">
        <f t="shared" si="16"/>
        <v>-4640</v>
      </c>
      <c r="D100">
        <f>IF(B100="zima",20%,IF(B100="wiosna",50%,IF(B100="lato",90%,40%)))</f>
        <v>0.5</v>
      </c>
      <c r="E100">
        <f t="shared" si="17"/>
        <v>10</v>
      </c>
      <c r="F100">
        <f>WEEKDAY(A100,2)</f>
        <v>7</v>
      </c>
      <c r="G100">
        <f t="shared" si="10"/>
        <v>0</v>
      </c>
      <c r="H100">
        <f t="shared" si="11"/>
        <v>0</v>
      </c>
      <c r="I100">
        <f t="shared" si="12"/>
        <v>150</v>
      </c>
      <c r="J100">
        <f t="shared" si="18"/>
        <v>0</v>
      </c>
      <c r="K100">
        <f t="shared" si="13"/>
        <v>10</v>
      </c>
      <c r="L100">
        <f t="shared" si="14"/>
        <v>-4790</v>
      </c>
      <c r="M100">
        <f t="shared" si="15"/>
        <v>0</v>
      </c>
      <c r="N100">
        <f t="shared" si="19"/>
        <v>150</v>
      </c>
    </row>
    <row r="101" spans="1:14" x14ac:dyDescent="0.25">
      <c r="A101" s="1">
        <v>45026</v>
      </c>
      <c r="B101" t="s">
        <v>3</v>
      </c>
      <c r="C101">
        <f t="shared" si="16"/>
        <v>-4790</v>
      </c>
      <c r="D101">
        <f>IF(B101="zima",20%,IF(B101="wiosna",50%,IF(B101="lato",90%,40%)))</f>
        <v>0.5</v>
      </c>
      <c r="E101">
        <f t="shared" si="17"/>
        <v>10</v>
      </c>
      <c r="F101">
        <f>WEEKDAY(A101,2)</f>
        <v>1</v>
      </c>
      <c r="G101">
        <f t="shared" si="10"/>
        <v>1</v>
      </c>
      <c r="H101">
        <f t="shared" si="11"/>
        <v>150</v>
      </c>
      <c r="I101">
        <f t="shared" si="12"/>
        <v>0</v>
      </c>
      <c r="J101">
        <f t="shared" si="18"/>
        <v>0</v>
      </c>
      <c r="K101">
        <f t="shared" si="13"/>
        <v>10</v>
      </c>
      <c r="L101">
        <f t="shared" si="14"/>
        <v>-4640</v>
      </c>
      <c r="M101">
        <f t="shared" si="15"/>
        <v>150</v>
      </c>
      <c r="N101">
        <f t="shared" si="19"/>
        <v>0</v>
      </c>
    </row>
    <row r="102" spans="1:14" x14ac:dyDescent="0.25">
      <c r="A102" s="1">
        <v>45027</v>
      </c>
      <c r="B102" t="s">
        <v>3</v>
      </c>
      <c r="C102">
        <f t="shared" si="16"/>
        <v>-4640</v>
      </c>
      <c r="D102">
        <f>IF(B102="zima",20%,IF(B102="wiosna",50%,IF(B102="lato",90%,40%)))</f>
        <v>0.5</v>
      </c>
      <c r="E102">
        <f t="shared" si="17"/>
        <v>10</v>
      </c>
      <c r="F102">
        <f>WEEKDAY(A102,2)</f>
        <v>2</v>
      </c>
      <c r="G102">
        <f t="shared" si="10"/>
        <v>1</v>
      </c>
      <c r="H102">
        <f t="shared" si="11"/>
        <v>150</v>
      </c>
      <c r="I102">
        <f t="shared" si="12"/>
        <v>0</v>
      </c>
      <c r="J102">
        <f t="shared" si="18"/>
        <v>0</v>
      </c>
      <c r="K102">
        <f t="shared" si="13"/>
        <v>10</v>
      </c>
      <c r="L102">
        <f t="shared" si="14"/>
        <v>-4490</v>
      </c>
      <c r="M102">
        <f t="shared" si="15"/>
        <v>150</v>
      </c>
      <c r="N102">
        <f t="shared" si="19"/>
        <v>0</v>
      </c>
    </row>
    <row r="103" spans="1:14" x14ac:dyDescent="0.25">
      <c r="A103" s="1">
        <v>45028</v>
      </c>
      <c r="B103" t="s">
        <v>3</v>
      </c>
      <c r="C103">
        <f t="shared" si="16"/>
        <v>-4490</v>
      </c>
      <c r="D103">
        <f>IF(B103="zima",20%,IF(B103="wiosna",50%,IF(B103="lato",90%,40%)))</f>
        <v>0.5</v>
      </c>
      <c r="E103">
        <f t="shared" si="17"/>
        <v>10</v>
      </c>
      <c r="F103">
        <f>WEEKDAY(A103,2)</f>
        <v>3</v>
      </c>
      <c r="G103">
        <f t="shared" si="10"/>
        <v>1</v>
      </c>
      <c r="H103">
        <f t="shared" si="11"/>
        <v>150</v>
      </c>
      <c r="I103">
        <f t="shared" si="12"/>
        <v>0</v>
      </c>
      <c r="J103">
        <f t="shared" si="18"/>
        <v>0</v>
      </c>
      <c r="K103">
        <f t="shared" si="13"/>
        <v>10</v>
      </c>
      <c r="L103">
        <f t="shared" si="14"/>
        <v>-4340</v>
      </c>
      <c r="M103">
        <f t="shared" si="15"/>
        <v>150</v>
      </c>
      <c r="N103">
        <f t="shared" si="19"/>
        <v>0</v>
      </c>
    </row>
    <row r="104" spans="1:14" x14ac:dyDescent="0.25">
      <c r="A104" s="1">
        <v>45029</v>
      </c>
      <c r="B104" t="s">
        <v>3</v>
      </c>
      <c r="C104">
        <f t="shared" si="16"/>
        <v>-4340</v>
      </c>
      <c r="D104">
        <f>IF(B104="zima",20%,IF(B104="wiosna",50%,IF(B104="lato",90%,40%)))</f>
        <v>0.5</v>
      </c>
      <c r="E104">
        <f t="shared" si="17"/>
        <v>10</v>
      </c>
      <c r="F104">
        <f>WEEKDAY(A104,2)</f>
        <v>4</v>
      </c>
      <c r="G104">
        <f t="shared" si="10"/>
        <v>1</v>
      </c>
      <c r="H104">
        <f t="shared" si="11"/>
        <v>150</v>
      </c>
      <c r="I104">
        <f t="shared" si="12"/>
        <v>0</v>
      </c>
      <c r="J104">
        <f t="shared" si="18"/>
        <v>0</v>
      </c>
      <c r="K104">
        <f t="shared" si="13"/>
        <v>10</v>
      </c>
      <c r="L104">
        <f t="shared" si="14"/>
        <v>-4190</v>
      </c>
      <c r="M104">
        <f t="shared" si="15"/>
        <v>150</v>
      </c>
      <c r="N104">
        <f t="shared" si="19"/>
        <v>0</v>
      </c>
    </row>
    <row r="105" spans="1:14" x14ac:dyDescent="0.25">
      <c r="A105" s="1">
        <v>45030</v>
      </c>
      <c r="B105" t="s">
        <v>3</v>
      </c>
      <c r="C105">
        <f t="shared" si="16"/>
        <v>-4190</v>
      </c>
      <c r="D105">
        <f>IF(B105="zima",20%,IF(B105="wiosna",50%,IF(B105="lato",90%,40%)))</f>
        <v>0.5</v>
      </c>
      <c r="E105">
        <f t="shared" si="17"/>
        <v>10</v>
      </c>
      <c r="F105">
        <f>WEEKDAY(A105,2)</f>
        <v>5</v>
      </c>
      <c r="G105">
        <f t="shared" si="10"/>
        <v>1</v>
      </c>
      <c r="H105">
        <f t="shared" si="11"/>
        <v>150</v>
      </c>
      <c r="I105">
        <f t="shared" si="12"/>
        <v>0</v>
      </c>
      <c r="J105">
        <f t="shared" si="18"/>
        <v>0</v>
      </c>
      <c r="K105">
        <f t="shared" si="13"/>
        <v>10</v>
      </c>
      <c r="L105">
        <f t="shared" si="14"/>
        <v>-4040</v>
      </c>
      <c r="M105">
        <f t="shared" si="15"/>
        <v>150</v>
      </c>
      <c r="N105">
        <f t="shared" si="19"/>
        <v>0</v>
      </c>
    </row>
    <row r="106" spans="1:14" x14ac:dyDescent="0.25">
      <c r="A106" s="1">
        <v>45031</v>
      </c>
      <c r="B106" t="s">
        <v>3</v>
      </c>
      <c r="C106">
        <f t="shared" si="16"/>
        <v>-4040</v>
      </c>
      <c r="D106">
        <f>IF(B106="zima",20%,IF(B106="wiosna",50%,IF(B106="lato",90%,40%)))</f>
        <v>0.5</v>
      </c>
      <c r="E106">
        <f t="shared" si="17"/>
        <v>10</v>
      </c>
      <c r="F106">
        <f>WEEKDAY(A106,2)</f>
        <v>6</v>
      </c>
      <c r="G106">
        <f t="shared" si="10"/>
        <v>0</v>
      </c>
      <c r="H106">
        <f t="shared" si="11"/>
        <v>0</v>
      </c>
      <c r="I106">
        <f t="shared" si="12"/>
        <v>0</v>
      </c>
      <c r="J106">
        <f t="shared" si="18"/>
        <v>0</v>
      </c>
      <c r="K106">
        <f t="shared" si="13"/>
        <v>10</v>
      </c>
      <c r="L106">
        <f t="shared" si="14"/>
        <v>-4040</v>
      </c>
      <c r="M106">
        <f t="shared" si="15"/>
        <v>0</v>
      </c>
      <c r="N106">
        <f t="shared" si="19"/>
        <v>0</v>
      </c>
    </row>
    <row r="107" spans="1:14" x14ac:dyDescent="0.25">
      <c r="A107" s="1">
        <v>45032</v>
      </c>
      <c r="B107" t="s">
        <v>3</v>
      </c>
      <c r="C107">
        <f t="shared" si="16"/>
        <v>-4040</v>
      </c>
      <c r="D107">
        <f>IF(B107="zima",20%,IF(B107="wiosna",50%,IF(B107="lato",90%,40%)))</f>
        <v>0.5</v>
      </c>
      <c r="E107">
        <f t="shared" si="17"/>
        <v>10</v>
      </c>
      <c r="F107">
        <f>WEEKDAY(A107,2)</f>
        <v>7</v>
      </c>
      <c r="G107">
        <f t="shared" si="10"/>
        <v>0</v>
      </c>
      <c r="H107">
        <f t="shared" si="11"/>
        <v>0</v>
      </c>
      <c r="I107">
        <f t="shared" si="12"/>
        <v>150</v>
      </c>
      <c r="J107">
        <f t="shared" si="18"/>
        <v>0</v>
      </c>
      <c r="K107">
        <f t="shared" si="13"/>
        <v>10</v>
      </c>
      <c r="L107">
        <f t="shared" si="14"/>
        <v>-4190</v>
      </c>
      <c r="M107">
        <f t="shared" si="15"/>
        <v>0</v>
      </c>
      <c r="N107">
        <f t="shared" si="19"/>
        <v>150</v>
      </c>
    </row>
    <row r="108" spans="1:14" x14ac:dyDescent="0.25">
      <c r="A108" s="1">
        <v>45033</v>
      </c>
      <c r="B108" t="s">
        <v>3</v>
      </c>
      <c r="C108">
        <f t="shared" si="16"/>
        <v>-4190</v>
      </c>
      <c r="D108">
        <f>IF(B108="zima",20%,IF(B108="wiosna",50%,IF(B108="lato",90%,40%)))</f>
        <v>0.5</v>
      </c>
      <c r="E108">
        <f t="shared" si="17"/>
        <v>10</v>
      </c>
      <c r="F108">
        <f>WEEKDAY(A108,2)</f>
        <v>1</v>
      </c>
      <c r="G108">
        <f t="shared" si="10"/>
        <v>1</v>
      </c>
      <c r="H108">
        <f t="shared" si="11"/>
        <v>150</v>
      </c>
      <c r="I108">
        <f t="shared" si="12"/>
        <v>0</v>
      </c>
      <c r="J108">
        <f t="shared" si="18"/>
        <v>0</v>
      </c>
      <c r="K108">
        <f t="shared" si="13"/>
        <v>10</v>
      </c>
      <c r="L108">
        <f t="shared" si="14"/>
        <v>-4040</v>
      </c>
      <c r="M108">
        <f t="shared" si="15"/>
        <v>150</v>
      </c>
      <c r="N108">
        <f t="shared" si="19"/>
        <v>0</v>
      </c>
    </row>
    <row r="109" spans="1:14" x14ac:dyDescent="0.25">
      <c r="A109" s="1">
        <v>45034</v>
      </c>
      <c r="B109" t="s">
        <v>3</v>
      </c>
      <c r="C109">
        <f t="shared" si="16"/>
        <v>-4040</v>
      </c>
      <c r="D109">
        <f>IF(B109="zima",20%,IF(B109="wiosna",50%,IF(B109="lato",90%,40%)))</f>
        <v>0.5</v>
      </c>
      <c r="E109">
        <f t="shared" si="17"/>
        <v>10</v>
      </c>
      <c r="F109">
        <f>WEEKDAY(A109,2)</f>
        <v>2</v>
      </c>
      <c r="G109">
        <f t="shared" si="10"/>
        <v>1</v>
      </c>
      <c r="H109">
        <f t="shared" si="11"/>
        <v>150</v>
      </c>
      <c r="I109">
        <f t="shared" si="12"/>
        <v>0</v>
      </c>
      <c r="J109">
        <f t="shared" si="18"/>
        <v>0</v>
      </c>
      <c r="K109">
        <f t="shared" si="13"/>
        <v>10</v>
      </c>
      <c r="L109">
        <f t="shared" si="14"/>
        <v>-3890</v>
      </c>
      <c r="M109">
        <f t="shared" si="15"/>
        <v>150</v>
      </c>
      <c r="N109">
        <f t="shared" si="19"/>
        <v>0</v>
      </c>
    </row>
    <row r="110" spans="1:14" x14ac:dyDescent="0.25">
      <c r="A110" s="1">
        <v>45035</v>
      </c>
      <c r="B110" t="s">
        <v>3</v>
      </c>
      <c r="C110">
        <f t="shared" si="16"/>
        <v>-3890</v>
      </c>
      <c r="D110">
        <f>IF(B110="zima",20%,IF(B110="wiosna",50%,IF(B110="lato",90%,40%)))</f>
        <v>0.5</v>
      </c>
      <c r="E110">
        <f t="shared" si="17"/>
        <v>10</v>
      </c>
      <c r="F110">
        <f>WEEKDAY(A110,2)</f>
        <v>3</v>
      </c>
      <c r="G110">
        <f t="shared" si="10"/>
        <v>1</v>
      </c>
      <c r="H110">
        <f t="shared" si="11"/>
        <v>150</v>
      </c>
      <c r="I110">
        <f t="shared" si="12"/>
        <v>0</v>
      </c>
      <c r="J110">
        <f t="shared" si="18"/>
        <v>0</v>
      </c>
      <c r="K110">
        <f t="shared" si="13"/>
        <v>10</v>
      </c>
      <c r="L110">
        <f t="shared" si="14"/>
        <v>-3740</v>
      </c>
      <c r="M110">
        <f t="shared" si="15"/>
        <v>150</v>
      </c>
      <c r="N110">
        <f t="shared" si="19"/>
        <v>0</v>
      </c>
    </row>
    <row r="111" spans="1:14" x14ac:dyDescent="0.25">
      <c r="A111" s="1">
        <v>45036</v>
      </c>
      <c r="B111" t="s">
        <v>3</v>
      </c>
      <c r="C111">
        <f t="shared" si="16"/>
        <v>-3740</v>
      </c>
      <c r="D111">
        <f>IF(B111="zima",20%,IF(B111="wiosna",50%,IF(B111="lato",90%,40%)))</f>
        <v>0.5</v>
      </c>
      <c r="E111">
        <f t="shared" si="17"/>
        <v>10</v>
      </c>
      <c r="F111">
        <f>WEEKDAY(A111,2)</f>
        <v>4</v>
      </c>
      <c r="G111">
        <f t="shared" si="10"/>
        <v>1</v>
      </c>
      <c r="H111">
        <f t="shared" si="11"/>
        <v>150</v>
      </c>
      <c r="I111">
        <f t="shared" si="12"/>
        <v>0</v>
      </c>
      <c r="J111">
        <f t="shared" si="18"/>
        <v>0</v>
      </c>
      <c r="K111">
        <f t="shared" si="13"/>
        <v>10</v>
      </c>
      <c r="L111">
        <f t="shared" si="14"/>
        <v>-3590</v>
      </c>
      <c r="M111">
        <f t="shared" si="15"/>
        <v>150</v>
      </c>
      <c r="N111">
        <f t="shared" si="19"/>
        <v>0</v>
      </c>
    </row>
    <row r="112" spans="1:14" x14ac:dyDescent="0.25">
      <c r="A112" s="1">
        <v>45037</v>
      </c>
      <c r="B112" t="s">
        <v>3</v>
      </c>
      <c r="C112">
        <f t="shared" si="16"/>
        <v>-3590</v>
      </c>
      <c r="D112">
        <f>IF(B112="zima",20%,IF(B112="wiosna",50%,IF(B112="lato",90%,40%)))</f>
        <v>0.5</v>
      </c>
      <c r="E112">
        <f t="shared" si="17"/>
        <v>10</v>
      </c>
      <c r="F112">
        <f>WEEKDAY(A112,2)</f>
        <v>5</v>
      </c>
      <c r="G112">
        <f t="shared" si="10"/>
        <v>1</v>
      </c>
      <c r="H112">
        <f t="shared" si="11"/>
        <v>150</v>
      </c>
      <c r="I112">
        <f t="shared" si="12"/>
        <v>0</v>
      </c>
      <c r="J112">
        <f t="shared" si="18"/>
        <v>0</v>
      </c>
      <c r="K112">
        <f t="shared" si="13"/>
        <v>10</v>
      </c>
      <c r="L112">
        <f t="shared" si="14"/>
        <v>-3440</v>
      </c>
      <c r="M112">
        <f t="shared" si="15"/>
        <v>150</v>
      </c>
      <c r="N112">
        <f t="shared" si="19"/>
        <v>0</v>
      </c>
    </row>
    <row r="113" spans="1:14" x14ac:dyDescent="0.25">
      <c r="A113" s="1">
        <v>45038</v>
      </c>
      <c r="B113" t="s">
        <v>3</v>
      </c>
      <c r="C113">
        <f t="shared" si="16"/>
        <v>-3440</v>
      </c>
      <c r="D113">
        <f>IF(B113="zima",20%,IF(B113="wiosna",50%,IF(B113="lato",90%,40%)))</f>
        <v>0.5</v>
      </c>
      <c r="E113">
        <f t="shared" si="17"/>
        <v>10</v>
      </c>
      <c r="F113">
        <f>WEEKDAY(A113,2)</f>
        <v>6</v>
      </c>
      <c r="G113">
        <f t="shared" si="10"/>
        <v>0</v>
      </c>
      <c r="H113">
        <f t="shared" si="11"/>
        <v>0</v>
      </c>
      <c r="I113">
        <f t="shared" si="12"/>
        <v>0</v>
      </c>
      <c r="J113">
        <f t="shared" si="18"/>
        <v>0</v>
      </c>
      <c r="K113">
        <f t="shared" si="13"/>
        <v>10</v>
      </c>
      <c r="L113">
        <f t="shared" si="14"/>
        <v>-3440</v>
      </c>
      <c r="M113">
        <f t="shared" si="15"/>
        <v>0</v>
      </c>
      <c r="N113">
        <f t="shared" si="19"/>
        <v>0</v>
      </c>
    </row>
    <row r="114" spans="1:14" x14ac:dyDescent="0.25">
      <c r="A114" s="1">
        <v>45039</v>
      </c>
      <c r="B114" t="s">
        <v>3</v>
      </c>
      <c r="C114">
        <f t="shared" si="16"/>
        <v>-3440</v>
      </c>
      <c r="D114">
        <f>IF(B114="zima",20%,IF(B114="wiosna",50%,IF(B114="lato",90%,40%)))</f>
        <v>0.5</v>
      </c>
      <c r="E114">
        <f t="shared" si="17"/>
        <v>10</v>
      </c>
      <c r="F114">
        <f>WEEKDAY(A114,2)</f>
        <v>7</v>
      </c>
      <c r="G114">
        <f t="shared" si="10"/>
        <v>0</v>
      </c>
      <c r="H114">
        <f t="shared" si="11"/>
        <v>0</v>
      </c>
      <c r="I114">
        <f t="shared" si="12"/>
        <v>150</v>
      </c>
      <c r="J114">
        <f t="shared" si="18"/>
        <v>0</v>
      </c>
      <c r="K114">
        <f t="shared" si="13"/>
        <v>10</v>
      </c>
      <c r="L114">
        <f t="shared" si="14"/>
        <v>-3590</v>
      </c>
      <c r="M114">
        <f t="shared" si="15"/>
        <v>0</v>
      </c>
      <c r="N114">
        <f t="shared" si="19"/>
        <v>150</v>
      </c>
    </row>
    <row r="115" spans="1:14" x14ac:dyDescent="0.25">
      <c r="A115" s="1">
        <v>45040</v>
      </c>
      <c r="B115" t="s">
        <v>3</v>
      </c>
      <c r="C115">
        <f t="shared" si="16"/>
        <v>-3590</v>
      </c>
      <c r="D115">
        <f>IF(B115="zima",20%,IF(B115="wiosna",50%,IF(B115="lato",90%,40%)))</f>
        <v>0.5</v>
      </c>
      <c r="E115">
        <f t="shared" si="17"/>
        <v>10</v>
      </c>
      <c r="F115">
        <f>WEEKDAY(A115,2)</f>
        <v>1</v>
      </c>
      <c r="G115">
        <f t="shared" si="10"/>
        <v>1</v>
      </c>
      <c r="H115">
        <f t="shared" si="11"/>
        <v>150</v>
      </c>
      <c r="I115">
        <f t="shared" si="12"/>
        <v>0</v>
      </c>
      <c r="J115">
        <f t="shared" si="18"/>
        <v>0</v>
      </c>
      <c r="K115">
        <f t="shared" si="13"/>
        <v>10</v>
      </c>
      <c r="L115">
        <f t="shared" si="14"/>
        <v>-3440</v>
      </c>
      <c r="M115">
        <f t="shared" si="15"/>
        <v>150</v>
      </c>
      <c r="N115">
        <f t="shared" si="19"/>
        <v>0</v>
      </c>
    </row>
    <row r="116" spans="1:14" x14ac:dyDescent="0.25">
      <c r="A116" s="1">
        <v>45041</v>
      </c>
      <c r="B116" t="s">
        <v>3</v>
      </c>
      <c r="C116">
        <f t="shared" si="16"/>
        <v>-3440</v>
      </c>
      <c r="D116">
        <f>IF(B116="zima",20%,IF(B116="wiosna",50%,IF(B116="lato",90%,40%)))</f>
        <v>0.5</v>
      </c>
      <c r="E116">
        <f t="shared" si="17"/>
        <v>10</v>
      </c>
      <c r="F116">
        <f>WEEKDAY(A116,2)</f>
        <v>2</v>
      </c>
      <c r="G116">
        <f t="shared" si="10"/>
        <v>1</v>
      </c>
      <c r="H116">
        <f t="shared" si="11"/>
        <v>150</v>
      </c>
      <c r="I116">
        <f t="shared" si="12"/>
        <v>0</v>
      </c>
      <c r="J116">
        <f t="shared" si="18"/>
        <v>0</v>
      </c>
      <c r="K116">
        <f t="shared" si="13"/>
        <v>10</v>
      </c>
      <c r="L116">
        <f t="shared" si="14"/>
        <v>-3290</v>
      </c>
      <c r="M116">
        <f t="shared" si="15"/>
        <v>150</v>
      </c>
      <c r="N116">
        <f t="shared" si="19"/>
        <v>0</v>
      </c>
    </row>
    <row r="117" spans="1:14" x14ac:dyDescent="0.25">
      <c r="A117" s="1">
        <v>45042</v>
      </c>
      <c r="B117" t="s">
        <v>3</v>
      </c>
      <c r="C117">
        <f t="shared" si="16"/>
        <v>-3290</v>
      </c>
      <c r="D117">
        <f>IF(B117="zima",20%,IF(B117="wiosna",50%,IF(B117="lato",90%,40%)))</f>
        <v>0.5</v>
      </c>
      <c r="E117">
        <f t="shared" si="17"/>
        <v>10</v>
      </c>
      <c r="F117">
        <f>WEEKDAY(A117,2)</f>
        <v>3</v>
      </c>
      <c r="G117">
        <f t="shared" si="10"/>
        <v>1</v>
      </c>
      <c r="H117">
        <f t="shared" si="11"/>
        <v>150</v>
      </c>
      <c r="I117">
        <f t="shared" si="12"/>
        <v>0</v>
      </c>
      <c r="J117">
        <f t="shared" si="18"/>
        <v>0</v>
      </c>
      <c r="K117">
        <f t="shared" si="13"/>
        <v>10</v>
      </c>
      <c r="L117">
        <f t="shared" si="14"/>
        <v>-3140</v>
      </c>
      <c r="M117">
        <f t="shared" si="15"/>
        <v>150</v>
      </c>
      <c r="N117">
        <f t="shared" si="19"/>
        <v>0</v>
      </c>
    </row>
    <row r="118" spans="1:14" x14ac:dyDescent="0.25">
      <c r="A118" s="1">
        <v>45043</v>
      </c>
      <c r="B118" t="s">
        <v>3</v>
      </c>
      <c r="C118">
        <f t="shared" si="16"/>
        <v>-3140</v>
      </c>
      <c r="D118">
        <f>IF(B118="zima",20%,IF(B118="wiosna",50%,IF(B118="lato",90%,40%)))</f>
        <v>0.5</v>
      </c>
      <c r="E118">
        <f t="shared" si="17"/>
        <v>10</v>
      </c>
      <c r="F118">
        <f>WEEKDAY(A118,2)</f>
        <v>4</v>
      </c>
      <c r="G118">
        <f t="shared" si="10"/>
        <v>1</v>
      </c>
      <c r="H118">
        <f t="shared" si="11"/>
        <v>150</v>
      </c>
      <c r="I118">
        <f t="shared" si="12"/>
        <v>0</v>
      </c>
      <c r="J118">
        <f t="shared" si="18"/>
        <v>0</v>
      </c>
      <c r="K118">
        <f t="shared" si="13"/>
        <v>10</v>
      </c>
      <c r="L118">
        <f t="shared" si="14"/>
        <v>-2990</v>
      </c>
      <c r="M118">
        <f t="shared" si="15"/>
        <v>150</v>
      </c>
      <c r="N118">
        <f t="shared" si="19"/>
        <v>0</v>
      </c>
    </row>
    <row r="119" spans="1:14" x14ac:dyDescent="0.25">
      <c r="A119" s="1">
        <v>45044</v>
      </c>
      <c r="B119" t="s">
        <v>3</v>
      </c>
      <c r="C119">
        <f t="shared" si="16"/>
        <v>-2990</v>
      </c>
      <c r="D119">
        <f>IF(B119="zima",20%,IF(B119="wiosna",50%,IF(B119="lato",90%,40%)))</f>
        <v>0.5</v>
      </c>
      <c r="E119">
        <f t="shared" si="17"/>
        <v>10</v>
      </c>
      <c r="F119">
        <f>WEEKDAY(A119,2)</f>
        <v>5</v>
      </c>
      <c r="G119">
        <f t="shared" si="10"/>
        <v>1</v>
      </c>
      <c r="H119">
        <f t="shared" si="11"/>
        <v>150</v>
      </c>
      <c r="I119">
        <f t="shared" si="12"/>
        <v>0</v>
      </c>
      <c r="J119">
        <f t="shared" si="18"/>
        <v>0</v>
      </c>
      <c r="K119">
        <f t="shared" si="13"/>
        <v>10</v>
      </c>
      <c r="L119">
        <f t="shared" si="14"/>
        <v>-2840</v>
      </c>
      <c r="M119">
        <f t="shared" si="15"/>
        <v>150</v>
      </c>
      <c r="N119">
        <f t="shared" si="19"/>
        <v>0</v>
      </c>
    </row>
    <row r="120" spans="1:14" x14ac:dyDescent="0.25">
      <c r="A120" s="1">
        <v>45045</v>
      </c>
      <c r="B120" t="s">
        <v>3</v>
      </c>
      <c r="C120">
        <f t="shared" si="16"/>
        <v>-2840</v>
      </c>
      <c r="D120">
        <f>IF(B120="zima",20%,IF(B120="wiosna",50%,IF(B120="lato",90%,40%)))</f>
        <v>0.5</v>
      </c>
      <c r="E120">
        <f t="shared" si="17"/>
        <v>10</v>
      </c>
      <c r="F120">
        <f>WEEKDAY(A120,2)</f>
        <v>6</v>
      </c>
      <c r="G120">
        <f t="shared" si="10"/>
        <v>0</v>
      </c>
      <c r="H120">
        <f t="shared" si="11"/>
        <v>0</v>
      </c>
      <c r="I120">
        <f t="shared" si="12"/>
        <v>0</v>
      </c>
      <c r="J120">
        <f t="shared" si="18"/>
        <v>0</v>
      </c>
      <c r="K120">
        <f t="shared" si="13"/>
        <v>10</v>
      </c>
      <c r="L120">
        <f t="shared" si="14"/>
        <v>-2840</v>
      </c>
      <c r="M120">
        <f t="shared" si="15"/>
        <v>0</v>
      </c>
      <c r="N120">
        <f t="shared" si="19"/>
        <v>0</v>
      </c>
    </row>
    <row r="121" spans="1:14" x14ac:dyDescent="0.25">
      <c r="A121" s="1">
        <v>45046</v>
      </c>
      <c r="B121" t="s">
        <v>3</v>
      </c>
      <c r="C121">
        <f t="shared" si="16"/>
        <v>-2840</v>
      </c>
      <c r="D121">
        <f>IF(B121="zima",20%,IF(B121="wiosna",50%,IF(B121="lato",90%,40%)))</f>
        <v>0.5</v>
      </c>
      <c r="E121">
        <f t="shared" si="17"/>
        <v>10</v>
      </c>
      <c r="F121">
        <f>WEEKDAY(A121,2)</f>
        <v>7</v>
      </c>
      <c r="G121">
        <f t="shared" si="10"/>
        <v>0</v>
      </c>
      <c r="H121">
        <f t="shared" si="11"/>
        <v>0</v>
      </c>
      <c r="I121">
        <f t="shared" si="12"/>
        <v>150</v>
      </c>
      <c r="J121">
        <f t="shared" si="18"/>
        <v>0</v>
      </c>
      <c r="K121">
        <f t="shared" si="13"/>
        <v>10</v>
      </c>
      <c r="L121">
        <f t="shared" si="14"/>
        <v>-2990</v>
      </c>
      <c r="M121">
        <f t="shared" si="15"/>
        <v>0</v>
      </c>
      <c r="N121">
        <f t="shared" si="19"/>
        <v>150</v>
      </c>
    </row>
    <row r="122" spans="1:14" x14ac:dyDescent="0.25">
      <c r="A122" s="1">
        <v>45047</v>
      </c>
      <c r="B122" t="s">
        <v>3</v>
      </c>
      <c r="C122">
        <f t="shared" si="16"/>
        <v>-2990</v>
      </c>
      <c r="D122">
        <f>IF(B122="zima",20%,IF(B122="wiosna",50%,IF(B122="lato",90%,40%)))</f>
        <v>0.5</v>
      </c>
      <c r="E122">
        <f t="shared" si="17"/>
        <v>10</v>
      </c>
      <c r="F122">
        <f>WEEKDAY(A122,2)</f>
        <v>1</v>
      </c>
      <c r="G122">
        <f t="shared" si="10"/>
        <v>1</v>
      </c>
      <c r="H122">
        <f t="shared" si="11"/>
        <v>150</v>
      </c>
      <c r="I122">
        <f t="shared" si="12"/>
        <v>0</v>
      </c>
      <c r="J122">
        <f t="shared" si="18"/>
        <v>0</v>
      </c>
      <c r="K122">
        <f t="shared" si="13"/>
        <v>10</v>
      </c>
      <c r="L122">
        <f t="shared" si="14"/>
        <v>-2840</v>
      </c>
      <c r="M122">
        <f t="shared" si="15"/>
        <v>150</v>
      </c>
      <c r="N122">
        <f t="shared" si="19"/>
        <v>0</v>
      </c>
    </row>
    <row r="123" spans="1:14" x14ac:dyDescent="0.25">
      <c r="A123" s="1">
        <v>45048</v>
      </c>
      <c r="B123" t="s">
        <v>3</v>
      </c>
      <c r="C123">
        <f t="shared" si="16"/>
        <v>-2840</v>
      </c>
      <c r="D123">
        <f>IF(B123="zima",20%,IF(B123="wiosna",50%,IF(B123="lato",90%,40%)))</f>
        <v>0.5</v>
      </c>
      <c r="E123">
        <f t="shared" si="17"/>
        <v>10</v>
      </c>
      <c r="F123">
        <f>WEEKDAY(A123,2)</f>
        <v>2</v>
      </c>
      <c r="G123">
        <f t="shared" si="10"/>
        <v>1</v>
      </c>
      <c r="H123">
        <f t="shared" si="11"/>
        <v>150</v>
      </c>
      <c r="I123">
        <f t="shared" si="12"/>
        <v>0</v>
      </c>
      <c r="J123">
        <f t="shared" si="18"/>
        <v>0</v>
      </c>
      <c r="K123">
        <f t="shared" si="13"/>
        <v>10</v>
      </c>
      <c r="L123">
        <f t="shared" si="14"/>
        <v>-2690</v>
      </c>
      <c r="M123">
        <f t="shared" si="15"/>
        <v>150</v>
      </c>
      <c r="N123">
        <f t="shared" si="19"/>
        <v>0</v>
      </c>
    </row>
    <row r="124" spans="1:14" x14ac:dyDescent="0.25">
      <c r="A124" s="1">
        <v>45049</v>
      </c>
      <c r="B124" t="s">
        <v>3</v>
      </c>
      <c r="C124">
        <f t="shared" si="16"/>
        <v>-2690</v>
      </c>
      <c r="D124">
        <f>IF(B124="zima",20%,IF(B124="wiosna",50%,IF(B124="lato",90%,40%)))</f>
        <v>0.5</v>
      </c>
      <c r="E124">
        <f t="shared" si="17"/>
        <v>10</v>
      </c>
      <c r="F124">
        <f>WEEKDAY(A124,2)</f>
        <v>3</v>
      </c>
      <c r="G124">
        <f t="shared" si="10"/>
        <v>1</v>
      </c>
      <c r="H124">
        <f t="shared" si="11"/>
        <v>150</v>
      </c>
      <c r="I124">
        <f t="shared" si="12"/>
        <v>0</v>
      </c>
      <c r="J124">
        <f t="shared" si="18"/>
        <v>0</v>
      </c>
      <c r="K124">
        <f t="shared" si="13"/>
        <v>10</v>
      </c>
      <c r="L124">
        <f t="shared" si="14"/>
        <v>-2540</v>
      </c>
      <c r="M124">
        <f t="shared" si="15"/>
        <v>150</v>
      </c>
      <c r="N124">
        <f t="shared" si="19"/>
        <v>0</v>
      </c>
    </row>
    <row r="125" spans="1:14" x14ac:dyDescent="0.25">
      <c r="A125" s="1">
        <v>45050</v>
      </c>
      <c r="B125" t="s">
        <v>3</v>
      </c>
      <c r="C125">
        <f t="shared" si="16"/>
        <v>-2540</v>
      </c>
      <c r="D125">
        <f>IF(B125="zima",20%,IF(B125="wiosna",50%,IF(B125="lato",90%,40%)))</f>
        <v>0.5</v>
      </c>
      <c r="E125">
        <f t="shared" si="17"/>
        <v>10</v>
      </c>
      <c r="F125">
        <f>WEEKDAY(A125,2)</f>
        <v>4</v>
      </c>
      <c r="G125">
        <f t="shared" si="10"/>
        <v>1</v>
      </c>
      <c r="H125">
        <f t="shared" si="11"/>
        <v>150</v>
      </c>
      <c r="I125">
        <f t="shared" si="12"/>
        <v>0</v>
      </c>
      <c r="J125">
        <f t="shared" si="18"/>
        <v>0</v>
      </c>
      <c r="K125">
        <f t="shared" si="13"/>
        <v>10</v>
      </c>
      <c r="L125">
        <f t="shared" si="14"/>
        <v>-2390</v>
      </c>
      <c r="M125">
        <f t="shared" si="15"/>
        <v>150</v>
      </c>
      <c r="N125">
        <f t="shared" si="19"/>
        <v>0</v>
      </c>
    </row>
    <row r="126" spans="1:14" x14ac:dyDescent="0.25">
      <c r="A126" s="1">
        <v>45051</v>
      </c>
      <c r="B126" t="s">
        <v>3</v>
      </c>
      <c r="C126">
        <f t="shared" si="16"/>
        <v>-2390</v>
      </c>
      <c r="D126">
        <f>IF(B126="zima",20%,IF(B126="wiosna",50%,IF(B126="lato",90%,40%)))</f>
        <v>0.5</v>
      </c>
      <c r="E126">
        <f t="shared" si="17"/>
        <v>10</v>
      </c>
      <c r="F126">
        <f>WEEKDAY(A126,2)</f>
        <v>5</v>
      </c>
      <c r="G126">
        <f t="shared" si="10"/>
        <v>1</v>
      </c>
      <c r="H126">
        <f t="shared" si="11"/>
        <v>150</v>
      </c>
      <c r="I126">
        <f t="shared" si="12"/>
        <v>0</v>
      </c>
      <c r="J126">
        <f t="shared" si="18"/>
        <v>0</v>
      </c>
      <c r="K126">
        <f t="shared" si="13"/>
        <v>10</v>
      </c>
      <c r="L126">
        <f t="shared" si="14"/>
        <v>-2240</v>
      </c>
      <c r="M126">
        <f t="shared" si="15"/>
        <v>150</v>
      </c>
      <c r="N126">
        <f t="shared" si="19"/>
        <v>0</v>
      </c>
    </row>
    <row r="127" spans="1:14" x14ac:dyDescent="0.25">
      <c r="A127" s="1">
        <v>45052</v>
      </c>
      <c r="B127" t="s">
        <v>3</v>
      </c>
      <c r="C127">
        <f t="shared" si="16"/>
        <v>-2240</v>
      </c>
      <c r="D127">
        <f>IF(B127="zima",20%,IF(B127="wiosna",50%,IF(B127="lato",90%,40%)))</f>
        <v>0.5</v>
      </c>
      <c r="E127">
        <f t="shared" si="17"/>
        <v>10</v>
      </c>
      <c r="F127">
        <f>WEEKDAY(A127,2)</f>
        <v>6</v>
      </c>
      <c r="G127">
        <f t="shared" si="10"/>
        <v>0</v>
      </c>
      <c r="H127">
        <f t="shared" si="11"/>
        <v>0</v>
      </c>
      <c r="I127">
        <f t="shared" si="12"/>
        <v>0</v>
      </c>
      <c r="J127">
        <f t="shared" si="18"/>
        <v>0</v>
      </c>
      <c r="K127">
        <f t="shared" si="13"/>
        <v>10</v>
      </c>
      <c r="L127">
        <f t="shared" si="14"/>
        <v>-2240</v>
      </c>
      <c r="M127">
        <f t="shared" si="15"/>
        <v>0</v>
      </c>
      <c r="N127">
        <f t="shared" si="19"/>
        <v>0</v>
      </c>
    </row>
    <row r="128" spans="1:14" x14ac:dyDescent="0.25">
      <c r="A128" s="1">
        <v>45053</v>
      </c>
      <c r="B128" t="s">
        <v>3</v>
      </c>
      <c r="C128">
        <f t="shared" si="16"/>
        <v>-2240</v>
      </c>
      <c r="D128">
        <f>IF(B128="zima",20%,IF(B128="wiosna",50%,IF(B128="lato",90%,40%)))</f>
        <v>0.5</v>
      </c>
      <c r="E128">
        <f t="shared" si="17"/>
        <v>10</v>
      </c>
      <c r="F128">
        <f>WEEKDAY(A128,2)</f>
        <v>7</v>
      </c>
      <c r="G128">
        <f t="shared" si="10"/>
        <v>0</v>
      </c>
      <c r="H128">
        <f t="shared" si="11"/>
        <v>0</v>
      </c>
      <c r="I128">
        <f t="shared" si="12"/>
        <v>150</v>
      </c>
      <c r="J128">
        <f t="shared" si="18"/>
        <v>0</v>
      </c>
      <c r="K128">
        <f t="shared" si="13"/>
        <v>10</v>
      </c>
      <c r="L128">
        <f t="shared" si="14"/>
        <v>-2390</v>
      </c>
      <c r="M128">
        <f t="shared" si="15"/>
        <v>0</v>
      </c>
      <c r="N128">
        <f t="shared" si="19"/>
        <v>150</v>
      </c>
    </row>
    <row r="129" spans="1:14" x14ac:dyDescent="0.25">
      <c r="A129" s="1">
        <v>45054</v>
      </c>
      <c r="B129" t="s">
        <v>3</v>
      </c>
      <c r="C129">
        <f t="shared" si="16"/>
        <v>-2390</v>
      </c>
      <c r="D129">
        <f>IF(B129="zima",20%,IF(B129="wiosna",50%,IF(B129="lato",90%,40%)))</f>
        <v>0.5</v>
      </c>
      <c r="E129">
        <f t="shared" si="17"/>
        <v>10</v>
      </c>
      <c r="F129">
        <f>WEEKDAY(A129,2)</f>
        <v>1</v>
      </c>
      <c r="G129">
        <f t="shared" si="10"/>
        <v>1</v>
      </c>
      <c r="H129">
        <f t="shared" si="11"/>
        <v>150</v>
      </c>
      <c r="I129">
        <f t="shared" si="12"/>
        <v>0</v>
      </c>
      <c r="J129">
        <f t="shared" si="18"/>
        <v>0</v>
      </c>
      <c r="K129">
        <f t="shared" si="13"/>
        <v>10</v>
      </c>
      <c r="L129">
        <f t="shared" si="14"/>
        <v>-2240</v>
      </c>
      <c r="M129">
        <f t="shared" si="15"/>
        <v>150</v>
      </c>
      <c r="N129">
        <f t="shared" si="19"/>
        <v>0</v>
      </c>
    </row>
    <row r="130" spans="1:14" x14ac:dyDescent="0.25">
      <c r="A130" s="1">
        <v>45055</v>
      </c>
      <c r="B130" t="s">
        <v>3</v>
      </c>
      <c r="C130">
        <f t="shared" si="16"/>
        <v>-2240</v>
      </c>
      <c r="D130">
        <f>IF(B130="zima",20%,IF(B130="wiosna",50%,IF(B130="lato",90%,40%)))</f>
        <v>0.5</v>
      </c>
      <c r="E130">
        <f t="shared" si="17"/>
        <v>10</v>
      </c>
      <c r="F130">
        <f>WEEKDAY(A130,2)</f>
        <v>2</v>
      </c>
      <c r="G130">
        <f t="shared" si="10"/>
        <v>1</v>
      </c>
      <c r="H130">
        <f t="shared" si="11"/>
        <v>150</v>
      </c>
      <c r="I130">
        <f t="shared" si="12"/>
        <v>0</v>
      </c>
      <c r="J130">
        <f t="shared" si="18"/>
        <v>0</v>
      </c>
      <c r="K130">
        <f t="shared" si="13"/>
        <v>10</v>
      </c>
      <c r="L130">
        <f t="shared" si="14"/>
        <v>-2090</v>
      </c>
      <c r="M130">
        <f t="shared" si="15"/>
        <v>150</v>
      </c>
      <c r="N130">
        <f t="shared" si="19"/>
        <v>0</v>
      </c>
    </row>
    <row r="131" spans="1:14" x14ac:dyDescent="0.25">
      <c r="A131" s="1">
        <v>45056</v>
      </c>
      <c r="B131" t="s">
        <v>3</v>
      </c>
      <c r="C131">
        <f t="shared" si="16"/>
        <v>-2090</v>
      </c>
      <c r="D131">
        <f>IF(B131="zima",20%,IF(B131="wiosna",50%,IF(B131="lato",90%,40%)))</f>
        <v>0.5</v>
      </c>
      <c r="E131">
        <f t="shared" si="17"/>
        <v>10</v>
      </c>
      <c r="F131">
        <f>WEEKDAY(A131,2)</f>
        <v>3</v>
      </c>
      <c r="G131">
        <f t="shared" ref="G131:G194" si="20">IF(AND(F131&lt;&gt;6,F131&lt;&gt;7),1,0)</f>
        <v>1</v>
      </c>
      <c r="H131">
        <f t="shared" ref="H131:H194" si="21">ROUNDDOWN(D131*E131,0)*30*G131</f>
        <v>150</v>
      </c>
      <c r="I131">
        <f t="shared" ref="I131:I194" si="22">IF(F131=7,E131*15,0)</f>
        <v>0</v>
      </c>
      <c r="J131">
        <f t="shared" si="18"/>
        <v>0</v>
      </c>
      <c r="K131">
        <f t="shared" ref="K131:K194" si="23">IF(J131&gt;0,E131+3,E131)</f>
        <v>10</v>
      </c>
      <c r="L131">
        <f t="shared" ref="L131:L194" si="24">C131+H131-I131-J131</f>
        <v>-1940</v>
      </c>
      <c r="M131">
        <f t="shared" ref="M131:M194" si="25">H131</f>
        <v>150</v>
      </c>
      <c r="N131">
        <f t="shared" si="19"/>
        <v>0</v>
      </c>
    </row>
    <row r="132" spans="1:14" x14ac:dyDescent="0.25">
      <c r="A132" s="1">
        <v>45057</v>
      </c>
      <c r="B132" t="s">
        <v>3</v>
      </c>
      <c r="C132">
        <f t="shared" ref="C132:C195" si="26">L131</f>
        <v>-1940</v>
      </c>
      <c r="D132">
        <f>IF(B132="zima",20%,IF(B132="wiosna",50%,IF(B132="lato",90%,40%)))</f>
        <v>0.5</v>
      </c>
      <c r="E132">
        <f t="shared" ref="E132:E195" si="27">K131</f>
        <v>10</v>
      </c>
      <c r="F132">
        <f>WEEKDAY(A132,2)</f>
        <v>4</v>
      </c>
      <c r="G132">
        <f t="shared" si="20"/>
        <v>1</v>
      </c>
      <c r="H132">
        <f t="shared" si="21"/>
        <v>150</v>
      </c>
      <c r="I132">
        <f t="shared" si="22"/>
        <v>0</v>
      </c>
      <c r="J132">
        <f t="shared" ref="J132:J195" si="28">IF(AND(DAY(A133)=1,C132&gt;=2400),2400,0)</f>
        <v>0</v>
      </c>
      <c r="K132">
        <f t="shared" si="23"/>
        <v>10</v>
      </c>
      <c r="L132">
        <f t="shared" si="24"/>
        <v>-1790</v>
      </c>
      <c r="M132">
        <f t="shared" si="25"/>
        <v>150</v>
      </c>
      <c r="N132">
        <f t="shared" ref="N132:N195" si="29">J132+I132</f>
        <v>0</v>
      </c>
    </row>
    <row r="133" spans="1:14" x14ac:dyDescent="0.25">
      <c r="A133" s="1">
        <v>45058</v>
      </c>
      <c r="B133" t="s">
        <v>3</v>
      </c>
      <c r="C133">
        <f t="shared" si="26"/>
        <v>-1790</v>
      </c>
      <c r="D133">
        <f>IF(B133="zima",20%,IF(B133="wiosna",50%,IF(B133="lato",90%,40%)))</f>
        <v>0.5</v>
      </c>
      <c r="E133">
        <f t="shared" si="27"/>
        <v>10</v>
      </c>
      <c r="F133">
        <f>WEEKDAY(A133,2)</f>
        <v>5</v>
      </c>
      <c r="G133">
        <f t="shared" si="20"/>
        <v>1</v>
      </c>
      <c r="H133">
        <f t="shared" si="21"/>
        <v>150</v>
      </c>
      <c r="I133">
        <f t="shared" si="22"/>
        <v>0</v>
      </c>
      <c r="J133">
        <f t="shared" si="28"/>
        <v>0</v>
      </c>
      <c r="K133">
        <f t="shared" si="23"/>
        <v>10</v>
      </c>
      <c r="L133">
        <f t="shared" si="24"/>
        <v>-1640</v>
      </c>
      <c r="M133">
        <f t="shared" si="25"/>
        <v>150</v>
      </c>
      <c r="N133">
        <f t="shared" si="29"/>
        <v>0</v>
      </c>
    </row>
    <row r="134" spans="1:14" x14ac:dyDescent="0.25">
      <c r="A134" s="1">
        <v>45059</v>
      </c>
      <c r="B134" t="s">
        <v>3</v>
      </c>
      <c r="C134">
        <f t="shared" si="26"/>
        <v>-1640</v>
      </c>
      <c r="D134">
        <f>IF(B134="zima",20%,IF(B134="wiosna",50%,IF(B134="lato",90%,40%)))</f>
        <v>0.5</v>
      </c>
      <c r="E134">
        <f t="shared" si="27"/>
        <v>10</v>
      </c>
      <c r="F134">
        <f>WEEKDAY(A134,2)</f>
        <v>6</v>
      </c>
      <c r="G134">
        <f t="shared" si="20"/>
        <v>0</v>
      </c>
      <c r="H134">
        <f t="shared" si="21"/>
        <v>0</v>
      </c>
      <c r="I134">
        <f t="shared" si="22"/>
        <v>0</v>
      </c>
      <c r="J134">
        <f t="shared" si="28"/>
        <v>0</v>
      </c>
      <c r="K134">
        <f t="shared" si="23"/>
        <v>10</v>
      </c>
      <c r="L134">
        <f t="shared" si="24"/>
        <v>-1640</v>
      </c>
      <c r="M134">
        <f t="shared" si="25"/>
        <v>0</v>
      </c>
      <c r="N134">
        <f t="shared" si="29"/>
        <v>0</v>
      </c>
    </row>
    <row r="135" spans="1:14" x14ac:dyDescent="0.25">
      <c r="A135" s="1">
        <v>45060</v>
      </c>
      <c r="B135" t="s">
        <v>3</v>
      </c>
      <c r="C135">
        <f t="shared" si="26"/>
        <v>-1640</v>
      </c>
      <c r="D135">
        <f>IF(B135="zima",20%,IF(B135="wiosna",50%,IF(B135="lato",90%,40%)))</f>
        <v>0.5</v>
      </c>
      <c r="E135">
        <f t="shared" si="27"/>
        <v>10</v>
      </c>
      <c r="F135">
        <f>WEEKDAY(A135,2)</f>
        <v>7</v>
      </c>
      <c r="G135">
        <f t="shared" si="20"/>
        <v>0</v>
      </c>
      <c r="H135">
        <f t="shared" si="21"/>
        <v>0</v>
      </c>
      <c r="I135">
        <f t="shared" si="22"/>
        <v>150</v>
      </c>
      <c r="J135">
        <f t="shared" si="28"/>
        <v>0</v>
      </c>
      <c r="K135">
        <f t="shared" si="23"/>
        <v>10</v>
      </c>
      <c r="L135">
        <f t="shared" si="24"/>
        <v>-1790</v>
      </c>
      <c r="M135">
        <f t="shared" si="25"/>
        <v>0</v>
      </c>
      <c r="N135">
        <f t="shared" si="29"/>
        <v>150</v>
      </c>
    </row>
    <row r="136" spans="1:14" x14ac:dyDescent="0.25">
      <c r="A136" s="1">
        <v>45061</v>
      </c>
      <c r="B136" t="s">
        <v>3</v>
      </c>
      <c r="C136">
        <f t="shared" si="26"/>
        <v>-1790</v>
      </c>
      <c r="D136">
        <f>IF(B136="zima",20%,IF(B136="wiosna",50%,IF(B136="lato",90%,40%)))</f>
        <v>0.5</v>
      </c>
      <c r="E136">
        <f t="shared" si="27"/>
        <v>10</v>
      </c>
      <c r="F136">
        <f>WEEKDAY(A136,2)</f>
        <v>1</v>
      </c>
      <c r="G136">
        <f t="shared" si="20"/>
        <v>1</v>
      </c>
      <c r="H136">
        <f t="shared" si="21"/>
        <v>150</v>
      </c>
      <c r="I136">
        <f t="shared" si="22"/>
        <v>0</v>
      </c>
      <c r="J136">
        <f t="shared" si="28"/>
        <v>0</v>
      </c>
      <c r="K136">
        <f t="shared" si="23"/>
        <v>10</v>
      </c>
      <c r="L136">
        <f t="shared" si="24"/>
        <v>-1640</v>
      </c>
      <c r="M136">
        <f t="shared" si="25"/>
        <v>150</v>
      </c>
      <c r="N136">
        <f t="shared" si="29"/>
        <v>0</v>
      </c>
    </row>
    <row r="137" spans="1:14" x14ac:dyDescent="0.25">
      <c r="A137" s="1">
        <v>45062</v>
      </c>
      <c r="B137" t="s">
        <v>3</v>
      </c>
      <c r="C137">
        <f t="shared" si="26"/>
        <v>-1640</v>
      </c>
      <c r="D137">
        <f>IF(B137="zima",20%,IF(B137="wiosna",50%,IF(B137="lato",90%,40%)))</f>
        <v>0.5</v>
      </c>
      <c r="E137">
        <f t="shared" si="27"/>
        <v>10</v>
      </c>
      <c r="F137">
        <f>WEEKDAY(A137,2)</f>
        <v>2</v>
      </c>
      <c r="G137">
        <f t="shared" si="20"/>
        <v>1</v>
      </c>
      <c r="H137">
        <f t="shared" si="21"/>
        <v>150</v>
      </c>
      <c r="I137">
        <f t="shared" si="22"/>
        <v>0</v>
      </c>
      <c r="J137">
        <f t="shared" si="28"/>
        <v>0</v>
      </c>
      <c r="K137">
        <f t="shared" si="23"/>
        <v>10</v>
      </c>
      <c r="L137">
        <f t="shared" si="24"/>
        <v>-1490</v>
      </c>
      <c r="M137">
        <f t="shared" si="25"/>
        <v>150</v>
      </c>
      <c r="N137">
        <f t="shared" si="29"/>
        <v>0</v>
      </c>
    </row>
    <row r="138" spans="1:14" x14ac:dyDescent="0.25">
      <c r="A138" s="1">
        <v>45063</v>
      </c>
      <c r="B138" t="s">
        <v>3</v>
      </c>
      <c r="C138">
        <f t="shared" si="26"/>
        <v>-1490</v>
      </c>
      <c r="D138">
        <f>IF(B138="zima",20%,IF(B138="wiosna",50%,IF(B138="lato",90%,40%)))</f>
        <v>0.5</v>
      </c>
      <c r="E138">
        <f t="shared" si="27"/>
        <v>10</v>
      </c>
      <c r="F138">
        <f>WEEKDAY(A138,2)</f>
        <v>3</v>
      </c>
      <c r="G138">
        <f t="shared" si="20"/>
        <v>1</v>
      </c>
      <c r="H138">
        <f t="shared" si="21"/>
        <v>150</v>
      </c>
      <c r="I138">
        <f t="shared" si="22"/>
        <v>0</v>
      </c>
      <c r="J138">
        <f t="shared" si="28"/>
        <v>0</v>
      </c>
      <c r="K138">
        <f t="shared" si="23"/>
        <v>10</v>
      </c>
      <c r="L138">
        <f t="shared" si="24"/>
        <v>-1340</v>
      </c>
      <c r="M138">
        <f t="shared" si="25"/>
        <v>150</v>
      </c>
      <c r="N138">
        <f t="shared" si="29"/>
        <v>0</v>
      </c>
    </row>
    <row r="139" spans="1:14" x14ac:dyDescent="0.25">
      <c r="A139" s="1">
        <v>45064</v>
      </c>
      <c r="B139" t="s">
        <v>3</v>
      </c>
      <c r="C139">
        <f t="shared" si="26"/>
        <v>-1340</v>
      </c>
      <c r="D139">
        <f>IF(B139="zima",20%,IF(B139="wiosna",50%,IF(B139="lato",90%,40%)))</f>
        <v>0.5</v>
      </c>
      <c r="E139">
        <f t="shared" si="27"/>
        <v>10</v>
      </c>
      <c r="F139">
        <f>WEEKDAY(A139,2)</f>
        <v>4</v>
      </c>
      <c r="G139">
        <f t="shared" si="20"/>
        <v>1</v>
      </c>
      <c r="H139">
        <f t="shared" si="21"/>
        <v>150</v>
      </c>
      <c r="I139">
        <f t="shared" si="22"/>
        <v>0</v>
      </c>
      <c r="J139">
        <f t="shared" si="28"/>
        <v>0</v>
      </c>
      <c r="K139">
        <f t="shared" si="23"/>
        <v>10</v>
      </c>
      <c r="L139">
        <f t="shared" si="24"/>
        <v>-1190</v>
      </c>
      <c r="M139">
        <f t="shared" si="25"/>
        <v>150</v>
      </c>
      <c r="N139">
        <f t="shared" si="29"/>
        <v>0</v>
      </c>
    </row>
    <row r="140" spans="1:14" x14ac:dyDescent="0.25">
      <c r="A140" s="1">
        <v>45065</v>
      </c>
      <c r="B140" t="s">
        <v>3</v>
      </c>
      <c r="C140">
        <f t="shared" si="26"/>
        <v>-1190</v>
      </c>
      <c r="D140">
        <f>IF(B140="zima",20%,IF(B140="wiosna",50%,IF(B140="lato",90%,40%)))</f>
        <v>0.5</v>
      </c>
      <c r="E140">
        <f t="shared" si="27"/>
        <v>10</v>
      </c>
      <c r="F140">
        <f>WEEKDAY(A140,2)</f>
        <v>5</v>
      </c>
      <c r="G140">
        <f t="shared" si="20"/>
        <v>1</v>
      </c>
      <c r="H140">
        <f t="shared" si="21"/>
        <v>150</v>
      </c>
      <c r="I140">
        <f t="shared" si="22"/>
        <v>0</v>
      </c>
      <c r="J140">
        <f t="shared" si="28"/>
        <v>0</v>
      </c>
      <c r="K140">
        <f t="shared" si="23"/>
        <v>10</v>
      </c>
      <c r="L140">
        <f t="shared" si="24"/>
        <v>-1040</v>
      </c>
      <c r="M140">
        <f t="shared" si="25"/>
        <v>150</v>
      </c>
      <c r="N140">
        <f t="shared" si="29"/>
        <v>0</v>
      </c>
    </row>
    <row r="141" spans="1:14" x14ac:dyDescent="0.25">
      <c r="A141" s="1">
        <v>45066</v>
      </c>
      <c r="B141" t="s">
        <v>3</v>
      </c>
      <c r="C141">
        <f t="shared" si="26"/>
        <v>-1040</v>
      </c>
      <c r="D141">
        <f>IF(B141="zima",20%,IF(B141="wiosna",50%,IF(B141="lato",90%,40%)))</f>
        <v>0.5</v>
      </c>
      <c r="E141">
        <f t="shared" si="27"/>
        <v>10</v>
      </c>
      <c r="F141">
        <f>WEEKDAY(A141,2)</f>
        <v>6</v>
      </c>
      <c r="G141">
        <f t="shared" si="20"/>
        <v>0</v>
      </c>
      <c r="H141">
        <f t="shared" si="21"/>
        <v>0</v>
      </c>
      <c r="I141">
        <f t="shared" si="22"/>
        <v>0</v>
      </c>
      <c r="J141">
        <f t="shared" si="28"/>
        <v>0</v>
      </c>
      <c r="K141">
        <f t="shared" si="23"/>
        <v>10</v>
      </c>
      <c r="L141">
        <f t="shared" si="24"/>
        <v>-1040</v>
      </c>
      <c r="M141">
        <f t="shared" si="25"/>
        <v>0</v>
      </c>
      <c r="N141">
        <f t="shared" si="29"/>
        <v>0</v>
      </c>
    </row>
    <row r="142" spans="1:14" x14ac:dyDescent="0.25">
      <c r="A142" s="1">
        <v>45067</v>
      </c>
      <c r="B142" t="s">
        <v>3</v>
      </c>
      <c r="C142">
        <f t="shared" si="26"/>
        <v>-1040</v>
      </c>
      <c r="D142">
        <f>IF(B142="zima",20%,IF(B142="wiosna",50%,IF(B142="lato",90%,40%)))</f>
        <v>0.5</v>
      </c>
      <c r="E142">
        <f t="shared" si="27"/>
        <v>10</v>
      </c>
      <c r="F142">
        <f>WEEKDAY(A142,2)</f>
        <v>7</v>
      </c>
      <c r="G142">
        <f t="shared" si="20"/>
        <v>0</v>
      </c>
      <c r="H142">
        <f t="shared" si="21"/>
        <v>0</v>
      </c>
      <c r="I142">
        <f t="shared" si="22"/>
        <v>150</v>
      </c>
      <c r="J142">
        <f t="shared" si="28"/>
        <v>0</v>
      </c>
      <c r="K142">
        <f t="shared" si="23"/>
        <v>10</v>
      </c>
      <c r="L142">
        <f t="shared" si="24"/>
        <v>-1190</v>
      </c>
      <c r="M142">
        <f t="shared" si="25"/>
        <v>0</v>
      </c>
      <c r="N142">
        <f t="shared" si="29"/>
        <v>150</v>
      </c>
    </row>
    <row r="143" spans="1:14" x14ac:dyDescent="0.25">
      <c r="A143" s="1">
        <v>45068</v>
      </c>
      <c r="B143" t="s">
        <v>3</v>
      </c>
      <c r="C143">
        <f t="shared" si="26"/>
        <v>-1190</v>
      </c>
      <c r="D143">
        <f>IF(B143="zima",20%,IF(B143="wiosna",50%,IF(B143="lato",90%,40%)))</f>
        <v>0.5</v>
      </c>
      <c r="E143">
        <f t="shared" si="27"/>
        <v>10</v>
      </c>
      <c r="F143">
        <f>WEEKDAY(A143,2)</f>
        <v>1</v>
      </c>
      <c r="G143">
        <f t="shared" si="20"/>
        <v>1</v>
      </c>
      <c r="H143">
        <f t="shared" si="21"/>
        <v>150</v>
      </c>
      <c r="I143">
        <f t="shared" si="22"/>
        <v>0</v>
      </c>
      <c r="J143">
        <f t="shared" si="28"/>
        <v>0</v>
      </c>
      <c r="K143">
        <f t="shared" si="23"/>
        <v>10</v>
      </c>
      <c r="L143">
        <f t="shared" si="24"/>
        <v>-1040</v>
      </c>
      <c r="M143">
        <f t="shared" si="25"/>
        <v>150</v>
      </c>
      <c r="N143">
        <f t="shared" si="29"/>
        <v>0</v>
      </c>
    </row>
    <row r="144" spans="1:14" x14ac:dyDescent="0.25">
      <c r="A144" s="1">
        <v>45069</v>
      </c>
      <c r="B144" t="s">
        <v>3</v>
      </c>
      <c r="C144">
        <f t="shared" si="26"/>
        <v>-1040</v>
      </c>
      <c r="D144">
        <f>IF(B144="zima",20%,IF(B144="wiosna",50%,IF(B144="lato",90%,40%)))</f>
        <v>0.5</v>
      </c>
      <c r="E144">
        <f t="shared" si="27"/>
        <v>10</v>
      </c>
      <c r="F144">
        <f>WEEKDAY(A144,2)</f>
        <v>2</v>
      </c>
      <c r="G144">
        <f t="shared" si="20"/>
        <v>1</v>
      </c>
      <c r="H144">
        <f t="shared" si="21"/>
        <v>150</v>
      </c>
      <c r="I144">
        <f t="shared" si="22"/>
        <v>0</v>
      </c>
      <c r="J144">
        <f t="shared" si="28"/>
        <v>0</v>
      </c>
      <c r="K144">
        <f t="shared" si="23"/>
        <v>10</v>
      </c>
      <c r="L144">
        <f t="shared" si="24"/>
        <v>-890</v>
      </c>
      <c r="M144">
        <f t="shared" si="25"/>
        <v>150</v>
      </c>
      <c r="N144">
        <f t="shared" si="29"/>
        <v>0</v>
      </c>
    </row>
    <row r="145" spans="1:14" x14ac:dyDescent="0.25">
      <c r="A145" s="1">
        <v>45070</v>
      </c>
      <c r="B145" t="s">
        <v>3</v>
      </c>
      <c r="C145">
        <f t="shared" si="26"/>
        <v>-890</v>
      </c>
      <c r="D145">
        <f>IF(B145="zima",20%,IF(B145="wiosna",50%,IF(B145="lato",90%,40%)))</f>
        <v>0.5</v>
      </c>
      <c r="E145">
        <f t="shared" si="27"/>
        <v>10</v>
      </c>
      <c r="F145">
        <f>WEEKDAY(A145,2)</f>
        <v>3</v>
      </c>
      <c r="G145">
        <f t="shared" si="20"/>
        <v>1</v>
      </c>
      <c r="H145">
        <f t="shared" si="21"/>
        <v>150</v>
      </c>
      <c r="I145">
        <f t="shared" si="22"/>
        <v>0</v>
      </c>
      <c r="J145">
        <f t="shared" si="28"/>
        <v>0</v>
      </c>
      <c r="K145">
        <f t="shared" si="23"/>
        <v>10</v>
      </c>
      <c r="L145">
        <f t="shared" si="24"/>
        <v>-740</v>
      </c>
      <c r="M145">
        <f t="shared" si="25"/>
        <v>150</v>
      </c>
      <c r="N145">
        <f t="shared" si="29"/>
        <v>0</v>
      </c>
    </row>
    <row r="146" spans="1:14" x14ac:dyDescent="0.25">
      <c r="A146" s="1">
        <v>45071</v>
      </c>
      <c r="B146" t="s">
        <v>3</v>
      </c>
      <c r="C146">
        <f t="shared" si="26"/>
        <v>-740</v>
      </c>
      <c r="D146">
        <f>IF(B146="zima",20%,IF(B146="wiosna",50%,IF(B146="lato",90%,40%)))</f>
        <v>0.5</v>
      </c>
      <c r="E146">
        <f t="shared" si="27"/>
        <v>10</v>
      </c>
      <c r="F146">
        <f>WEEKDAY(A146,2)</f>
        <v>4</v>
      </c>
      <c r="G146">
        <f t="shared" si="20"/>
        <v>1</v>
      </c>
      <c r="H146">
        <f t="shared" si="21"/>
        <v>150</v>
      </c>
      <c r="I146">
        <f t="shared" si="22"/>
        <v>0</v>
      </c>
      <c r="J146">
        <f t="shared" si="28"/>
        <v>0</v>
      </c>
      <c r="K146">
        <f t="shared" si="23"/>
        <v>10</v>
      </c>
      <c r="L146">
        <f t="shared" si="24"/>
        <v>-590</v>
      </c>
      <c r="M146">
        <f t="shared" si="25"/>
        <v>150</v>
      </c>
      <c r="N146">
        <f t="shared" si="29"/>
        <v>0</v>
      </c>
    </row>
    <row r="147" spans="1:14" x14ac:dyDescent="0.25">
      <c r="A147" s="1">
        <v>45072</v>
      </c>
      <c r="B147" t="s">
        <v>3</v>
      </c>
      <c r="C147">
        <f t="shared" si="26"/>
        <v>-590</v>
      </c>
      <c r="D147">
        <f>IF(B147="zima",20%,IF(B147="wiosna",50%,IF(B147="lato",90%,40%)))</f>
        <v>0.5</v>
      </c>
      <c r="E147">
        <f t="shared" si="27"/>
        <v>10</v>
      </c>
      <c r="F147">
        <f>WEEKDAY(A147,2)</f>
        <v>5</v>
      </c>
      <c r="G147">
        <f t="shared" si="20"/>
        <v>1</v>
      </c>
      <c r="H147">
        <f t="shared" si="21"/>
        <v>150</v>
      </c>
      <c r="I147">
        <f t="shared" si="22"/>
        <v>0</v>
      </c>
      <c r="J147">
        <f t="shared" si="28"/>
        <v>0</v>
      </c>
      <c r="K147">
        <f t="shared" si="23"/>
        <v>10</v>
      </c>
      <c r="L147">
        <f t="shared" si="24"/>
        <v>-440</v>
      </c>
      <c r="M147">
        <f t="shared" si="25"/>
        <v>150</v>
      </c>
      <c r="N147">
        <f t="shared" si="29"/>
        <v>0</v>
      </c>
    </row>
    <row r="148" spans="1:14" x14ac:dyDescent="0.25">
      <c r="A148" s="1">
        <v>45073</v>
      </c>
      <c r="B148" t="s">
        <v>3</v>
      </c>
      <c r="C148">
        <f t="shared" si="26"/>
        <v>-440</v>
      </c>
      <c r="D148">
        <f>IF(B148="zima",20%,IF(B148="wiosna",50%,IF(B148="lato",90%,40%)))</f>
        <v>0.5</v>
      </c>
      <c r="E148">
        <f t="shared" si="27"/>
        <v>10</v>
      </c>
      <c r="F148">
        <f>WEEKDAY(A148,2)</f>
        <v>6</v>
      </c>
      <c r="G148">
        <f t="shared" si="20"/>
        <v>0</v>
      </c>
      <c r="H148">
        <f t="shared" si="21"/>
        <v>0</v>
      </c>
      <c r="I148">
        <f t="shared" si="22"/>
        <v>0</v>
      </c>
      <c r="J148">
        <f t="shared" si="28"/>
        <v>0</v>
      </c>
      <c r="K148">
        <f t="shared" si="23"/>
        <v>10</v>
      </c>
      <c r="L148">
        <f t="shared" si="24"/>
        <v>-440</v>
      </c>
      <c r="M148">
        <f t="shared" si="25"/>
        <v>0</v>
      </c>
      <c r="N148">
        <f t="shared" si="29"/>
        <v>0</v>
      </c>
    </row>
    <row r="149" spans="1:14" x14ac:dyDescent="0.25">
      <c r="A149" s="1">
        <v>45074</v>
      </c>
      <c r="B149" t="s">
        <v>3</v>
      </c>
      <c r="C149">
        <f t="shared" si="26"/>
        <v>-440</v>
      </c>
      <c r="D149">
        <f>IF(B149="zima",20%,IF(B149="wiosna",50%,IF(B149="lato",90%,40%)))</f>
        <v>0.5</v>
      </c>
      <c r="E149">
        <f t="shared" si="27"/>
        <v>10</v>
      </c>
      <c r="F149">
        <f>WEEKDAY(A149,2)</f>
        <v>7</v>
      </c>
      <c r="G149">
        <f t="shared" si="20"/>
        <v>0</v>
      </c>
      <c r="H149">
        <f t="shared" si="21"/>
        <v>0</v>
      </c>
      <c r="I149">
        <f t="shared" si="22"/>
        <v>150</v>
      </c>
      <c r="J149">
        <f t="shared" si="28"/>
        <v>0</v>
      </c>
      <c r="K149">
        <f t="shared" si="23"/>
        <v>10</v>
      </c>
      <c r="L149">
        <f t="shared" si="24"/>
        <v>-590</v>
      </c>
      <c r="M149">
        <f t="shared" si="25"/>
        <v>0</v>
      </c>
      <c r="N149">
        <f t="shared" si="29"/>
        <v>150</v>
      </c>
    </row>
    <row r="150" spans="1:14" x14ac:dyDescent="0.25">
      <c r="A150" s="1">
        <v>45075</v>
      </c>
      <c r="B150" t="s">
        <v>3</v>
      </c>
      <c r="C150">
        <f t="shared" si="26"/>
        <v>-590</v>
      </c>
      <c r="D150">
        <f>IF(B150="zima",20%,IF(B150="wiosna",50%,IF(B150="lato",90%,40%)))</f>
        <v>0.5</v>
      </c>
      <c r="E150">
        <f t="shared" si="27"/>
        <v>10</v>
      </c>
      <c r="F150">
        <f>WEEKDAY(A150,2)</f>
        <v>1</v>
      </c>
      <c r="G150">
        <f t="shared" si="20"/>
        <v>1</v>
      </c>
      <c r="H150">
        <f t="shared" si="21"/>
        <v>150</v>
      </c>
      <c r="I150">
        <f t="shared" si="22"/>
        <v>0</v>
      </c>
      <c r="J150">
        <f t="shared" si="28"/>
        <v>0</v>
      </c>
      <c r="K150">
        <f t="shared" si="23"/>
        <v>10</v>
      </c>
      <c r="L150">
        <f t="shared" si="24"/>
        <v>-440</v>
      </c>
      <c r="M150">
        <f t="shared" si="25"/>
        <v>150</v>
      </c>
      <c r="N150">
        <f t="shared" si="29"/>
        <v>0</v>
      </c>
    </row>
    <row r="151" spans="1:14" x14ac:dyDescent="0.25">
      <c r="A151" s="1">
        <v>45076</v>
      </c>
      <c r="B151" t="s">
        <v>3</v>
      </c>
      <c r="C151">
        <f t="shared" si="26"/>
        <v>-440</v>
      </c>
      <c r="D151">
        <f>IF(B151="zima",20%,IF(B151="wiosna",50%,IF(B151="lato",90%,40%)))</f>
        <v>0.5</v>
      </c>
      <c r="E151">
        <f t="shared" si="27"/>
        <v>10</v>
      </c>
      <c r="F151">
        <f>WEEKDAY(A151,2)</f>
        <v>2</v>
      </c>
      <c r="G151">
        <f t="shared" si="20"/>
        <v>1</v>
      </c>
      <c r="H151">
        <f t="shared" si="21"/>
        <v>150</v>
      </c>
      <c r="I151">
        <f t="shared" si="22"/>
        <v>0</v>
      </c>
      <c r="J151">
        <f t="shared" si="28"/>
        <v>0</v>
      </c>
      <c r="K151">
        <f t="shared" si="23"/>
        <v>10</v>
      </c>
      <c r="L151">
        <f t="shared" si="24"/>
        <v>-290</v>
      </c>
      <c r="M151">
        <f t="shared" si="25"/>
        <v>150</v>
      </c>
      <c r="N151">
        <f t="shared" si="29"/>
        <v>0</v>
      </c>
    </row>
    <row r="152" spans="1:14" x14ac:dyDescent="0.25">
      <c r="A152" s="1">
        <v>45077</v>
      </c>
      <c r="B152" t="s">
        <v>3</v>
      </c>
      <c r="C152">
        <f t="shared" si="26"/>
        <v>-290</v>
      </c>
      <c r="D152">
        <f>IF(B152="zima",20%,IF(B152="wiosna",50%,IF(B152="lato",90%,40%)))</f>
        <v>0.5</v>
      </c>
      <c r="E152">
        <f t="shared" si="27"/>
        <v>10</v>
      </c>
      <c r="F152">
        <f>WEEKDAY(A152,2)</f>
        <v>3</v>
      </c>
      <c r="G152">
        <f t="shared" si="20"/>
        <v>1</v>
      </c>
      <c r="H152">
        <f t="shared" si="21"/>
        <v>150</v>
      </c>
      <c r="I152">
        <f t="shared" si="22"/>
        <v>0</v>
      </c>
      <c r="J152">
        <f t="shared" si="28"/>
        <v>0</v>
      </c>
      <c r="K152">
        <f t="shared" si="23"/>
        <v>10</v>
      </c>
      <c r="L152">
        <f t="shared" si="24"/>
        <v>-140</v>
      </c>
      <c r="M152">
        <f t="shared" si="25"/>
        <v>150</v>
      </c>
      <c r="N152">
        <f t="shared" si="29"/>
        <v>0</v>
      </c>
    </row>
    <row r="153" spans="1:14" x14ac:dyDescent="0.25">
      <c r="A153" s="2">
        <v>45078</v>
      </c>
      <c r="B153" s="3" t="s">
        <v>3</v>
      </c>
      <c r="C153">
        <f t="shared" si="26"/>
        <v>-140</v>
      </c>
      <c r="D153" s="3">
        <f>IF(B153="zima",20%,IF(B153="wiosna",50%,IF(B153="lato",90%,40%)))</f>
        <v>0.5</v>
      </c>
      <c r="E153">
        <f t="shared" si="27"/>
        <v>10</v>
      </c>
      <c r="F153" s="3">
        <f>WEEKDAY(A153,2)</f>
        <v>4</v>
      </c>
      <c r="G153">
        <f t="shared" si="20"/>
        <v>1</v>
      </c>
      <c r="H153">
        <f t="shared" si="21"/>
        <v>150</v>
      </c>
      <c r="I153">
        <f t="shared" si="22"/>
        <v>0</v>
      </c>
      <c r="J153">
        <f t="shared" si="28"/>
        <v>0</v>
      </c>
      <c r="K153">
        <f t="shared" si="23"/>
        <v>10</v>
      </c>
      <c r="L153">
        <f t="shared" si="24"/>
        <v>10</v>
      </c>
      <c r="M153">
        <f t="shared" si="25"/>
        <v>150</v>
      </c>
      <c r="N153">
        <f t="shared" si="29"/>
        <v>0</v>
      </c>
    </row>
    <row r="154" spans="1:14" x14ac:dyDescent="0.25">
      <c r="A154" s="1">
        <v>45079</v>
      </c>
      <c r="B154" t="s">
        <v>3</v>
      </c>
      <c r="C154">
        <f t="shared" si="26"/>
        <v>10</v>
      </c>
      <c r="D154">
        <f>IF(B154="zima",20%,IF(B154="wiosna",50%,IF(B154="lato",90%,40%)))</f>
        <v>0.5</v>
      </c>
      <c r="E154">
        <f t="shared" si="27"/>
        <v>10</v>
      </c>
      <c r="F154">
        <f>WEEKDAY(A154,2)</f>
        <v>5</v>
      </c>
      <c r="G154">
        <f t="shared" si="20"/>
        <v>1</v>
      </c>
      <c r="H154">
        <f t="shared" si="21"/>
        <v>150</v>
      </c>
      <c r="I154">
        <f t="shared" si="22"/>
        <v>0</v>
      </c>
      <c r="J154">
        <f t="shared" si="28"/>
        <v>0</v>
      </c>
      <c r="K154">
        <f t="shared" si="23"/>
        <v>10</v>
      </c>
      <c r="L154">
        <f t="shared" si="24"/>
        <v>160</v>
      </c>
      <c r="M154">
        <f t="shared" si="25"/>
        <v>150</v>
      </c>
      <c r="N154">
        <f t="shared" si="29"/>
        <v>0</v>
      </c>
    </row>
    <row r="155" spans="1:14" x14ac:dyDescent="0.25">
      <c r="A155" s="1">
        <v>45080</v>
      </c>
      <c r="B155" t="s">
        <v>3</v>
      </c>
      <c r="C155">
        <f t="shared" si="26"/>
        <v>160</v>
      </c>
      <c r="D155">
        <f>IF(B155="zima",20%,IF(B155="wiosna",50%,IF(B155="lato",90%,40%)))</f>
        <v>0.5</v>
      </c>
      <c r="E155">
        <f t="shared" si="27"/>
        <v>10</v>
      </c>
      <c r="F155">
        <f>WEEKDAY(A155,2)</f>
        <v>6</v>
      </c>
      <c r="G155">
        <f t="shared" si="20"/>
        <v>0</v>
      </c>
      <c r="H155">
        <f t="shared" si="21"/>
        <v>0</v>
      </c>
      <c r="I155">
        <f t="shared" si="22"/>
        <v>0</v>
      </c>
      <c r="J155">
        <f t="shared" si="28"/>
        <v>0</v>
      </c>
      <c r="K155">
        <f t="shared" si="23"/>
        <v>10</v>
      </c>
      <c r="L155">
        <f t="shared" si="24"/>
        <v>160</v>
      </c>
      <c r="M155">
        <f t="shared" si="25"/>
        <v>0</v>
      </c>
      <c r="N155">
        <f t="shared" si="29"/>
        <v>0</v>
      </c>
    </row>
    <row r="156" spans="1:14" x14ac:dyDescent="0.25">
      <c r="A156" s="1">
        <v>45081</v>
      </c>
      <c r="B156" t="s">
        <v>3</v>
      </c>
      <c r="C156">
        <f t="shared" si="26"/>
        <v>160</v>
      </c>
      <c r="D156">
        <f>IF(B156="zima",20%,IF(B156="wiosna",50%,IF(B156="lato",90%,40%)))</f>
        <v>0.5</v>
      </c>
      <c r="E156">
        <f t="shared" si="27"/>
        <v>10</v>
      </c>
      <c r="F156">
        <f>WEEKDAY(A156,2)</f>
        <v>7</v>
      </c>
      <c r="G156">
        <f t="shared" si="20"/>
        <v>0</v>
      </c>
      <c r="H156">
        <f t="shared" si="21"/>
        <v>0</v>
      </c>
      <c r="I156">
        <f t="shared" si="22"/>
        <v>150</v>
      </c>
      <c r="J156">
        <f t="shared" si="28"/>
        <v>0</v>
      </c>
      <c r="K156">
        <f t="shared" si="23"/>
        <v>10</v>
      </c>
      <c r="L156">
        <f t="shared" si="24"/>
        <v>10</v>
      </c>
      <c r="M156">
        <f t="shared" si="25"/>
        <v>0</v>
      </c>
      <c r="N156">
        <f t="shared" si="29"/>
        <v>150</v>
      </c>
    </row>
    <row r="157" spans="1:14" x14ac:dyDescent="0.25">
      <c r="A157" s="1">
        <v>45082</v>
      </c>
      <c r="B157" t="s">
        <v>3</v>
      </c>
      <c r="C157">
        <f t="shared" si="26"/>
        <v>10</v>
      </c>
      <c r="D157">
        <f>IF(B157="zima",20%,IF(B157="wiosna",50%,IF(B157="lato",90%,40%)))</f>
        <v>0.5</v>
      </c>
      <c r="E157">
        <f t="shared" si="27"/>
        <v>10</v>
      </c>
      <c r="F157">
        <f>WEEKDAY(A157,2)</f>
        <v>1</v>
      </c>
      <c r="G157">
        <f t="shared" si="20"/>
        <v>1</v>
      </c>
      <c r="H157">
        <f t="shared" si="21"/>
        <v>150</v>
      </c>
      <c r="I157">
        <f t="shared" si="22"/>
        <v>0</v>
      </c>
      <c r="J157">
        <f t="shared" si="28"/>
        <v>0</v>
      </c>
      <c r="K157">
        <f t="shared" si="23"/>
        <v>10</v>
      </c>
      <c r="L157">
        <f t="shared" si="24"/>
        <v>160</v>
      </c>
      <c r="M157">
        <f t="shared" si="25"/>
        <v>150</v>
      </c>
      <c r="N157">
        <f t="shared" si="29"/>
        <v>0</v>
      </c>
    </row>
    <row r="158" spans="1:14" x14ac:dyDescent="0.25">
      <c r="A158" s="1">
        <v>45083</v>
      </c>
      <c r="B158" t="s">
        <v>3</v>
      </c>
      <c r="C158">
        <f t="shared" si="26"/>
        <v>160</v>
      </c>
      <c r="D158">
        <f>IF(B158="zima",20%,IF(B158="wiosna",50%,IF(B158="lato",90%,40%)))</f>
        <v>0.5</v>
      </c>
      <c r="E158">
        <f t="shared" si="27"/>
        <v>10</v>
      </c>
      <c r="F158">
        <f>WEEKDAY(A158,2)</f>
        <v>2</v>
      </c>
      <c r="G158">
        <f t="shared" si="20"/>
        <v>1</v>
      </c>
      <c r="H158">
        <f t="shared" si="21"/>
        <v>150</v>
      </c>
      <c r="I158">
        <f t="shared" si="22"/>
        <v>0</v>
      </c>
      <c r="J158">
        <f t="shared" si="28"/>
        <v>0</v>
      </c>
      <c r="K158">
        <f t="shared" si="23"/>
        <v>10</v>
      </c>
      <c r="L158">
        <f t="shared" si="24"/>
        <v>310</v>
      </c>
      <c r="M158">
        <f t="shared" si="25"/>
        <v>150</v>
      </c>
      <c r="N158">
        <f t="shared" si="29"/>
        <v>0</v>
      </c>
    </row>
    <row r="159" spans="1:14" x14ac:dyDescent="0.25">
      <c r="A159" s="1">
        <v>45084</v>
      </c>
      <c r="B159" t="s">
        <v>3</v>
      </c>
      <c r="C159">
        <f t="shared" si="26"/>
        <v>310</v>
      </c>
      <c r="D159">
        <f>IF(B159="zima",20%,IF(B159="wiosna",50%,IF(B159="lato",90%,40%)))</f>
        <v>0.5</v>
      </c>
      <c r="E159">
        <f t="shared" si="27"/>
        <v>10</v>
      </c>
      <c r="F159">
        <f>WEEKDAY(A159,2)</f>
        <v>3</v>
      </c>
      <c r="G159">
        <f t="shared" si="20"/>
        <v>1</v>
      </c>
      <c r="H159">
        <f t="shared" si="21"/>
        <v>150</v>
      </c>
      <c r="I159">
        <f t="shared" si="22"/>
        <v>0</v>
      </c>
      <c r="J159">
        <f t="shared" si="28"/>
        <v>0</v>
      </c>
      <c r="K159">
        <f t="shared" si="23"/>
        <v>10</v>
      </c>
      <c r="L159">
        <f t="shared" si="24"/>
        <v>460</v>
      </c>
      <c r="M159">
        <f t="shared" si="25"/>
        <v>150</v>
      </c>
      <c r="N159">
        <f t="shared" si="29"/>
        <v>0</v>
      </c>
    </row>
    <row r="160" spans="1:14" x14ac:dyDescent="0.25">
      <c r="A160" s="1">
        <v>45085</v>
      </c>
      <c r="B160" t="s">
        <v>3</v>
      </c>
      <c r="C160">
        <f t="shared" si="26"/>
        <v>460</v>
      </c>
      <c r="D160">
        <f>IF(B160="zima",20%,IF(B160="wiosna",50%,IF(B160="lato",90%,40%)))</f>
        <v>0.5</v>
      </c>
      <c r="E160">
        <f t="shared" si="27"/>
        <v>10</v>
      </c>
      <c r="F160">
        <f>WEEKDAY(A160,2)</f>
        <v>4</v>
      </c>
      <c r="G160">
        <f t="shared" si="20"/>
        <v>1</v>
      </c>
      <c r="H160">
        <f t="shared" si="21"/>
        <v>150</v>
      </c>
      <c r="I160">
        <f t="shared" si="22"/>
        <v>0</v>
      </c>
      <c r="J160">
        <f t="shared" si="28"/>
        <v>0</v>
      </c>
      <c r="K160">
        <f t="shared" si="23"/>
        <v>10</v>
      </c>
      <c r="L160">
        <f t="shared" si="24"/>
        <v>610</v>
      </c>
      <c r="M160">
        <f t="shared" si="25"/>
        <v>150</v>
      </c>
      <c r="N160">
        <f t="shared" si="29"/>
        <v>0</v>
      </c>
    </row>
    <row r="161" spans="1:14" x14ac:dyDescent="0.25">
      <c r="A161" s="1">
        <v>45086</v>
      </c>
      <c r="B161" t="s">
        <v>3</v>
      </c>
      <c r="C161">
        <f t="shared" si="26"/>
        <v>610</v>
      </c>
      <c r="D161">
        <f>IF(B161="zima",20%,IF(B161="wiosna",50%,IF(B161="lato",90%,40%)))</f>
        <v>0.5</v>
      </c>
      <c r="E161">
        <f t="shared" si="27"/>
        <v>10</v>
      </c>
      <c r="F161">
        <f>WEEKDAY(A161,2)</f>
        <v>5</v>
      </c>
      <c r="G161">
        <f t="shared" si="20"/>
        <v>1</v>
      </c>
      <c r="H161">
        <f t="shared" si="21"/>
        <v>150</v>
      </c>
      <c r="I161">
        <f t="shared" si="22"/>
        <v>0</v>
      </c>
      <c r="J161">
        <f t="shared" si="28"/>
        <v>0</v>
      </c>
      <c r="K161">
        <f t="shared" si="23"/>
        <v>10</v>
      </c>
      <c r="L161">
        <f t="shared" si="24"/>
        <v>760</v>
      </c>
      <c r="M161">
        <f t="shared" si="25"/>
        <v>150</v>
      </c>
      <c r="N161">
        <f t="shared" si="29"/>
        <v>0</v>
      </c>
    </row>
    <row r="162" spans="1:14" x14ac:dyDescent="0.25">
      <c r="A162" s="1">
        <v>45087</v>
      </c>
      <c r="B162" t="s">
        <v>3</v>
      </c>
      <c r="C162">
        <f t="shared" si="26"/>
        <v>760</v>
      </c>
      <c r="D162">
        <f>IF(B162="zima",20%,IF(B162="wiosna",50%,IF(B162="lato",90%,40%)))</f>
        <v>0.5</v>
      </c>
      <c r="E162">
        <f t="shared" si="27"/>
        <v>10</v>
      </c>
      <c r="F162">
        <f>WEEKDAY(A162,2)</f>
        <v>6</v>
      </c>
      <c r="G162">
        <f t="shared" si="20"/>
        <v>0</v>
      </c>
      <c r="H162">
        <f t="shared" si="21"/>
        <v>0</v>
      </c>
      <c r="I162">
        <f t="shared" si="22"/>
        <v>0</v>
      </c>
      <c r="J162">
        <f t="shared" si="28"/>
        <v>0</v>
      </c>
      <c r="K162">
        <f t="shared" si="23"/>
        <v>10</v>
      </c>
      <c r="L162">
        <f t="shared" si="24"/>
        <v>760</v>
      </c>
      <c r="M162">
        <f t="shared" si="25"/>
        <v>0</v>
      </c>
      <c r="N162">
        <f t="shared" si="29"/>
        <v>0</v>
      </c>
    </row>
    <row r="163" spans="1:14" x14ac:dyDescent="0.25">
      <c r="A163" s="1">
        <v>45088</v>
      </c>
      <c r="B163" t="s">
        <v>3</v>
      </c>
      <c r="C163">
        <f t="shared" si="26"/>
        <v>760</v>
      </c>
      <c r="D163">
        <f>IF(B163="zima",20%,IF(B163="wiosna",50%,IF(B163="lato",90%,40%)))</f>
        <v>0.5</v>
      </c>
      <c r="E163">
        <f t="shared" si="27"/>
        <v>10</v>
      </c>
      <c r="F163">
        <f>WEEKDAY(A163,2)</f>
        <v>7</v>
      </c>
      <c r="G163">
        <f t="shared" si="20"/>
        <v>0</v>
      </c>
      <c r="H163">
        <f t="shared" si="21"/>
        <v>0</v>
      </c>
      <c r="I163">
        <f t="shared" si="22"/>
        <v>150</v>
      </c>
      <c r="J163">
        <f t="shared" si="28"/>
        <v>0</v>
      </c>
      <c r="K163">
        <f t="shared" si="23"/>
        <v>10</v>
      </c>
      <c r="L163">
        <f t="shared" si="24"/>
        <v>610</v>
      </c>
      <c r="M163">
        <f t="shared" si="25"/>
        <v>0</v>
      </c>
      <c r="N163">
        <f t="shared" si="29"/>
        <v>150</v>
      </c>
    </row>
    <row r="164" spans="1:14" x14ac:dyDescent="0.25">
      <c r="A164" s="1">
        <v>45089</v>
      </c>
      <c r="B164" t="s">
        <v>3</v>
      </c>
      <c r="C164">
        <f t="shared" si="26"/>
        <v>610</v>
      </c>
      <c r="D164">
        <f>IF(B164="zima",20%,IF(B164="wiosna",50%,IF(B164="lato",90%,40%)))</f>
        <v>0.5</v>
      </c>
      <c r="E164">
        <f t="shared" si="27"/>
        <v>10</v>
      </c>
      <c r="F164">
        <f>WEEKDAY(A164,2)</f>
        <v>1</v>
      </c>
      <c r="G164">
        <f t="shared" si="20"/>
        <v>1</v>
      </c>
      <c r="H164">
        <f t="shared" si="21"/>
        <v>150</v>
      </c>
      <c r="I164">
        <f t="shared" si="22"/>
        <v>0</v>
      </c>
      <c r="J164">
        <f t="shared" si="28"/>
        <v>0</v>
      </c>
      <c r="K164">
        <f t="shared" si="23"/>
        <v>10</v>
      </c>
      <c r="L164">
        <f t="shared" si="24"/>
        <v>760</v>
      </c>
      <c r="M164">
        <f t="shared" si="25"/>
        <v>150</v>
      </c>
      <c r="N164">
        <f t="shared" si="29"/>
        <v>0</v>
      </c>
    </row>
    <row r="165" spans="1:14" x14ac:dyDescent="0.25">
      <c r="A165" s="1">
        <v>45090</v>
      </c>
      <c r="B165" t="s">
        <v>3</v>
      </c>
      <c r="C165">
        <f t="shared" si="26"/>
        <v>760</v>
      </c>
      <c r="D165">
        <f>IF(B165="zima",20%,IF(B165="wiosna",50%,IF(B165="lato",90%,40%)))</f>
        <v>0.5</v>
      </c>
      <c r="E165">
        <f t="shared" si="27"/>
        <v>10</v>
      </c>
      <c r="F165">
        <f>WEEKDAY(A165,2)</f>
        <v>2</v>
      </c>
      <c r="G165">
        <f t="shared" si="20"/>
        <v>1</v>
      </c>
      <c r="H165">
        <f t="shared" si="21"/>
        <v>150</v>
      </c>
      <c r="I165">
        <f t="shared" si="22"/>
        <v>0</v>
      </c>
      <c r="J165">
        <f t="shared" si="28"/>
        <v>0</v>
      </c>
      <c r="K165">
        <f t="shared" si="23"/>
        <v>10</v>
      </c>
      <c r="L165">
        <f t="shared" si="24"/>
        <v>910</v>
      </c>
      <c r="M165">
        <f t="shared" si="25"/>
        <v>150</v>
      </c>
      <c r="N165">
        <f t="shared" si="29"/>
        <v>0</v>
      </c>
    </row>
    <row r="166" spans="1:14" x14ac:dyDescent="0.25">
      <c r="A166" s="1">
        <v>45091</v>
      </c>
      <c r="B166" t="s">
        <v>3</v>
      </c>
      <c r="C166">
        <f t="shared" si="26"/>
        <v>910</v>
      </c>
      <c r="D166">
        <f>IF(B166="zima",20%,IF(B166="wiosna",50%,IF(B166="lato",90%,40%)))</f>
        <v>0.5</v>
      </c>
      <c r="E166">
        <f t="shared" si="27"/>
        <v>10</v>
      </c>
      <c r="F166">
        <f>WEEKDAY(A166,2)</f>
        <v>3</v>
      </c>
      <c r="G166">
        <f t="shared" si="20"/>
        <v>1</v>
      </c>
      <c r="H166">
        <f t="shared" si="21"/>
        <v>150</v>
      </c>
      <c r="I166">
        <f t="shared" si="22"/>
        <v>0</v>
      </c>
      <c r="J166">
        <f t="shared" si="28"/>
        <v>0</v>
      </c>
      <c r="K166">
        <f t="shared" si="23"/>
        <v>10</v>
      </c>
      <c r="L166">
        <f t="shared" si="24"/>
        <v>1060</v>
      </c>
      <c r="M166">
        <f t="shared" si="25"/>
        <v>150</v>
      </c>
      <c r="N166">
        <f t="shared" si="29"/>
        <v>0</v>
      </c>
    </row>
    <row r="167" spans="1:14" x14ac:dyDescent="0.25">
      <c r="A167" s="1">
        <v>45092</v>
      </c>
      <c r="B167" t="s">
        <v>3</v>
      </c>
      <c r="C167">
        <f t="shared" si="26"/>
        <v>1060</v>
      </c>
      <c r="D167">
        <f>IF(B167="zima",20%,IF(B167="wiosna",50%,IF(B167="lato",90%,40%)))</f>
        <v>0.5</v>
      </c>
      <c r="E167">
        <f t="shared" si="27"/>
        <v>10</v>
      </c>
      <c r="F167">
        <f>WEEKDAY(A167,2)</f>
        <v>4</v>
      </c>
      <c r="G167">
        <f t="shared" si="20"/>
        <v>1</v>
      </c>
      <c r="H167">
        <f t="shared" si="21"/>
        <v>150</v>
      </c>
      <c r="I167">
        <f t="shared" si="22"/>
        <v>0</v>
      </c>
      <c r="J167">
        <f t="shared" si="28"/>
        <v>0</v>
      </c>
      <c r="K167">
        <f t="shared" si="23"/>
        <v>10</v>
      </c>
      <c r="L167">
        <f t="shared" si="24"/>
        <v>1210</v>
      </c>
      <c r="M167">
        <f t="shared" si="25"/>
        <v>150</v>
      </c>
      <c r="N167">
        <f t="shared" si="29"/>
        <v>0</v>
      </c>
    </row>
    <row r="168" spans="1:14" x14ac:dyDescent="0.25">
      <c r="A168" s="1">
        <v>45093</v>
      </c>
      <c r="B168" t="s">
        <v>3</v>
      </c>
      <c r="C168">
        <f t="shared" si="26"/>
        <v>1210</v>
      </c>
      <c r="D168">
        <f>IF(B168="zima",20%,IF(B168="wiosna",50%,IF(B168="lato",90%,40%)))</f>
        <v>0.5</v>
      </c>
      <c r="E168">
        <f t="shared" si="27"/>
        <v>10</v>
      </c>
      <c r="F168">
        <f>WEEKDAY(A168,2)</f>
        <v>5</v>
      </c>
      <c r="G168">
        <f t="shared" si="20"/>
        <v>1</v>
      </c>
      <c r="H168">
        <f t="shared" si="21"/>
        <v>150</v>
      </c>
      <c r="I168">
        <f t="shared" si="22"/>
        <v>0</v>
      </c>
      <c r="J168">
        <f t="shared" si="28"/>
        <v>0</v>
      </c>
      <c r="K168">
        <f t="shared" si="23"/>
        <v>10</v>
      </c>
      <c r="L168">
        <f t="shared" si="24"/>
        <v>1360</v>
      </c>
      <c r="M168">
        <f t="shared" si="25"/>
        <v>150</v>
      </c>
      <c r="N168">
        <f t="shared" si="29"/>
        <v>0</v>
      </c>
    </row>
    <row r="169" spans="1:14" x14ac:dyDescent="0.25">
      <c r="A169" s="1">
        <v>45094</v>
      </c>
      <c r="B169" t="s">
        <v>3</v>
      </c>
      <c r="C169">
        <f t="shared" si="26"/>
        <v>1360</v>
      </c>
      <c r="D169">
        <f>IF(B169="zima",20%,IF(B169="wiosna",50%,IF(B169="lato",90%,40%)))</f>
        <v>0.5</v>
      </c>
      <c r="E169">
        <f t="shared" si="27"/>
        <v>10</v>
      </c>
      <c r="F169">
        <f>WEEKDAY(A169,2)</f>
        <v>6</v>
      </c>
      <c r="G169">
        <f t="shared" si="20"/>
        <v>0</v>
      </c>
      <c r="H169">
        <f t="shared" si="21"/>
        <v>0</v>
      </c>
      <c r="I169">
        <f t="shared" si="22"/>
        <v>0</v>
      </c>
      <c r="J169">
        <f t="shared" si="28"/>
        <v>0</v>
      </c>
      <c r="K169">
        <f t="shared" si="23"/>
        <v>10</v>
      </c>
      <c r="L169">
        <f t="shared" si="24"/>
        <v>1360</v>
      </c>
      <c r="M169">
        <f t="shared" si="25"/>
        <v>0</v>
      </c>
      <c r="N169">
        <f t="shared" si="29"/>
        <v>0</v>
      </c>
    </row>
    <row r="170" spans="1:14" x14ac:dyDescent="0.25">
      <c r="A170" s="1">
        <v>45095</v>
      </c>
      <c r="B170" t="s">
        <v>3</v>
      </c>
      <c r="C170">
        <f t="shared" si="26"/>
        <v>1360</v>
      </c>
      <c r="D170">
        <f>IF(B170="zima",20%,IF(B170="wiosna",50%,IF(B170="lato",90%,40%)))</f>
        <v>0.5</v>
      </c>
      <c r="E170">
        <f t="shared" si="27"/>
        <v>10</v>
      </c>
      <c r="F170">
        <f>WEEKDAY(A170,2)</f>
        <v>7</v>
      </c>
      <c r="G170">
        <f t="shared" si="20"/>
        <v>0</v>
      </c>
      <c r="H170">
        <f t="shared" si="21"/>
        <v>0</v>
      </c>
      <c r="I170">
        <f t="shared" si="22"/>
        <v>150</v>
      </c>
      <c r="J170">
        <f t="shared" si="28"/>
        <v>0</v>
      </c>
      <c r="K170">
        <f t="shared" si="23"/>
        <v>10</v>
      </c>
      <c r="L170">
        <f t="shared" si="24"/>
        <v>1210</v>
      </c>
      <c r="M170">
        <f t="shared" si="25"/>
        <v>0</v>
      </c>
      <c r="N170">
        <f t="shared" si="29"/>
        <v>150</v>
      </c>
    </row>
    <row r="171" spans="1:14" x14ac:dyDescent="0.25">
      <c r="A171" s="1">
        <v>45096</v>
      </c>
      <c r="B171" t="s">
        <v>3</v>
      </c>
      <c r="C171">
        <f t="shared" si="26"/>
        <v>1210</v>
      </c>
      <c r="D171">
        <f>IF(B171="zima",20%,IF(B171="wiosna",50%,IF(B171="lato",90%,40%)))</f>
        <v>0.5</v>
      </c>
      <c r="E171">
        <f t="shared" si="27"/>
        <v>10</v>
      </c>
      <c r="F171">
        <f>WEEKDAY(A171,2)</f>
        <v>1</v>
      </c>
      <c r="G171">
        <f t="shared" si="20"/>
        <v>1</v>
      </c>
      <c r="H171">
        <f t="shared" si="21"/>
        <v>150</v>
      </c>
      <c r="I171">
        <f t="shared" si="22"/>
        <v>0</v>
      </c>
      <c r="J171">
        <f t="shared" si="28"/>
        <v>0</v>
      </c>
      <c r="K171">
        <f t="shared" si="23"/>
        <v>10</v>
      </c>
      <c r="L171">
        <f t="shared" si="24"/>
        <v>1360</v>
      </c>
      <c r="M171">
        <f t="shared" si="25"/>
        <v>150</v>
      </c>
      <c r="N171">
        <f t="shared" si="29"/>
        <v>0</v>
      </c>
    </row>
    <row r="172" spans="1:14" x14ac:dyDescent="0.25">
      <c r="A172" s="1">
        <v>45097</v>
      </c>
      <c r="B172" t="s">
        <v>3</v>
      </c>
      <c r="C172">
        <f t="shared" si="26"/>
        <v>1360</v>
      </c>
      <c r="D172">
        <f>IF(B172="zima",20%,IF(B172="wiosna",50%,IF(B172="lato",90%,40%)))</f>
        <v>0.5</v>
      </c>
      <c r="E172">
        <f t="shared" si="27"/>
        <v>10</v>
      </c>
      <c r="F172">
        <f>WEEKDAY(A172,2)</f>
        <v>2</v>
      </c>
      <c r="G172">
        <f t="shared" si="20"/>
        <v>1</v>
      </c>
      <c r="H172">
        <f t="shared" si="21"/>
        <v>150</v>
      </c>
      <c r="I172">
        <f t="shared" si="22"/>
        <v>0</v>
      </c>
      <c r="J172">
        <f t="shared" si="28"/>
        <v>0</v>
      </c>
      <c r="K172">
        <f t="shared" si="23"/>
        <v>10</v>
      </c>
      <c r="L172">
        <f t="shared" si="24"/>
        <v>1510</v>
      </c>
      <c r="M172">
        <f t="shared" si="25"/>
        <v>150</v>
      </c>
      <c r="N172">
        <f t="shared" si="29"/>
        <v>0</v>
      </c>
    </row>
    <row r="173" spans="1:14" x14ac:dyDescent="0.25">
      <c r="A173" s="1">
        <v>45098</v>
      </c>
      <c r="B173" t="s">
        <v>4</v>
      </c>
      <c r="C173">
        <f t="shared" si="26"/>
        <v>1510</v>
      </c>
      <c r="D173">
        <f>IF(B173="zima",20%,IF(B173="wiosna",50%,IF(B173="lato",90%,40%)))</f>
        <v>0.9</v>
      </c>
      <c r="E173">
        <f t="shared" si="27"/>
        <v>10</v>
      </c>
      <c r="F173">
        <f>WEEKDAY(A173,2)</f>
        <v>3</v>
      </c>
      <c r="G173">
        <f t="shared" si="20"/>
        <v>1</v>
      </c>
      <c r="H173">
        <f t="shared" si="21"/>
        <v>270</v>
      </c>
      <c r="I173">
        <f t="shared" si="22"/>
        <v>0</v>
      </c>
      <c r="J173">
        <f t="shared" si="28"/>
        <v>0</v>
      </c>
      <c r="K173">
        <f t="shared" si="23"/>
        <v>10</v>
      </c>
      <c r="L173">
        <f t="shared" si="24"/>
        <v>1780</v>
      </c>
      <c r="M173">
        <f t="shared" si="25"/>
        <v>270</v>
      </c>
      <c r="N173">
        <f t="shared" si="29"/>
        <v>0</v>
      </c>
    </row>
    <row r="174" spans="1:14" x14ac:dyDescent="0.25">
      <c r="A174" s="1">
        <v>45099</v>
      </c>
      <c r="B174" t="s">
        <v>4</v>
      </c>
      <c r="C174">
        <f t="shared" si="26"/>
        <v>1780</v>
      </c>
      <c r="D174">
        <f>IF(B174="zima",20%,IF(B174="wiosna",50%,IF(B174="lato",90%,40%)))</f>
        <v>0.9</v>
      </c>
      <c r="E174">
        <f t="shared" si="27"/>
        <v>10</v>
      </c>
      <c r="F174">
        <f>WEEKDAY(A174,2)</f>
        <v>4</v>
      </c>
      <c r="G174">
        <f t="shared" si="20"/>
        <v>1</v>
      </c>
      <c r="H174">
        <f t="shared" si="21"/>
        <v>270</v>
      </c>
      <c r="I174">
        <f t="shared" si="22"/>
        <v>0</v>
      </c>
      <c r="J174">
        <f t="shared" si="28"/>
        <v>0</v>
      </c>
      <c r="K174">
        <f t="shared" si="23"/>
        <v>10</v>
      </c>
      <c r="L174">
        <f t="shared" si="24"/>
        <v>2050</v>
      </c>
      <c r="M174">
        <f t="shared" si="25"/>
        <v>270</v>
      </c>
      <c r="N174">
        <f t="shared" si="29"/>
        <v>0</v>
      </c>
    </row>
    <row r="175" spans="1:14" x14ac:dyDescent="0.25">
      <c r="A175" s="1">
        <v>45100</v>
      </c>
      <c r="B175" t="s">
        <v>4</v>
      </c>
      <c r="C175">
        <f t="shared" si="26"/>
        <v>2050</v>
      </c>
      <c r="D175">
        <f>IF(B175="zima",20%,IF(B175="wiosna",50%,IF(B175="lato",90%,40%)))</f>
        <v>0.9</v>
      </c>
      <c r="E175">
        <f t="shared" si="27"/>
        <v>10</v>
      </c>
      <c r="F175">
        <f>WEEKDAY(A175,2)</f>
        <v>5</v>
      </c>
      <c r="G175">
        <f t="shared" si="20"/>
        <v>1</v>
      </c>
      <c r="H175">
        <f t="shared" si="21"/>
        <v>270</v>
      </c>
      <c r="I175">
        <f t="shared" si="22"/>
        <v>0</v>
      </c>
      <c r="J175">
        <f t="shared" si="28"/>
        <v>0</v>
      </c>
      <c r="K175">
        <f t="shared" si="23"/>
        <v>10</v>
      </c>
      <c r="L175">
        <f t="shared" si="24"/>
        <v>2320</v>
      </c>
      <c r="M175">
        <f t="shared" si="25"/>
        <v>270</v>
      </c>
      <c r="N175">
        <f t="shared" si="29"/>
        <v>0</v>
      </c>
    </row>
    <row r="176" spans="1:14" x14ac:dyDescent="0.25">
      <c r="A176" s="1">
        <v>45101</v>
      </c>
      <c r="B176" t="s">
        <v>4</v>
      </c>
      <c r="C176">
        <f t="shared" si="26"/>
        <v>2320</v>
      </c>
      <c r="D176">
        <f>IF(B176="zima",20%,IF(B176="wiosna",50%,IF(B176="lato",90%,40%)))</f>
        <v>0.9</v>
      </c>
      <c r="E176">
        <f t="shared" si="27"/>
        <v>10</v>
      </c>
      <c r="F176">
        <f>WEEKDAY(A176,2)</f>
        <v>6</v>
      </c>
      <c r="G176">
        <f t="shared" si="20"/>
        <v>0</v>
      </c>
      <c r="H176">
        <f t="shared" si="21"/>
        <v>0</v>
      </c>
      <c r="I176">
        <f t="shared" si="22"/>
        <v>0</v>
      </c>
      <c r="J176">
        <f t="shared" si="28"/>
        <v>0</v>
      </c>
      <c r="K176">
        <f t="shared" si="23"/>
        <v>10</v>
      </c>
      <c r="L176">
        <f t="shared" si="24"/>
        <v>2320</v>
      </c>
      <c r="M176">
        <f t="shared" si="25"/>
        <v>0</v>
      </c>
      <c r="N176">
        <f t="shared" si="29"/>
        <v>0</v>
      </c>
    </row>
    <row r="177" spans="1:14" x14ac:dyDescent="0.25">
      <c r="A177" s="1">
        <v>45102</v>
      </c>
      <c r="B177" t="s">
        <v>4</v>
      </c>
      <c r="C177">
        <f t="shared" si="26"/>
        <v>2320</v>
      </c>
      <c r="D177">
        <f>IF(B177="zima",20%,IF(B177="wiosna",50%,IF(B177="lato",90%,40%)))</f>
        <v>0.9</v>
      </c>
      <c r="E177">
        <f t="shared" si="27"/>
        <v>10</v>
      </c>
      <c r="F177">
        <f>WEEKDAY(A177,2)</f>
        <v>7</v>
      </c>
      <c r="G177">
        <f t="shared" si="20"/>
        <v>0</v>
      </c>
      <c r="H177">
        <f t="shared" si="21"/>
        <v>0</v>
      </c>
      <c r="I177">
        <f t="shared" si="22"/>
        <v>150</v>
      </c>
      <c r="J177">
        <f t="shared" si="28"/>
        <v>0</v>
      </c>
      <c r="K177">
        <f t="shared" si="23"/>
        <v>10</v>
      </c>
      <c r="L177">
        <f t="shared" si="24"/>
        <v>2170</v>
      </c>
      <c r="M177">
        <f t="shared" si="25"/>
        <v>0</v>
      </c>
      <c r="N177">
        <f t="shared" si="29"/>
        <v>150</v>
      </c>
    </row>
    <row r="178" spans="1:14" x14ac:dyDescent="0.25">
      <c r="A178" s="1">
        <v>45103</v>
      </c>
      <c r="B178" t="s">
        <v>4</v>
      </c>
      <c r="C178">
        <f t="shared" si="26"/>
        <v>2170</v>
      </c>
      <c r="D178">
        <f>IF(B178="zima",20%,IF(B178="wiosna",50%,IF(B178="lato",90%,40%)))</f>
        <v>0.9</v>
      </c>
      <c r="E178">
        <f t="shared" si="27"/>
        <v>10</v>
      </c>
      <c r="F178">
        <f>WEEKDAY(A178,2)</f>
        <v>1</v>
      </c>
      <c r="G178">
        <f t="shared" si="20"/>
        <v>1</v>
      </c>
      <c r="H178">
        <f t="shared" si="21"/>
        <v>270</v>
      </c>
      <c r="I178">
        <f t="shared" si="22"/>
        <v>0</v>
      </c>
      <c r="J178">
        <f t="shared" si="28"/>
        <v>0</v>
      </c>
      <c r="K178">
        <f t="shared" si="23"/>
        <v>10</v>
      </c>
      <c r="L178">
        <f t="shared" si="24"/>
        <v>2440</v>
      </c>
      <c r="M178">
        <f t="shared" si="25"/>
        <v>270</v>
      </c>
      <c r="N178">
        <f t="shared" si="29"/>
        <v>0</v>
      </c>
    </row>
    <row r="179" spans="1:14" x14ac:dyDescent="0.25">
      <c r="A179" s="1">
        <v>45104</v>
      </c>
      <c r="B179" t="s">
        <v>4</v>
      </c>
      <c r="C179">
        <f t="shared" si="26"/>
        <v>2440</v>
      </c>
      <c r="D179">
        <f>IF(B179="zima",20%,IF(B179="wiosna",50%,IF(B179="lato",90%,40%)))</f>
        <v>0.9</v>
      </c>
      <c r="E179">
        <f t="shared" si="27"/>
        <v>10</v>
      </c>
      <c r="F179">
        <f>WEEKDAY(A179,2)</f>
        <v>2</v>
      </c>
      <c r="G179">
        <f t="shared" si="20"/>
        <v>1</v>
      </c>
      <c r="H179">
        <f t="shared" si="21"/>
        <v>270</v>
      </c>
      <c r="I179">
        <f t="shared" si="22"/>
        <v>0</v>
      </c>
      <c r="J179">
        <f t="shared" si="28"/>
        <v>0</v>
      </c>
      <c r="K179">
        <f t="shared" si="23"/>
        <v>10</v>
      </c>
      <c r="L179">
        <f t="shared" si="24"/>
        <v>2710</v>
      </c>
      <c r="M179">
        <f t="shared" si="25"/>
        <v>270</v>
      </c>
      <c r="N179">
        <f t="shared" si="29"/>
        <v>0</v>
      </c>
    </row>
    <row r="180" spans="1:14" x14ac:dyDescent="0.25">
      <c r="A180" s="1">
        <v>45105</v>
      </c>
      <c r="B180" t="s">
        <v>4</v>
      </c>
      <c r="C180">
        <f t="shared" si="26"/>
        <v>2710</v>
      </c>
      <c r="D180">
        <f>IF(B180="zima",20%,IF(B180="wiosna",50%,IF(B180="lato",90%,40%)))</f>
        <v>0.9</v>
      </c>
      <c r="E180">
        <f t="shared" si="27"/>
        <v>10</v>
      </c>
      <c r="F180">
        <f>WEEKDAY(A180,2)</f>
        <v>3</v>
      </c>
      <c r="G180">
        <f t="shared" si="20"/>
        <v>1</v>
      </c>
      <c r="H180">
        <f t="shared" si="21"/>
        <v>270</v>
      </c>
      <c r="I180">
        <f t="shared" si="22"/>
        <v>0</v>
      </c>
      <c r="J180">
        <f t="shared" si="28"/>
        <v>0</v>
      </c>
      <c r="K180">
        <f t="shared" si="23"/>
        <v>10</v>
      </c>
      <c r="L180">
        <f t="shared" si="24"/>
        <v>2980</v>
      </c>
      <c r="M180">
        <f t="shared" si="25"/>
        <v>270</v>
      </c>
      <c r="N180">
        <f t="shared" si="29"/>
        <v>0</v>
      </c>
    </row>
    <row r="181" spans="1:14" x14ac:dyDescent="0.25">
      <c r="A181" s="1">
        <v>45106</v>
      </c>
      <c r="B181" t="s">
        <v>4</v>
      </c>
      <c r="C181">
        <f t="shared" si="26"/>
        <v>2980</v>
      </c>
      <c r="D181">
        <f>IF(B181="zima",20%,IF(B181="wiosna",50%,IF(B181="lato",90%,40%)))</f>
        <v>0.9</v>
      </c>
      <c r="E181">
        <f t="shared" si="27"/>
        <v>10</v>
      </c>
      <c r="F181">
        <f>WEEKDAY(A181,2)</f>
        <v>4</v>
      </c>
      <c r="G181">
        <f t="shared" si="20"/>
        <v>1</v>
      </c>
      <c r="H181">
        <f t="shared" si="21"/>
        <v>270</v>
      </c>
      <c r="I181">
        <f t="shared" si="22"/>
        <v>0</v>
      </c>
      <c r="J181">
        <f t="shared" si="28"/>
        <v>0</v>
      </c>
      <c r="K181">
        <f t="shared" si="23"/>
        <v>10</v>
      </c>
      <c r="L181">
        <f t="shared" si="24"/>
        <v>3250</v>
      </c>
      <c r="M181">
        <f t="shared" si="25"/>
        <v>270</v>
      </c>
      <c r="N181">
        <f t="shared" si="29"/>
        <v>0</v>
      </c>
    </row>
    <row r="182" spans="1:14" x14ac:dyDescent="0.25">
      <c r="A182" s="1">
        <v>45107</v>
      </c>
      <c r="B182" t="s">
        <v>4</v>
      </c>
      <c r="C182">
        <f t="shared" si="26"/>
        <v>3250</v>
      </c>
      <c r="D182">
        <f>IF(B182="zima",20%,IF(B182="wiosna",50%,IF(B182="lato",90%,40%)))</f>
        <v>0.9</v>
      </c>
      <c r="E182">
        <f t="shared" si="27"/>
        <v>10</v>
      </c>
      <c r="F182">
        <f>WEEKDAY(A182,2)</f>
        <v>5</v>
      </c>
      <c r="G182">
        <f t="shared" si="20"/>
        <v>1</v>
      </c>
      <c r="H182">
        <f t="shared" si="21"/>
        <v>270</v>
      </c>
      <c r="I182">
        <f t="shared" si="22"/>
        <v>0</v>
      </c>
      <c r="J182">
        <f t="shared" si="28"/>
        <v>2400</v>
      </c>
      <c r="K182">
        <f t="shared" si="23"/>
        <v>13</v>
      </c>
      <c r="L182">
        <f>C182+H182-I182-J182</f>
        <v>1120</v>
      </c>
      <c r="M182">
        <f>H182</f>
        <v>270</v>
      </c>
      <c r="N182">
        <f t="shared" si="29"/>
        <v>2400</v>
      </c>
    </row>
    <row r="183" spans="1:14" x14ac:dyDescent="0.25">
      <c r="A183" s="1">
        <v>45108</v>
      </c>
      <c r="B183" t="s">
        <v>4</v>
      </c>
      <c r="C183">
        <f t="shared" si="26"/>
        <v>1120</v>
      </c>
      <c r="D183">
        <f>IF(B183="zima",20%,IF(B183="wiosna",50%,IF(B183="lato",90%,40%)))</f>
        <v>0.9</v>
      </c>
      <c r="E183">
        <f t="shared" si="27"/>
        <v>13</v>
      </c>
      <c r="F183">
        <f>WEEKDAY(A183,2)</f>
        <v>6</v>
      </c>
      <c r="G183">
        <f t="shared" si="20"/>
        <v>0</v>
      </c>
      <c r="H183">
        <f t="shared" si="21"/>
        <v>0</v>
      </c>
      <c r="I183">
        <f t="shared" si="22"/>
        <v>0</v>
      </c>
      <c r="J183">
        <f t="shared" si="28"/>
        <v>0</v>
      </c>
      <c r="K183">
        <f t="shared" si="23"/>
        <v>13</v>
      </c>
      <c r="L183">
        <f>C183+H183-I183-J183</f>
        <v>1120</v>
      </c>
      <c r="M183">
        <f t="shared" si="25"/>
        <v>0</v>
      </c>
      <c r="N183">
        <f t="shared" si="29"/>
        <v>0</v>
      </c>
    </row>
    <row r="184" spans="1:14" x14ac:dyDescent="0.25">
      <c r="A184" s="1">
        <v>45109</v>
      </c>
      <c r="B184" t="s">
        <v>4</v>
      </c>
      <c r="C184">
        <f t="shared" si="26"/>
        <v>1120</v>
      </c>
      <c r="D184">
        <f>IF(B184="zima",20%,IF(B184="wiosna",50%,IF(B184="lato",90%,40%)))</f>
        <v>0.9</v>
      </c>
      <c r="E184">
        <f t="shared" si="27"/>
        <v>13</v>
      </c>
      <c r="F184">
        <f>WEEKDAY(A184,2)</f>
        <v>7</v>
      </c>
      <c r="G184">
        <f t="shared" si="20"/>
        <v>0</v>
      </c>
      <c r="H184">
        <f t="shared" si="21"/>
        <v>0</v>
      </c>
      <c r="I184">
        <f t="shared" si="22"/>
        <v>195</v>
      </c>
      <c r="J184">
        <f t="shared" si="28"/>
        <v>0</v>
      </c>
      <c r="K184">
        <f t="shared" si="23"/>
        <v>13</v>
      </c>
      <c r="L184">
        <f t="shared" si="24"/>
        <v>925</v>
      </c>
      <c r="M184">
        <f t="shared" si="25"/>
        <v>0</v>
      </c>
      <c r="N184">
        <f t="shared" si="29"/>
        <v>195</v>
      </c>
    </row>
    <row r="185" spans="1:14" x14ac:dyDescent="0.25">
      <c r="A185" s="1">
        <v>45110</v>
      </c>
      <c r="B185" t="s">
        <v>4</v>
      </c>
      <c r="C185">
        <f t="shared" si="26"/>
        <v>925</v>
      </c>
      <c r="D185">
        <f>IF(B185="zima",20%,IF(B185="wiosna",50%,IF(B185="lato",90%,40%)))</f>
        <v>0.9</v>
      </c>
      <c r="E185">
        <f t="shared" si="27"/>
        <v>13</v>
      </c>
      <c r="F185">
        <f>WEEKDAY(A185,2)</f>
        <v>1</v>
      </c>
      <c r="G185">
        <f t="shared" si="20"/>
        <v>1</v>
      </c>
      <c r="H185">
        <f t="shared" si="21"/>
        <v>330</v>
      </c>
      <c r="I185">
        <f t="shared" si="22"/>
        <v>0</v>
      </c>
      <c r="J185">
        <f t="shared" si="28"/>
        <v>0</v>
      </c>
      <c r="K185">
        <f t="shared" si="23"/>
        <v>13</v>
      </c>
      <c r="L185">
        <f t="shared" si="24"/>
        <v>1255</v>
      </c>
      <c r="M185">
        <f t="shared" si="25"/>
        <v>330</v>
      </c>
      <c r="N185">
        <f t="shared" si="29"/>
        <v>0</v>
      </c>
    </row>
    <row r="186" spans="1:14" x14ac:dyDescent="0.25">
      <c r="A186" s="1">
        <v>45111</v>
      </c>
      <c r="B186" t="s">
        <v>4</v>
      </c>
      <c r="C186">
        <f t="shared" si="26"/>
        <v>1255</v>
      </c>
      <c r="D186">
        <f>IF(B186="zima",20%,IF(B186="wiosna",50%,IF(B186="lato",90%,40%)))</f>
        <v>0.9</v>
      </c>
      <c r="E186">
        <f t="shared" si="27"/>
        <v>13</v>
      </c>
      <c r="F186">
        <f>WEEKDAY(A186,2)</f>
        <v>2</v>
      </c>
      <c r="G186">
        <f t="shared" si="20"/>
        <v>1</v>
      </c>
      <c r="H186">
        <f t="shared" si="21"/>
        <v>330</v>
      </c>
      <c r="I186">
        <f t="shared" si="22"/>
        <v>0</v>
      </c>
      <c r="J186">
        <f t="shared" si="28"/>
        <v>0</v>
      </c>
      <c r="K186">
        <f t="shared" si="23"/>
        <v>13</v>
      </c>
      <c r="L186">
        <f t="shared" si="24"/>
        <v>1585</v>
      </c>
      <c r="M186">
        <f t="shared" si="25"/>
        <v>330</v>
      </c>
      <c r="N186">
        <f t="shared" si="29"/>
        <v>0</v>
      </c>
    </row>
    <row r="187" spans="1:14" x14ac:dyDescent="0.25">
      <c r="A187" s="1">
        <v>45112</v>
      </c>
      <c r="B187" t="s">
        <v>4</v>
      </c>
      <c r="C187">
        <f t="shared" si="26"/>
        <v>1585</v>
      </c>
      <c r="D187">
        <f>IF(B187="zima",20%,IF(B187="wiosna",50%,IF(B187="lato",90%,40%)))</f>
        <v>0.9</v>
      </c>
      <c r="E187">
        <f t="shared" si="27"/>
        <v>13</v>
      </c>
      <c r="F187">
        <f>WEEKDAY(A187,2)</f>
        <v>3</v>
      </c>
      <c r="G187">
        <f t="shared" si="20"/>
        <v>1</v>
      </c>
      <c r="H187">
        <f t="shared" si="21"/>
        <v>330</v>
      </c>
      <c r="I187">
        <f t="shared" si="22"/>
        <v>0</v>
      </c>
      <c r="J187">
        <f t="shared" si="28"/>
        <v>0</v>
      </c>
      <c r="K187">
        <f t="shared" si="23"/>
        <v>13</v>
      </c>
      <c r="L187">
        <f t="shared" si="24"/>
        <v>1915</v>
      </c>
      <c r="M187">
        <f t="shared" si="25"/>
        <v>330</v>
      </c>
      <c r="N187">
        <f t="shared" si="29"/>
        <v>0</v>
      </c>
    </row>
    <row r="188" spans="1:14" x14ac:dyDescent="0.25">
      <c r="A188" s="1">
        <v>45113</v>
      </c>
      <c r="B188" t="s">
        <v>4</v>
      </c>
      <c r="C188">
        <f t="shared" si="26"/>
        <v>1915</v>
      </c>
      <c r="D188">
        <f>IF(B188="zima",20%,IF(B188="wiosna",50%,IF(B188="lato",90%,40%)))</f>
        <v>0.9</v>
      </c>
      <c r="E188">
        <f t="shared" si="27"/>
        <v>13</v>
      </c>
      <c r="F188">
        <f>WEEKDAY(A188,2)</f>
        <v>4</v>
      </c>
      <c r="G188">
        <f t="shared" si="20"/>
        <v>1</v>
      </c>
      <c r="H188">
        <f t="shared" si="21"/>
        <v>330</v>
      </c>
      <c r="I188">
        <f t="shared" si="22"/>
        <v>0</v>
      </c>
      <c r="J188">
        <f t="shared" si="28"/>
        <v>0</v>
      </c>
      <c r="K188">
        <f t="shared" si="23"/>
        <v>13</v>
      </c>
      <c r="L188">
        <f t="shared" si="24"/>
        <v>2245</v>
      </c>
      <c r="M188">
        <f t="shared" si="25"/>
        <v>330</v>
      </c>
      <c r="N188">
        <f t="shared" si="29"/>
        <v>0</v>
      </c>
    </row>
    <row r="189" spans="1:14" x14ac:dyDescent="0.25">
      <c r="A189" s="1">
        <v>45114</v>
      </c>
      <c r="B189" t="s">
        <v>4</v>
      </c>
      <c r="C189">
        <f t="shared" si="26"/>
        <v>2245</v>
      </c>
      <c r="D189">
        <f>IF(B189="zima",20%,IF(B189="wiosna",50%,IF(B189="lato",90%,40%)))</f>
        <v>0.9</v>
      </c>
      <c r="E189">
        <f t="shared" si="27"/>
        <v>13</v>
      </c>
      <c r="F189">
        <f>WEEKDAY(A189,2)</f>
        <v>5</v>
      </c>
      <c r="G189">
        <f t="shared" si="20"/>
        <v>1</v>
      </c>
      <c r="H189">
        <f t="shared" si="21"/>
        <v>330</v>
      </c>
      <c r="I189">
        <f t="shared" si="22"/>
        <v>0</v>
      </c>
      <c r="J189">
        <f t="shared" si="28"/>
        <v>0</v>
      </c>
      <c r="K189">
        <f t="shared" si="23"/>
        <v>13</v>
      </c>
      <c r="L189">
        <f t="shared" si="24"/>
        <v>2575</v>
      </c>
      <c r="M189">
        <f t="shared" si="25"/>
        <v>330</v>
      </c>
      <c r="N189">
        <f t="shared" si="29"/>
        <v>0</v>
      </c>
    </row>
    <row r="190" spans="1:14" x14ac:dyDescent="0.25">
      <c r="A190" s="1">
        <v>45115</v>
      </c>
      <c r="B190" t="s">
        <v>4</v>
      </c>
      <c r="C190">
        <f t="shared" si="26"/>
        <v>2575</v>
      </c>
      <c r="D190">
        <f>IF(B190="zima",20%,IF(B190="wiosna",50%,IF(B190="lato",90%,40%)))</f>
        <v>0.9</v>
      </c>
      <c r="E190">
        <f t="shared" si="27"/>
        <v>13</v>
      </c>
      <c r="F190">
        <f>WEEKDAY(A190,2)</f>
        <v>6</v>
      </c>
      <c r="G190">
        <f t="shared" si="20"/>
        <v>0</v>
      </c>
      <c r="H190">
        <f t="shared" si="21"/>
        <v>0</v>
      </c>
      <c r="I190">
        <f t="shared" si="22"/>
        <v>0</v>
      </c>
      <c r="J190">
        <f t="shared" si="28"/>
        <v>0</v>
      </c>
      <c r="K190">
        <f t="shared" si="23"/>
        <v>13</v>
      </c>
      <c r="L190">
        <f t="shared" si="24"/>
        <v>2575</v>
      </c>
      <c r="M190">
        <f t="shared" si="25"/>
        <v>0</v>
      </c>
      <c r="N190">
        <f t="shared" si="29"/>
        <v>0</v>
      </c>
    </row>
    <row r="191" spans="1:14" x14ac:dyDescent="0.25">
      <c r="A191" s="1">
        <v>45116</v>
      </c>
      <c r="B191" t="s">
        <v>4</v>
      </c>
      <c r="C191">
        <f t="shared" si="26"/>
        <v>2575</v>
      </c>
      <c r="D191">
        <f>IF(B191="zima",20%,IF(B191="wiosna",50%,IF(B191="lato",90%,40%)))</f>
        <v>0.9</v>
      </c>
      <c r="E191">
        <f t="shared" si="27"/>
        <v>13</v>
      </c>
      <c r="F191">
        <f>WEEKDAY(A191,2)</f>
        <v>7</v>
      </c>
      <c r="G191">
        <f t="shared" si="20"/>
        <v>0</v>
      </c>
      <c r="H191">
        <f t="shared" si="21"/>
        <v>0</v>
      </c>
      <c r="I191">
        <f t="shared" si="22"/>
        <v>195</v>
      </c>
      <c r="J191">
        <f t="shared" si="28"/>
        <v>0</v>
      </c>
      <c r="K191">
        <f t="shared" si="23"/>
        <v>13</v>
      </c>
      <c r="L191">
        <f t="shared" si="24"/>
        <v>2380</v>
      </c>
      <c r="M191">
        <f t="shared" si="25"/>
        <v>0</v>
      </c>
      <c r="N191">
        <f t="shared" si="29"/>
        <v>195</v>
      </c>
    </row>
    <row r="192" spans="1:14" x14ac:dyDescent="0.25">
      <c r="A192" s="1">
        <v>45117</v>
      </c>
      <c r="B192" t="s">
        <v>4</v>
      </c>
      <c r="C192">
        <f t="shared" si="26"/>
        <v>2380</v>
      </c>
      <c r="D192">
        <f>IF(B192="zima",20%,IF(B192="wiosna",50%,IF(B192="lato",90%,40%)))</f>
        <v>0.9</v>
      </c>
      <c r="E192">
        <f t="shared" si="27"/>
        <v>13</v>
      </c>
      <c r="F192">
        <f>WEEKDAY(A192,2)</f>
        <v>1</v>
      </c>
      <c r="G192">
        <f t="shared" si="20"/>
        <v>1</v>
      </c>
      <c r="H192">
        <f t="shared" si="21"/>
        <v>330</v>
      </c>
      <c r="I192">
        <f t="shared" si="22"/>
        <v>0</v>
      </c>
      <c r="J192">
        <f t="shared" si="28"/>
        <v>0</v>
      </c>
      <c r="K192">
        <f t="shared" si="23"/>
        <v>13</v>
      </c>
      <c r="L192">
        <f t="shared" si="24"/>
        <v>2710</v>
      </c>
      <c r="M192">
        <f t="shared" si="25"/>
        <v>330</v>
      </c>
      <c r="N192">
        <f t="shared" si="29"/>
        <v>0</v>
      </c>
    </row>
    <row r="193" spans="1:14" x14ac:dyDescent="0.25">
      <c r="A193" s="1">
        <v>45118</v>
      </c>
      <c r="B193" t="s">
        <v>4</v>
      </c>
      <c r="C193">
        <f t="shared" si="26"/>
        <v>2710</v>
      </c>
      <c r="D193">
        <f>IF(B193="zima",20%,IF(B193="wiosna",50%,IF(B193="lato",90%,40%)))</f>
        <v>0.9</v>
      </c>
      <c r="E193">
        <f t="shared" si="27"/>
        <v>13</v>
      </c>
      <c r="F193">
        <f>WEEKDAY(A193,2)</f>
        <v>2</v>
      </c>
      <c r="G193">
        <f t="shared" si="20"/>
        <v>1</v>
      </c>
      <c r="H193">
        <f t="shared" si="21"/>
        <v>330</v>
      </c>
      <c r="I193">
        <f t="shared" si="22"/>
        <v>0</v>
      </c>
      <c r="J193">
        <f t="shared" si="28"/>
        <v>0</v>
      </c>
      <c r="K193">
        <f t="shared" si="23"/>
        <v>13</v>
      </c>
      <c r="L193">
        <f t="shared" si="24"/>
        <v>3040</v>
      </c>
      <c r="M193">
        <f t="shared" si="25"/>
        <v>330</v>
      </c>
      <c r="N193">
        <f t="shared" si="29"/>
        <v>0</v>
      </c>
    </row>
    <row r="194" spans="1:14" x14ac:dyDescent="0.25">
      <c r="A194" s="1">
        <v>45119</v>
      </c>
      <c r="B194" t="s">
        <v>4</v>
      </c>
      <c r="C194">
        <f t="shared" si="26"/>
        <v>3040</v>
      </c>
      <c r="D194">
        <f>IF(B194="zima",20%,IF(B194="wiosna",50%,IF(B194="lato",90%,40%)))</f>
        <v>0.9</v>
      </c>
      <c r="E194">
        <f t="shared" si="27"/>
        <v>13</v>
      </c>
      <c r="F194">
        <f>WEEKDAY(A194,2)</f>
        <v>3</v>
      </c>
      <c r="G194">
        <f t="shared" si="20"/>
        <v>1</v>
      </c>
      <c r="H194">
        <f t="shared" si="21"/>
        <v>330</v>
      </c>
      <c r="I194">
        <f t="shared" si="22"/>
        <v>0</v>
      </c>
      <c r="J194">
        <f t="shared" si="28"/>
        <v>0</v>
      </c>
      <c r="K194">
        <f t="shared" si="23"/>
        <v>13</v>
      </c>
      <c r="L194">
        <f t="shared" si="24"/>
        <v>3370</v>
      </c>
      <c r="M194">
        <f t="shared" si="25"/>
        <v>330</v>
      </c>
      <c r="N194">
        <f t="shared" si="29"/>
        <v>0</v>
      </c>
    </row>
    <row r="195" spans="1:14" x14ac:dyDescent="0.25">
      <c r="A195" s="1">
        <v>45120</v>
      </c>
      <c r="B195" t="s">
        <v>4</v>
      </c>
      <c r="C195">
        <f t="shared" si="26"/>
        <v>3370</v>
      </c>
      <c r="D195">
        <f>IF(B195="zima",20%,IF(B195="wiosna",50%,IF(B195="lato",90%,40%)))</f>
        <v>0.9</v>
      </c>
      <c r="E195">
        <f t="shared" si="27"/>
        <v>13</v>
      </c>
      <c r="F195">
        <f>WEEKDAY(A195,2)</f>
        <v>4</v>
      </c>
      <c r="G195">
        <f t="shared" ref="G195:G258" si="30">IF(AND(F195&lt;&gt;6,F195&lt;&gt;7),1,0)</f>
        <v>1</v>
      </c>
      <c r="H195">
        <f t="shared" ref="H195:H258" si="31">ROUNDDOWN(D195*E195,0)*30*G195</f>
        <v>330</v>
      </c>
      <c r="I195">
        <f t="shared" ref="I195:I258" si="32">IF(F195=7,E195*15,0)</f>
        <v>0</v>
      </c>
      <c r="J195">
        <f t="shared" si="28"/>
        <v>0</v>
      </c>
      <c r="K195">
        <f t="shared" ref="K195:K258" si="33">IF(J195&gt;0,E195+3,E195)</f>
        <v>13</v>
      </c>
      <c r="L195">
        <f t="shared" ref="L195:L258" si="34">C195+H195-I195-J195</f>
        <v>3700</v>
      </c>
      <c r="M195">
        <f t="shared" ref="M195:M258" si="35">H195</f>
        <v>330</v>
      </c>
      <c r="N195">
        <f t="shared" si="29"/>
        <v>0</v>
      </c>
    </row>
    <row r="196" spans="1:14" x14ac:dyDescent="0.25">
      <c r="A196" s="1">
        <v>45121</v>
      </c>
      <c r="B196" t="s">
        <v>4</v>
      </c>
      <c r="C196">
        <f t="shared" ref="C196:C259" si="36">L195</f>
        <v>3700</v>
      </c>
      <c r="D196">
        <f>IF(B196="zima",20%,IF(B196="wiosna",50%,IF(B196="lato",90%,40%)))</f>
        <v>0.9</v>
      </c>
      <c r="E196">
        <f t="shared" ref="E196:E259" si="37">K195</f>
        <v>13</v>
      </c>
      <c r="F196">
        <f>WEEKDAY(A196,2)</f>
        <v>5</v>
      </c>
      <c r="G196">
        <f t="shared" si="30"/>
        <v>1</v>
      </c>
      <c r="H196">
        <f t="shared" si="31"/>
        <v>330</v>
      </c>
      <c r="I196">
        <f t="shared" si="32"/>
        <v>0</v>
      </c>
      <c r="J196">
        <f t="shared" ref="J196:J259" si="38">IF(AND(DAY(A197)=1,C196&gt;=2400),2400,0)</f>
        <v>0</v>
      </c>
      <c r="K196">
        <f t="shared" si="33"/>
        <v>13</v>
      </c>
      <c r="L196">
        <f t="shared" si="34"/>
        <v>4030</v>
      </c>
      <c r="M196">
        <f t="shared" si="35"/>
        <v>330</v>
      </c>
      <c r="N196">
        <f t="shared" ref="N196:N259" si="39">J196+I196</f>
        <v>0</v>
      </c>
    </row>
    <row r="197" spans="1:14" x14ac:dyDescent="0.25">
      <c r="A197" s="1">
        <v>45122</v>
      </c>
      <c r="B197" t="s">
        <v>4</v>
      </c>
      <c r="C197">
        <f t="shared" si="36"/>
        <v>4030</v>
      </c>
      <c r="D197">
        <f>IF(B197="zima",20%,IF(B197="wiosna",50%,IF(B197="lato",90%,40%)))</f>
        <v>0.9</v>
      </c>
      <c r="E197">
        <f t="shared" si="37"/>
        <v>13</v>
      </c>
      <c r="F197">
        <f>WEEKDAY(A197,2)</f>
        <v>6</v>
      </c>
      <c r="G197">
        <f t="shared" si="30"/>
        <v>0</v>
      </c>
      <c r="H197">
        <f t="shared" si="31"/>
        <v>0</v>
      </c>
      <c r="I197">
        <f t="shared" si="32"/>
        <v>0</v>
      </c>
      <c r="J197">
        <f t="shared" si="38"/>
        <v>0</v>
      </c>
      <c r="K197">
        <f t="shared" si="33"/>
        <v>13</v>
      </c>
      <c r="L197">
        <f t="shared" si="34"/>
        <v>4030</v>
      </c>
      <c r="M197">
        <f t="shared" si="35"/>
        <v>0</v>
      </c>
      <c r="N197">
        <f t="shared" si="39"/>
        <v>0</v>
      </c>
    </row>
    <row r="198" spans="1:14" x14ac:dyDescent="0.25">
      <c r="A198" s="1">
        <v>45123</v>
      </c>
      <c r="B198" t="s">
        <v>4</v>
      </c>
      <c r="C198">
        <f t="shared" si="36"/>
        <v>4030</v>
      </c>
      <c r="D198">
        <f>IF(B198="zima",20%,IF(B198="wiosna",50%,IF(B198="lato",90%,40%)))</f>
        <v>0.9</v>
      </c>
      <c r="E198">
        <f t="shared" si="37"/>
        <v>13</v>
      </c>
      <c r="F198">
        <f>WEEKDAY(A198,2)</f>
        <v>7</v>
      </c>
      <c r="G198">
        <f t="shared" si="30"/>
        <v>0</v>
      </c>
      <c r="H198">
        <f t="shared" si="31"/>
        <v>0</v>
      </c>
      <c r="I198">
        <f t="shared" si="32"/>
        <v>195</v>
      </c>
      <c r="J198">
        <f t="shared" si="38"/>
        <v>0</v>
      </c>
      <c r="K198">
        <f t="shared" si="33"/>
        <v>13</v>
      </c>
      <c r="L198">
        <f t="shared" si="34"/>
        <v>3835</v>
      </c>
      <c r="M198">
        <f t="shared" si="35"/>
        <v>0</v>
      </c>
      <c r="N198">
        <f t="shared" si="39"/>
        <v>195</v>
      </c>
    </row>
    <row r="199" spans="1:14" x14ac:dyDescent="0.25">
      <c r="A199" s="1">
        <v>45124</v>
      </c>
      <c r="B199" t="s">
        <v>4</v>
      </c>
      <c r="C199">
        <f t="shared" si="36"/>
        <v>3835</v>
      </c>
      <c r="D199">
        <f>IF(B199="zima",20%,IF(B199="wiosna",50%,IF(B199="lato",90%,40%)))</f>
        <v>0.9</v>
      </c>
      <c r="E199">
        <f t="shared" si="37"/>
        <v>13</v>
      </c>
      <c r="F199">
        <f>WEEKDAY(A199,2)</f>
        <v>1</v>
      </c>
      <c r="G199">
        <f t="shared" si="30"/>
        <v>1</v>
      </c>
      <c r="H199">
        <f t="shared" si="31"/>
        <v>330</v>
      </c>
      <c r="I199">
        <f t="shared" si="32"/>
        <v>0</v>
      </c>
      <c r="J199">
        <f t="shared" si="38"/>
        <v>0</v>
      </c>
      <c r="K199">
        <f t="shared" si="33"/>
        <v>13</v>
      </c>
      <c r="L199">
        <f t="shared" si="34"/>
        <v>4165</v>
      </c>
      <c r="M199">
        <f t="shared" si="35"/>
        <v>330</v>
      </c>
      <c r="N199">
        <f t="shared" si="39"/>
        <v>0</v>
      </c>
    </row>
    <row r="200" spans="1:14" x14ac:dyDescent="0.25">
      <c r="A200" s="1">
        <v>45125</v>
      </c>
      <c r="B200" t="s">
        <v>4</v>
      </c>
      <c r="C200">
        <f t="shared" si="36"/>
        <v>4165</v>
      </c>
      <c r="D200">
        <f>IF(B200="zima",20%,IF(B200="wiosna",50%,IF(B200="lato",90%,40%)))</f>
        <v>0.9</v>
      </c>
      <c r="E200">
        <f t="shared" si="37"/>
        <v>13</v>
      </c>
      <c r="F200">
        <f>WEEKDAY(A200,2)</f>
        <v>2</v>
      </c>
      <c r="G200">
        <f t="shared" si="30"/>
        <v>1</v>
      </c>
      <c r="H200">
        <f t="shared" si="31"/>
        <v>330</v>
      </c>
      <c r="I200">
        <f t="shared" si="32"/>
        <v>0</v>
      </c>
      <c r="J200">
        <f t="shared" si="38"/>
        <v>0</v>
      </c>
      <c r="K200">
        <f t="shared" si="33"/>
        <v>13</v>
      </c>
      <c r="L200">
        <f t="shared" si="34"/>
        <v>4495</v>
      </c>
      <c r="M200">
        <f t="shared" si="35"/>
        <v>330</v>
      </c>
      <c r="N200">
        <f t="shared" si="39"/>
        <v>0</v>
      </c>
    </row>
    <row r="201" spans="1:14" x14ac:dyDescent="0.25">
      <c r="A201" s="1">
        <v>45126</v>
      </c>
      <c r="B201" t="s">
        <v>4</v>
      </c>
      <c r="C201">
        <f t="shared" si="36"/>
        <v>4495</v>
      </c>
      <c r="D201">
        <f>IF(B201="zima",20%,IF(B201="wiosna",50%,IF(B201="lato",90%,40%)))</f>
        <v>0.9</v>
      </c>
      <c r="E201">
        <f t="shared" si="37"/>
        <v>13</v>
      </c>
      <c r="F201">
        <f>WEEKDAY(A201,2)</f>
        <v>3</v>
      </c>
      <c r="G201">
        <f t="shared" si="30"/>
        <v>1</v>
      </c>
      <c r="H201">
        <f t="shared" si="31"/>
        <v>330</v>
      </c>
      <c r="I201">
        <f t="shared" si="32"/>
        <v>0</v>
      </c>
      <c r="J201">
        <f t="shared" si="38"/>
        <v>0</v>
      </c>
      <c r="K201">
        <f t="shared" si="33"/>
        <v>13</v>
      </c>
      <c r="L201">
        <f t="shared" si="34"/>
        <v>4825</v>
      </c>
      <c r="M201">
        <f t="shared" si="35"/>
        <v>330</v>
      </c>
      <c r="N201">
        <f t="shared" si="39"/>
        <v>0</v>
      </c>
    </row>
    <row r="202" spans="1:14" x14ac:dyDescent="0.25">
      <c r="A202" s="1">
        <v>45127</v>
      </c>
      <c r="B202" t="s">
        <v>4</v>
      </c>
      <c r="C202">
        <f t="shared" si="36"/>
        <v>4825</v>
      </c>
      <c r="D202">
        <f>IF(B202="zima",20%,IF(B202="wiosna",50%,IF(B202="lato",90%,40%)))</f>
        <v>0.9</v>
      </c>
      <c r="E202">
        <f t="shared" si="37"/>
        <v>13</v>
      </c>
      <c r="F202">
        <f>WEEKDAY(A202,2)</f>
        <v>4</v>
      </c>
      <c r="G202">
        <f t="shared" si="30"/>
        <v>1</v>
      </c>
      <c r="H202">
        <f t="shared" si="31"/>
        <v>330</v>
      </c>
      <c r="I202">
        <f t="shared" si="32"/>
        <v>0</v>
      </c>
      <c r="J202">
        <f t="shared" si="38"/>
        <v>0</v>
      </c>
      <c r="K202">
        <f t="shared" si="33"/>
        <v>13</v>
      </c>
      <c r="L202">
        <f t="shared" si="34"/>
        <v>5155</v>
      </c>
      <c r="M202">
        <f t="shared" si="35"/>
        <v>330</v>
      </c>
      <c r="N202">
        <f t="shared" si="39"/>
        <v>0</v>
      </c>
    </row>
    <row r="203" spans="1:14" x14ac:dyDescent="0.25">
      <c r="A203" s="1">
        <v>45128</v>
      </c>
      <c r="B203" t="s">
        <v>4</v>
      </c>
      <c r="C203">
        <f t="shared" si="36"/>
        <v>5155</v>
      </c>
      <c r="D203">
        <f>IF(B203="zima",20%,IF(B203="wiosna",50%,IF(B203="lato",90%,40%)))</f>
        <v>0.9</v>
      </c>
      <c r="E203">
        <f t="shared" si="37"/>
        <v>13</v>
      </c>
      <c r="F203">
        <f>WEEKDAY(A203,2)</f>
        <v>5</v>
      </c>
      <c r="G203">
        <f t="shared" si="30"/>
        <v>1</v>
      </c>
      <c r="H203">
        <f t="shared" si="31"/>
        <v>330</v>
      </c>
      <c r="I203">
        <f t="shared" si="32"/>
        <v>0</v>
      </c>
      <c r="J203">
        <f t="shared" si="38"/>
        <v>0</v>
      </c>
      <c r="K203">
        <f t="shared" si="33"/>
        <v>13</v>
      </c>
      <c r="L203">
        <f t="shared" si="34"/>
        <v>5485</v>
      </c>
      <c r="M203">
        <f t="shared" si="35"/>
        <v>330</v>
      </c>
      <c r="N203">
        <f t="shared" si="39"/>
        <v>0</v>
      </c>
    </row>
    <row r="204" spans="1:14" x14ac:dyDescent="0.25">
      <c r="A204" s="1">
        <v>45129</v>
      </c>
      <c r="B204" t="s">
        <v>4</v>
      </c>
      <c r="C204">
        <f t="shared" si="36"/>
        <v>5485</v>
      </c>
      <c r="D204">
        <f>IF(B204="zima",20%,IF(B204="wiosna",50%,IF(B204="lato",90%,40%)))</f>
        <v>0.9</v>
      </c>
      <c r="E204">
        <f t="shared" si="37"/>
        <v>13</v>
      </c>
      <c r="F204">
        <f>WEEKDAY(A204,2)</f>
        <v>6</v>
      </c>
      <c r="G204">
        <f t="shared" si="30"/>
        <v>0</v>
      </c>
      <c r="H204">
        <f t="shared" si="31"/>
        <v>0</v>
      </c>
      <c r="I204">
        <f t="shared" si="32"/>
        <v>0</v>
      </c>
      <c r="J204">
        <f t="shared" si="38"/>
        <v>0</v>
      </c>
      <c r="K204">
        <f t="shared" si="33"/>
        <v>13</v>
      </c>
      <c r="L204">
        <f t="shared" si="34"/>
        <v>5485</v>
      </c>
      <c r="M204">
        <f t="shared" si="35"/>
        <v>0</v>
      </c>
      <c r="N204">
        <f t="shared" si="39"/>
        <v>0</v>
      </c>
    </row>
    <row r="205" spans="1:14" x14ac:dyDescent="0.25">
      <c r="A205" s="1">
        <v>45130</v>
      </c>
      <c r="B205" t="s">
        <v>4</v>
      </c>
      <c r="C205">
        <f t="shared" si="36"/>
        <v>5485</v>
      </c>
      <c r="D205">
        <f>IF(B205="zima",20%,IF(B205="wiosna",50%,IF(B205="lato",90%,40%)))</f>
        <v>0.9</v>
      </c>
      <c r="E205">
        <f t="shared" si="37"/>
        <v>13</v>
      </c>
      <c r="F205">
        <f>WEEKDAY(A205,2)</f>
        <v>7</v>
      </c>
      <c r="G205">
        <f t="shared" si="30"/>
        <v>0</v>
      </c>
      <c r="H205">
        <f t="shared" si="31"/>
        <v>0</v>
      </c>
      <c r="I205">
        <f t="shared" si="32"/>
        <v>195</v>
      </c>
      <c r="J205">
        <f t="shared" si="38"/>
        <v>0</v>
      </c>
      <c r="K205">
        <f t="shared" si="33"/>
        <v>13</v>
      </c>
      <c r="L205">
        <f t="shared" si="34"/>
        <v>5290</v>
      </c>
      <c r="M205">
        <f t="shared" si="35"/>
        <v>0</v>
      </c>
      <c r="N205">
        <f t="shared" si="39"/>
        <v>195</v>
      </c>
    </row>
    <row r="206" spans="1:14" x14ac:dyDescent="0.25">
      <c r="A206" s="1">
        <v>45131</v>
      </c>
      <c r="B206" t="s">
        <v>4</v>
      </c>
      <c r="C206">
        <f t="shared" si="36"/>
        <v>5290</v>
      </c>
      <c r="D206">
        <f>IF(B206="zima",20%,IF(B206="wiosna",50%,IF(B206="lato",90%,40%)))</f>
        <v>0.9</v>
      </c>
      <c r="E206">
        <f t="shared" si="37"/>
        <v>13</v>
      </c>
      <c r="F206">
        <f>WEEKDAY(A206,2)</f>
        <v>1</v>
      </c>
      <c r="G206">
        <f t="shared" si="30"/>
        <v>1</v>
      </c>
      <c r="H206">
        <f t="shared" si="31"/>
        <v>330</v>
      </c>
      <c r="I206">
        <f t="shared" si="32"/>
        <v>0</v>
      </c>
      <c r="J206">
        <f t="shared" si="38"/>
        <v>0</v>
      </c>
      <c r="K206">
        <f t="shared" si="33"/>
        <v>13</v>
      </c>
      <c r="L206">
        <f t="shared" si="34"/>
        <v>5620</v>
      </c>
      <c r="M206">
        <f t="shared" si="35"/>
        <v>330</v>
      </c>
      <c r="N206">
        <f t="shared" si="39"/>
        <v>0</v>
      </c>
    </row>
    <row r="207" spans="1:14" x14ac:dyDescent="0.25">
      <c r="A207" s="1">
        <v>45132</v>
      </c>
      <c r="B207" t="s">
        <v>4</v>
      </c>
      <c r="C207">
        <f t="shared" si="36"/>
        <v>5620</v>
      </c>
      <c r="D207">
        <f>IF(B207="zima",20%,IF(B207="wiosna",50%,IF(B207="lato",90%,40%)))</f>
        <v>0.9</v>
      </c>
      <c r="E207">
        <f t="shared" si="37"/>
        <v>13</v>
      </c>
      <c r="F207">
        <f>WEEKDAY(A207,2)</f>
        <v>2</v>
      </c>
      <c r="G207">
        <f t="shared" si="30"/>
        <v>1</v>
      </c>
      <c r="H207">
        <f t="shared" si="31"/>
        <v>330</v>
      </c>
      <c r="I207">
        <f t="shared" si="32"/>
        <v>0</v>
      </c>
      <c r="J207">
        <f t="shared" si="38"/>
        <v>0</v>
      </c>
      <c r="K207">
        <f t="shared" si="33"/>
        <v>13</v>
      </c>
      <c r="L207">
        <f t="shared" si="34"/>
        <v>5950</v>
      </c>
      <c r="M207">
        <f t="shared" si="35"/>
        <v>330</v>
      </c>
      <c r="N207">
        <f t="shared" si="39"/>
        <v>0</v>
      </c>
    </row>
    <row r="208" spans="1:14" x14ac:dyDescent="0.25">
      <c r="A208" s="1">
        <v>45133</v>
      </c>
      <c r="B208" t="s">
        <v>4</v>
      </c>
      <c r="C208">
        <f t="shared" si="36"/>
        <v>5950</v>
      </c>
      <c r="D208">
        <f>IF(B208="zima",20%,IF(B208="wiosna",50%,IF(B208="lato",90%,40%)))</f>
        <v>0.9</v>
      </c>
      <c r="E208">
        <f t="shared" si="37"/>
        <v>13</v>
      </c>
      <c r="F208">
        <f>WEEKDAY(A208,2)</f>
        <v>3</v>
      </c>
      <c r="G208">
        <f t="shared" si="30"/>
        <v>1</v>
      </c>
      <c r="H208">
        <f t="shared" si="31"/>
        <v>330</v>
      </c>
      <c r="I208">
        <f t="shared" si="32"/>
        <v>0</v>
      </c>
      <c r="J208">
        <f t="shared" si="38"/>
        <v>0</v>
      </c>
      <c r="K208">
        <f t="shared" si="33"/>
        <v>13</v>
      </c>
      <c r="L208">
        <f t="shared" si="34"/>
        <v>6280</v>
      </c>
      <c r="M208">
        <f t="shared" si="35"/>
        <v>330</v>
      </c>
      <c r="N208">
        <f t="shared" si="39"/>
        <v>0</v>
      </c>
    </row>
    <row r="209" spans="1:14" x14ac:dyDescent="0.25">
      <c r="A209" s="1">
        <v>45134</v>
      </c>
      <c r="B209" t="s">
        <v>4</v>
      </c>
      <c r="C209">
        <f t="shared" si="36"/>
        <v>6280</v>
      </c>
      <c r="D209">
        <f>IF(B209="zima",20%,IF(B209="wiosna",50%,IF(B209="lato",90%,40%)))</f>
        <v>0.9</v>
      </c>
      <c r="E209">
        <f t="shared" si="37"/>
        <v>13</v>
      </c>
      <c r="F209">
        <f>WEEKDAY(A209,2)</f>
        <v>4</v>
      </c>
      <c r="G209">
        <f t="shared" si="30"/>
        <v>1</v>
      </c>
      <c r="H209">
        <f t="shared" si="31"/>
        <v>330</v>
      </c>
      <c r="I209">
        <f t="shared" si="32"/>
        <v>0</v>
      </c>
      <c r="J209">
        <f t="shared" si="38"/>
        <v>0</v>
      </c>
      <c r="K209">
        <f t="shared" si="33"/>
        <v>13</v>
      </c>
      <c r="L209">
        <f t="shared" si="34"/>
        <v>6610</v>
      </c>
      <c r="M209">
        <f t="shared" si="35"/>
        <v>330</v>
      </c>
      <c r="N209">
        <f t="shared" si="39"/>
        <v>0</v>
      </c>
    </row>
    <row r="210" spans="1:14" x14ac:dyDescent="0.25">
      <c r="A210" s="1">
        <v>45135</v>
      </c>
      <c r="B210" t="s">
        <v>4</v>
      </c>
      <c r="C210">
        <f t="shared" si="36"/>
        <v>6610</v>
      </c>
      <c r="D210">
        <f>IF(B210="zima",20%,IF(B210="wiosna",50%,IF(B210="lato",90%,40%)))</f>
        <v>0.9</v>
      </c>
      <c r="E210">
        <f t="shared" si="37"/>
        <v>13</v>
      </c>
      <c r="F210">
        <f>WEEKDAY(A210,2)</f>
        <v>5</v>
      </c>
      <c r="G210">
        <f t="shared" si="30"/>
        <v>1</v>
      </c>
      <c r="H210">
        <f t="shared" si="31"/>
        <v>330</v>
      </c>
      <c r="I210">
        <f t="shared" si="32"/>
        <v>0</v>
      </c>
      <c r="J210">
        <f t="shared" si="38"/>
        <v>0</v>
      </c>
      <c r="K210">
        <f t="shared" si="33"/>
        <v>13</v>
      </c>
      <c r="L210">
        <f t="shared" si="34"/>
        <v>6940</v>
      </c>
      <c r="M210">
        <f t="shared" si="35"/>
        <v>330</v>
      </c>
      <c r="N210">
        <f t="shared" si="39"/>
        <v>0</v>
      </c>
    </row>
    <row r="211" spans="1:14" x14ac:dyDescent="0.25">
      <c r="A211" s="1">
        <v>45136</v>
      </c>
      <c r="B211" t="s">
        <v>4</v>
      </c>
      <c r="C211">
        <f t="shared" si="36"/>
        <v>6940</v>
      </c>
      <c r="D211">
        <f>IF(B211="zima",20%,IF(B211="wiosna",50%,IF(B211="lato",90%,40%)))</f>
        <v>0.9</v>
      </c>
      <c r="E211">
        <f t="shared" si="37"/>
        <v>13</v>
      </c>
      <c r="F211">
        <f>WEEKDAY(A211,2)</f>
        <v>6</v>
      </c>
      <c r="G211">
        <f t="shared" si="30"/>
        <v>0</v>
      </c>
      <c r="H211">
        <f t="shared" si="31"/>
        <v>0</v>
      </c>
      <c r="I211">
        <f t="shared" si="32"/>
        <v>0</v>
      </c>
      <c r="J211">
        <f t="shared" si="38"/>
        <v>0</v>
      </c>
      <c r="K211">
        <f t="shared" si="33"/>
        <v>13</v>
      </c>
      <c r="L211">
        <f t="shared" si="34"/>
        <v>6940</v>
      </c>
      <c r="M211">
        <f t="shared" si="35"/>
        <v>0</v>
      </c>
      <c r="N211">
        <f t="shared" si="39"/>
        <v>0</v>
      </c>
    </row>
    <row r="212" spans="1:14" x14ac:dyDescent="0.25">
      <c r="A212" s="1">
        <v>45137</v>
      </c>
      <c r="B212" t="s">
        <v>4</v>
      </c>
      <c r="C212">
        <f t="shared" si="36"/>
        <v>6940</v>
      </c>
      <c r="D212">
        <f>IF(B212="zima",20%,IF(B212="wiosna",50%,IF(B212="lato",90%,40%)))</f>
        <v>0.9</v>
      </c>
      <c r="E212">
        <f t="shared" si="37"/>
        <v>13</v>
      </c>
      <c r="F212">
        <f>WEEKDAY(A212,2)</f>
        <v>7</v>
      </c>
      <c r="G212">
        <f t="shared" si="30"/>
        <v>0</v>
      </c>
      <c r="H212">
        <f t="shared" si="31"/>
        <v>0</v>
      </c>
      <c r="I212">
        <f t="shared" si="32"/>
        <v>195</v>
      </c>
      <c r="J212">
        <f t="shared" si="38"/>
        <v>0</v>
      </c>
      <c r="K212">
        <f t="shared" si="33"/>
        <v>13</v>
      </c>
      <c r="L212">
        <f t="shared" si="34"/>
        <v>6745</v>
      </c>
      <c r="M212">
        <f t="shared" si="35"/>
        <v>0</v>
      </c>
      <c r="N212">
        <f t="shared" si="39"/>
        <v>195</v>
      </c>
    </row>
    <row r="213" spans="1:14" x14ac:dyDescent="0.25">
      <c r="A213" s="1">
        <v>45138</v>
      </c>
      <c r="B213" t="s">
        <v>4</v>
      </c>
      <c r="C213">
        <f t="shared" si="36"/>
        <v>6745</v>
      </c>
      <c r="D213">
        <f>IF(B213="zima",20%,IF(B213="wiosna",50%,IF(B213="lato",90%,40%)))</f>
        <v>0.9</v>
      </c>
      <c r="E213">
        <f t="shared" si="37"/>
        <v>13</v>
      </c>
      <c r="F213">
        <f>WEEKDAY(A213,2)</f>
        <v>1</v>
      </c>
      <c r="G213">
        <f t="shared" si="30"/>
        <v>1</v>
      </c>
      <c r="H213">
        <f t="shared" si="31"/>
        <v>330</v>
      </c>
      <c r="I213">
        <f t="shared" si="32"/>
        <v>0</v>
      </c>
      <c r="J213">
        <f t="shared" si="38"/>
        <v>2400</v>
      </c>
      <c r="K213">
        <f t="shared" si="33"/>
        <v>16</v>
      </c>
      <c r="L213">
        <f t="shared" si="34"/>
        <v>4675</v>
      </c>
      <c r="M213">
        <f t="shared" si="35"/>
        <v>330</v>
      </c>
      <c r="N213">
        <f t="shared" si="39"/>
        <v>2400</v>
      </c>
    </row>
    <row r="214" spans="1:14" x14ac:dyDescent="0.25">
      <c r="A214" s="1">
        <v>45139</v>
      </c>
      <c r="B214" t="s">
        <v>4</v>
      </c>
      <c r="C214">
        <f t="shared" si="36"/>
        <v>4675</v>
      </c>
      <c r="D214">
        <f>IF(B214="zima",20%,IF(B214="wiosna",50%,IF(B214="lato",90%,40%)))</f>
        <v>0.9</v>
      </c>
      <c r="E214">
        <f t="shared" si="37"/>
        <v>16</v>
      </c>
      <c r="F214">
        <f>WEEKDAY(A214,2)</f>
        <v>2</v>
      </c>
      <c r="G214">
        <f t="shared" si="30"/>
        <v>1</v>
      </c>
      <c r="H214">
        <f t="shared" si="31"/>
        <v>420</v>
      </c>
      <c r="I214">
        <f t="shared" si="32"/>
        <v>0</v>
      </c>
      <c r="J214">
        <f t="shared" si="38"/>
        <v>0</v>
      </c>
      <c r="K214">
        <f t="shared" si="33"/>
        <v>16</v>
      </c>
      <c r="L214">
        <f t="shared" si="34"/>
        <v>5095</v>
      </c>
      <c r="M214">
        <f t="shared" si="35"/>
        <v>420</v>
      </c>
      <c r="N214">
        <f t="shared" si="39"/>
        <v>0</v>
      </c>
    </row>
    <row r="215" spans="1:14" x14ac:dyDescent="0.25">
      <c r="A215" s="1">
        <v>45140</v>
      </c>
      <c r="B215" t="s">
        <v>4</v>
      </c>
      <c r="C215">
        <f t="shared" si="36"/>
        <v>5095</v>
      </c>
      <c r="D215">
        <f>IF(B215="zima",20%,IF(B215="wiosna",50%,IF(B215="lato",90%,40%)))</f>
        <v>0.9</v>
      </c>
      <c r="E215">
        <f t="shared" si="37"/>
        <v>16</v>
      </c>
      <c r="F215">
        <f>WEEKDAY(A215,2)</f>
        <v>3</v>
      </c>
      <c r="G215">
        <f t="shared" si="30"/>
        <v>1</v>
      </c>
      <c r="H215">
        <f t="shared" si="31"/>
        <v>420</v>
      </c>
      <c r="I215">
        <f t="shared" si="32"/>
        <v>0</v>
      </c>
      <c r="J215">
        <f t="shared" si="38"/>
        <v>0</v>
      </c>
      <c r="K215">
        <f t="shared" si="33"/>
        <v>16</v>
      </c>
      <c r="L215">
        <f t="shared" si="34"/>
        <v>5515</v>
      </c>
      <c r="M215">
        <f t="shared" si="35"/>
        <v>420</v>
      </c>
      <c r="N215">
        <f t="shared" si="39"/>
        <v>0</v>
      </c>
    </row>
    <row r="216" spans="1:14" x14ac:dyDescent="0.25">
      <c r="A216" s="1">
        <v>45141</v>
      </c>
      <c r="B216" t="s">
        <v>4</v>
      </c>
      <c r="C216">
        <f t="shared" si="36"/>
        <v>5515</v>
      </c>
      <c r="D216">
        <f>IF(B216="zima",20%,IF(B216="wiosna",50%,IF(B216="lato",90%,40%)))</f>
        <v>0.9</v>
      </c>
      <c r="E216">
        <f t="shared" si="37"/>
        <v>16</v>
      </c>
      <c r="F216">
        <f>WEEKDAY(A216,2)</f>
        <v>4</v>
      </c>
      <c r="G216">
        <f t="shared" si="30"/>
        <v>1</v>
      </c>
      <c r="H216">
        <f t="shared" si="31"/>
        <v>420</v>
      </c>
      <c r="I216">
        <f t="shared" si="32"/>
        <v>0</v>
      </c>
      <c r="J216">
        <f t="shared" si="38"/>
        <v>0</v>
      </c>
      <c r="K216">
        <f t="shared" si="33"/>
        <v>16</v>
      </c>
      <c r="L216">
        <f t="shared" si="34"/>
        <v>5935</v>
      </c>
      <c r="M216">
        <f t="shared" si="35"/>
        <v>420</v>
      </c>
      <c r="N216">
        <f t="shared" si="39"/>
        <v>0</v>
      </c>
    </row>
    <row r="217" spans="1:14" x14ac:dyDescent="0.25">
      <c r="A217" s="1">
        <v>45142</v>
      </c>
      <c r="B217" t="s">
        <v>4</v>
      </c>
      <c r="C217">
        <f t="shared" si="36"/>
        <v>5935</v>
      </c>
      <c r="D217">
        <f>IF(B217="zima",20%,IF(B217="wiosna",50%,IF(B217="lato",90%,40%)))</f>
        <v>0.9</v>
      </c>
      <c r="E217">
        <f t="shared" si="37"/>
        <v>16</v>
      </c>
      <c r="F217">
        <f>WEEKDAY(A217,2)</f>
        <v>5</v>
      </c>
      <c r="G217">
        <f t="shared" si="30"/>
        <v>1</v>
      </c>
      <c r="H217">
        <f t="shared" si="31"/>
        <v>420</v>
      </c>
      <c r="I217">
        <f t="shared" si="32"/>
        <v>0</v>
      </c>
      <c r="J217">
        <f t="shared" si="38"/>
        <v>0</v>
      </c>
      <c r="K217">
        <f t="shared" si="33"/>
        <v>16</v>
      </c>
      <c r="L217">
        <f t="shared" si="34"/>
        <v>6355</v>
      </c>
      <c r="M217">
        <f t="shared" si="35"/>
        <v>420</v>
      </c>
      <c r="N217">
        <f t="shared" si="39"/>
        <v>0</v>
      </c>
    </row>
    <row r="218" spans="1:14" x14ac:dyDescent="0.25">
      <c r="A218" s="1">
        <v>45143</v>
      </c>
      <c r="B218" t="s">
        <v>4</v>
      </c>
      <c r="C218">
        <f t="shared" si="36"/>
        <v>6355</v>
      </c>
      <c r="D218">
        <f>IF(B218="zima",20%,IF(B218="wiosna",50%,IF(B218="lato",90%,40%)))</f>
        <v>0.9</v>
      </c>
      <c r="E218">
        <f t="shared" si="37"/>
        <v>16</v>
      </c>
      <c r="F218">
        <f>WEEKDAY(A218,2)</f>
        <v>6</v>
      </c>
      <c r="G218">
        <f t="shared" si="30"/>
        <v>0</v>
      </c>
      <c r="H218">
        <f t="shared" si="31"/>
        <v>0</v>
      </c>
      <c r="I218">
        <f t="shared" si="32"/>
        <v>0</v>
      </c>
      <c r="J218">
        <f t="shared" si="38"/>
        <v>0</v>
      </c>
      <c r="K218">
        <f t="shared" si="33"/>
        <v>16</v>
      </c>
      <c r="L218">
        <f t="shared" si="34"/>
        <v>6355</v>
      </c>
      <c r="M218">
        <f t="shared" si="35"/>
        <v>0</v>
      </c>
      <c r="N218">
        <f t="shared" si="39"/>
        <v>0</v>
      </c>
    </row>
    <row r="219" spans="1:14" x14ac:dyDescent="0.25">
      <c r="A219" s="1">
        <v>45144</v>
      </c>
      <c r="B219" t="s">
        <v>4</v>
      </c>
      <c r="C219">
        <f t="shared" si="36"/>
        <v>6355</v>
      </c>
      <c r="D219">
        <f>IF(B219="zima",20%,IF(B219="wiosna",50%,IF(B219="lato",90%,40%)))</f>
        <v>0.9</v>
      </c>
      <c r="E219">
        <f t="shared" si="37"/>
        <v>16</v>
      </c>
      <c r="F219">
        <f>WEEKDAY(A219,2)</f>
        <v>7</v>
      </c>
      <c r="G219">
        <f t="shared" si="30"/>
        <v>0</v>
      </c>
      <c r="H219">
        <f t="shared" si="31"/>
        <v>0</v>
      </c>
      <c r="I219">
        <f t="shared" si="32"/>
        <v>240</v>
      </c>
      <c r="J219">
        <f t="shared" si="38"/>
        <v>0</v>
      </c>
      <c r="K219">
        <f t="shared" si="33"/>
        <v>16</v>
      </c>
      <c r="L219">
        <f t="shared" si="34"/>
        <v>6115</v>
      </c>
      <c r="M219">
        <f t="shared" si="35"/>
        <v>0</v>
      </c>
      <c r="N219">
        <f t="shared" si="39"/>
        <v>240</v>
      </c>
    </row>
    <row r="220" spans="1:14" x14ac:dyDescent="0.25">
      <c r="A220" s="1">
        <v>45145</v>
      </c>
      <c r="B220" t="s">
        <v>4</v>
      </c>
      <c r="C220">
        <f t="shared" si="36"/>
        <v>6115</v>
      </c>
      <c r="D220">
        <f>IF(B220="zima",20%,IF(B220="wiosna",50%,IF(B220="lato",90%,40%)))</f>
        <v>0.9</v>
      </c>
      <c r="E220">
        <f t="shared" si="37"/>
        <v>16</v>
      </c>
      <c r="F220">
        <f>WEEKDAY(A220,2)</f>
        <v>1</v>
      </c>
      <c r="G220">
        <f t="shared" si="30"/>
        <v>1</v>
      </c>
      <c r="H220">
        <f t="shared" si="31"/>
        <v>420</v>
      </c>
      <c r="I220">
        <f t="shared" si="32"/>
        <v>0</v>
      </c>
      <c r="J220">
        <f t="shared" si="38"/>
        <v>0</v>
      </c>
      <c r="K220">
        <f t="shared" si="33"/>
        <v>16</v>
      </c>
      <c r="L220">
        <f t="shared" si="34"/>
        <v>6535</v>
      </c>
      <c r="M220">
        <f t="shared" si="35"/>
        <v>420</v>
      </c>
      <c r="N220">
        <f t="shared" si="39"/>
        <v>0</v>
      </c>
    </row>
    <row r="221" spans="1:14" x14ac:dyDescent="0.25">
      <c r="A221" s="1">
        <v>45146</v>
      </c>
      <c r="B221" t="s">
        <v>4</v>
      </c>
      <c r="C221">
        <f t="shared" si="36"/>
        <v>6535</v>
      </c>
      <c r="D221">
        <f>IF(B221="zima",20%,IF(B221="wiosna",50%,IF(B221="lato",90%,40%)))</f>
        <v>0.9</v>
      </c>
      <c r="E221">
        <f t="shared" si="37"/>
        <v>16</v>
      </c>
      <c r="F221">
        <f>WEEKDAY(A221,2)</f>
        <v>2</v>
      </c>
      <c r="G221">
        <f t="shared" si="30"/>
        <v>1</v>
      </c>
      <c r="H221">
        <f t="shared" si="31"/>
        <v>420</v>
      </c>
      <c r="I221">
        <f t="shared" si="32"/>
        <v>0</v>
      </c>
      <c r="J221">
        <f t="shared" si="38"/>
        <v>0</v>
      </c>
      <c r="K221">
        <f t="shared" si="33"/>
        <v>16</v>
      </c>
      <c r="L221">
        <f t="shared" si="34"/>
        <v>6955</v>
      </c>
      <c r="M221">
        <f t="shared" si="35"/>
        <v>420</v>
      </c>
      <c r="N221">
        <f t="shared" si="39"/>
        <v>0</v>
      </c>
    </row>
    <row r="222" spans="1:14" x14ac:dyDescent="0.25">
      <c r="A222" s="1">
        <v>45147</v>
      </c>
      <c r="B222" t="s">
        <v>4</v>
      </c>
      <c r="C222">
        <f t="shared" si="36"/>
        <v>6955</v>
      </c>
      <c r="D222">
        <f>IF(B222="zima",20%,IF(B222="wiosna",50%,IF(B222="lato",90%,40%)))</f>
        <v>0.9</v>
      </c>
      <c r="E222">
        <f t="shared" si="37"/>
        <v>16</v>
      </c>
      <c r="F222">
        <f>WEEKDAY(A222,2)</f>
        <v>3</v>
      </c>
      <c r="G222">
        <f t="shared" si="30"/>
        <v>1</v>
      </c>
      <c r="H222">
        <f t="shared" si="31"/>
        <v>420</v>
      </c>
      <c r="I222">
        <f t="shared" si="32"/>
        <v>0</v>
      </c>
      <c r="J222">
        <f t="shared" si="38"/>
        <v>0</v>
      </c>
      <c r="K222">
        <f t="shared" si="33"/>
        <v>16</v>
      </c>
      <c r="L222">
        <f t="shared" si="34"/>
        <v>7375</v>
      </c>
      <c r="M222">
        <f t="shared" si="35"/>
        <v>420</v>
      </c>
      <c r="N222">
        <f t="shared" si="39"/>
        <v>0</v>
      </c>
    </row>
    <row r="223" spans="1:14" x14ac:dyDescent="0.25">
      <c r="A223" s="1">
        <v>45148</v>
      </c>
      <c r="B223" t="s">
        <v>4</v>
      </c>
      <c r="C223">
        <f t="shared" si="36"/>
        <v>7375</v>
      </c>
      <c r="D223">
        <f>IF(B223="zima",20%,IF(B223="wiosna",50%,IF(B223="lato",90%,40%)))</f>
        <v>0.9</v>
      </c>
      <c r="E223">
        <f t="shared" si="37"/>
        <v>16</v>
      </c>
      <c r="F223">
        <f>WEEKDAY(A223,2)</f>
        <v>4</v>
      </c>
      <c r="G223">
        <f t="shared" si="30"/>
        <v>1</v>
      </c>
      <c r="H223">
        <f t="shared" si="31"/>
        <v>420</v>
      </c>
      <c r="I223">
        <f t="shared" si="32"/>
        <v>0</v>
      </c>
      <c r="J223">
        <f t="shared" si="38"/>
        <v>0</v>
      </c>
      <c r="K223">
        <f t="shared" si="33"/>
        <v>16</v>
      </c>
      <c r="L223">
        <f t="shared" si="34"/>
        <v>7795</v>
      </c>
      <c r="M223">
        <f t="shared" si="35"/>
        <v>420</v>
      </c>
      <c r="N223">
        <f t="shared" si="39"/>
        <v>0</v>
      </c>
    </row>
    <row r="224" spans="1:14" x14ac:dyDescent="0.25">
      <c r="A224" s="1">
        <v>45149</v>
      </c>
      <c r="B224" t="s">
        <v>4</v>
      </c>
      <c r="C224">
        <f t="shared" si="36"/>
        <v>7795</v>
      </c>
      <c r="D224">
        <f>IF(B224="zima",20%,IF(B224="wiosna",50%,IF(B224="lato",90%,40%)))</f>
        <v>0.9</v>
      </c>
      <c r="E224">
        <f t="shared" si="37"/>
        <v>16</v>
      </c>
      <c r="F224">
        <f>WEEKDAY(A224,2)</f>
        <v>5</v>
      </c>
      <c r="G224">
        <f t="shared" si="30"/>
        <v>1</v>
      </c>
      <c r="H224">
        <f t="shared" si="31"/>
        <v>420</v>
      </c>
      <c r="I224">
        <f t="shared" si="32"/>
        <v>0</v>
      </c>
      <c r="J224">
        <f t="shared" si="38"/>
        <v>0</v>
      </c>
      <c r="K224">
        <f t="shared" si="33"/>
        <v>16</v>
      </c>
      <c r="L224">
        <f t="shared" si="34"/>
        <v>8215</v>
      </c>
      <c r="M224">
        <f t="shared" si="35"/>
        <v>420</v>
      </c>
      <c r="N224">
        <f t="shared" si="39"/>
        <v>0</v>
      </c>
    </row>
    <row r="225" spans="1:14" x14ac:dyDescent="0.25">
      <c r="A225" s="1">
        <v>45150</v>
      </c>
      <c r="B225" t="s">
        <v>4</v>
      </c>
      <c r="C225">
        <f t="shared" si="36"/>
        <v>8215</v>
      </c>
      <c r="D225">
        <f>IF(B225="zima",20%,IF(B225="wiosna",50%,IF(B225="lato",90%,40%)))</f>
        <v>0.9</v>
      </c>
      <c r="E225">
        <f t="shared" si="37"/>
        <v>16</v>
      </c>
      <c r="F225">
        <f>WEEKDAY(A225,2)</f>
        <v>6</v>
      </c>
      <c r="G225">
        <f t="shared" si="30"/>
        <v>0</v>
      </c>
      <c r="H225">
        <f t="shared" si="31"/>
        <v>0</v>
      </c>
      <c r="I225">
        <f t="shared" si="32"/>
        <v>0</v>
      </c>
      <c r="J225">
        <f t="shared" si="38"/>
        <v>0</v>
      </c>
      <c r="K225">
        <f t="shared" si="33"/>
        <v>16</v>
      </c>
      <c r="L225">
        <f t="shared" si="34"/>
        <v>8215</v>
      </c>
      <c r="M225">
        <f t="shared" si="35"/>
        <v>0</v>
      </c>
      <c r="N225">
        <f t="shared" si="39"/>
        <v>0</v>
      </c>
    </row>
    <row r="226" spans="1:14" x14ac:dyDescent="0.25">
      <c r="A226" s="1">
        <v>45151</v>
      </c>
      <c r="B226" t="s">
        <v>4</v>
      </c>
      <c r="C226">
        <f t="shared" si="36"/>
        <v>8215</v>
      </c>
      <c r="D226">
        <f>IF(B226="zima",20%,IF(B226="wiosna",50%,IF(B226="lato",90%,40%)))</f>
        <v>0.9</v>
      </c>
      <c r="E226">
        <f t="shared" si="37"/>
        <v>16</v>
      </c>
      <c r="F226">
        <f>WEEKDAY(A226,2)</f>
        <v>7</v>
      </c>
      <c r="G226">
        <f t="shared" si="30"/>
        <v>0</v>
      </c>
      <c r="H226">
        <f t="shared" si="31"/>
        <v>0</v>
      </c>
      <c r="I226">
        <f t="shared" si="32"/>
        <v>240</v>
      </c>
      <c r="J226">
        <f t="shared" si="38"/>
        <v>0</v>
      </c>
      <c r="K226">
        <f t="shared" si="33"/>
        <v>16</v>
      </c>
      <c r="L226">
        <f t="shared" si="34"/>
        <v>7975</v>
      </c>
      <c r="M226">
        <f t="shared" si="35"/>
        <v>0</v>
      </c>
      <c r="N226">
        <f t="shared" si="39"/>
        <v>240</v>
      </c>
    </row>
    <row r="227" spans="1:14" x14ac:dyDescent="0.25">
      <c r="A227" s="1">
        <v>45152</v>
      </c>
      <c r="B227" t="s">
        <v>4</v>
      </c>
      <c r="C227">
        <f t="shared" si="36"/>
        <v>7975</v>
      </c>
      <c r="D227">
        <f>IF(B227="zima",20%,IF(B227="wiosna",50%,IF(B227="lato",90%,40%)))</f>
        <v>0.9</v>
      </c>
      <c r="E227">
        <f t="shared" si="37"/>
        <v>16</v>
      </c>
      <c r="F227">
        <f>WEEKDAY(A227,2)</f>
        <v>1</v>
      </c>
      <c r="G227">
        <f t="shared" si="30"/>
        <v>1</v>
      </c>
      <c r="H227">
        <f t="shared" si="31"/>
        <v>420</v>
      </c>
      <c r="I227">
        <f t="shared" si="32"/>
        <v>0</v>
      </c>
      <c r="J227">
        <f t="shared" si="38"/>
        <v>0</v>
      </c>
      <c r="K227">
        <f t="shared" si="33"/>
        <v>16</v>
      </c>
      <c r="L227">
        <f t="shared" si="34"/>
        <v>8395</v>
      </c>
      <c r="M227">
        <f t="shared" si="35"/>
        <v>420</v>
      </c>
      <c r="N227">
        <f t="shared" si="39"/>
        <v>0</v>
      </c>
    </row>
    <row r="228" spans="1:14" x14ac:dyDescent="0.25">
      <c r="A228" s="1">
        <v>45153</v>
      </c>
      <c r="B228" t="s">
        <v>4</v>
      </c>
      <c r="C228">
        <f t="shared" si="36"/>
        <v>8395</v>
      </c>
      <c r="D228">
        <f>IF(B228="zima",20%,IF(B228="wiosna",50%,IF(B228="lato",90%,40%)))</f>
        <v>0.9</v>
      </c>
      <c r="E228">
        <f t="shared" si="37"/>
        <v>16</v>
      </c>
      <c r="F228">
        <f>WEEKDAY(A228,2)</f>
        <v>2</v>
      </c>
      <c r="G228">
        <f t="shared" si="30"/>
        <v>1</v>
      </c>
      <c r="H228">
        <f t="shared" si="31"/>
        <v>420</v>
      </c>
      <c r="I228">
        <f t="shared" si="32"/>
        <v>0</v>
      </c>
      <c r="J228">
        <f t="shared" si="38"/>
        <v>0</v>
      </c>
      <c r="K228">
        <f t="shared" si="33"/>
        <v>16</v>
      </c>
      <c r="L228">
        <f t="shared" si="34"/>
        <v>8815</v>
      </c>
      <c r="M228">
        <f t="shared" si="35"/>
        <v>420</v>
      </c>
      <c r="N228">
        <f t="shared" si="39"/>
        <v>0</v>
      </c>
    </row>
    <row r="229" spans="1:14" x14ac:dyDescent="0.25">
      <c r="A229" s="1">
        <v>45154</v>
      </c>
      <c r="B229" t="s">
        <v>4</v>
      </c>
      <c r="C229">
        <f t="shared" si="36"/>
        <v>8815</v>
      </c>
      <c r="D229">
        <f>IF(B229="zima",20%,IF(B229="wiosna",50%,IF(B229="lato",90%,40%)))</f>
        <v>0.9</v>
      </c>
      <c r="E229">
        <f t="shared" si="37"/>
        <v>16</v>
      </c>
      <c r="F229">
        <f>WEEKDAY(A229,2)</f>
        <v>3</v>
      </c>
      <c r="G229">
        <f t="shared" si="30"/>
        <v>1</v>
      </c>
      <c r="H229">
        <f t="shared" si="31"/>
        <v>420</v>
      </c>
      <c r="I229">
        <f t="shared" si="32"/>
        <v>0</v>
      </c>
      <c r="J229">
        <f t="shared" si="38"/>
        <v>0</v>
      </c>
      <c r="K229">
        <f t="shared" si="33"/>
        <v>16</v>
      </c>
      <c r="L229">
        <f t="shared" si="34"/>
        <v>9235</v>
      </c>
      <c r="M229">
        <f t="shared" si="35"/>
        <v>420</v>
      </c>
      <c r="N229">
        <f t="shared" si="39"/>
        <v>0</v>
      </c>
    </row>
    <row r="230" spans="1:14" x14ac:dyDescent="0.25">
      <c r="A230" s="1">
        <v>45155</v>
      </c>
      <c r="B230" t="s">
        <v>4</v>
      </c>
      <c r="C230">
        <f t="shared" si="36"/>
        <v>9235</v>
      </c>
      <c r="D230">
        <f>IF(B230="zima",20%,IF(B230="wiosna",50%,IF(B230="lato",90%,40%)))</f>
        <v>0.9</v>
      </c>
      <c r="E230">
        <f t="shared" si="37"/>
        <v>16</v>
      </c>
      <c r="F230">
        <f>WEEKDAY(A230,2)</f>
        <v>4</v>
      </c>
      <c r="G230">
        <f t="shared" si="30"/>
        <v>1</v>
      </c>
      <c r="H230">
        <f t="shared" si="31"/>
        <v>420</v>
      </c>
      <c r="I230">
        <f t="shared" si="32"/>
        <v>0</v>
      </c>
      <c r="J230">
        <f t="shared" si="38"/>
        <v>0</v>
      </c>
      <c r="K230">
        <f t="shared" si="33"/>
        <v>16</v>
      </c>
      <c r="L230">
        <f t="shared" si="34"/>
        <v>9655</v>
      </c>
      <c r="M230">
        <f t="shared" si="35"/>
        <v>420</v>
      </c>
      <c r="N230">
        <f t="shared" si="39"/>
        <v>0</v>
      </c>
    </row>
    <row r="231" spans="1:14" x14ac:dyDescent="0.25">
      <c r="A231" s="1">
        <v>45156</v>
      </c>
      <c r="B231" t="s">
        <v>4</v>
      </c>
      <c r="C231">
        <f t="shared" si="36"/>
        <v>9655</v>
      </c>
      <c r="D231">
        <f>IF(B231="zima",20%,IF(B231="wiosna",50%,IF(B231="lato",90%,40%)))</f>
        <v>0.9</v>
      </c>
      <c r="E231">
        <f t="shared" si="37"/>
        <v>16</v>
      </c>
      <c r="F231">
        <f>WEEKDAY(A231,2)</f>
        <v>5</v>
      </c>
      <c r="G231">
        <f t="shared" si="30"/>
        <v>1</v>
      </c>
      <c r="H231">
        <f t="shared" si="31"/>
        <v>420</v>
      </c>
      <c r="I231">
        <f t="shared" si="32"/>
        <v>0</v>
      </c>
      <c r="J231">
        <f t="shared" si="38"/>
        <v>0</v>
      </c>
      <c r="K231">
        <f t="shared" si="33"/>
        <v>16</v>
      </c>
      <c r="L231">
        <f t="shared" si="34"/>
        <v>10075</v>
      </c>
      <c r="M231">
        <f t="shared" si="35"/>
        <v>420</v>
      </c>
      <c r="N231">
        <f t="shared" si="39"/>
        <v>0</v>
      </c>
    </row>
    <row r="232" spans="1:14" x14ac:dyDescent="0.25">
      <c r="A232" s="1">
        <v>45157</v>
      </c>
      <c r="B232" t="s">
        <v>4</v>
      </c>
      <c r="C232">
        <f t="shared" si="36"/>
        <v>10075</v>
      </c>
      <c r="D232">
        <f>IF(B232="zima",20%,IF(B232="wiosna",50%,IF(B232="lato",90%,40%)))</f>
        <v>0.9</v>
      </c>
      <c r="E232">
        <f t="shared" si="37"/>
        <v>16</v>
      </c>
      <c r="F232">
        <f>WEEKDAY(A232,2)</f>
        <v>6</v>
      </c>
      <c r="G232">
        <f t="shared" si="30"/>
        <v>0</v>
      </c>
      <c r="H232">
        <f t="shared" si="31"/>
        <v>0</v>
      </c>
      <c r="I232">
        <f t="shared" si="32"/>
        <v>0</v>
      </c>
      <c r="J232">
        <f t="shared" si="38"/>
        <v>0</v>
      </c>
      <c r="K232">
        <f t="shared" si="33"/>
        <v>16</v>
      </c>
      <c r="L232">
        <f t="shared" si="34"/>
        <v>10075</v>
      </c>
      <c r="M232">
        <f t="shared" si="35"/>
        <v>0</v>
      </c>
      <c r="N232">
        <f t="shared" si="39"/>
        <v>0</v>
      </c>
    </row>
    <row r="233" spans="1:14" x14ac:dyDescent="0.25">
      <c r="A233" s="1">
        <v>45158</v>
      </c>
      <c r="B233" t="s">
        <v>4</v>
      </c>
      <c r="C233">
        <f t="shared" si="36"/>
        <v>10075</v>
      </c>
      <c r="D233">
        <f>IF(B233="zima",20%,IF(B233="wiosna",50%,IF(B233="lato",90%,40%)))</f>
        <v>0.9</v>
      </c>
      <c r="E233">
        <f t="shared" si="37"/>
        <v>16</v>
      </c>
      <c r="F233">
        <f>WEEKDAY(A233,2)</f>
        <v>7</v>
      </c>
      <c r="G233">
        <f t="shared" si="30"/>
        <v>0</v>
      </c>
      <c r="H233">
        <f t="shared" si="31"/>
        <v>0</v>
      </c>
      <c r="I233">
        <f t="shared" si="32"/>
        <v>240</v>
      </c>
      <c r="J233">
        <f t="shared" si="38"/>
        <v>0</v>
      </c>
      <c r="K233">
        <f t="shared" si="33"/>
        <v>16</v>
      </c>
      <c r="L233">
        <f t="shared" si="34"/>
        <v>9835</v>
      </c>
      <c r="M233">
        <f t="shared" si="35"/>
        <v>0</v>
      </c>
      <c r="N233">
        <f t="shared" si="39"/>
        <v>240</v>
      </c>
    </row>
    <row r="234" spans="1:14" x14ac:dyDescent="0.25">
      <c r="A234" s="1">
        <v>45159</v>
      </c>
      <c r="B234" t="s">
        <v>4</v>
      </c>
      <c r="C234">
        <f t="shared" si="36"/>
        <v>9835</v>
      </c>
      <c r="D234">
        <f>IF(B234="zima",20%,IF(B234="wiosna",50%,IF(B234="lato",90%,40%)))</f>
        <v>0.9</v>
      </c>
      <c r="E234">
        <f t="shared" si="37"/>
        <v>16</v>
      </c>
      <c r="F234">
        <f>WEEKDAY(A234,2)</f>
        <v>1</v>
      </c>
      <c r="G234">
        <f t="shared" si="30"/>
        <v>1</v>
      </c>
      <c r="H234">
        <f t="shared" si="31"/>
        <v>420</v>
      </c>
      <c r="I234">
        <f t="shared" si="32"/>
        <v>0</v>
      </c>
      <c r="J234">
        <f t="shared" si="38"/>
        <v>0</v>
      </c>
      <c r="K234">
        <f t="shared" si="33"/>
        <v>16</v>
      </c>
      <c r="L234">
        <f t="shared" si="34"/>
        <v>10255</v>
      </c>
      <c r="M234">
        <f t="shared" si="35"/>
        <v>420</v>
      </c>
      <c r="N234">
        <f t="shared" si="39"/>
        <v>0</v>
      </c>
    </row>
    <row r="235" spans="1:14" x14ac:dyDescent="0.25">
      <c r="A235" s="1">
        <v>45160</v>
      </c>
      <c r="B235" t="s">
        <v>4</v>
      </c>
      <c r="C235">
        <f t="shared" si="36"/>
        <v>10255</v>
      </c>
      <c r="D235">
        <f>IF(B235="zima",20%,IF(B235="wiosna",50%,IF(B235="lato",90%,40%)))</f>
        <v>0.9</v>
      </c>
      <c r="E235">
        <f t="shared" si="37"/>
        <v>16</v>
      </c>
      <c r="F235">
        <f>WEEKDAY(A235,2)</f>
        <v>2</v>
      </c>
      <c r="G235">
        <f t="shared" si="30"/>
        <v>1</v>
      </c>
      <c r="H235">
        <f t="shared" si="31"/>
        <v>420</v>
      </c>
      <c r="I235">
        <f t="shared" si="32"/>
        <v>0</v>
      </c>
      <c r="J235">
        <f t="shared" si="38"/>
        <v>0</v>
      </c>
      <c r="K235">
        <f t="shared" si="33"/>
        <v>16</v>
      </c>
      <c r="L235">
        <f t="shared" si="34"/>
        <v>10675</v>
      </c>
      <c r="M235">
        <f t="shared" si="35"/>
        <v>420</v>
      </c>
      <c r="N235">
        <f t="shared" si="39"/>
        <v>0</v>
      </c>
    </row>
    <row r="236" spans="1:14" x14ac:dyDescent="0.25">
      <c r="A236" s="1">
        <v>45161</v>
      </c>
      <c r="B236" t="s">
        <v>4</v>
      </c>
      <c r="C236">
        <f t="shared" si="36"/>
        <v>10675</v>
      </c>
      <c r="D236">
        <f>IF(B236="zima",20%,IF(B236="wiosna",50%,IF(B236="lato",90%,40%)))</f>
        <v>0.9</v>
      </c>
      <c r="E236">
        <f t="shared" si="37"/>
        <v>16</v>
      </c>
      <c r="F236">
        <f>WEEKDAY(A236,2)</f>
        <v>3</v>
      </c>
      <c r="G236">
        <f t="shared" si="30"/>
        <v>1</v>
      </c>
      <c r="H236">
        <f t="shared" si="31"/>
        <v>420</v>
      </c>
      <c r="I236">
        <f t="shared" si="32"/>
        <v>0</v>
      </c>
      <c r="J236">
        <f t="shared" si="38"/>
        <v>0</v>
      </c>
      <c r="K236">
        <f t="shared" si="33"/>
        <v>16</v>
      </c>
      <c r="L236">
        <f t="shared" si="34"/>
        <v>11095</v>
      </c>
      <c r="M236">
        <f t="shared" si="35"/>
        <v>420</v>
      </c>
      <c r="N236">
        <f t="shared" si="39"/>
        <v>0</v>
      </c>
    </row>
    <row r="237" spans="1:14" x14ac:dyDescent="0.25">
      <c r="A237" s="1">
        <v>45162</v>
      </c>
      <c r="B237" t="s">
        <v>4</v>
      </c>
      <c r="C237">
        <f t="shared" si="36"/>
        <v>11095</v>
      </c>
      <c r="D237">
        <f>IF(B237="zima",20%,IF(B237="wiosna",50%,IF(B237="lato",90%,40%)))</f>
        <v>0.9</v>
      </c>
      <c r="E237">
        <f t="shared" si="37"/>
        <v>16</v>
      </c>
      <c r="F237">
        <f>WEEKDAY(A237,2)</f>
        <v>4</v>
      </c>
      <c r="G237">
        <f t="shared" si="30"/>
        <v>1</v>
      </c>
      <c r="H237">
        <f t="shared" si="31"/>
        <v>420</v>
      </c>
      <c r="I237">
        <f t="shared" si="32"/>
        <v>0</v>
      </c>
      <c r="J237">
        <f t="shared" si="38"/>
        <v>0</v>
      </c>
      <c r="K237">
        <f t="shared" si="33"/>
        <v>16</v>
      </c>
      <c r="L237">
        <f t="shared" si="34"/>
        <v>11515</v>
      </c>
      <c r="M237">
        <f t="shared" si="35"/>
        <v>420</v>
      </c>
      <c r="N237">
        <f t="shared" si="39"/>
        <v>0</v>
      </c>
    </row>
    <row r="238" spans="1:14" x14ac:dyDescent="0.25">
      <c r="A238" s="1">
        <v>45163</v>
      </c>
      <c r="B238" t="s">
        <v>4</v>
      </c>
      <c r="C238">
        <f t="shared" si="36"/>
        <v>11515</v>
      </c>
      <c r="D238">
        <f>IF(B238="zima",20%,IF(B238="wiosna",50%,IF(B238="lato",90%,40%)))</f>
        <v>0.9</v>
      </c>
      <c r="E238">
        <f t="shared" si="37"/>
        <v>16</v>
      </c>
      <c r="F238">
        <f>WEEKDAY(A238,2)</f>
        <v>5</v>
      </c>
      <c r="G238">
        <f t="shared" si="30"/>
        <v>1</v>
      </c>
      <c r="H238">
        <f t="shared" si="31"/>
        <v>420</v>
      </c>
      <c r="I238">
        <f t="shared" si="32"/>
        <v>0</v>
      </c>
      <c r="J238">
        <f t="shared" si="38"/>
        <v>0</v>
      </c>
      <c r="K238">
        <f t="shared" si="33"/>
        <v>16</v>
      </c>
      <c r="L238">
        <f t="shared" si="34"/>
        <v>11935</v>
      </c>
      <c r="M238">
        <f t="shared" si="35"/>
        <v>420</v>
      </c>
      <c r="N238">
        <f t="shared" si="39"/>
        <v>0</v>
      </c>
    </row>
    <row r="239" spans="1:14" x14ac:dyDescent="0.25">
      <c r="A239" s="1">
        <v>45164</v>
      </c>
      <c r="B239" t="s">
        <v>4</v>
      </c>
      <c r="C239">
        <f t="shared" si="36"/>
        <v>11935</v>
      </c>
      <c r="D239">
        <f>IF(B239="zima",20%,IF(B239="wiosna",50%,IF(B239="lato",90%,40%)))</f>
        <v>0.9</v>
      </c>
      <c r="E239">
        <f t="shared" si="37"/>
        <v>16</v>
      </c>
      <c r="F239">
        <f>WEEKDAY(A239,2)</f>
        <v>6</v>
      </c>
      <c r="G239">
        <f t="shared" si="30"/>
        <v>0</v>
      </c>
      <c r="H239">
        <f t="shared" si="31"/>
        <v>0</v>
      </c>
      <c r="I239">
        <f t="shared" si="32"/>
        <v>0</v>
      </c>
      <c r="J239">
        <f t="shared" si="38"/>
        <v>0</v>
      </c>
      <c r="K239">
        <f t="shared" si="33"/>
        <v>16</v>
      </c>
      <c r="L239">
        <f t="shared" si="34"/>
        <v>11935</v>
      </c>
      <c r="M239">
        <f t="shared" si="35"/>
        <v>0</v>
      </c>
      <c r="N239">
        <f t="shared" si="39"/>
        <v>0</v>
      </c>
    </row>
    <row r="240" spans="1:14" x14ac:dyDescent="0.25">
      <c r="A240" s="1">
        <v>45165</v>
      </c>
      <c r="B240" t="s">
        <v>4</v>
      </c>
      <c r="C240">
        <f t="shared" si="36"/>
        <v>11935</v>
      </c>
      <c r="D240">
        <f>IF(B240="zima",20%,IF(B240="wiosna",50%,IF(B240="lato",90%,40%)))</f>
        <v>0.9</v>
      </c>
      <c r="E240">
        <f t="shared" si="37"/>
        <v>16</v>
      </c>
      <c r="F240">
        <f>WEEKDAY(A240,2)</f>
        <v>7</v>
      </c>
      <c r="G240">
        <f t="shared" si="30"/>
        <v>0</v>
      </c>
      <c r="H240">
        <f t="shared" si="31"/>
        <v>0</v>
      </c>
      <c r="I240">
        <f t="shared" si="32"/>
        <v>240</v>
      </c>
      <c r="J240">
        <f t="shared" si="38"/>
        <v>0</v>
      </c>
      <c r="K240">
        <f t="shared" si="33"/>
        <v>16</v>
      </c>
      <c r="L240">
        <f t="shared" si="34"/>
        <v>11695</v>
      </c>
      <c r="M240">
        <f t="shared" si="35"/>
        <v>0</v>
      </c>
      <c r="N240">
        <f t="shared" si="39"/>
        <v>240</v>
      </c>
    </row>
    <row r="241" spans="1:14" x14ac:dyDescent="0.25">
      <c r="A241" s="1">
        <v>45166</v>
      </c>
      <c r="B241" t="s">
        <v>4</v>
      </c>
      <c r="C241">
        <f t="shared" si="36"/>
        <v>11695</v>
      </c>
      <c r="D241">
        <f>IF(B241="zima",20%,IF(B241="wiosna",50%,IF(B241="lato",90%,40%)))</f>
        <v>0.9</v>
      </c>
      <c r="E241">
        <f t="shared" si="37"/>
        <v>16</v>
      </c>
      <c r="F241">
        <f>WEEKDAY(A241,2)</f>
        <v>1</v>
      </c>
      <c r="G241">
        <f t="shared" si="30"/>
        <v>1</v>
      </c>
      <c r="H241">
        <f t="shared" si="31"/>
        <v>420</v>
      </c>
      <c r="I241">
        <f t="shared" si="32"/>
        <v>0</v>
      </c>
      <c r="J241">
        <f t="shared" si="38"/>
        <v>0</v>
      </c>
      <c r="K241">
        <f t="shared" si="33"/>
        <v>16</v>
      </c>
      <c r="L241">
        <f t="shared" si="34"/>
        <v>12115</v>
      </c>
      <c r="M241">
        <f t="shared" si="35"/>
        <v>420</v>
      </c>
      <c r="N241">
        <f t="shared" si="39"/>
        <v>0</v>
      </c>
    </row>
    <row r="242" spans="1:14" x14ac:dyDescent="0.25">
      <c r="A242" s="1">
        <v>45167</v>
      </c>
      <c r="B242" t="s">
        <v>4</v>
      </c>
      <c r="C242">
        <f t="shared" si="36"/>
        <v>12115</v>
      </c>
      <c r="D242">
        <f>IF(B242="zima",20%,IF(B242="wiosna",50%,IF(B242="lato",90%,40%)))</f>
        <v>0.9</v>
      </c>
      <c r="E242">
        <f t="shared" si="37"/>
        <v>16</v>
      </c>
      <c r="F242">
        <f>WEEKDAY(A242,2)</f>
        <v>2</v>
      </c>
      <c r="G242">
        <f t="shared" si="30"/>
        <v>1</v>
      </c>
      <c r="H242">
        <f t="shared" si="31"/>
        <v>420</v>
      </c>
      <c r="I242">
        <f t="shared" si="32"/>
        <v>0</v>
      </c>
      <c r="J242">
        <f t="shared" si="38"/>
        <v>0</v>
      </c>
      <c r="K242">
        <f t="shared" si="33"/>
        <v>16</v>
      </c>
      <c r="L242">
        <f t="shared" si="34"/>
        <v>12535</v>
      </c>
      <c r="M242">
        <f t="shared" si="35"/>
        <v>420</v>
      </c>
      <c r="N242">
        <f t="shared" si="39"/>
        <v>0</v>
      </c>
    </row>
    <row r="243" spans="1:14" x14ac:dyDescent="0.25">
      <c r="A243" s="1">
        <v>45168</v>
      </c>
      <c r="B243" t="s">
        <v>4</v>
      </c>
      <c r="C243">
        <f t="shared" si="36"/>
        <v>12535</v>
      </c>
      <c r="D243">
        <f>IF(B243="zima",20%,IF(B243="wiosna",50%,IF(B243="lato",90%,40%)))</f>
        <v>0.9</v>
      </c>
      <c r="E243">
        <f t="shared" si="37"/>
        <v>16</v>
      </c>
      <c r="F243">
        <f>WEEKDAY(A243,2)</f>
        <v>3</v>
      </c>
      <c r="G243">
        <f t="shared" si="30"/>
        <v>1</v>
      </c>
      <c r="H243">
        <f t="shared" si="31"/>
        <v>420</v>
      </c>
      <c r="I243">
        <f t="shared" si="32"/>
        <v>0</v>
      </c>
      <c r="J243">
        <f t="shared" si="38"/>
        <v>0</v>
      </c>
      <c r="K243">
        <f t="shared" si="33"/>
        <v>16</v>
      </c>
      <c r="L243">
        <f t="shared" si="34"/>
        <v>12955</v>
      </c>
      <c r="M243">
        <f t="shared" si="35"/>
        <v>420</v>
      </c>
      <c r="N243">
        <f t="shared" si="39"/>
        <v>0</v>
      </c>
    </row>
    <row r="244" spans="1:14" x14ac:dyDescent="0.25">
      <c r="A244" s="1">
        <v>45169</v>
      </c>
      <c r="B244" t="s">
        <v>4</v>
      </c>
      <c r="C244">
        <f t="shared" si="36"/>
        <v>12955</v>
      </c>
      <c r="D244">
        <f>IF(B244="zima",20%,IF(B244="wiosna",50%,IF(B244="lato",90%,40%)))</f>
        <v>0.9</v>
      </c>
      <c r="E244">
        <f t="shared" si="37"/>
        <v>16</v>
      </c>
      <c r="F244">
        <f>WEEKDAY(A244,2)</f>
        <v>4</v>
      </c>
      <c r="G244">
        <f t="shared" si="30"/>
        <v>1</v>
      </c>
      <c r="H244">
        <f t="shared" si="31"/>
        <v>420</v>
      </c>
      <c r="I244">
        <f t="shared" si="32"/>
        <v>0</v>
      </c>
      <c r="J244">
        <f t="shared" si="38"/>
        <v>2400</v>
      </c>
      <c r="K244">
        <f t="shared" si="33"/>
        <v>19</v>
      </c>
      <c r="L244">
        <f t="shared" si="34"/>
        <v>10975</v>
      </c>
      <c r="M244">
        <f t="shared" si="35"/>
        <v>420</v>
      </c>
      <c r="N244">
        <f t="shared" si="39"/>
        <v>2400</v>
      </c>
    </row>
    <row r="245" spans="1:14" x14ac:dyDescent="0.25">
      <c r="A245" s="1">
        <v>45170</v>
      </c>
      <c r="B245" t="s">
        <v>4</v>
      </c>
      <c r="C245">
        <f t="shared" si="36"/>
        <v>10975</v>
      </c>
      <c r="D245">
        <f>IF(B245="zima",20%,IF(B245="wiosna",50%,IF(B245="lato",90%,40%)))</f>
        <v>0.9</v>
      </c>
      <c r="E245">
        <f t="shared" si="37"/>
        <v>19</v>
      </c>
      <c r="F245">
        <f>WEEKDAY(A245,2)</f>
        <v>5</v>
      </c>
      <c r="G245">
        <f t="shared" si="30"/>
        <v>1</v>
      </c>
      <c r="H245">
        <f t="shared" si="31"/>
        <v>510</v>
      </c>
      <c r="I245">
        <f t="shared" si="32"/>
        <v>0</v>
      </c>
      <c r="J245">
        <f t="shared" si="38"/>
        <v>0</v>
      </c>
      <c r="K245">
        <f t="shared" si="33"/>
        <v>19</v>
      </c>
      <c r="L245">
        <f t="shared" si="34"/>
        <v>11485</v>
      </c>
      <c r="M245">
        <f t="shared" si="35"/>
        <v>510</v>
      </c>
      <c r="N245">
        <f t="shared" si="39"/>
        <v>0</v>
      </c>
    </row>
    <row r="246" spans="1:14" x14ac:dyDescent="0.25">
      <c r="A246" s="1">
        <v>45171</v>
      </c>
      <c r="B246" t="s">
        <v>4</v>
      </c>
      <c r="C246">
        <f t="shared" si="36"/>
        <v>11485</v>
      </c>
      <c r="D246">
        <f>IF(B246="zima",20%,IF(B246="wiosna",50%,IF(B246="lato",90%,40%)))</f>
        <v>0.9</v>
      </c>
      <c r="E246">
        <f t="shared" si="37"/>
        <v>19</v>
      </c>
      <c r="F246">
        <f>WEEKDAY(A246,2)</f>
        <v>6</v>
      </c>
      <c r="G246">
        <f t="shared" si="30"/>
        <v>0</v>
      </c>
      <c r="H246">
        <f t="shared" si="31"/>
        <v>0</v>
      </c>
      <c r="I246">
        <f t="shared" si="32"/>
        <v>0</v>
      </c>
      <c r="J246">
        <f t="shared" si="38"/>
        <v>0</v>
      </c>
      <c r="K246">
        <f t="shared" si="33"/>
        <v>19</v>
      </c>
      <c r="L246">
        <f t="shared" si="34"/>
        <v>11485</v>
      </c>
      <c r="M246">
        <f t="shared" si="35"/>
        <v>0</v>
      </c>
      <c r="N246">
        <f t="shared" si="39"/>
        <v>0</v>
      </c>
    </row>
    <row r="247" spans="1:14" x14ac:dyDescent="0.25">
      <c r="A247" s="1">
        <v>45172</v>
      </c>
      <c r="B247" t="s">
        <v>4</v>
      </c>
      <c r="C247">
        <f t="shared" si="36"/>
        <v>11485</v>
      </c>
      <c r="D247">
        <f>IF(B247="zima",20%,IF(B247="wiosna",50%,IF(B247="lato",90%,40%)))</f>
        <v>0.9</v>
      </c>
      <c r="E247">
        <f t="shared" si="37"/>
        <v>19</v>
      </c>
      <c r="F247">
        <f>WEEKDAY(A247,2)</f>
        <v>7</v>
      </c>
      <c r="G247">
        <f t="shared" si="30"/>
        <v>0</v>
      </c>
      <c r="H247">
        <f t="shared" si="31"/>
        <v>0</v>
      </c>
      <c r="I247">
        <f t="shared" si="32"/>
        <v>285</v>
      </c>
      <c r="J247">
        <f t="shared" si="38"/>
        <v>0</v>
      </c>
      <c r="K247">
        <f t="shared" si="33"/>
        <v>19</v>
      </c>
      <c r="L247">
        <f t="shared" si="34"/>
        <v>11200</v>
      </c>
      <c r="M247">
        <f t="shared" si="35"/>
        <v>0</v>
      </c>
      <c r="N247">
        <f t="shared" si="39"/>
        <v>285</v>
      </c>
    </row>
    <row r="248" spans="1:14" x14ac:dyDescent="0.25">
      <c r="A248" s="1">
        <v>45173</v>
      </c>
      <c r="B248" t="s">
        <v>4</v>
      </c>
      <c r="C248">
        <f t="shared" si="36"/>
        <v>11200</v>
      </c>
      <c r="D248">
        <f>IF(B248="zima",20%,IF(B248="wiosna",50%,IF(B248="lato",90%,40%)))</f>
        <v>0.9</v>
      </c>
      <c r="E248">
        <f t="shared" si="37"/>
        <v>19</v>
      </c>
      <c r="F248">
        <f>WEEKDAY(A248,2)</f>
        <v>1</v>
      </c>
      <c r="G248">
        <f t="shared" si="30"/>
        <v>1</v>
      </c>
      <c r="H248">
        <f t="shared" si="31"/>
        <v>510</v>
      </c>
      <c r="I248">
        <f t="shared" si="32"/>
        <v>0</v>
      </c>
      <c r="J248">
        <f t="shared" si="38"/>
        <v>0</v>
      </c>
      <c r="K248">
        <f t="shared" si="33"/>
        <v>19</v>
      </c>
      <c r="L248">
        <f t="shared" si="34"/>
        <v>11710</v>
      </c>
      <c r="M248">
        <f t="shared" si="35"/>
        <v>510</v>
      </c>
      <c r="N248">
        <f t="shared" si="39"/>
        <v>0</v>
      </c>
    </row>
    <row r="249" spans="1:14" x14ac:dyDescent="0.25">
      <c r="A249" s="1">
        <v>45174</v>
      </c>
      <c r="B249" t="s">
        <v>4</v>
      </c>
      <c r="C249">
        <f t="shared" si="36"/>
        <v>11710</v>
      </c>
      <c r="D249">
        <f>IF(B249="zima",20%,IF(B249="wiosna",50%,IF(B249="lato",90%,40%)))</f>
        <v>0.9</v>
      </c>
      <c r="E249">
        <f t="shared" si="37"/>
        <v>19</v>
      </c>
      <c r="F249">
        <f>WEEKDAY(A249,2)</f>
        <v>2</v>
      </c>
      <c r="G249">
        <f t="shared" si="30"/>
        <v>1</v>
      </c>
      <c r="H249">
        <f t="shared" si="31"/>
        <v>510</v>
      </c>
      <c r="I249">
        <f t="shared" si="32"/>
        <v>0</v>
      </c>
      <c r="J249">
        <f t="shared" si="38"/>
        <v>0</v>
      </c>
      <c r="K249">
        <f t="shared" si="33"/>
        <v>19</v>
      </c>
      <c r="L249">
        <f t="shared" si="34"/>
        <v>12220</v>
      </c>
      <c r="M249">
        <f t="shared" si="35"/>
        <v>510</v>
      </c>
      <c r="N249">
        <f t="shared" si="39"/>
        <v>0</v>
      </c>
    </row>
    <row r="250" spans="1:14" x14ac:dyDescent="0.25">
      <c r="A250" s="1">
        <v>45175</v>
      </c>
      <c r="B250" t="s">
        <v>4</v>
      </c>
      <c r="C250">
        <f t="shared" si="36"/>
        <v>12220</v>
      </c>
      <c r="D250">
        <f>IF(B250="zima",20%,IF(B250="wiosna",50%,IF(B250="lato",90%,40%)))</f>
        <v>0.9</v>
      </c>
      <c r="E250">
        <f t="shared" si="37"/>
        <v>19</v>
      </c>
      <c r="F250">
        <f>WEEKDAY(A250,2)</f>
        <v>3</v>
      </c>
      <c r="G250">
        <f t="shared" si="30"/>
        <v>1</v>
      </c>
      <c r="H250">
        <f t="shared" si="31"/>
        <v>510</v>
      </c>
      <c r="I250">
        <f t="shared" si="32"/>
        <v>0</v>
      </c>
      <c r="J250">
        <f t="shared" si="38"/>
        <v>0</v>
      </c>
      <c r="K250">
        <f t="shared" si="33"/>
        <v>19</v>
      </c>
      <c r="L250">
        <f t="shared" si="34"/>
        <v>12730</v>
      </c>
      <c r="M250">
        <f t="shared" si="35"/>
        <v>510</v>
      </c>
      <c r="N250">
        <f t="shared" si="39"/>
        <v>0</v>
      </c>
    </row>
    <row r="251" spans="1:14" x14ac:dyDescent="0.25">
      <c r="A251" s="1">
        <v>45176</v>
      </c>
      <c r="B251" t="s">
        <v>4</v>
      </c>
      <c r="C251">
        <f t="shared" si="36"/>
        <v>12730</v>
      </c>
      <c r="D251">
        <f>IF(B251="zima",20%,IF(B251="wiosna",50%,IF(B251="lato",90%,40%)))</f>
        <v>0.9</v>
      </c>
      <c r="E251">
        <f t="shared" si="37"/>
        <v>19</v>
      </c>
      <c r="F251">
        <f>WEEKDAY(A251,2)</f>
        <v>4</v>
      </c>
      <c r="G251">
        <f t="shared" si="30"/>
        <v>1</v>
      </c>
      <c r="H251">
        <f t="shared" si="31"/>
        <v>510</v>
      </c>
      <c r="I251">
        <f t="shared" si="32"/>
        <v>0</v>
      </c>
      <c r="J251">
        <f t="shared" si="38"/>
        <v>0</v>
      </c>
      <c r="K251">
        <f t="shared" si="33"/>
        <v>19</v>
      </c>
      <c r="L251">
        <f t="shared" si="34"/>
        <v>13240</v>
      </c>
      <c r="M251">
        <f t="shared" si="35"/>
        <v>510</v>
      </c>
      <c r="N251">
        <f t="shared" si="39"/>
        <v>0</v>
      </c>
    </row>
    <row r="252" spans="1:14" x14ac:dyDescent="0.25">
      <c r="A252" s="1">
        <v>45177</v>
      </c>
      <c r="B252" t="s">
        <v>4</v>
      </c>
      <c r="C252">
        <f t="shared" si="36"/>
        <v>13240</v>
      </c>
      <c r="D252">
        <f>IF(B252="zima",20%,IF(B252="wiosna",50%,IF(B252="lato",90%,40%)))</f>
        <v>0.9</v>
      </c>
      <c r="E252">
        <f t="shared" si="37"/>
        <v>19</v>
      </c>
      <c r="F252">
        <f>WEEKDAY(A252,2)</f>
        <v>5</v>
      </c>
      <c r="G252">
        <f t="shared" si="30"/>
        <v>1</v>
      </c>
      <c r="H252">
        <f t="shared" si="31"/>
        <v>510</v>
      </c>
      <c r="I252">
        <f t="shared" si="32"/>
        <v>0</v>
      </c>
      <c r="J252">
        <f t="shared" si="38"/>
        <v>0</v>
      </c>
      <c r="K252">
        <f t="shared" si="33"/>
        <v>19</v>
      </c>
      <c r="L252">
        <f t="shared" si="34"/>
        <v>13750</v>
      </c>
      <c r="M252">
        <f t="shared" si="35"/>
        <v>510</v>
      </c>
      <c r="N252">
        <f t="shared" si="39"/>
        <v>0</v>
      </c>
    </row>
    <row r="253" spans="1:14" x14ac:dyDescent="0.25">
      <c r="A253" s="1">
        <v>45178</v>
      </c>
      <c r="B253" t="s">
        <v>4</v>
      </c>
      <c r="C253">
        <f t="shared" si="36"/>
        <v>13750</v>
      </c>
      <c r="D253">
        <f>IF(B253="zima",20%,IF(B253="wiosna",50%,IF(B253="lato",90%,40%)))</f>
        <v>0.9</v>
      </c>
      <c r="E253">
        <f t="shared" si="37"/>
        <v>19</v>
      </c>
      <c r="F253">
        <f>WEEKDAY(A253,2)</f>
        <v>6</v>
      </c>
      <c r="G253">
        <f t="shared" si="30"/>
        <v>0</v>
      </c>
      <c r="H253">
        <f t="shared" si="31"/>
        <v>0</v>
      </c>
      <c r="I253">
        <f t="shared" si="32"/>
        <v>0</v>
      </c>
      <c r="J253">
        <f t="shared" si="38"/>
        <v>0</v>
      </c>
      <c r="K253">
        <f t="shared" si="33"/>
        <v>19</v>
      </c>
      <c r="L253">
        <f t="shared" si="34"/>
        <v>13750</v>
      </c>
      <c r="M253">
        <f t="shared" si="35"/>
        <v>0</v>
      </c>
      <c r="N253">
        <f t="shared" si="39"/>
        <v>0</v>
      </c>
    </row>
    <row r="254" spans="1:14" x14ac:dyDescent="0.25">
      <c r="A254" s="1">
        <v>45179</v>
      </c>
      <c r="B254" t="s">
        <v>4</v>
      </c>
      <c r="C254">
        <f t="shared" si="36"/>
        <v>13750</v>
      </c>
      <c r="D254">
        <f>IF(B254="zima",20%,IF(B254="wiosna",50%,IF(B254="lato",90%,40%)))</f>
        <v>0.9</v>
      </c>
      <c r="E254">
        <f t="shared" si="37"/>
        <v>19</v>
      </c>
      <c r="F254">
        <f>WEEKDAY(A254,2)</f>
        <v>7</v>
      </c>
      <c r="G254">
        <f t="shared" si="30"/>
        <v>0</v>
      </c>
      <c r="H254">
        <f t="shared" si="31"/>
        <v>0</v>
      </c>
      <c r="I254">
        <f t="shared" si="32"/>
        <v>285</v>
      </c>
      <c r="J254">
        <f t="shared" si="38"/>
        <v>0</v>
      </c>
      <c r="K254">
        <f t="shared" si="33"/>
        <v>19</v>
      </c>
      <c r="L254">
        <f t="shared" si="34"/>
        <v>13465</v>
      </c>
      <c r="M254">
        <f t="shared" si="35"/>
        <v>0</v>
      </c>
      <c r="N254">
        <f t="shared" si="39"/>
        <v>285</v>
      </c>
    </row>
    <row r="255" spans="1:14" x14ac:dyDescent="0.25">
      <c r="A255" s="1">
        <v>45180</v>
      </c>
      <c r="B255" t="s">
        <v>4</v>
      </c>
      <c r="C255">
        <f t="shared" si="36"/>
        <v>13465</v>
      </c>
      <c r="D255">
        <f>IF(B255="zima",20%,IF(B255="wiosna",50%,IF(B255="lato",90%,40%)))</f>
        <v>0.9</v>
      </c>
      <c r="E255">
        <f t="shared" si="37"/>
        <v>19</v>
      </c>
      <c r="F255">
        <f>WEEKDAY(A255,2)</f>
        <v>1</v>
      </c>
      <c r="G255">
        <f t="shared" si="30"/>
        <v>1</v>
      </c>
      <c r="H255">
        <f t="shared" si="31"/>
        <v>510</v>
      </c>
      <c r="I255">
        <f t="shared" si="32"/>
        <v>0</v>
      </c>
      <c r="J255">
        <f t="shared" si="38"/>
        <v>0</v>
      </c>
      <c r="K255">
        <f t="shared" si="33"/>
        <v>19</v>
      </c>
      <c r="L255">
        <f t="shared" si="34"/>
        <v>13975</v>
      </c>
      <c r="M255">
        <f t="shared" si="35"/>
        <v>510</v>
      </c>
      <c r="N255">
        <f t="shared" si="39"/>
        <v>0</v>
      </c>
    </row>
    <row r="256" spans="1:14" x14ac:dyDescent="0.25">
      <c r="A256" s="1">
        <v>45181</v>
      </c>
      <c r="B256" t="s">
        <v>4</v>
      </c>
      <c r="C256">
        <f t="shared" si="36"/>
        <v>13975</v>
      </c>
      <c r="D256">
        <f>IF(B256="zima",20%,IF(B256="wiosna",50%,IF(B256="lato",90%,40%)))</f>
        <v>0.9</v>
      </c>
      <c r="E256">
        <f t="shared" si="37"/>
        <v>19</v>
      </c>
      <c r="F256">
        <f>WEEKDAY(A256,2)</f>
        <v>2</v>
      </c>
      <c r="G256">
        <f t="shared" si="30"/>
        <v>1</v>
      </c>
      <c r="H256">
        <f t="shared" si="31"/>
        <v>510</v>
      </c>
      <c r="I256">
        <f t="shared" si="32"/>
        <v>0</v>
      </c>
      <c r="J256">
        <f t="shared" si="38"/>
        <v>0</v>
      </c>
      <c r="K256">
        <f t="shared" si="33"/>
        <v>19</v>
      </c>
      <c r="L256">
        <f t="shared" si="34"/>
        <v>14485</v>
      </c>
      <c r="M256">
        <f t="shared" si="35"/>
        <v>510</v>
      </c>
      <c r="N256">
        <f t="shared" si="39"/>
        <v>0</v>
      </c>
    </row>
    <row r="257" spans="1:14" x14ac:dyDescent="0.25">
      <c r="A257" s="1">
        <v>45182</v>
      </c>
      <c r="B257" t="s">
        <v>4</v>
      </c>
      <c r="C257">
        <f t="shared" si="36"/>
        <v>14485</v>
      </c>
      <c r="D257">
        <f>IF(B257="zima",20%,IF(B257="wiosna",50%,IF(B257="lato",90%,40%)))</f>
        <v>0.9</v>
      </c>
      <c r="E257">
        <f t="shared" si="37"/>
        <v>19</v>
      </c>
      <c r="F257">
        <f>WEEKDAY(A257,2)</f>
        <v>3</v>
      </c>
      <c r="G257">
        <f t="shared" si="30"/>
        <v>1</v>
      </c>
      <c r="H257">
        <f t="shared" si="31"/>
        <v>510</v>
      </c>
      <c r="I257">
        <f t="shared" si="32"/>
        <v>0</v>
      </c>
      <c r="J257">
        <f t="shared" si="38"/>
        <v>0</v>
      </c>
      <c r="K257">
        <f t="shared" si="33"/>
        <v>19</v>
      </c>
      <c r="L257">
        <f t="shared" si="34"/>
        <v>14995</v>
      </c>
      <c r="M257">
        <f t="shared" si="35"/>
        <v>510</v>
      </c>
      <c r="N257">
        <f t="shared" si="39"/>
        <v>0</v>
      </c>
    </row>
    <row r="258" spans="1:14" x14ac:dyDescent="0.25">
      <c r="A258" s="1">
        <v>45183</v>
      </c>
      <c r="B258" t="s">
        <v>4</v>
      </c>
      <c r="C258">
        <f t="shared" si="36"/>
        <v>14995</v>
      </c>
      <c r="D258">
        <f>IF(B258="zima",20%,IF(B258="wiosna",50%,IF(B258="lato",90%,40%)))</f>
        <v>0.9</v>
      </c>
      <c r="E258">
        <f t="shared" si="37"/>
        <v>19</v>
      </c>
      <c r="F258">
        <f>WEEKDAY(A258,2)</f>
        <v>4</v>
      </c>
      <c r="G258">
        <f t="shared" si="30"/>
        <v>1</v>
      </c>
      <c r="H258">
        <f t="shared" si="31"/>
        <v>510</v>
      </c>
      <c r="I258">
        <f t="shared" si="32"/>
        <v>0</v>
      </c>
      <c r="J258">
        <f t="shared" si="38"/>
        <v>0</v>
      </c>
      <c r="K258">
        <f t="shared" si="33"/>
        <v>19</v>
      </c>
      <c r="L258">
        <f t="shared" si="34"/>
        <v>15505</v>
      </c>
      <c r="M258">
        <f t="shared" si="35"/>
        <v>510</v>
      </c>
      <c r="N258">
        <f t="shared" si="39"/>
        <v>0</v>
      </c>
    </row>
    <row r="259" spans="1:14" x14ac:dyDescent="0.25">
      <c r="A259" s="1">
        <v>45184</v>
      </c>
      <c r="B259" t="s">
        <v>4</v>
      </c>
      <c r="C259">
        <f t="shared" si="36"/>
        <v>15505</v>
      </c>
      <c r="D259">
        <f>IF(B259="zima",20%,IF(B259="wiosna",50%,IF(B259="lato",90%,40%)))</f>
        <v>0.9</v>
      </c>
      <c r="E259">
        <f t="shared" si="37"/>
        <v>19</v>
      </c>
      <c r="F259">
        <f>WEEKDAY(A259,2)</f>
        <v>5</v>
      </c>
      <c r="G259">
        <f t="shared" ref="G259:G322" si="40">IF(AND(F259&lt;&gt;6,F259&lt;&gt;7),1,0)</f>
        <v>1</v>
      </c>
      <c r="H259">
        <f t="shared" ref="H259:H322" si="41">ROUNDDOWN(D259*E259,0)*30*G259</f>
        <v>510</v>
      </c>
      <c r="I259">
        <f t="shared" ref="I259:I322" si="42">IF(F259=7,E259*15,0)</f>
        <v>0</v>
      </c>
      <c r="J259">
        <f t="shared" si="38"/>
        <v>0</v>
      </c>
      <c r="K259">
        <f t="shared" ref="K259:K322" si="43">IF(J259&gt;0,E259+3,E259)</f>
        <v>19</v>
      </c>
      <c r="L259">
        <f t="shared" ref="L259:L322" si="44">C259+H259-I259-J259</f>
        <v>16015</v>
      </c>
      <c r="M259">
        <f t="shared" ref="M259:M322" si="45">H259</f>
        <v>510</v>
      </c>
      <c r="N259">
        <f t="shared" si="39"/>
        <v>0</v>
      </c>
    </row>
    <row r="260" spans="1:14" x14ac:dyDescent="0.25">
      <c r="A260" s="1">
        <v>45185</v>
      </c>
      <c r="B260" t="s">
        <v>4</v>
      </c>
      <c r="C260">
        <f t="shared" ref="C260:C323" si="46">L259</f>
        <v>16015</v>
      </c>
      <c r="D260">
        <f>IF(B260="zima",20%,IF(B260="wiosna",50%,IF(B260="lato",90%,40%)))</f>
        <v>0.9</v>
      </c>
      <c r="E260">
        <f t="shared" ref="E260:E323" si="47">K259</f>
        <v>19</v>
      </c>
      <c r="F260">
        <f>WEEKDAY(A260,2)</f>
        <v>6</v>
      </c>
      <c r="G260">
        <f t="shared" si="40"/>
        <v>0</v>
      </c>
      <c r="H260">
        <f t="shared" si="41"/>
        <v>0</v>
      </c>
      <c r="I260">
        <f t="shared" si="42"/>
        <v>0</v>
      </c>
      <c r="J260">
        <f t="shared" ref="J260:J323" si="48">IF(AND(DAY(A261)=1,C260&gt;=2400),2400,0)</f>
        <v>0</v>
      </c>
      <c r="K260">
        <f t="shared" si="43"/>
        <v>19</v>
      </c>
      <c r="L260">
        <f t="shared" si="44"/>
        <v>16015</v>
      </c>
      <c r="M260">
        <f t="shared" si="45"/>
        <v>0</v>
      </c>
      <c r="N260">
        <f t="shared" ref="N260:N323" si="49">J260+I260</f>
        <v>0</v>
      </c>
    </row>
    <row r="261" spans="1:14" x14ac:dyDescent="0.25">
      <c r="A261" s="1">
        <v>45186</v>
      </c>
      <c r="B261" t="s">
        <v>4</v>
      </c>
      <c r="C261">
        <f t="shared" si="46"/>
        <v>16015</v>
      </c>
      <c r="D261">
        <f>IF(B261="zima",20%,IF(B261="wiosna",50%,IF(B261="lato",90%,40%)))</f>
        <v>0.9</v>
      </c>
      <c r="E261">
        <f t="shared" si="47"/>
        <v>19</v>
      </c>
      <c r="F261">
        <f>WEEKDAY(A261,2)</f>
        <v>7</v>
      </c>
      <c r="G261">
        <f t="shared" si="40"/>
        <v>0</v>
      </c>
      <c r="H261">
        <f t="shared" si="41"/>
        <v>0</v>
      </c>
      <c r="I261">
        <f t="shared" si="42"/>
        <v>285</v>
      </c>
      <c r="J261">
        <f t="shared" si="48"/>
        <v>0</v>
      </c>
      <c r="K261">
        <f t="shared" si="43"/>
        <v>19</v>
      </c>
      <c r="L261">
        <f t="shared" si="44"/>
        <v>15730</v>
      </c>
      <c r="M261">
        <f t="shared" si="45"/>
        <v>0</v>
      </c>
      <c r="N261">
        <f t="shared" si="49"/>
        <v>285</v>
      </c>
    </row>
    <row r="262" spans="1:14" x14ac:dyDescent="0.25">
      <c r="A262" s="1">
        <v>45187</v>
      </c>
      <c r="B262" t="s">
        <v>4</v>
      </c>
      <c r="C262">
        <f t="shared" si="46"/>
        <v>15730</v>
      </c>
      <c r="D262">
        <f>IF(B262="zima",20%,IF(B262="wiosna",50%,IF(B262="lato",90%,40%)))</f>
        <v>0.9</v>
      </c>
      <c r="E262">
        <f t="shared" si="47"/>
        <v>19</v>
      </c>
      <c r="F262">
        <f>WEEKDAY(A262,2)</f>
        <v>1</v>
      </c>
      <c r="G262">
        <f t="shared" si="40"/>
        <v>1</v>
      </c>
      <c r="H262">
        <f t="shared" si="41"/>
        <v>510</v>
      </c>
      <c r="I262">
        <f t="shared" si="42"/>
        <v>0</v>
      </c>
      <c r="J262">
        <f t="shared" si="48"/>
        <v>0</v>
      </c>
      <c r="K262">
        <f t="shared" si="43"/>
        <v>19</v>
      </c>
      <c r="L262">
        <f t="shared" si="44"/>
        <v>16240</v>
      </c>
      <c r="M262">
        <f t="shared" si="45"/>
        <v>510</v>
      </c>
      <c r="N262">
        <f t="shared" si="49"/>
        <v>0</v>
      </c>
    </row>
    <row r="263" spans="1:14" x14ac:dyDescent="0.25">
      <c r="A263" s="1">
        <v>45188</v>
      </c>
      <c r="B263" t="s">
        <v>4</v>
      </c>
      <c r="C263">
        <f t="shared" si="46"/>
        <v>16240</v>
      </c>
      <c r="D263">
        <f>IF(B263="zima",20%,IF(B263="wiosna",50%,IF(B263="lato",90%,40%)))</f>
        <v>0.9</v>
      </c>
      <c r="E263">
        <f t="shared" si="47"/>
        <v>19</v>
      </c>
      <c r="F263">
        <f>WEEKDAY(A263,2)</f>
        <v>2</v>
      </c>
      <c r="G263">
        <f t="shared" si="40"/>
        <v>1</v>
      </c>
      <c r="H263">
        <f t="shared" si="41"/>
        <v>510</v>
      </c>
      <c r="I263">
        <f t="shared" si="42"/>
        <v>0</v>
      </c>
      <c r="J263">
        <f t="shared" si="48"/>
        <v>0</v>
      </c>
      <c r="K263">
        <f t="shared" si="43"/>
        <v>19</v>
      </c>
      <c r="L263">
        <f t="shared" si="44"/>
        <v>16750</v>
      </c>
      <c r="M263">
        <f t="shared" si="45"/>
        <v>510</v>
      </c>
      <c r="N263">
        <f t="shared" si="49"/>
        <v>0</v>
      </c>
    </row>
    <row r="264" spans="1:14" x14ac:dyDescent="0.25">
      <c r="A264" s="1">
        <v>45189</v>
      </c>
      <c r="B264" t="s">
        <v>4</v>
      </c>
      <c r="C264">
        <f t="shared" si="46"/>
        <v>16750</v>
      </c>
      <c r="D264">
        <f>IF(B264="zima",20%,IF(B264="wiosna",50%,IF(B264="lato",90%,40%)))</f>
        <v>0.9</v>
      </c>
      <c r="E264">
        <f t="shared" si="47"/>
        <v>19</v>
      </c>
      <c r="F264">
        <f>WEEKDAY(A264,2)</f>
        <v>3</v>
      </c>
      <c r="G264">
        <f t="shared" si="40"/>
        <v>1</v>
      </c>
      <c r="H264">
        <f t="shared" si="41"/>
        <v>510</v>
      </c>
      <c r="I264">
        <f t="shared" si="42"/>
        <v>0</v>
      </c>
      <c r="J264">
        <f t="shared" si="48"/>
        <v>0</v>
      </c>
      <c r="K264">
        <f t="shared" si="43"/>
        <v>19</v>
      </c>
      <c r="L264">
        <f t="shared" si="44"/>
        <v>17260</v>
      </c>
      <c r="M264">
        <f t="shared" si="45"/>
        <v>510</v>
      </c>
      <c r="N264">
        <f t="shared" si="49"/>
        <v>0</v>
      </c>
    </row>
    <row r="265" spans="1:14" x14ac:dyDescent="0.25">
      <c r="A265" s="1">
        <v>45190</v>
      </c>
      <c r="B265" t="s">
        <v>4</v>
      </c>
      <c r="C265">
        <f t="shared" si="46"/>
        <v>17260</v>
      </c>
      <c r="D265">
        <f>IF(B265="zima",20%,IF(B265="wiosna",50%,IF(B265="lato",90%,40%)))</f>
        <v>0.9</v>
      </c>
      <c r="E265">
        <f t="shared" si="47"/>
        <v>19</v>
      </c>
      <c r="F265">
        <f>WEEKDAY(A265,2)</f>
        <v>4</v>
      </c>
      <c r="G265">
        <f t="shared" si="40"/>
        <v>1</v>
      </c>
      <c r="H265">
        <f t="shared" si="41"/>
        <v>510</v>
      </c>
      <c r="I265">
        <f t="shared" si="42"/>
        <v>0</v>
      </c>
      <c r="J265">
        <f t="shared" si="48"/>
        <v>0</v>
      </c>
      <c r="K265">
        <f t="shared" si="43"/>
        <v>19</v>
      </c>
      <c r="L265">
        <f t="shared" si="44"/>
        <v>17770</v>
      </c>
      <c r="M265">
        <f t="shared" si="45"/>
        <v>510</v>
      </c>
      <c r="N265">
        <f t="shared" si="49"/>
        <v>0</v>
      </c>
    </row>
    <row r="266" spans="1:14" x14ac:dyDescent="0.25">
      <c r="A266" s="1">
        <v>45191</v>
      </c>
      <c r="B266" t="s">
        <v>4</v>
      </c>
      <c r="C266">
        <f t="shared" si="46"/>
        <v>17770</v>
      </c>
      <c r="D266">
        <f>IF(B266="zima",20%,IF(B266="wiosna",50%,IF(B266="lato",90%,40%)))</f>
        <v>0.9</v>
      </c>
      <c r="E266">
        <f t="shared" si="47"/>
        <v>19</v>
      </c>
      <c r="F266">
        <f>WEEKDAY(A266,2)</f>
        <v>5</v>
      </c>
      <c r="G266">
        <f t="shared" si="40"/>
        <v>1</v>
      </c>
      <c r="H266">
        <f t="shared" si="41"/>
        <v>510</v>
      </c>
      <c r="I266">
        <f t="shared" si="42"/>
        <v>0</v>
      </c>
      <c r="J266">
        <f t="shared" si="48"/>
        <v>0</v>
      </c>
      <c r="K266">
        <f t="shared" si="43"/>
        <v>19</v>
      </c>
      <c r="L266">
        <f t="shared" si="44"/>
        <v>18280</v>
      </c>
      <c r="M266">
        <f t="shared" si="45"/>
        <v>510</v>
      </c>
      <c r="N266">
        <f t="shared" si="49"/>
        <v>0</v>
      </c>
    </row>
    <row r="267" spans="1:14" x14ac:dyDescent="0.25">
      <c r="A267" s="1">
        <v>45192</v>
      </c>
      <c r="B267" t="s">
        <v>5</v>
      </c>
      <c r="C267">
        <f t="shared" si="46"/>
        <v>18280</v>
      </c>
      <c r="D267">
        <f>IF(B267="zima",20%,IF(B267="wiosna",50%,IF(B267="lato",90%,40%)))</f>
        <v>0.4</v>
      </c>
      <c r="E267">
        <f t="shared" si="47"/>
        <v>19</v>
      </c>
      <c r="F267">
        <f>WEEKDAY(A267,2)</f>
        <v>6</v>
      </c>
      <c r="G267">
        <f t="shared" si="40"/>
        <v>0</v>
      </c>
      <c r="H267">
        <f t="shared" si="41"/>
        <v>0</v>
      </c>
      <c r="I267">
        <f t="shared" si="42"/>
        <v>0</v>
      </c>
      <c r="J267">
        <f t="shared" si="48"/>
        <v>0</v>
      </c>
      <c r="K267">
        <f t="shared" si="43"/>
        <v>19</v>
      </c>
      <c r="L267">
        <f t="shared" si="44"/>
        <v>18280</v>
      </c>
      <c r="M267">
        <f t="shared" si="45"/>
        <v>0</v>
      </c>
      <c r="N267">
        <f t="shared" si="49"/>
        <v>0</v>
      </c>
    </row>
    <row r="268" spans="1:14" x14ac:dyDescent="0.25">
      <c r="A268" s="1">
        <v>45193</v>
      </c>
      <c r="B268" t="s">
        <v>5</v>
      </c>
      <c r="C268">
        <f t="shared" si="46"/>
        <v>18280</v>
      </c>
      <c r="D268">
        <f>IF(B268="zima",20%,IF(B268="wiosna",50%,IF(B268="lato",90%,40%)))</f>
        <v>0.4</v>
      </c>
      <c r="E268">
        <f t="shared" si="47"/>
        <v>19</v>
      </c>
      <c r="F268">
        <f>WEEKDAY(A268,2)</f>
        <v>7</v>
      </c>
      <c r="G268">
        <f t="shared" si="40"/>
        <v>0</v>
      </c>
      <c r="H268">
        <f t="shared" si="41"/>
        <v>0</v>
      </c>
      <c r="I268">
        <f t="shared" si="42"/>
        <v>285</v>
      </c>
      <c r="J268">
        <f t="shared" si="48"/>
        <v>0</v>
      </c>
      <c r="K268">
        <f t="shared" si="43"/>
        <v>19</v>
      </c>
      <c r="L268">
        <f t="shared" si="44"/>
        <v>17995</v>
      </c>
      <c r="M268">
        <f t="shared" si="45"/>
        <v>0</v>
      </c>
      <c r="N268">
        <f t="shared" si="49"/>
        <v>285</v>
      </c>
    </row>
    <row r="269" spans="1:14" x14ac:dyDescent="0.25">
      <c r="A269" s="1">
        <v>45194</v>
      </c>
      <c r="B269" t="s">
        <v>5</v>
      </c>
      <c r="C269">
        <f t="shared" si="46"/>
        <v>17995</v>
      </c>
      <c r="D269">
        <f>IF(B269="zima",20%,IF(B269="wiosna",50%,IF(B269="lato",90%,40%)))</f>
        <v>0.4</v>
      </c>
      <c r="E269">
        <f t="shared" si="47"/>
        <v>19</v>
      </c>
      <c r="F269">
        <f>WEEKDAY(A269,2)</f>
        <v>1</v>
      </c>
      <c r="G269">
        <f t="shared" si="40"/>
        <v>1</v>
      </c>
      <c r="H269">
        <f t="shared" si="41"/>
        <v>210</v>
      </c>
      <c r="I269">
        <f t="shared" si="42"/>
        <v>0</v>
      </c>
      <c r="J269">
        <f t="shared" si="48"/>
        <v>0</v>
      </c>
      <c r="K269">
        <f t="shared" si="43"/>
        <v>19</v>
      </c>
      <c r="L269">
        <f t="shared" si="44"/>
        <v>18205</v>
      </c>
      <c r="M269">
        <f t="shared" si="45"/>
        <v>210</v>
      </c>
      <c r="N269">
        <f t="shared" si="49"/>
        <v>0</v>
      </c>
    </row>
    <row r="270" spans="1:14" x14ac:dyDescent="0.25">
      <c r="A270" s="1">
        <v>45195</v>
      </c>
      <c r="B270" t="s">
        <v>5</v>
      </c>
      <c r="C270">
        <f t="shared" si="46"/>
        <v>18205</v>
      </c>
      <c r="D270">
        <f>IF(B270="zima",20%,IF(B270="wiosna",50%,IF(B270="lato",90%,40%)))</f>
        <v>0.4</v>
      </c>
      <c r="E270">
        <f t="shared" si="47"/>
        <v>19</v>
      </c>
      <c r="F270">
        <f>WEEKDAY(A270,2)</f>
        <v>2</v>
      </c>
      <c r="G270">
        <f t="shared" si="40"/>
        <v>1</v>
      </c>
      <c r="H270">
        <f t="shared" si="41"/>
        <v>210</v>
      </c>
      <c r="I270">
        <f t="shared" si="42"/>
        <v>0</v>
      </c>
      <c r="J270">
        <f t="shared" si="48"/>
        <v>0</v>
      </c>
      <c r="K270">
        <f t="shared" si="43"/>
        <v>19</v>
      </c>
      <c r="L270">
        <f t="shared" si="44"/>
        <v>18415</v>
      </c>
      <c r="M270">
        <f t="shared" si="45"/>
        <v>210</v>
      </c>
      <c r="N270">
        <f t="shared" si="49"/>
        <v>0</v>
      </c>
    </row>
    <row r="271" spans="1:14" x14ac:dyDescent="0.25">
      <c r="A271" s="1">
        <v>45196</v>
      </c>
      <c r="B271" t="s">
        <v>5</v>
      </c>
      <c r="C271">
        <f t="shared" si="46"/>
        <v>18415</v>
      </c>
      <c r="D271">
        <f>IF(B271="zima",20%,IF(B271="wiosna",50%,IF(B271="lato",90%,40%)))</f>
        <v>0.4</v>
      </c>
      <c r="E271">
        <f t="shared" si="47"/>
        <v>19</v>
      </c>
      <c r="F271">
        <f>WEEKDAY(A271,2)</f>
        <v>3</v>
      </c>
      <c r="G271">
        <f t="shared" si="40"/>
        <v>1</v>
      </c>
      <c r="H271">
        <f t="shared" si="41"/>
        <v>210</v>
      </c>
      <c r="I271">
        <f t="shared" si="42"/>
        <v>0</v>
      </c>
      <c r="J271">
        <f t="shared" si="48"/>
        <v>0</v>
      </c>
      <c r="K271">
        <f t="shared" si="43"/>
        <v>19</v>
      </c>
      <c r="L271">
        <f t="shared" si="44"/>
        <v>18625</v>
      </c>
      <c r="M271">
        <f t="shared" si="45"/>
        <v>210</v>
      </c>
      <c r="N271">
        <f t="shared" si="49"/>
        <v>0</v>
      </c>
    </row>
    <row r="272" spans="1:14" x14ac:dyDescent="0.25">
      <c r="A272" s="1">
        <v>45197</v>
      </c>
      <c r="B272" t="s">
        <v>5</v>
      </c>
      <c r="C272">
        <f t="shared" si="46"/>
        <v>18625</v>
      </c>
      <c r="D272">
        <f>IF(B272="zima",20%,IF(B272="wiosna",50%,IF(B272="lato",90%,40%)))</f>
        <v>0.4</v>
      </c>
      <c r="E272">
        <f t="shared" si="47"/>
        <v>19</v>
      </c>
      <c r="F272">
        <f>WEEKDAY(A272,2)</f>
        <v>4</v>
      </c>
      <c r="G272">
        <f t="shared" si="40"/>
        <v>1</v>
      </c>
      <c r="H272">
        <f t="shared" si="41"/>
        <v>210</v>
      </c>
      <c r="I272">
        <f t="shared" si="42"/>
        <v>0</v>
      </c>
      <c r="J272">
        <f t="shared" si="48"/>
        <v>0</v>
      </c>
      <c r="K272">
        <f t="shared" si="43"/>
        <v>19</v>
      </c>
      <c r="L272">
        <f t="shared" si="44"/>
        <v>18835</v>
      </c>
      <c r="M272">
        <f t="shared" si="45"/>
        <v>210</v>
      </c>
      <c r="N272">
        <f t="shared" si="49"/>
        <v>0</v>
      </c>
    </row>
    <row r="273" spans="1:14" x14ac:dyDescent="0.25">
      <c r="A273" s="1">
        <v>45198</v>
      </c>
      <c r="B273" t="s">
        <v>5</v>
      </c>
      <c r="C273">
        <f t="shared" si="46"/>
        <v>18835</v>
      </c>
      <c r="D273">
        <f>IF(B273="zima",20%,IF(B273="wiosna",50%,IF(B273="lato",90%,40%)))</f>
        <v>0.4</v>
      </c>
      <c r="E273">
        <f t="shared" si="47"/>
        <v>19</v>
      </c>
      <c r="F273">
        <f>WEEKDAY(A273,2)</f>
        <v>5</v>
      </c>
      <c r="G273">
        <f t="shared" si="40"/>
        <v>1</v>
      </c>
      <c r="H273">
        <f t="shared" si="41"/>
        <v>210</v>
      </c>
      <c r="I273">
        <f t="shared" si="42"/>
        <v>0</v>
      </c>
      <c r="J273">
        <f t="shared" si="48"/>
        <v>0</v>
      </c>
      <c r="K273">
        <f t="shared" si="43"/>
        <v>19</v>
      </c>
      <c r="L273">
        <f t="shared" si="44"/>
        <v>19045</v>
      </c>
      <c r="M273">
        <f t="shared" si="45"/>
        <v>210</v>
      </c>
      <c r="N273">
        <f t="shared" si="49"/>
        <v>0</v>
      </c>
    </row>
    <row r="274" spans="1:14" x14ac:dyDescent="0.25">
      <c r="A274" s="1">
        <v>45199</v>
      </c>
      <c r="B274" t="s">
        <v>5</v>
      </c>
      <c r="C274">
        <f t="shared" si="46"/>
        <v>19045</v>
      </c>
      <c r="D274">
        <f>IF(B274="zima",20%,IF(B274="wiosna",50%,IF(B274="lato",90%,40%)))</f>
        <v>0.4</v>
      </c>
      <c r="E274">
        <f t="shared" si="47"/>
        <v>19</v>
      </c>
      <c r="F274">
        <f>WEEKDAY(A274,2)</f>
        <v>6</v>
      </c>
      <c r="G274">
        <f t="shared" si="40"/>
        <v>0</v>
      </c>
      <c r="H274">
        <f t="shared" si="41"/>
        <v>0</v>
      </c>
      <c r="I274">
        <f t="shared" si="42"/>
        <v>0</v>
      </c>
      <c r="J274">
        <f t="shared" si="48"/>
        <v>2400</v>
      </c>
      <c r="K274">
        <f t="shared" si="43"/>
        <v>22</v>
      </c>
      <c r="L274">
        <f t="shared" si="44"/>
        <v>16645</v>
      </c>
      <c r="M274">
        <f t="shared" si="45"/>
        <v>0</v>
      </c>
      <c r="N274">
        <f t="shared" si="49"/>
        <v>2400</v>
      </c>
    </row>
    <row r="275" spans="1:14" x14ac:dyDescent="0.25">
      <c r="A275" s="1">
        <v>45200</v>
      </c>
      <c r="B275" t="s">
        <v>5</v>
      </c>
      <c r="C275">
        <f t="shared" si="46"/>
        <v>16645</v>
      </c>
      <c r="D275">
        <f>IF(B275="zima",20%,IF(B275="wiosna",50%,IF(B275="lato",90%,40%)))</f>
        <v>0.4</v>
      </c>
      <c r="E275">
        <f t="shared" si="47"/>
        <v>22</v>
      </c>
      <c r="F275">
        <f>WEEKDAY(A275,2)</f>
        <v>7</v>
      </c>
      <c r="G275">
        <f t="shared" si="40"/>
        <v>0</v>
      </c>
      <c r="H275">
        <f t="shared" si="41"/>
        <v>0</v>
      </c>
      <c r="I275">
        <f t="shared" si="42"/>
        <v>330</v>
      </c>
      <c r="J275">
        <f t="shared" si="48"/>
        <v>0</v>
      </c>
      <c r="K275">
        <f t="shared" si="43"/>
        <v>22</v>
      </c>
      <c r="L275">
        <f t="shared" si="44"/>
        <v>16315</v>
      </c>
      <c r="M275">
        <f t="shared" si="45"/>
        <v>0</v>
      </c>
      <c r="N275">
        <f t="shared" si="49"/>
        <v>330</v>
      </c>
    </row>
    <row r="276" spans="1:14" x14ac:dyDescent="0.25">
      <c r="A276" s="1">
        <v>45201</v>
      </c>
      <c r="B276" t="s">
        <v>5</v>
      </c>
      <c r="C276">
        <f t="shared" si="46"/>
        <v>16315</v>
      </c>
      <c r="D276">
        <f>IF(B276="zima",20%,IF(B276="wiosna",50%,IF(B276="lato",90%,40%)))</f>
        <v>0.4</v>
      </c>
      <c r="E276">
        <f t="shared" si="47"/>
        <v>22</v>
      </c>
      <c r="F276">
        <f>WEEKDAY(A276,2)</f>
        <v>1</v>
      </c>
      <c r="G276">
        <f t="shared" si="40"/>
        <v>1</v>
      </c>
      <c r="H276">
        <f t="shared" si="41"/>
        <v>240</v>
      </c>
      <c r="I276">
        <f t="shared" si="42"/>
        <v>0</v>
      </c>
      <c r="J276">
        <f t="shared" si="48"/>
        <v>0</v>
      </c>
      <c r="K276">
        <f t="shared" si="43"/>
        <v>22</v>
      </c>
      <c r="L276">
        <f t="shared" si="44"/>
        <v>16555</v>
      </c>
      <c r="M276">
        <f t="shared" si="45"/>
        <v>240</v>
      </c>
      <c r="N276">
        <f t="shared" si="49"/>
        <v>0</v>
      </c>
    </row>
    <row r="277" spans="1:14" x14ac:dyDescent="0.25">
      <c r="A277" s="1">
        <v>45202</v>
      </c>
      <c r="B277" t="s">
        <v>5</v>
      </c>
      <c r="C277">
        <f t="shared" si="46"/>
        <v>16555</v>
      </c>
      <c r="D277">
        <f>IF(B277="zima",20%,IF(B277="wiosna",50%,IF(B277="lato",90%,40%)))</f>
        <v>0.4</v>
      </c>
      <c r="E277">
        <f t="shared" si="47"/>
        <v>22</v>
      </c>
      <c r="F277">
        <f>WEEKDAY(A277,2)</f>
        <v>2</v>
      </c>
      <c r="G277">
        <f t="shared" si="40"/>
        <v>1</v>
      </c>
      <c r="H277">
        <f t="shared" si="41"/>
        <v>240</v>
      </c>
      <c r="I277">
        <f t="shared" si="42"/>
        <v>0</v>
      </c>
      <c r="J277">
        <f t="shared" si="48"/>
        <v>0</v>
      </c>
      <c r="K277">
        <f t="shared" si="43"/>
        <v>22</v>
      </c>
      <c r="L277">
        <f t="shared" si="44"/>
        <v>16795</v>
      </c>
      <c r="M277">
        <f t="shared" si="45"/>
        <v>240</v>
      </c>
      <c r="N277">
        <f t="shared" si="49"/>
        <v>0</v>
      </c>
    </row>
    <row r="278" spans="1:14" x14ac:dyDescent="0.25">
      <c r="A278" s="1">
        <v>45203</v>
      </c>
      <c r="B278" t="s">
        <v>5</v>
      </c>
      <c r="C278">
        <f t="shared" si="46"/>
        <v>16795</v>
      </c>
      <c r="D278">
        <f>IF(B278="zima",20%,IF(B278="wiosna",50%,IF(B278="lato",90%,40%)))</f>
        <v>0.4</v>
      </c>
      <c r="E278">
        <f t="shared" si="47"/>
        <v>22</v>
      </c>
      <c r="F278">
        <f>WEEKDAY(A278,2)</f>
        <v>3</v>
      </c>
      <c r="G278">
        <f t="shared" si="40"/>
        <v>1</v>
      </c>
      <c r="H278">
        <f t="shared" si="41"/>
        <v>240</v>
      </c>
      <c r="I278">
        <f t="shared" si="42"/>
        <v>0</v>
      </c>
      <c r="J278">
        <f t="shared" si="48"/>
        <v>0</v>
      </c>
      <c r="K278">
        <f t="shared" si="43"/>
        <v>22</v>
      </c>
      <c r="L278">
        <f t="shared" si="44"/>
        <v>17035</v>
      </c>
      <c r="M278">
        <f t="shared" si="45"/>
        <v>240</v>
      </c>
      <c r="N278">
        <f t="shared" si="49"/>
        <v>0</v>
      </c>
    </row>
    <row r="279" spans="1:14" x14ac:dyDescent="0.25">
      <c r="A279" s="1">
        <v>45204</v>
      </c>
      <c r="B279" t="s">
        <v>5</v>
      </c>
      <c r="C279">
        <f t="shared" si="46"/>
        <v>17035</v>
      </c>
      <c r="D279">
        <f>IF(B279="zima",20%,IF(B279="wiosna",50%,IF(B279="lato",90%,40%)))</f>
        <v>0.4</v>
      </c>
      <c r="E279">
        <f t="shared" si="47"/>
        <v>22</v>
      </c>
      <c r="F279">
        <f>WEEKDAY(A279,2)</f>
        <v>4</v>
      </c>
      <c r="G279">
        <f t="shared" si="40"/>
        <v>1</v>
      </c>
      <c r="H279">
        <f t="shared" si="41"/>
        <v>240</v>
      </c>
      <c r="I279">
        <f t="shared" si="42"/>
        <v>0</v>
      </c>
      <c r="J279">
        <f t="shared" si="48"/>
        <v>0</v>
      </c>
      <c r="K279">
        <f t="shared" si="43"/>
        <v>22</v>
      </c>
      <c r="L279">
        <f t="shared" si="44"/>
        <v>17275</v>
      </c>
      <c r="M279">
        <f t="shared" si="45"/>
        <v>240</v>
      </c>
      <c r="N279">
        <f t="shared" si="49"/>
        <v>0</v>
      </c>
    </row>
    <row r="280" spans="1:14" x14ac:dyDescent="0.25">
      <c r="A280" s="1">
        <v>45205</v>
      </c>
      <c r="B280" t="s">
        <v>5</v>
      </c>
      <c r="C280">
        <f t="shared" si="46"/>
        <v>17275</v>
      </c>
      <c r="D280">
        <f>IF(B280="zima",20%,IF(B280="wiosna",50%,IF(B280="lato",90%,40%)))</f>
        <v>0.4</v>
      </c>
      <c r="E280">
        <f t="shared" si="47"/>
        <v>22</v>
      </c>
      <c r="F280">
        <f>WEEKDAY(A280,2)</f>
        <v>5</v>
      </c>
      <c r="G280">
        <f t="shared" si="40"/>
        <v>1</v>
      </c>
      <c r="H280">
        <f t="shared" si="41"/>
        <v>240</v>
      </c>
      <c r="I280">
        <f t="shared" si="42"/>
        <v>0</v>
      </c>
      <c r="J280">
        <f t="shared" si="48"/>
        <v>0</v>
      </c>
      <c r="K280">
        <f t="shared" si="43"/>
        <v>22</v>
      </c>
      <c r="L280">
        <f t="shared" si="44"/>
        <v>17515</v>
      </c>
      <c r="M280">
        <f t="shared" si="45"/>
        <v>240</v>
      </c>
      <c r="N280">
        <f t="shared" si="49"/>
        <v>0</v>
      </c>
    </row>
    <row r="281" spans="1:14" x14ac:dyDescent="0.25">
      <c r="A281" s="1">
        <v>45206</v>
      </c>
      <c r="B281" t="s">
        <v>5</v>
      </c>
      <c r="C281">
        <f t="shared" si="46"/>
        <v>17515</v>
      </c>
      <c r="D281">
        <f>IF(B281="zima",20%,IF(B281="wiosna",50%,IF(B281="lato",90%,40%)))</f>
        <v>0.4</v>
      </c>
      <c r="E281">
        <f t="shared" si="47"/>
        <v>22</v>
      </c>
      <c r="F281">
        <f>WEEKDAY(A281,2)</f>
        <v>6</v>
      </c>
      <c r="G281">
        <f t="shared" si="40"/>
        <v>0</v>
      </c>
      <c r="H281">
        <f t="shared" si="41"/>
        <v>0</v>
      </c>
      <c r="I281">
        <f t="shared" si="42"/>
        <v>0</v>
      </c>
      <c r="J281">
        <f t="shared" si="48"/>
        <v>0</v>
      </c>
      <c r="K281">
        <f t="shared" si="43"/>
        <v>22</v>
      </c>
      <c r="L281">
        <f t="shared" si="44"/>
        <v>17515</v>
      </c>
      <c r="M281">
        <f t="shared" si="45"/>
        <v>0</v>
      </c>
      <c r="N281">
        <f t="shared" si="49"/>
        <v>0</v>
      </c>
    </row>
    <row r="282" spans="1:14" x14ac:dyDescent="0.25">
      <c r="A282" s="1">
        <v>45207</v>
      </c>
      <c r="B282" t="s">
        <v>5</v>
      </c>
      <c r="C282">
        <f t="shared" si="46"/>
        <v>17515</v>
      </c>
      <c r="D282">
        <f>IF(B282="zima",20%,IF(B282="wiosna",50%,IF(B282="lato",90%,40%)))</f>
        <v>0.4</v>
      </c>
      <c r="E282">
        <f t="shared" si="47"/>
        <v>22</v>
      </c>
      <c r="F282">
        <f>WEEKDAY(A282,2)</f>
        <v>7</v>
      </c>
      <c r="G282">
        <f t="shared" si="40"/>
        <v>0</v>
      </c>
      <c r="H282">
        <f t="shared" si="41"/>
        <v>0</v>
      </c>
      <c r="I282">
        <f t="shared" si="42"/>
        <v>330</v>
      </c>
      <c r="J282">
        <f t="shared" si="48"/>
        <v>0</v>
      </c>
      <c r="K282">
        <f t="shared" si="43"/>
        <v>22</v>
      </c>
      <c r="L282">
        <f t="shared" si="44"/>
        <v>17185</v>
      </c>
      <c r="M282">
        <f t="shared" si="45"/>
        <v>0</v>
      </c>
      <c r="N282">
        <f t="shared" si="49"/>
        <v>330</v>
      </c>
    </row>
    <row r="283" spans="1:14" x14ac:dyDescent="0.25">
      <c r="A283" s="1">
        <v>45208</v>
      </c>
      <c r="B283" t="s">
        <v>5</v>
      </c>
      <c r="C283">
        <f t="shared" si="46"/>
        <v>17185</v>
      </c>
      <c r="D283">
        <f>IF(B283="zima",20%,IF(B283="wiosna",50%,IF(B283="lato",90%,40%)))</f>
        <v>0.4</v>
      </c>
      <c r="E283">
        <f t="shared" si="47"/>
        <v>22</v>
      </c>
      <c r="F283">
        <f>WEEKDAY(A283,2)</f>
        <v>1</v>
      </c>
      <c r="G283">
        <f t="shared" si="40"/>
        <v>1</v>
      </c>
      <c r="H283">
        <f t="shared" si="41"/>
        <v>240</v>
      </c>
      <c r="I283">
        <f t="shared" si="42"/>
        <v>0</v>
      </c>
      <c r="J283">
        <f t="shared" si="48"/>
        <v>0</v>
      </c>
      <c r="K283">
        <f t="shared" si="43"/>
        <v>22</v>
      </c>
      <c r="L283">
        <f t="shared" si="44"/>
        <v>17425</v>
      </c>
      <c r="M283">
        <f t="shared" si="45"/>
        <v>240</v>
      </c>
      <c r="N283">
        <f t="shared" si="49"/>
        <v>0</v>
      </c>
    </row>
    <row r="284" spans="1:14" x14ac:dyDescent="0.25">
      <c r="A284" s="1">
        <v>45209</v>
      </c>
      <c r="B284" t="s">
        <v>5</v>
      </c>
      <c r="C284">
        <f t="shared" si="46"/>
        <v>17425</v>
      </c>
      <c r="D284">
        <f>IF(B284="zima",20%,IF(B284="wiosna",50%,IF(B284="lato",90%,40%)))</f>
        <v>0.4</v>
      </c>
      <c r="E284">
        <f t="shared" si="47"/>
        <v>22</v>
      </c>
      <c r="F284">
        <f>WEEKDAY(A284,2)</f>
        <v>2</v>
      </c>
      <c r="G284">
        <f t="shared" si="40"/>
        <v>1</v>
      </c>
      <c r="H284">
        <f t="shared" si="41"/>
        <v>240</v>
      </c>
      <c r="I284">
        <f t="shared" si="42"/>
        <v>0</v>
      </c>
      <c r="J284">
        <f t="shared" si="48"/>
        <v>0</v>
      </c>
      <c r="K284">
        <f t="shared" si="43"/>
        <v>22</v>
      </c>
      <c r="L284">
        <f t="shared" si="44"/>
        <v>17665</v>
      </c>
      <c r="M284">
        <f t="shared" si="45"/>
        <v>240</v>
      </c>
      <c r="N284">
        <f t="shared" si="49"/>
        <v>0</v>
      </c>
    </row>
    <row r="285" spans="1:14" x14ac:dyDescent="0.25">
      <c r="A285" s="1">
        <v>45210</v>
      </c>
      <c r="B285" t="s">
        <v>5</v>
      </c>
      <c r="C285">
        <f t="shared" si="46"/>
        <v>17665</v>
      </c>
      <c r="D285">
        <f>IF(B285="zima",20%,IF(B285="wiosna",50%,IF(B285="lato",90%,40%)))</f>
        <v>0.4</v>
      </c>
      <c r="E285">
        <f t="shared" si="47"/>
        <v>22</v>
      </c>
      <c r="F285">
        <f>WEEKDAY(A285,2)</f>
        <v>3</v>
      </c>
      <c r="G285">
        <f t="shared" si="40"/>
        <v>1</v>
      </c>
      <c r="H285">
        <f t="shared" si="41"/>
        <v>240</v>
      </c>
      <c r="I285">
        <f t="shared" si="42"/>
        <v>0</v>
      </c>
      <c r="J285">
        <f t="shared" si="48"/>
        <v>0</v>
      </c>
      <c r="K285">
        <f t="shared" si="43"/>
        <v>22</v>
      </c>
      <c r="L285">
        <f t="shared" si="44"/>
        <v>17905</v>
      </c>
      <c r="M285">
        <f t="shared" si="45"/>
        <v>240</v>
      </c>
      <c r="N285">
        <f t="shared" si="49"/>
        <v>0</v>
      </c>
    </row>
    <row r="286" spans="1:14" x14ac:dyDescent="0.25">
      <c r="A286" s="1">
        <v>45211</v>
      </c>
      <c r="B286" t="s">
        <v>5</v>
      </c>
      <c r="C286">
        <f t="shared" si="46"/>
        <v>17905</v>
      </c>
      <c r="D286">
        <f>IF(B286="zima",20%,IF(B286="wiosna",50%,IF(B286="lato",90%,40%)))</f>
        <v>0.4</v>
      </c>
      <c r="E286">
        <f t="shared" si="47"/>
        <v>22</v>
      </c>
      <c r="F286">
        <f>WEEKDAY(A286,2)</f>
        <v>4</v>
      </c>
      <c r="G286">
        <f t="shared" si="40"/>
        <v>1</v>
      </c>
      <c r="H286">
        <f t="shared" si="41"/>
        <v>240</v>
      </c>
      <c r="I286">
        <f t="shared" si="42"/>
        <v>0</v>
      </c>
      <c r="J286">
        <f t="shared" si="48"/>
        <v>0</v>
      </c>
      <c r="K286">
        <f t="shared" si="43"/>
        <v>22</v>
      </c>
      <c r="L286">
        <f t="shared" si="44"/>
        <v>18145</v>
      </c>
      <c r="M286">
        <f t="shared" si="45"/>
        <v>240</v>
      </c>
      <c r="N286">
        <f t="shared" si="49"/>
        <v>0</v>
      </c>
    </row>
    <row r="287" spans="1:14" x14ac:dyDescent="0.25">
      <c r="A287" s="1">
        <v>45212</v>
      </c>
      <c r="B287" t="s">
        <v>5</v>
      </c>
      <c r="C287">
        <f t="shared" si="46"/>
        <v>18145</v>
      </c>
      <c r="D287">
        <f>IF(B287="zima",20%,IF(B287="wiosna",50%,IF(B287="lato",90%,40%)))</f>
        <v>0.4</v>
      </c>
      <c r="E287">
        <f t="shared" si="47"/>
        <v>22</v>
      </c>
      <c r="F287">
        <f>WEEKDAY(A287,2)</f>
        <v>5</v>
      </c>
      <c r="G287">
        <f t="shared" si="40"/>
        <v>1</v>
      </c>
      <c r="H287">
        <f t="shared" si="41"/>
        <v>240</v>
      </c>
      <c r="I287">
        <f t="shared" si="42"/>
        <v>0</v>
      </c>
      <c r="J287">
        <f t="shared" si="48"/>
        <v>0</v>
      </c>
      <c r="K287">
        <f t="shared" si="43"/>
        <v>22</v>
      </c>
      <c r="L287">
        <f t="shared" si="44"/>
        <v>18385</v>
      </c>
      <c r="M287">
        <f t="shared" si="45"/>
        <v>240</v>
      </c>
      <c r="N287">
        <f t="shared" si="49"/>
        <v>0</v>
      </c>
    </row>
    <row r="288" spans="1:14" x14ac:dyDescent="0.25">
      <c r="A288" s="1">
        <v>45213</v>
      </c>
      <c r="B288" t="s">
        <v>5</v>
      </c>
      <c r="C288">
        <f t="shared" si="46"/>
        <v>18385</v>
      </c>
      <c r="D288">
        <f>IF(B288="zima",20%,IF(B288="wiosna",50%,IF(B288="lato",90%,40%)))</f>
        <v>0.4</v>
      </c>
      <c r="E288">
        <f t="shared" si="47"/>
        <v>22</v>
      </c>
      <c r="F288">
        <f>WEEKDAY(A288,2)</f>
        <v>6</v>
      </c>
      <c r="G288">
        <f t="shared" si="40"/>
        <v>0</v>
      </c>
      <c r="H288">
        <f t="shared" si="41"/>
        <v>0</v>
      </c>
      <c r="I288">
        <f t="shared" si="42"/>
        <v>0</v>
      </c>
      <c r="J288">
        <f t="shared" si="48"/>
        <v>0</v>
      </c>
      <c r="K288">
        <f t="shared" si="43"/>
        <v>22</v>
      </c>
      <c r="L288">
        <f t="shared" si="44"/>
        <v>18385</v>
      </c>
      <c r="M288">
        <f t="shared" si="45"/>
        <v>0</v>
      </c>
      <c r="N288">
        <f t="shared" si="49"/>
        <v>0</v>
      </c>
    </row>
    <row r="289" spans="1:14" x14ac:dyDescent="0.25">
      <c r="A289" s="1">
        <v>45214</v>
      </c>
      <c r="B289" t="s">
        <v>5</v>
      </c>
      <c r="C289">
        <f t="shared" si="46"/>
        <v>18385</v>
      </c>
      <c r="D289">
        <f>IF(B289="zima",20%,IF(B289="wiosna",50%,IF(B289="lato",90%,40%)))</f>
        <v>0.4</v>
      </c>
      <c r="E289">
        <f t="shared" si="47"/>
        <v>22</v>
      </c>
      <c r="F289">
        <f>WEEKDAY(A289,2)</f>
        <v>7</v>
      </c>
      <c r="G289">
        <f t="shared" si="40"/>
        <v>0</v>
      </c>
      <c r="H289">
        <f t="shared" si="41"/>
        <v>0</v>
      </c>
      <c r="I289">
        <f t="shared" si="42"/>
        <v>330</v>
      </c>
      <c r="J289">
        <f t="shared" si="48"/>
        <v>0</v>
      </c>
      <c r="K289">
        <f t="shared" si="43"/>
        <v>22</v>
      </c>
      <c r="L289">
        <f t="shared" si="44"/>
        <v>18055</v>
      </c>
      <c r="M289">
        <f t="shared" si="45"/>
        <v>0</v>
      </c>
      <c r="N289">
        <f t="shared" si="49"/>
        <v>330</v>
      </c>
    </row>
    <row r="290" spans="1:14" x14ac:dyDescent="0.25">
      <c r="A290" s="1">
        <v>45215</v>
      </c>
      <c r="B290" t="s">
        <v>5</v>
      </c>
      <c r="C290">
        <f t="shared" si="46"/>
        <v>18055</v>
      </c>
      <c r="D290">
        <f>IF(B290="zima",20%,IF(B290="wiosna",50%,IF(B290="lato",90%,40%)))</f>
        <v>0.4</v>
      </c>
      <c r="E290">
        <f t="shared" si="47"/>
        <v>22</v>
      </c>
      <c r="F290">
        <f>WEEKDAY(A290,2)</f>
        <v>1</v>
      </c>
      <c r="G290">
        <f t="shared" si="40"/>
        <v>1</v>
      </c>
      <c r="H290">
        <f t="shared" si="41"/>
        <v>240</v>
      </c>
      <c r="I290">
        <f t="shared" si="42"/>
        <v>0</v>
      </c>
      <c r="J290">
        <f t="shared" si="48"/>
        <v>0</v>
      </c>
      <c r="K290">
        <f t="shared" si="43"/>
        <v>22</v>
      </c>
      <c r="L290">
        <f t="shared" si="44"/>
        <v>18295</v>
      </c>
      <c r="M290">
        <f t="shared" si="45"/>
        <v>240</v>
      </c>
      <c r="N290">
        <f t="shared" si="49"/>
        <v>0</v>
      </c>
    </row>
    <row r="291" spans="1:14" x14ac:dyDescent="0.25">
      <c r="A291" s="1">
        <v>45216</v>
      </c>
      <c r="B291" t="s">
        <v>5</v>
      </c>
      <c r="C291">
        <f t="shared" si="46"/>
        <v>18295</v>
      </c>
      <c r="D291">
        <f>IF(B291="zima",20%,IF(B291="wiosna",50%,IF(B291="lato",90%,40%)))</f>
        <v>0.4</v>
      </c>
      <c r="E291">
        <f t="shared" si="47"/>
        <v>22</v>
      </c>
      <c r="F291">
        <f>WEEKDAY(A291,2)</f>
        <v>2</v>
      </c>
      <c r="G291">
        <f t="shared" si="40"/>
        <v>1</v>
      </c>
      <c r="H291">
        <f t="shared" si="41"/>
        <v>240</v>
      </c>
      <c r="I291">
        <f t="shared" si="42"/>
        <v>0</v>
      </c>
      <c r="J291">
        <f t="shared" si="48"/>
        <v>0</v>
      </c>
      <c r="K291">
        <f t="shared" si="43"/>
        <v>22</v>
      </c>
      <c r="L291">
        <f t="shared" si="44"/>
        <v>18535</v>
      </c>
      <c r="M291">
        <f t="shared" si="45"/>
        <v>240</v>
      </c>
      <c r="N291">
        <f t="shared" si="49"/>
        <v>0</v>
      </c>
    </row>
    <row r="292" spans="1:14" x14ac:dyDescent="0.25">
      <c r="A292" s="1">
        <v>45217</v>
      </c>
      <c r="B292" t="s">
        <v>5</v>
      </c>
      <c r="C292">
        <f t="shared" si="46"/>
        <v>18535</v>
      </c>
      <c r="D292">
        <f>IF(B292="zima",20%,IF(B292="wiosna",50%,IF(B292="lato",90%,40%)))</f>
        <v>0.4</v>
      </c>
      <c r="E292">
        <f t="shared" si="47"/>
        <v>22</v>
      </c>
      <c r="F292">
        <f>WEEKDAY(A292,2)</f>
        <v>3</v>
      </c>
      <c r="G292">
        <f t="shared" si="40"/>
        <v>1</v>
      </c>
      <c r="H292">
        <f t="shared" si="41"/>
        <v>240</v>
      </c>
      <c r="I292">
        <f t="shared" si="42"/>
        <v>0</v>
      </c>
      <c r="J292">
        <f t="shared" si="48"/>
        <v>0</v>
      </c>
      <c r="K292">
        <f t="shared" si="43"/>
        <v>22</v>
      </c>
      <c r="L292">
        <f t="shared" si="44"/>
        <v>18775</v>
      </c>
      <c r="M292">
        <f t="shared" si="45"/>
        <v>240</v>
      </c>
      <c r="N292">
        <f t="shared" si="49"/>
        <v>0</v>
      </c>
    </row>
    <row r="293" spans="1:14" x14ac:dyDescent="0.25">
      <c r="A293" s="1">
        <v>45218</v>
      </c>
      <c r="B293" t="s">
        <v>5</v>
      </c>
      <c r="C293">
        <f t="shared" si="46"/>
        <v>18775</v>
      </c>
      <c r="D293">
        <f>IF(B293="zima",20%,IF(B293="wiosna",50%,IF(B293="lato",90%,40%)))</f>
        <v>0.4</v>
      </c>
      <c r="E293">
        <f t="shared" si="47"/>
        <v>22</v>
      </c>
      <c r="F293">
        <f>WEEKDAY(A293,2)</f>
        <v>4</v>
      </c>
      <c r="G293">
        <f t="shared" si="40"/>
        <v>1</v>
      </c>
      <c r="H293">
        <f t="shared" si="41"/>
        <v>240</v>
      </c>
      <c r="I293">
        <f t="shared" si="42"/>
        <v>0</v>
      </c>
      <c r="J293">
        <f t="shared" si="48"/>
        <v>0</v>
      </c>
      <c r="K293">
        <f t="shared" si="43"/>
        <v>22</v>
      </c>
      <c r="L293">
        <f t="shared" si="44"/>
        <v>19015</v>
      </c>
      <c r="M293">
        <f t="shared" si="45"/>
        <v>240</v>
      </c>
      <c r="N293">
        <f t="shared" si="49"/>
        <v>0</v>
      </c>
    </row>
    <row r="294" spans="1:14" x14ac:dyDescent="0.25">
      <c r="A294" s="1">
        <v>45219</v>
      </c>
      <c r="B294" t="s">
        <v>5</v>
      </c>
      <c r="C294">
        <f t="shared" si="46"/>
        <v>19015</v>
      </c>
      <c r="D294">
        <f>IF(B294="zima",20%,IF(B294="wiosna",50%,IF(B294="lato",90%,40%)))</f>
        <v>0.4</v>
      </c>
      <c r="E294">
        <f t="shared" si="47"/>
        <v>22</v>
      </c>
      <c r="F294">
        <f>WEEKDAY(A294,2)</f>
        <v>5</v>
      </c>
      <c r="G294">
        <f t="shared" si="40"/>
        <v>1</v>
      </c>
      <c r="H294">
        <f t="shared" si="41"/>
        <v>240</v>
      </c>
      <c r="I294">
        <f t="shared" si="42"/>
        <v>0</v>
      </c>
      <c r="J294">
        <f t="shared" si="48"/>
        <v>0</v>
      </c>
      <c r="K294">
        <f t="shared" si="43"/>
        <v>22</v>
      </c>
      <c r="L294">
        <f t="shared" si="44"/>
        <v>19255</v>
      </c>
      <c r="M294">
        <f t="shared" si="45"/>
        <v>240</v>
      </c>
      <c r="N294">
        <f t="shared" si="49"/>
        <v>0</v>
      </c>
    </row>
    <row r="295" spans="1:14" x14ac:dyDescent="0.25">
      <c r="A295" s="1">
        <v>45220</v>
      </c>
      <c r="B295" t="s">
        <v>5</v>
      </c>
      <c r="C295">
        <f t="shared" si="46"/>
        <v>19255</v>
      </c>
      <c r="D295">
        <f>IF(B295="zima",20%,IF(B295="wiosna",50%,IF(B295="lato",90%,40%)))</f>
        <v>0.4</v>
      </c>
      <c r="E295">
        <f t="shared" si="47"/>
        <v>22</v>
      </c>
      <c r="F295">
        <f>WEEKDAY(A295,2)</f>
        <v>6</v>
      </c>
      <c r="G295">
        <f t="shared" si="40"/>
        <v>0</v>
      </c>
      <c r="H295">
        <f t="shared" si="41"/>
        <v>0</v>
      </c>
      <c r="I295">
        <f t="shared" si="42"/>
        <v>0</v>
      </c>
      <c r="J295">
        <f t="shared" si="48"/>
        <v>0</v>
      </c>
      <c r="K295">
        <f t="shared" si="43"/>
        <v>22</v>
      </c>
      <c r="L295">
        <f t="shared" si="44"/>
        <v>19255</v>
      </c>
      <c r="M295">
        <f t="shared" si="45"/>
        <v>0</v>
      </c>
      <c r="N295">
        <f t="shared" si="49"/>
        <v>0</v>
      </c>
    </row>
    <row r="296" spans="1:14" x14ac:dyDescent="0.25">
      <c r="A296" s="1">
        <v>45221</v>
      </c>
      <c r="B296" t="s">
        <v>5</v>
      </c>
      <c r="C296">
        <f t="shared" si="46"/>
        <v>19255</v>
      </c>
      <c r="D296">
        <f>IF(B296="zima",20%,IF(B296="wiosna",50%,IF(B296="lato",90%,40%)))</f>
        <v>0.4</v>
      </c>
      <c r="E296">
        <f t="shared" si="47"/>
        <v>22</v>
      </c>
      <c r="F296">
        <f>WEEKDAY(A296,2)</f>
        <v>7</v>
      </c>
      <c r="G296">
        <f t="shared" si="40"/>
        <v>0</v>
      </c>
      <c r="H296">
        <f t="shared" si="41"/>
        <v>0</v>
      </c>
      <c r="I296">
        <f t="shared" si="42"/>
        <v>330</v>
      </c>
      <c r="J296">
        <f t="shared" si="48"/>
        <v>0</v>
      </c>
      <c r="K296">
        <f t="shared" si="43"/>
        <v>22</v>
      </c>
      <c r="L296">
        <f t="shared" si="44"/>
        <v>18925</v>
      </c>
      <c r="M296">
        <f t="shared" si="45"/>
        <v>0</v>
      </c>
      <c r="N296">
        <f t="shared" si="49"/>
        <v>330</v>
      </c>
    </row>
    <row r="297" spans="1:14" x14ac:dyDescent="0.25">
      <c r="A297" s="1">
        <v>45222</v>
      </c>
      <c r="B297" t="s">
        <v>5</v>
      </c>
      <c r="C297">
        <f t="shared" si="46"/>
        <v>18925</v>
      </c>
      <c r="D297">
        <f>IF(B297="zima",20%,IF(B297="wiosna",50%,IF(B297="lato",90%,40%)))</f>
        <v>0.4</v>
      </c>
      <c r="E297">
        <f t="shared" si="47"/>
        <v>22</v>
      </c>
      <c r="F297">
        <f>WEEKDAY(A297,2)</f>
        <v>1</v>
      </c>
      <c r="G297">
        <f t="shared" si="40"/>
        <v>1</v>
      </c>
      <c r="H297">
        <f t="shared" si="41"/>
        <v>240</v>
      </c>
      <c r="I297">
        <f t="shared" si="42"/>
        <v>0</v>
      </c>
      <c r="J297">
        <f t="shared" si="48"/>
        <v>0</v>
      </c>
      <c r="K297">
        <f t="shared" si="43"/>
        <v>22</v>
      </c>
      <c r="L297">
        <f t="shared" si="44"/>
        <v>19165</v>
      </c>
      <c r="M297">
        <f t="shared" si="45"/>
        <v>240</v>
      </c>
      <c r="N297">
        <f t="shared" si="49"/>
        <v>0</v>
      </c>
    </row>
    <row r="298" spans="1:14" x14ac:dyDescent="0.25">
      <c r="A298" s="1">
        <v>45223</v>
      </c>
      <c r="B298" t="s">
        <v>5</v>
      </c>
      <c r="C298">
        <f t="shared" si="46"/>
        <v>19165</v>
      </c>
      <c r="D298">
        <f>IF(B298="zima",20%,IF(B298="wiosna",50%,IF(B298="lato",90%,40%)))</f>
        <v>0.4</v>
      </c>
      <c r="E298">
        <f t="shared" si="47"/>
        <v>22</v>
      </c>
      <c r="F298">
        <f>WEEKDAY(A298,2)</f>
        <v>2</v>
      </c>
      <c r="G298">
        <f t="shared" si="40"/>
        <v>1</v>
      </c>
      <c r="H298">
        <f t="shared" si="41"/>
        <v>240</v>
      </c>
      <c r="I298">
        <f t="shared" si="42"/>
        <v>0</v>
      </c>
      <c r="J298">
        <f t="shared" si="48"/>
        <v>0</v>
      </c>
      <c r="K298">
        <f t="shared" si="43"/>
        <v>22</v>
      </c>
      <c r="L298">
        <f t="shared" si="44"/>
        <v>19405</v>
      </c>
      <c r="M298">
        <f t="shared" si="45"/>
        <v>240</v>
      </c>
      <c r="N298">
        <f t="shared" si="49"/>
        <v>0</v>
      </c>
    </row>
    <row r="299" spans="1:14" x14ac:dyDescent="0.25">
      <c r="A299" s="1">
        <v>45224</v>
      </c>
      <c r="B299" t="s">
        <v>5</v>
      </c>
      <c r="C299">
        <f t="shared" si="46"/>
        <v>19405</v>
      </c>
      <c r="D299">
        <f>IF(B299="zima",20%,IF(B299="wiosna",50%,IF(B299="lato",90%,40%)))</f>
        <v>0.4</v>
      </c>
      <c r="E299">
        <f t="shared" si="47"/>
        <v>22</v>
      </c>
      <c r="F299">
        <f>WEEKDAY(A299,2)</f>
        <v>3</v>
      </c>
      <c r="G299">
        <f t="shared" si="40"/>
        <v>1</v>
      </c>
      <c r="H299">
        <f t="shared" si="41"/>
        <v>240</v>
      </c>
      <c r="I299">
        <f t="shared" si="42"/>
        <v>0</v>
      </c>
      <c r="J299">
        <f t="shared" si="48"/>
        <v>0</v>
      </c>
      <c r="K299">
        <f t="shared" si="43"/>
        <v>22</v>
      </c>
      <c r="L299">
        <f t="shared" si="44"/>
        <v>19645</v>
      </c>
      <c r="M299">
        <f t="shared" si="45"/>
        <v>240</v>
      </c>
      <c r="N299">
        <f t="shared" si="49"/>
        <v>0</v>
      </c>
    </row>
    <row r="300" spans="1:14" x14ac:dyDescent="0.25">
      <c r="A300" s="1">
        <v>45225</v>
      </c>
      <c r="B300" t="s">
        <v>5</v>
      </c>
      <c r="C300">
        <f t="shared" si="46"/>
        <v>19645</v>
      </c>
      <c r="D300">
        <f>IF(B300="zima",20%,IF(B300="wiosna",50%,IF(B300="lato",90%,40%)))</f>
        <v>0.4</v>
      </c>
      <c r="E300">
        <f t="shared" si="47"/>
        <v>22</v>
      </c>
      <c r="F300">
        <f>WEEKDAY(A300,2)</f>
        <v>4</v>
      </c>
      <c r="G300">
        <f t="shared" si="40"/>
        <v>1</v>
      </c>
      <c r="H300">
        <f t="shared" si="41"/>
        <v>240</v>
      </c>
      <c r="I300">
        <f t="shared" si="42"/>
        <v>0</v>
      </c>
      <c r="J300">
        <f t="shared" si="48"/>
        <v>0</v>
      </c>
      <c r="K300">
        <f t="shared" si="43"/>
        <v>22</v>
      </c>
      <c r="L300">
        <f t="shared" si="44"/>
        <v>19885</v>
      </c>
      <c r="M300">
        <f t="shared" si="45"/>
        <v>240</v>
      </c>
      <c r="N300">
        <f t="shared" si="49"/>
        <v>0</v>
      </c>
    </row>
    <row r="301" spans="1:14" x14ac:dyDescent="0.25">
      <c r="A301" s="1">
        <v>45226</v>
      </c>
      <c r="B301" t="s">
        <v>5</v>
      </c>
      <c r="C301">
        <f t="shared" si="46"/>
        <v>19885</v>
      </c>
      <c r="D301">
        <f>IF(B301="zima",20%,IF(B301="wiosna",50%,IF(B301="lato",90%,40%)))</f>
        <v>0.4</v>
      </c>
      <c r="E301">
        <f t="shared" si="47"/>
        <v>22</v>
      </c>
      <c r="F301">
        <f>WEEKDAY(A301,2)</f>
        <v>5</v>
      </c>
      <c r="G301">
        <f t="shared" si="40"/>
        <v>1</v>
      </c>
      <c r="H301">
        <f t="shared" si="41"/>
        <v>240</v>
      </c>
      <c r="I301">
        <f t="shared" si="42"/>
        <v>0</v>
      </c>
      <c r="J301">
        <f t="shared" si="48"/>
        <v>0</v>
      </c>
      <c r="K301">
        <f t="shared" si="43"/>
        <v>22</v>
      </c>
      <c r="L301">
        <f t="shared" si="44"/>
        <v>20125</v>
      </c>
      <c r="M301">
        <f t="shared" si="45"/>
        <v>240</v>
      </c>
      <c r="N301">
        <f t="shared" si="49"/>
        <v>0</v>
      </c>
    </row>
    <row r="302" spans="1:14" x14ac:dyDescent="0.25">
      <c r="A302" s="1">
        <v>45227</v>
      </c>
      <c r="B302" t="s">
        <v>5</v>
      </c>
      <c r="C302">
        <f t="shared" si="46"/>
        <v>20125</v>
      </c>
      <c r="D302">
        <f>IF(B302="zima",20%,IF(B302="wiosna",50%,IF(B302="lato",90%,40%)))</f>
        <v>0.4</v>
      </c>
      <c r="E302">
        <f t="shared" si="47"/>
        <v>22</v>
      </c>
      <c r="F302">
        <f>WEEKDAY(A302,2)</f>
        <v>6</v>
      </c>
      <c r="G302">
        <f t="shared" si="40"/>
        <v>0</v>
      </c>
      <c r="H302">
        <f t="shared" si="41"/>
        <v>0</v>
      </c>
      <c r="I302">
        <f t="shared" si="42"/>
        <v>0</v>
      </c>
      <c r="J302">
        <f t="shared" si="48"/>
        <v>0</v>
      </c>
      <c r="K302">
        <f t="shared" si="43"/>
        <v>22</v>
      </c>
      <c r="L302">
        <f t="shared" si="44"/>
        <v>20125</v>
      </c>
      <c r="M302">
        <f t="shared" si="45"/>
        <v>0</v>
      </c>
      <c r="N302">
        <f t="shared" si="49"/>
        <v>0</v>
      </c>
    </row>
    <row r="303" spans="1:14" x14ac:dyDescent="0.25">
      <c r="A303" s="1">
        <v>45228</v>
      </c>
      <c r="B303" t="s">
        <v>5</v>
      </c>
      <c r="C303">
        <f t="shared" si="46"/>
        <v>20125</v>
      </c>
      <c r="D303">
        <f>IF(B303="zima",20%,IF(B303="wiosna",50%,IF(B303="lato",90%,40%)))</f>
        <v>0.4</v>
      </c>
      <c r="E303">
        <f t="shared" si="47"/>
        <v>22</v>
      </c>
      <c r="F303">
        <f>WEEKDAY(A303,2)</f>
        <v>7</v>
      </c>
      <c r="G303">
        <f t="shared" si="40"/>
        <v>0</v>
      </c>
      <c r="H303">
        <f t="shared" si="41"/>
        <v>0</v>
      </c>
      <c r="I303">
        <f t="shared" si="42"/>
        <v>330</v>
      </c>
      <c r="J303">
        <f t="shared" si="48"/>
        <v>0</v>
      </c>
      <c r="K303">
        <f t="shared" si="43"/>
        <v>22</v>
      </c>
      <c r="L303">
        <f t="shared" si="44"/>
        <v>19795</v>
      </c>
      <c r="M303">
        <f t="shared" si="45"/>
        <v>0</v>
      </c>
      <c r="N303">
        <f t="shared" si="49"/>
        <v>330</v>
      </c>
    </row>
    <row r="304" spans="1:14" x14ac:dyDescent="0.25">
      <c r="A304" s="1">
        <v>45229</v>
      </c>
      <c r="B304" t="s">
        <v>5</v>
      </c>
      <c r="C304">
        <f t="shared" si="46"/>
        <v>19795</v>
      </c>
      <c r="D304">
        <f>IF(B304="zima",20%,IF(B304="wiosna",50%,IF(B304="lato",90%,40%)))</f>
        <v>0.4</v>
      </c>
      <c r="E304">
        <f t="shared" si="47"/>
        <v>22</v>
      </c>
      <c r="F304">
        <f>WEEKDAY(A304,2)</f>
        <v>1</v>
      </c>
      <c r="G304">
        <f t="shared" si="40"/>
        <v>1</v>
      </c>
      <c r="H304">
        <f t="shared" si="41"/>
        <v>240</v>
      </c>
      <c r="I304">
        <f t="shared" si="42"/>
        <v>0</v>
      </c>
      <c r="J304">
        <f t="shared" si="48"/>
        <v>0</v>
      </c>
      <c r="K304">
        <f t="shared" si="43"/>
        <v>22</v>
      </c>
      <c r="L304">
        <f t="shared" si="44"/>
        <v>20035</v>
      </c>
      <c r="M304">
        <f t="shared" si="45"/>
        <v>240</v>
      </c>
      <c r="N304">
        <f t="shared" si="49"/>
        <v>0</v>
      </c>
    </row>
    <row r="305" spans="1:14" x14ac:dyDescent="0.25">
      <c r="A305" s="1">
        <v>45230</v>
      </c>
      <c r="B305" t="s">
        <v>5</v>
      </c>
      <c r="C305">
        <f t="shared" si="46"/>
        <v>20035</v>
      </c>
      <c r="D305">
        <f>IF(B305="zima",20%,IF(B305="wiosna",50%,IF(B305="lato",90%,40%)))</f>
        <v>0.4</v>
      </c>
      <c r="E305">
        <f t="shared" si="47"/>
        <v>22</v>
      </c>
      <c r="F305">
        <f>WEEKDAY(A305,2)</f>
        <v>2</v>
      </c>
      <c r="G305">
        <f t="shared" si="40"/>
        <v>1</v>
      </c>
      <c r="H305">
        <f t="shared" si="41"/>
        <v>240</v>
      </c>
      <c r="I305">
        <f t="shared" si="42"/>
        <v>0</v>
      </c>
      <c r="J305">
        <f t="shared" si="48"/>
        <v>2400</v>
      </c>
      <c r="K305">
        <f t="shared" si="43"/>
        <v>25</v>
      </c>
      <c r="L305">
        <f t="shared" si="44"/>
        <v>17875</v>
      </c>
      <c r="M305">
        <f t="shared" si="45"/>
        <v>240</v>
      </c>
      <c r="N305">
        <f t="shared" si="49"/>
        <v>2400</v>
      </c>
    </row>
    <row r="306" spans="1:14" x14ac:dyDescent="0.25">
      <c r="A306" s="1">
        <v>45231</v>
      </c>
      <c r="B306" t="s">
        <v>5</v>
      </c>
      <c r="C306">
        <f t="shared" si="46"/>
        <v>17875</v>
      </c>
      <c r="D306">
        <f>IF(B306="zima",20%,IF(B306="wiosna",50%,IF(B306="lato",90%,40%)))</f>
        <v>0.4</v>
      </c>
      <c r="E306">
        <f t="shared" si="47"/>
        <v>25</v>
      </c>
      <c r="F306">
        <f>WEEKDAY(A306,2)</f>
        <v>3</v>
      </c>
      <c r="G306">
        <f t="shared" si="40"/>
        <v>1</v>
      </c>
      <c r="H306">
        <f t="shared" si="41"/>
        <v>300</v>
      </c>
      <c r="I306">
        <f t="shared" si="42"/>
        <v>0</v>
      </c>
      <c r="J306">
        <f t="shared" si="48"/>
        <v>0</v>
      </c>
      <c r="K306">
        <f t="shared" si="43"/>
        <v>25</v>
      </c>
      <c r="L306">
        <f t="shared" si="44"/>
        <v>18175</v>
      </c>
      <c r="M306">
        <f t="shared" si="45"/>
        <v>300</v>
      </c>
      <c r="N306">
        <f t="shared" si="49"/>
        <v>0</v>
      </c>
    </row>
    <row r="307" spans="1:14" x14ac:dyDescent="0.25">
      <c r="A307" s="1">
        <v>45232</v>
      </c>
      <c r="B307" t="s">
        <v>5</v>
      </c>
      <c r="C307">
        <f t="shared" si="46"/>
        <v>18175</v>
      </c>
      <c r="D307">
        <f>IF(B307="zima",20%,IF(B307="wiosna",50%,IF(B307="lato",90%,40%)))</f>
        <v>0.4</v>
      </c>
      <c r="E307">
        <f t="shared" si="47"/>
        <v>25</v>
      </c>
      <c r="F307">
        <f>WEEKDAY(A307,2)</f>
        <v>4</v>
      </c>
      <c r="G307">
        <f t="shared" si="40"/>
        <v>1</v>
      </c>
      <c r="H307">
        <f t="shared" si="41"/>
        <v>300</v>
      </c>
      <c r="I307">
        <f t="shared" si="42"/>
        <v>0</v>
      </c>
      <c r="J307">
        <f t="shared" si="48"/>
        <v>0</v>
      </c>
      <c r="K307">
        <f t="shared" si="43"/>
        <v>25</v>
      </c>
      <c r="L307">
        <f t="shared" si="44"/>
        <v>18475</v>
      </c>
      <c r="M307">
        <f t="shared" si="45"/>
        <v>300</v>
      </c>
      <c r="N307">
        <f t="shared" si="49"/>
        <v>0</v>
      </c>
    </row>
    <row r="308" spans="1:14" x14ac:dyDescent="0.25">
      <c r="A308" s="1">
        <v>45233</v>
      </c>
      <c r="B308" t="s">
        <v>5</v>
      </c>
      <c r="C308">
        <f t="shared" si="46"/>
        <v>18475</v>
      </c>
      <c r="D308">
        <f>IF(B308="zima",20%,IF(B308="wiosna",50%,IF(B308="lato",90%,40%)))</f>
        <v>0.4</v>
      </c>
      <c r="E308">
        <f t="shared" si="47"/>
        <v>25</v>
      </c>
      <c r="F308">
        <f>WEEKDAY(A308,2)</f>
        <v>5</v>
      </c>
      <c r="G308">
        <f t="shared" si="40"/>
        <v>1</v>
      </c>
      <c r="H308">
        <f t="shared" si="41"/>
        <v>300</v>
      </c>
      <c r="I308">
        <f t="shared" si="42"/>
        <v>0</v>
      </c>
      <c r="J308">
        <f t="shared" si="48"/>
        <v>0</v>
      </c>
      <c r="K308">
        <f t="shared" si="43"/>
        <v>25</v>
      </c>
      <c r="L308">
        <f t="shared" si="44"/>
        <v>18775</v>
      </c>
      <c r="M308">
        <f t="shared" si="45"/>
        <v>300</v>
      </c>
      <c r="N308">
        <f t="shared" si="49"/>
        <v>0</v>
      </c>
    </row>
    <row r="309" spans="1:14" x14ac:dyDescent="0.25">
      <c r="A309" s="1">
        <v>45234</v>
      </c>
      <c r="B309" t="s">
        <v>5</v>
      </c>
      <c r="C309">
        <f t="shared" si="46"/>
        <v>18775</v>
      </c>
      <c r="D309">
        <f>IF(B309="zima",20%,IF(B309="wiosna",50%,IF(B309="lato",90%,40%)))</f>
        <v>0.4</v>
      </c>
      <c r="E309">
        <f t="shared" si="47"/>
        <v>25</v>
      </c>
      <c r="F309">
        <f>WEEKDAY(A309,2)</f>
        <v>6</v>
      </c>
      <c r="G309">
        <f t="shared" si="40"/>
        <v>0</v>
      </c>
      <c r="H309">
        <f t="shared" si="41"/>
        <v>0</v>
      </c>
      <c r="I309">
        <f t="shared" si="42"/>
        <v>0</v>
      </c>
      <c r="J309">
        <f t="shared" si="48"/>
        <v>0</v>
      </c>
      <c r="K309">
        <f t="shared" si="43"/>
        <v>25</v>
      </c>
      <c r="L309">
        <f t="shared" si="44"/>
        <v>18775</v>
      </c>
      <c r="M309">
        <f t="shared" si="45"/>
        <v>0</v>
      </c>
      <c r="N309">
        <f t="shared" si="49"/>
        <v>0</v>
      </c>
    </row>
    <row r="310" spans="1:14" x14ac:dyDescent="0.25">
      <c r="A310" s="1">
        <v>45235</v>
      </c>
      <c r="B310" t="s">
        <v>5</v>
      </c>
      <c r="C310">
        <f t="shared" si="46"/>
        <v>18775</v>
      </c>
      <c r="D310">
        <f>IF(B310="zima",20%,IF(B310="wiosna",50%,IF(B310="lato",90%,40%)))</f>
        <v>0.4</v>
      </c>
      <c r="E310">
        <f t="shared" si="47"/>
        <v>25</v>
      </c>
      <c r="F310">
        <f>WEEKDAY(A310,2)</f>
        <v>7</v>
      </c>
      <c r="G310">
        <f t="shared" si="40"/>
        <v>0</v>
      </c>
      <c r="H310">
        <f t="shared" si="41"/>
        <v>0</v>
      </c>
      <c r="I310">
        <f t="shared" si="42"/>
        <v>375</v>
      </c>
      <c r="J310">
        <f t="shared" si="48"/>
        <v>0</v>
      </c>
      <c r="K310">
        <f t="shared" si="43"/>
        <v>25</v>
      </c>
      <c r="L310">
        <f t="shared" si="44"/>
        <v>18400</v>
      </c>
      <c r="M310">
        <f t="shared" si="45"/>
        <v>0</v>
      </c>
      <c r="N310">
        <f t="shared" si="49"/>
        <v>375</v>
      </c>
    </row>
    <row r="311" spans="1:14" x14ac:dyDescent="0.25">
      <c r="A311" s="1">
        <v>45236</v>
      </c>
      <c r="B311" t="s">
        <v>5</v>
      </c>
      <c r="C311">
        <f t="shared" si="46"/>
        <v>18400</v>
      </c>
      <c r="D311">
        <f>IF(B311="zima",20%,IF(B311="wiosna",50%,IF(B311="lato",90%,40%)))</f>
        <v>0.4</v>
      </c>
      <c r="E311">
        <f t="shared" si="47"/>
        <v>25</v>
      </c>
      <c r="F311">
        <f>WEEKDAY(A311,2)</f>
        <v>1</v>
      </c>
      <c r="G311">
        <f t="shared" si="40"/>
        <v>1</v>
      </c>
      <c r="H311">
        <f t="shared" si="41"/>
        <v>300</v>
      </c>
      <c r="I311">
        <f t="shared" si="42"/>
        <v>0</v>
      </c>
      <c r="J311">
        <f t="shared" si="48"/>
        <v>0</v>
      </c>
      <c r="K311">
        <f t="shared" si="43"/>
        <v>25</v>
      </c>
      <c r="L311">
        <f t="shared" si="44"/>
        <v>18700</v>
      </c>
      <c r="M311">
        <f t="shared" si="45"/>
        <v>300</v>
      </c>
      <c r="N311">
        <f t="shared" si="49"/>
        <v>0</v>
      </c>
    </row>
    <row r="312" spans="1:14" x14ac:dyDescent="0.25">
      <c r="A312" s="1">
        <v>45237</v>
      </c>
      <c r="B312" t="s">
        <v>5</v>
      </c>
      <c r="C312">
        <f t="shared" si="46"/>
        <v>18700</v>
      </c>
      <c r="D312">
        <f>IF(B312="zima",20%,IF(B312="wiosna",50%,IF(B312="lato",90%,40%)))</f>
        <v>0.4</v>
      </c>
      <c r="E312">
        <f t="shared" si="47"/>
        <v>25</v>
      </c>
      <c r="F312">
        <f>WEEKDAY(A312,2)</f>
        <v>2</v>
      </c>
      <c r="G312">
        <f t="shared" si="40"/>
        <v>1</v>
      </c>
      <c r="H312">
        <f t="shared" si="41"/>
        <v>300</v>
      </c>
      <c r="I312">
        <f t="shared" si="42"/>
        <v>0</v>
      </c>
      <c r="J312">
        <f t="shared" si="48"/>
        <v>0</v>
      </c>
      <c r="K312">
        <f t="shared" si="43"/>
        <v>25</v>
      </c>
      <c r="L312">
        <f t="shared" si="44"/>
        <v>19000</v>
      </c>
      <c r="M312">
        <f t="shared" si="45"/>
        <v>300</v>
      </c>
      <c r="N312">
        <f t="shared" si="49"/>
        <v>0</v>
      </c>
    </row>
    <row r="313" spans="1:14" x14ac:dyDescent="0.25">
      <c r="A313" s="1">
        <v>45238</v>
      </c>
      <c r="B313" t="s">
        <v>5</v>
      </c>
      <c r="C313">
        <f t="shared" si="46"/>
        <v>19000</v>
      </c>
      <c r="D313">
        <f>IF(B313="zima",20%,IF(B313="wiosna",50%,IF(B313="lato",90%,40%)))</f>
        <v>0.4</v>
      </c>
      <c r="E313">
        <f t="shared" si="47"/>
        <v>25</v>
      </c>
      <c r="F313">
        <f>WEEKDAY(A313,2)</f>
        <v>3</v>
      </c>
      <c r="G313">
        <f t="shared" si="40"/>
        <v>1</v>
      </c>
      <c r="H313">
        <f t="shared" si="41"/>
        <v>300</v>
      </c>
      <c r="I313">
        <f t="shared" si="42"/>
        <v>0</v>
      </c>
      <c r="J313">
        <f t="shared" si="48"/>
        <v>0</v>
      </c>
      <c r="K313">
        <f t="shared" si="43"/>
        <v>25</v>
      </c>
      <c r="L313">
        <f t="shared" si="44"/>
        <v>19300</v>
      </c>
      <c r="M313">
        <f t="shared" si="45"/>
        <v>300</v>
      </c>
      <c r="N313">
        <f t="shared" si="49"/>
        <v>0</v>
      </c>
    </row>
    <row r="314" spans="1:14" x14ac:dyDescent="0.25">
      <c r="A314" s="1">
        <v>45239</v>
      </c>
      <c r="B314" t="s">
        <v>5</v>
      </c>
      <c r="C314">
        <f t="shared" si="46"/>
        <v>19300</v>
      </c>
      <c r="D314">
        <f>IF(B314="zima",20%,IF(B314="wiosna",50%,IF(B314="lato",90%,40%)))</f>
        <v>0.4</v>
      </c>
      <c r="E314">
        <f t="shared" si="47"/>
        <v>25</v>
      </c>
      <c r="F314">
        <f>WEEKDAY(A314,2)</f>
        <v>4</v>
      </c>
      <c r="G314">
        <f t="shared" si="40"/>
        <v>1</v>
      </c>
      <c r="H314">
        <f t="shared" si="41"/>
        <v>300</v>
      </c>
      <c r="I314">
        <f t="shared" si="42"/>
        <v>0</v>
      </c>
      <c r="J314">
        <f t="shared" si="48"/>
        <v>0</v>
      </c>
      <c r="K314">
        <f t="shared" si="43"/>
        <v>25</v>
      </c>
      <c r="L314">
        <f t="shared" si="44"/>
        <v>19600</v>
      </c>
      <c r="M314">
        <f t="shared" si="45"/>
        <v>300</v>
      </c>
      <c r="N314">
        <f t="shared" si="49"/>
        <v>0</v>
      </c>
    </row>
    <row r="315" spans="1:14" x14ac:dyDescent="0.25">
      <c r="A315" s="1">
        <v>45240</v>
      </c>
      <c r="B315" t="s">
        <v>5</v>
      </c>
      <c r="C315">
        <f t="shared" si="46"/>
        <v>19600</v>
      </c>
      <c r="D315">
        <f>IF(B315="zima",20%,IF(B315="wiosna",50%,IF(B315="lato",90%,40%)))</f>
        <v>0.4</v>
      </c>
      <c r="E315">
        <f t="shared" si="47"/>
        <v>25</v>
      </c>
      <c r="F315">
        <f>WEEKDAY(A315,2)</f>
        <v>5</v>
      </c>
      <c r="G315">
        <f t="shared" si="40"/>
        <v>1</v>
      </c>
      <c r="H315">
        <f t="shared" si="41"/>
        <v>300</v>
      </c>
      <c r="I315">
        <f t="shared" si="42"/>
        <v>0</v>
      </c>
      <c r="J315">
        <f t="shared" si="48"/>
        <v>0</v>
      </c>
      <c r="K315">
        <f t="shared" si="43"/>
        <v>25</v>
      </c>
      <c r="L315">
        <f t="shared" si="44"/>
        <v>19900</v>
      </c>
      <c r="M315">
        <f t="shared" si="45"/>
        <v>300</v>
      </c>
      <c r="N315">
        <f t="shared" si="49"/>
        <v>0</v>
      </c>
    </row>
    <row r="316" spans="1:14" x14ac:dyDescent="0.25">
      <c r="A316" s="1">
        <v>45241</v>
      </c>
      <c r="B316" t="s">
        <v>5</v>
      </c>
      <c r="C316">
        <f t="shared" si="46"/>
        <v>19900</v>
      </c>
      <c r="D316">
        <f>IF(B316="zima",20%,IF(B316="wiosna",50%,IF(B316="lato",90%,40%)))</f>
        <v>0.4</v>
      </c>
      <c r="E316">
        <f t="shared" si="47"/>
        <v>25</v>
      </c>
      <c r="F316">
        <f>WEEKDAY(A316,2)</f>
        <v>6</v>
      </c>
      <c r="G316">
        <f t="shared" si="40"/>
        <v>0</v>
      </c>
      <c r="H316">
        <f t="shared" si="41"/>
        <v>0</v>
      </c>
      <c r="I316">
        <f t="shared" si="42"/>
        <v>0</v>
      </c>
      <c r="J316">
        <f t="shared" si="48"/>
        <v>0</v>
      </c>
      <c r="K316">
        <f t="shared" si="43"/>
        <v>25</v>
      </c>
      <c r="L316">
        <f t="shared" si="44"/>
        <v>19900</v>
      </c>
      <c r="M316">
        <f t="shared" si="45"/>
        <v>0</v>
      </c>
      <c r="N316">
        <f t="shared" si="49"/>
        <v>0</v>
      </c>
    </row>
    <row r="317" spans="1:14" x14ac:dyDescent="0.25">
      <c r="A317" s="1">
        <v>45242</v>
      </c>
      <c r="B317" t="s">
        <v>5</v>
      </c>
      <c r="C317">
        <f t="shared" si="46"/>
        <v>19900</v>
      </c>
      <c r="D317">
        <f>IF(B317="zima",20%,IF(B317="wiosna",50%,IF(B317="lato",90%,40%)))</f>
        <v>0.4</v>
      </c>
      <c r="E317">
        <f t="shared" si="47"/>
        <v>25</v>
      </c>
      <c r="F317">
        <f>WEEKDAY(A317,2)</f>
        <v>7</v>
      </c>
      <c r="G317">
        <f t="shared" si="40"/>
        <v>0</v>
      </c>
      <c r="H317">
        <f t="shared" si="41"/>
        <v>0</v>
      </c>
      <c r="I317">
        <f t="shared" si="42"/>
        <v>375</v>
      </c>
      <c r="J317">
        <f t="shared" si="48"/>
        <v>0</v>
      </c>
      <c r="K317">
        <f t="shared" si="43"/>
        <v>25</v>
      </c>
      <c r="L317">
        <f t="shared" si="44"/>
        <v>19525</v>
      </c>
      <c r="M317">
        <f t="shared" si="45"/>
        <v>0</v>
      </c>
      <c r="N317">
        <f t="shared" si="49"/>
        <v>375</v>
      </c>
    </row>
    <row r="318" spans="1:14" x14ac:dyDescent="0.25">
      <c r="A318" s="1">
        <v>45243</v>
      </c>
      <c r="B318" t="s">
        <v>5</v>
      </c>
      <c r="C318">
        <f t="shared" si="46"/>
        <v>19525</v>
      </c>
      <c r="D318">
        <f>IF(B318="zima",20%,IF(B318="wiosna",50%,IF(B318="lato",90%,40%)))</f>
        <v>0.4</v>
      </c>
      <c r="E318">
        <f t="shared" si="47"/>
        <v>25</v>
      </c>
      <c r="F318">
        <f>WEEKDAY(A318,2)</f>
        <v>1</v>
      </c>
      <c r="G318">
        <f t="shared" si="40"/>
        <v>1</v>
      </c>
      <c r="H318">
        <f t="shared" si="41"/>
        <v>300</v>
      </c>
      <c r="I318">
        <f t="shared" si="42"/>
        <v>0</v>
      </c>
      <c r="J318">
        <f t="shared" si="48"/>
        <v>0</v>
      </c>
      <c r="K318">
        <f t="shared" si="43"/>
        <v>25</v>
      </c>
      <c r="L318">
        <f t="shared" si="44"/>
        <v>19825</v>
      </c>
      <c r="M318">
        <f t="shared" si="45"/>
        <v>300</v>
      </c>
      <c r="N318">
        <f t="shared" si="49"/>
        <v>0</v>
      </c>
    </row>
    <row r="319" spans="1:14" x14ac:dyDescent="0.25">
      <c r="A319" s="1">
        <v>45244</v>
      </c>
      <c r="B319" t="s">
        <v>5</v>
      </c>
      <c r="C319">
        <f t="shared" si="46"/>
        <v>19825</v>
      </c>
      <c r="D319">
        <f>IF(B319="zima",20%,IF(B319="wiosna",50%,IF(B319="lato",90%,40%)))</f>
        <v>0.4</v>
      </c>
      <c r="E319">
        <f t="shared" si="47"/>
        <v>25</v>
      </c>
      <c r="F319">
        <f>WEEKDAY(A319,2)</f>
        <v>2</v>
      </c>
      <c r="G319">
        <f t="shared" si="40"/>
        <v>1</v>
      </c>
      <c r="H319">
        <f t="shared" si="41"/>
        <v>300</v>
      </c>
      <c r="I319">
        <f t="shared" si="42"/>
        <v>0</v>
      </c>
      <c r="J319">
        <f t="shared" si="48"/>
        <v>0</v>
      </c>
      <c r="K319">
        <f t="shared" si="43"/>
        <v>25</v>
      </c>
      <c r="L319">
        <f t="shared" si="44"/>
        <v>20125</v>
      </c>
      <c r="M319">
        <f t="shared" si="45"/>
        <v>300</v>
      </c>
      <c r="N319">
        <f t="shared" si="49"/>
        <v>0</v>
      </c>
    </row>
    <row r="320" spans="1:14" x14ac:dyDescent="0.25">
      <c r="A320" s="1">
        <v>45245</v>
      </c>
      <c r="B320" t="s">
        <v>5</v>
      </c>
      <c r="C320">
        <f t="shared" si="46"/>
        <v>20125</v>
      </c>
      <c r="D320">
        <f>IF(B320="zima",20%,IF(B320="wiosna",50%,IF(B320="lato",90%,40%)))</f>
        <v>0.4</v>
      </c>
      <c r="E320">
        <f t="shared" si="47"/>
        <v>25</v>
      </c>
      <c r="F320">
        <f>WEEKDAY(A320,2)</f>
        <v>3</v>
      </c>
      <c r="G320">
        <f t="shared" si="40"/>
        <v>1</v>
      </c>
      <c r="H320">
        <f t="shared" si="41"/>
        <v>300</v>
      </c>
      <c r="I320">
        <f t="shared" si="42"/>
        <v>0</v>
      </c>
      <c r="J320">
        <f t="shared" si="48"/>
        <v>0</v>
      </c>
      <c r="K320">
        <f t="shared" si="43"/>
        <v>25</v>
      </c>
      <c r="L320">
        <f t="shared" si="44"/>
        <v>20425</v>
      </c>
      <c r="M320">
        <f t="shared" si="45"/>
        <v>300</v>
      </c>
      <c r="N320">
        <f t="shared" si="49"/>
        <v>0</v>
      </c>
    </row>
    <row r="321" spans="1:14" x14ac:dyDescent="0.25">
      <c r="A321" s="1">
        <v>45246</v>
      </c>
      <c r="B321" t="s">
        <v>5</v>
      </c>
      <c r="C321">
        <f t="shared" si="46"/>
        <v>20425</v>
      </c>
      <c r="D321">
        <f>IF(B321="zima",20%,IF(B321="wiosna",50%,IF(B321="lato",90%,40%)))</f>
        <v>0.4</v>
      </c>
      <c r="E321">
        <f t="shared" si="47"/>
        <v>25</v>
      </c>
      <c r="F321">
        <f>WEEKDAY(A321,2)</f>
        <v>4</v>
      </c>
      <c r="G321">
        <f t="shared" si="40"/>
        <v>1</v>
      </c>
      <c r="H321">
        <f t="shared" si="41"/>
        <v>300</v>
      </c>
      <c r="I321">
        <f t="shared" si="42"/>
        <v>0</v>
      </c>
      <c r="J321">
        <f t="shared" si="48"/>
        <v>0</v>
      </c>
      <c r="K321">
        <f t="shared" si="43"/>
        <v>25</v>
      </c>
      <c r="L321">
        <f t="shared" si="44"/>
        <v>20725</v>
      </c>
      <c r="M321">
        <f t="shared" si="45"/>
        <v>300</v>
      </c>
      <c r="N321">
        <f t="shared" si="49"/>
        <v>0</v>
      </c>
    </row>
    <row r="322" spans="1:14" x14ac:dyDescent="0.25">
      <c r="A322" s="1">
        <v>45247</v>
      </c>
      <c r="B322" t="s">
        <v>5</v>
      </c>
      <c r="C322">
        <f t="shared" si="46"/>
        <v>20725</v>
      </c>
      <c r="D322">
        <f>IF(B322="zima",20%,IF(B322="wiosna",50%,IF(B322="lato",90%,40%)))</f>
        <v>0.4</v>
      </c>
      <c r="E322">
        <f t="shared" si="47"/>
        <v>25</v>
      </c>
      <c r="F322">
        <f>WEEKDAY(A322,2)</f>
        <v>5</v>
      </c>
      <c r="G322">
        <f t="shared" si="40"/>
        <v>1</v>
      </c>
      <c r="H322">
        <f t="shared" si="41"/>
        <v>300</v>
      </c>
      <c r="I322">
        <f t="shared" si="42"/>
        <v>0</v>
      </c>
      <c r="J322">
        <f t="shared" si="48"/>
        <v>0</v>
      </c>
      <c r="K322">
        <f t="shared" si="43"/>
        <v>25</v>
      </c>
      <c r="L322">
        <f t="shared" si="44"/>
        <v>21025</v>
      </c>
      <c r="M322">
        <f t="shared" si="45"/>
        <v>300</v>
      </c>
      <c r="N322">
        <f t="shared" si="49"/>
        <v>0</v>
      </c>
    </row>
    <row r="323" spans="1:14" x14ac:dyDescent="0.25">
      <c r="A323" s="1">
        <v>45248</v>
      </c>
      <c r="B323" t="s">
        <v>5</v>
      </c>
      <c r="C323">
        <f t="shared" si="46"/>
        <v>21025</v>
      </c>
      <c r="D323">
        <f>IF(B323="zima",20%,IF(B323="wiosna",50%,IF(B323="lato",90%,40%)))</f>
        <v>0.4</v>
      </c>
      <c r="E323">
        <f t="shared" si="47"/>
        <v>25</v>
      </c>
      <c r="F323">
        <f>WEEKDAY(A323,2)</f>
        <v>6</v>
      </c>
      <c r="G323">
        <f t="shared" ref="G323:G386" si="50">IF(AND(F323&lt;&gt;6,F323&lt;&gt;7),1,0)</f>
        <v>0</v>
      </c>
      <c r="H323">
        <f t="shared" ref="H323:H386" si="51">ROUNDDOWN(D323*E323,0)*30*G323</f>
        <v>0</v>
      </c>
      <c r="I323">
        <f t="shared" ref="I323:I386" si="52">IF(F323=7,E323*15,0)</f>
        <v>0</v>
      </c>
      <c r="J323">
        <f t="shared" si="48"/>
        <v>0</v>
      </c>
      <c r="K323">
        <f t="shared" ref="K323:K386" si="53">IF(J323&gt;0,E323+3,E323)</f>
        <v>25</v>
      </c>
      <c r="L323">
        <f t="shared" ref="L323:L386" si="54">C323+H323-I323-J323</f>
        <v>21025</v>
      </c>
      <c r="M323">
        <f t="shared" ref="M323:M386" si="55">H323</f>
        <v>0</v>
      </c>
      <c r="N323">
        <f t="shared" si="49"/>
        <v>0</v>
      </c>
    </row>
    <row r="324" spans="1:14" x14ac:dyDescent="0.25">
      <c r="A324" s="1">
        <v>45249</v>
      </c>
      <c r="B324" t="s">
        <v>5</v>
      </c>
      <c r="C324">
        <f t="shared" ref="C324:C387" si="56">L323</f>
        <v>21025</v>
      </c>
      <c r="D324">
        <f>IF(B324="zima",20%,IF(B324="wiosna",50%,IF(B324="lato",90%,40%)))</f>
        <v>0.4</v>
      </c>
      <c r="E324">
        <f t="shared" ref="E324:E387" si="57">K323</f>
        <v>25</v>
      </c>
      <c r="F324">
        <f>WEEKDAY(A324,2)</f>
        <v>7</v>
      </c>
      <c r="G324">
        <f t="shared" si="50"/>
        <v>0</v>
      </c>
      <c r="H324">
        <f t="shared" si="51"/>
        <v>0</v>
      </c>
      <c r="I324">
        <f t="shared" si="52"/>
        <v>375</v>
      </c>
      <c r="J324">
        <f t="shared" ref="J324:J387" si="58">IF(AND(DAY(A325)=1,C324&gt;=2400),2400,0)</f>
        <v>0</v>
      </c>
      <c r="K324">
        <f t="shared" si="53"/>
        <v>25</v>
      </c>
      <c r="L324">
        <f t="shared" si="54"/>
        <v>20650</v>
      </c>
      <c r="M324">
        <f t="shared" si="55"/>
        <v>0</v>
      </c>
      <c r="N324">
        <f t="shared" ref="N324:N387" si="59">J324+I324</f>
        <v>375</v>
      </c>
    </row>
    <row r="325" spans="1:14" x14ac:dyDescent="0.25">
      <c r="A325" s="1">
        <v>45250</v>
      </c>
      <c r="B325" t="s">
        <v>5</v>
      </c>
      <c r="C325">
        <f t="shared" si="56"/>
        <v>20650</v>
      </c>
      <c r="D325">
        <f>IF(B325="zima",20%,IF(B325="wiosna",50%,IF(B325="lato",90%,40%)))</f>
        <v>0.4</v>
      </c>
      <c r="E325">
        <f t="shared" si="57"/>
        <v>25</v>
      </c>
      <c r="F325">
        <f>WEEKDAY(A325,2)</f>
        <v>1</v>
      </c>
      <c r="G325">
        <f t="shared" si="50"/>
        <v>1</v>
      </c>
      <c r="H325">
        <f t="shared" si="51"/>
        <v>300</v>
      </c>
      <c r="I325">
        <f t="shared" si="52"/>
        <v>0</v>
      </c>
      <c r="J325">
        <f t="shared" si="58"/>
        <v>0</v>
      </c>
      <c r="K325">
        <f t="shared" si="53"/>
        <v>25</v>
      </c>
      <c r="L325">
        <f t="shared" si="54"/>
        <v>20950</v>
      </c>
      <c r="M325">
        <f t="shared" si="55"/>
        <v>300</v>
      </c>
      <c r="N325">
        <f t="shared" si="59"/>
        <v>0</v>
      </c>
    </row>
    <row r="326" spans="1:14" x14ac:dyDescent="0.25">
      <c r="A326" s="1">
        <v>45251</v>
      </c>
      <c r="B326" t="s">
        <v>5</v>
      </c>
      <c r="C326">
        <f t="shared" si="56"/>
        <v>20950</v>
      </c>
      <c r="D326">
        <f>IF(B326="zima",20%,IF(B326="wiosna",50%,IF(B326="lato",90%,40%)))</f>
        <v>0.4</v>
      </c>
      <c r="E326">
        <f t="shared" si="57"/>
        <v>25</v>
      </c>
      <c r="F326">
        <f>WEEKDAY(A326,2)</f>
        <v>2</v>
      </c>
      <c r="G326">
        <f t="shared" si="50"/>
        <v>1</v>
      </c>
      <c r="H326">
        <f t="shared" si="51"/>
        <v>300</v>
      </c>
      <c r="I326">
        <f t="shared" si="52"/>
        <v>0</v>
      </c>
      <c r="J326">
        <f t="shared" si="58"/>
        <v>0</v>
      </c>
      <c r="K326">
        <f t="shared" si="53"/>
        <v>25</v>
      </c>
      <c r="L326">
        <f t="shared" si="54"/>
        <v>21250</v>
      </c>
      <c r="M326">
        <f t="shared" si="55"/>
        <v>300</v>
      </c>
      <c r="N326">
        <f t="shared" si="59"/>
        <v>0</v>
      </c>
    </row>
    <row r="327" spans="1:14" x14ac:dyDescent="0.25">
      <c r="A327" s="1">
        <v>45252</v>
      </c>
      <c r="B327" t="s">
        <v>5</v>
      </c>
      <c r="C327">
        <f t="shared" si="56"/>
        <v>21250</v>
      </c>
      <c r="D327">
        <f>IF(B327="zima",20%,IF(B327="wiosna",50%,IF(B327="lato",90%,40%)))</f>
        <v>0.4</v>
      </c>
      <c r="E327">
        <f t="shared" si="57"/>
        <v>25</v>
      </c>
      <c r="F327">
        <f>WEEKDAY(A327,2)</f>
        <v>3</v>
      </c>
      <c r="G327">
        <f t="shared" si="50"/>
        <v>1</v>
      </c>
      <c r="H327">
        <f t="shared" si="51"/>
        <v>300</v>
      </c>
      <c r="I327">
        <f t="shared" si="52"/>
        <v>0</v>
      </c>
      <c r="J327">
        <f t="shared" si="58"/>
        <v>0</v>
      </c>
      <c r="K327">
        <f t="shared" si="53"/>
        <v>25</v>
      </c>
      <c r="L327">
        <f t="shared" si="54"/>
        <v>21550</v>
      </c>
      <c r="M327">
        <f t="shared" si="55"/>
        <v>300</v>
      </c>
      <c r="N327">
        <f t="shared" si="59"/>
        <v>0</v>
      </c>
    </row>
    <row r="328" spans="1:14" x14ac:dyDescent="0.25">
      <c r="A328" s="1">
        <v>45253</v>
      </c>
      <c r="B328" t="s">
        <v>5</v>
      </c>
      <c r="C328">
        <f t="shared" si="56"/>
        <v>21550</v>
      </c>
      <c r="D328">
        <f>IF(B328="zima",20%,IF(B328="wiosna",50%,IF(B328="lato",90%,40%)))</f>
        <v>0.4</v>
      </c>
      <c r="E328">
        <f t="shared" si="57"/>
        <v>25</v>
      </c>
      <c r="F328">
        <f>WEEKDAY(A328,2)</f>
        <v>4</v>
      </c>
      <c r="G328">
        <f t="shared" si="50"/>
        <v>1</v>
      </c>
      <c r="H328">
        <f t="shared" si="51"/>
        <v>300</v>
      </c>
      <c r="I328">
        <f t="shared" si="52"/>
        <v>0</v>
      </c>
      <c r="J328">
        <f t="shared" si="58"/>
        <v>0</v>
      </c>
      <c r="K328">
        <f t="shared" si="53"/>
        <v>25</v>
      </c>
      <c r="L328">
        <f t="shared" si="54"/>
        <v>21850</v>
      </c>
      <c r="M328">
        <f t="shared" si="55"/>
        <v>300</v>
      </c>
      <c r="N328">
        <f t="shared" si="59"/>
        <v>0</v>
      </c>
    </row>
    <row r="329" spans="1:14" x14ac:dyDescent="0.25">
      <c r="A329" s="1">
        <v>45254</v>
      </c>
      <c r="B329" t="s">
        <v>5</v>
      </c>
      <c r="C329">
        <f t="shared" si="56"/>
        <v>21850</v>
      </c>
      <c r="D329">
        <f>IF(B329="zima",20%,IF(B329="wiosna",50%,IF(B329="lato",90%,40%)))</f>
        <v>0.4</v>
      </c>
      <c r="E329">
        <f t="shared" si="57"/>
        <v>25</v>
      </c>
      <c r="F329">
        <f>WEEKDAY(A329,2)</f>
        <v>5</v>
      </c>
      <c r="G329">
        <f t="shared" si="50"/>
        <v>1</v>
      </c>
      <c r="H329">
        <f t="shared" si="51"/>
        <v>300</v>
      </c>
      <c r="I329">
        <f t="shared" si="52"/>
        <v>0</v>
      </c>
      <c r="J329">
        <f t="shared" si="58"/>
        <v>0</v>
      </c>
      <c r="K329">
        <f t="shared" si="53"/>
        <v>25</v>
      </c>
      <c r="L329">
        <f t="shared" si="54"/>
        <v>22150</v>
      </c>
      <c r="M329">
        <f t="shared" si="55"/>
        <v>300</v>
      </c>
      <c r="N329">
        <f t="shared" si="59"/>
        <v>0</v>
      </c>
    </row>
    <row r="330" spans="1:14" x14ac:dyDescent="0.25">
      <c r="A330" s="1">
        <v>45255</v>
      </c>
      <c r="B330" t="s">
        <v>5</v>
      </c>
      <c r="C330">
        <f t="shared" si="56"/>
        <v>22150</v>
      </c>
      <c r="D330">
        <f>IF(B330="zima",20%,IF(B330="wiosna",50%,IF(B330="lato",90%,40%)))</f>
        <v>0.4</v>
      </c>
      <c r="E330">
        <f t="shared" si="57"/>
        <v>25</v>
      </c>
      <c r="F330">
        <f>WEEKDAY(A330,2)</f>
        <v>6</v>
      </c>
      <c r="G330">
        <f t="shared" si="50"/>
        <v>0</v>
      </c>
      <c r="H330">
        <f t="shared" si="51"/>
        <v>0</v>
      </c>
      <c r="I330">
        <f t="shared" si="52"/>
        <v>0</v>
      </c>
      <c r="J330">
        <f t="shared" si="58"/>
        <v>0</v>
      </c>
      <c r="K330">
        <f t="shared" si="53"/>
        <v>25</v>
      </c>
      <c r="L330">
        <f t="shared" si="54"/>
        <v>22150</v>
      </c>
      <c r="M330">
        <f t="shared" si="55"/>
        <v>0</v>
      </c>
      <c r="N330">
        <f t="shared" si="59"/>
        <v>0</v>
      </c>
    </row>
    <row r="331" spans="1:14" x14ac:dyDescent="0.25">
      <c r="A331" s="1">
        <v>45256</v>
      </c>
      <c r="B331" t="s">
        <v>5</v>
      </c>
      <c r="C331">
        <f t="shared" si="56"/>
        <v>22150</v>
      </c>
      <c r="D331">
        <f>IF(B331="zima",20%,IF(B331="wiosna",50%,IF(B331="lato",90%,40%)))</f>
        <v>0.4</v>
      </c>
      <c r="E331">
        <f t="shared" si="57"/>
        <v>25</v>
      </c>
      <c r="F331">
        <f>WEEKDAY(A331,2)</f>
        <v>7</v>
      </c>
      <c r="G331">
        <f t="shared" si="50"/>
        <v>0</v>
      </c>
      <c r="H331">
        <f t="shared" si="51"/>
        <v>0</v>
      </c>
      <c r="I331">
        <f t="shared" si="52"/>
        <v>375</v>
      </c>
      <c r="J331">
        <f t="shared" si="58"/>
        <v>0</v>
      </c>
      <c r="K331">
        <f t="shared" si="53"/>
        <v>25</v>
      </c>
      <c r="L331">
        <f t="shared" si="54"/>
        <v>21775</v>
      </c>
      <c r="M331">
        <f t="shared" si="55"/>
        <v>0</v>
      </c>
      <c r="N331">
        <f t="shared" si="59"/>
        <v>375</v>
      </c>
    </row>
    <row r="332" spans="1:14" x14ac:dyDescent="0.25">
      <c r="A332" s="1">
        <v>45257</v>
      </c>
      <c r="B332" t="s">
        <v>5</v>
      </c>
      <c r="C332">
        <f t="shared" si="56"/>
        <v>21775</v>
      </c>
      <c r="D332">
        <f>IF(B332="zima",20%,IF(B332="wiosna",50%,IF(B332="lato",90%,40%)))</f>
        <v>0.4</v>
      </c>
      <c r="E332">
        <f t="shared" si="57"/>
        <v>25</v>
      </c>
      <c r="F332">
        <f>WEEKDAY(A332,2)</f>
        <v>1</v>
      </c>
      <c r="G332">
        <f t="shared" si="50"/>
        <v>1</v>
      </c>
      <c r="H332">
        <f t="shared" si="51"/>
        <v>300</v>
      </c>
      <c r="I332">
        <f t="shared" si="52"/>
        <v>0</v>
      </c>
      <c r="J332">
        <f t="shared" si="58"/>
        <v>0</v>
      </c>
      <c r="K332">
        <f t="shared" si="53"/>
        <v>25</v>
      </c>
      <c r="L332">
        <f t="shared" si="54"/>
        <v>22075</v>
      </c>
      <c r="M332">
        <f t="shared" si="55"/>
        <v>300</v>
      </c>
      <c r="N332">
        <f t="shared" si="59"/>
        <v>0</v>
      </c>
    </row>
    <row r="333" spans="1:14" x14ac:dyDescent="0.25">
      <c r="A333" s="1">
        <v>45258</v>
      </c>
      <c r="B333" t="s">
        <v>5</v>
      </c>
      <c r="C333">
        <f t="shared" si="56"/>
        <v>22075</v>
      </c>
      <c r="D333">
        <f>IF(B333="zima",20%,IF(B333="wiosna",50%,IF(B333="lato",90%,40%)))</f>
        <v>0.4</v>
      </c>
      <c r="E333">
        <f t="shared" si="57"/>
        <v>25</v>
      </c>
      <c r="F333">
        <f>WEEKDAY(A333,2)</f>
        <v>2</v>
      </c>
      <c r="G333">
        <f t="shared" si="50"/>
        <v>1</v>
      </c>
      <c r="H333">
        <f t="shared" si="51"/>
        <v>300</v>
      </c>
      <c r="I333">
        <f t="shared" si="52"/>
        <v>0</v>
      </c>
      <c r="J333">
        <f t="shared" si="58"/>
        <v>0</v>
      </c>
      <c r="K333">
        <f t="shared" si="53"/>
        <v>25</v>
      </c>
      <c r="L333">
        <f t="shared" si="54"/>
        <v>22375</v>
      </c>
      <c r="M333">
        <f t="shared" si="55"/>
        <v>300</v>
      </c>
      <c r="N333">
        <f t="shared" si="59"/>
        <v>0</v>
      </c>
    </row>
    <row r="334" spans="1:14" x14ac:dyDescent="0.25">
      <c r="A334" s="1">
        <v>45259</v>
      </c>
      <c r="B334" t="s">
        <v>5</v>
      </c>
      <c r="C334">
        <f t="shared" si="56"/>
        <v>22375</v>
      </c>
      <c r="D334">
        <f>IF(B334="zima",20%,IF(B334="wiosna",50%,IF(B334="lato",90%,40%)))</f>
        <v>0.4</v>
      </c>
      <c r="E334">
        <f t="shared" si="57"/>
        <v>25</v>
      </c>
      <c r="F334">
        <f>WEEKDAY(A334,2)</f>
        <v>3</v>
      </c>
      <c r="G334">
        <f t="shared" si="50"/>
        <v>1</v>
      </c>
      <c r="H334">
        <f t="shared" si="51"/>
        <v>300</v>
      </c>
      <c r="I334">
        <f t="shared" si="52"/>
        <v>0</v>
      </c>
      <c r="J334">
        <f t="shared" si="58"/>
        <v>0</v>
      </c>
      <c r="K334">
        <f t="shared" si="53"/>
        <v>25</v>
      </c>
      <c r="L334">
        <f t="shared" si="54"/>
        <v>22675</v>
      </c>
      <c r="M334">
        <f t="shared" si="55"/>
        <v>300</v>
      </c>
      <c r="N334">
        <f t="shared" si="59"/>
        <v>0</v>
      </c>
    </row>
    <row r="335" spans="1:14" x14ac:dyDescent="0.25">
      <c r="A335" s="1">
        <v>45260</v>
      </c>
      <c r="B335" t="s">
        <v>5</v>
      </c>
      <c r="C335">
        <f t="shared" si="56"/>
        <v>22675</v>
      </c>
      <c r="D335">
        <f>IF(B335="zima",20%,IF(B335="wiosna",50%,IF(B335="lato",90%,40%)))</f>
        <v>0.4</v>
      </c>
      <c r="E335">
        <f t="shared" si="57"/>
        <v>25</v>
      </c>
      <c r="F335">
        <f>WEEKDAY(A335,2)</f>
        <v>4</v>
      </c>
      <c r="G335">
        <f t="shared" si="50"/>
        <v>1</v>
      </c>
      <c r="H335">
        <f t="shared" si="51"/>
        <v>300</v>
      </c>
      <c r="I335">
        <f t="shared" si="52"/>
        <v>0</v>
      </c>
      <c r="J335">
        <f t="shared" si="58"/>
        <v>2400</v>
      </c>
      <c r="K335">
        <f t="shared" si="53"/>
        <v>28</v>
      </c>
      <c r="L335">
        <f t="shared" si="54"/>
        <v>20575</v>
      </c>
      <c r="M335">
        <f t="shared" si="55"/>
        <v>300</v>
      </c>
      <c r="N335">
        <f t="shared" si="59"/>
        <v>2400</v>
      </c>
    </row>
    <row r="336" spans="1:14" x14ac:dyDescent="0.25">
      <c r="A336" s="1">
        <v>45261</v>
      </c>
      <c r="B336" t="s">
        <v>5</v>
      </c>
      <c r="C336">
        <f t="shared" si="56"/>
        <v>20575</v>
      </c>
      <c r="D336">
        <f>IF(B336="zima",20%,IF(B336="wiosna",50%,IF(B336="lato",90%,40%)))</f>
        <v>0.4</v>
      </c>
      <c r="E336">
        <f t="shared" si="57"/>
        <v>28</v>
      </c>
      <c r="F336">
        <f>WEEKDAY(A336,2)</f>
        <v>5</v>
      </c>
      <c r="G336">
        <f t="shared" si="50"/>
        <v>1</v>
      </c>
      <c r="H336">
        <f t="shared" si="51"/>
        <v>330</v>
      </c>
      <c r="I336">
        <f t="shared" si="52"/>
        <v>0</v>
      </c>
      <c r="J336">
        <f t="shared" si="58"/>
        <v>0</v>
      </c>
      <c r="K336">
        <f t="shared" si="53"/>
        <v>28</v>
      </c>
      <c r="L336">
        <f t="shared" si="54"/>
        <v>20905</v>
      </c>
      <c r="M336">
        <f t="shared" si="55"/>
        <v>330</v>
      </c>
      <c r="N336">
        <f t="shared" si="59"/>
        <v>0</v>
      </c>
    </row>
    <row r="337" spans="1:14" x14ac:dyDescent="0.25">
      <c r="A337" s="1">
        <v>45262</v>
      </c>
      <c r="B337" t="s">
        <v>5</v>
      </c>
      <c r="C337">
        <f t="shared" si="56"/>
        <v>20905</v>
      </c>
      <c r="D337">
        <f>IF(B337="zima",20%,IF(B337="wiosna",50%,IF(B337="lato",90%,40%)))</f>
        <v>0.4</v>
      </c>
      <c r="E337">
        <f t="shared" si="57"/>
        <v>28</v>
      </c>
      <c r="F337">
        <f>WEEKDAY(A337,2)</f>
        <v>6</v>
      </c>
      <c r="G337">
        <f t="shared" si="50"/>
        <v>0</v>
      </c>
      <c r="H337">
        <f t="shared" si="51"/>
        <v>0</v>
      </c>
      <c r="I337">
        <f t="shared" si="52"/>
        <v>0</v>
      </c>
      <c r="J337">
        <f t="shared" si="58"/>
        <v>0</v>
      </c>
      <c r="K337">
        <f t="shared" si="53"/>
        <v>28</v>
      </c>
      <c r="L337">
        <f t="shared" si="54"/>
        <v>20905</v>
      </c>
      <c r="M337">
        <f t="shared" si="55"/>
        <v>0</v>
      </c>
      <c r="N337">
        <f t="shared" si="59"/>
        <v>0</v>
      </c>
    </row>
    <row r="338" spans="1:14" x14ac:dyDescent="0.25">
      <c r="A338" s="1">
        <v>45263</v>
      </c>
      <c r="B338" t="s">
        <v>5</v>
      </c>
      <c r="C338">
        <f t="shared" si="56"/>
        <v>20905</v>
      </c>
      <c r="D338">
        <f>IF(B338="zima",20%,IF(B338="wiosna",50%,IF(B338="lato",90%,40%)))</f>
        <v>0.4</v>
      </c>
      <c r="E338">
        <f t="shared" si="57"/>
        <v>28</v>
      </c>
      <c r="F338">
        <f>WEEKDAY(A338,2)</f>
        <v>7</v>
      </c>
      <c r="G338">
        <f t="shared" si="50"/>
        <v>0</v>
      </c>
      <c r="H338">
        <f t="shared" si="51"/>
        <v>0</v>
      </c>
      <c r="I338">
        <f t="shared" si="52"/>
        <v>420</v>
      </c>
      <c r="J338">
        <f t="shared" si="58"/>
        <v>0</v>
      </c>
      <c r="K338">
        <f t="shared" si="53"/>
        <v>28</v>
      </c>
      <c r="L338">
        <f t="shared" si="54"/>
        <v>20485</v>
      </c>
      <c r="M338">
        <f t="shared" si="55"/>
        <v>0</v>
      </c>
      <c r="N338">
        <f t="shared" si="59"/>
        <v>420</v>
      </c>
    </row>
    <row r="339" spans="1:14" x14ac:dyDescent="0.25">
      <c r="A339" s="1">
        <v>45264</v>
      </c>
      <c r="B339" t="s">
        <v>5</v>
      </c>
      <c r="C339">
        <f t="shared" si="56"/>
        <v>20485</v>
      </c>
      <c r="D339">
        <f>IF(B339="zima",20%,IF(B339="wiosna",50%,IF(B339="lato",90%,40%)))</f>
        <v>0.4</v>
      </c>
      <c r="E339">
        <f t="shared" si="57"/>
        <v>28</v>
      </c>
      <c r="F339">
        <f>WEEKDAY(A339,2)</f>
        <v>1</v>
      </c>
      <c r="G339">
        <f t="shared" si="50"/>
        <v>1</v>
      </c>
      <c r="H339">
        <f t="shared" si="51"/>
        <v>330</v>
      </c>
      <c r="I339">
        <f t="shared" si="52"/>
        <v>0</v>
      </c>
      <c r="J339">
        <f t="shared" si="58"/>
        <v>0</v>
      </c>
      <c r="K339">
        <f t="shared" si="53"/>
        <v>28</v>
      </c>
      <c r="L339">
        <f t="shared" si="54"/>
        <v>20815</v>
      </c>
      <c r="M339">
        <f t="shared" si="55"/>
        <v>330</v>
      </c>
      <c r="N339">
        <f t="shared" si="59"/>
        <v>0</v>
      </c>
    </row>
    <row r="340" spans="1:14" x14ac:dyDescent="0.25">
      <c r="A340" s="1">
        <v>45265</v>
      </c>
      <c r="B340" t="s">
        <v>5</v>
      </c>
      <c r="C340">
        <f t="shared" si="56"/>
        <v>20815</v>
      </c>
      <c r="D340">
        <f>IF(B340="zima",20%,IF(B340="wiosna",50%,IF(B340="lato",90%,40%)))</f>
        <v>0.4</v>
      </c>
      <c r="E340">
        <f t="shared" si="57"/>
        <v>28</v>
      </c>
      <c r="F340">
        <f>WEEKDAY(A340,2)</f>
        <v>2</v>
      </c>
      <c r="G340">
        <f t="shared" si="50"/>
        <v>1</v>
      </c>
      <c r="H340">
        <f t="shared" si="51"/>
        <v>330</v>
      </c>
      <c r="I340">
        <f t="shared" si="52"/>
        <v>0</v>
      </c>
      <c r="J340">
        <f t="shared" si="58"/>
        <v>0</v>
      </c>
      <c r="K340">
        <f t="shared" si="53"/>
        <v>28</v>
      </c>
      <c r="L340">
        <f t="shared" si="54"/>
        <v>21145</v>
      </c>
      <c r="M340">
        <f t="shared" si="55"/>
        <v>330</v>
      </c>
      <c r="N340">
        <f t="shared" si="59"/>
        <v>0</v>
      </c>
    </row>
    <row r="341" spans="1:14" x14ac:dyDescent="0.25">
      <c r="A341" s="1">
        <v>45266</v>
      </c>
      <c r="B341" t="s">
        <v>5</v>
      </c>
      <c r="C341">
        <f t="shared" si="56"/>
        <v>21145</v>
      </c>
      <c r="D341">
        <f>IF(B341="zima",20%,IF(B341="wiosna",50%,IF(B341="lato",90%,40%)))</f>
        <v>0.4</v>
      </c>
      <c r="E341">
        <f t="shared" si="57"/>
        <v>28</v>
      </c>
      <c r="F341">
        <f>WEEKDAY(A341,2)</f>
        <v>3</v>
      </c>
      <c r="G341">
        <f t="shared" si="50"/>
        <v>1</v>
      </c>
      <c r="H341">
        <f t="shared" si="51"/>
        <v>330</v>
      </c>
      <c r="I341">
        <f t="shared" si="52"/>
        <v>0</v>
      </c>
      <c r="J341">
        <f t="shared" si="58"/>
        <v>0</v>
      </c>
      <c r="K341">
        <f t="shared" si="53"/>
        <v>28</v>
      </c>
      <c r="L341">
        <f t="shared" si="54"/>
        <v>21475</v>
      </c>
      <c r="M341">
        <f t="shared" si="55"/>
        <v>330</v>
      </c>
      <c r="N341">
        <f t="shared" si="59"/>
        <v>0</v>
      </c>
    </row>
    <row r="342" spans="1:14" x14ac:dyDescent="0.25">
      <c r="A342" s="1">
        <v>45267</v>
      </c>
      <c r="B342" t="s">
        <v>5</v>
      </c>
      <c r="C342">
        <f t="shared" si="56"/>
        <v>21475</v>
      </c>
      <c r="D342">
        <f>IF(B342="zima",20%,IF(B342="wiosna",50%,IF(B342="lato",90%,40%)))</f>
        <v>0.4</v>
      </c>
      <c r="E342">
        <f t="shared" si="57"/>
        <v>28</v>
      </c>
      <c r="F342">
        <f>WEEKDAY(A342,2)</f>
        <v>4</v>
      </c>
      <c r="G342">
        <f t="shared" si="50"/>
        <v>1</v>
      </c>
      <c r="H342">
        <f t="shared" si="51"/>
        <v>330</v>
      </c>
      <c r="I342">
        <f t="shared" si="52"/>
        <v>0</v>
      </c>
      <c r="J342">
        <f t="shared" si="58"/>
        <v>0</v>
      </c>
      <c r="K342">
        <f t="shared" si="53"/>
        <v>28</v>
      </c>
      <c r="L342">
        <f t="shared" si="54"/>
        <v>21805</v>
      </c>
      <c r="M342">
        <f t="shared" si="55"/>
        <v>330</v>
      </c>
      <c r="N342">
        <f t="shared" si="59"/>
        <v>0</v>
      </c>
    </row>
    <row r="343" spans="1:14" x14ac:dyDescent="0.25">
      <c r="A343" s="1">
        <v>45268</v>
      </c>
      <c r="B343" t="s">
        <v>5</v>
      </c>
      <c r="C343">
        <f t="shared" si="56"/>
        <v>21805</v>
      </c>
      <c r="D343">
        <f>IF(B343="zima",20%,IF(B343="wiosna",50%,IF(B343="lato",90%,40%)))</f>
        <v>0.4</v>
      </c>
      <c r="E343">
        <f t="shared" si="57"/>
        <v>28</v>
      </c>
      <c r="F343">
        <f>WEEKDAY(A343,2)</f>
        <v>5</v>
      </c>
      <c r="G343">
        <f t="shared" si="50"/>
        <v>1</v>
      </c>
      <c r="H343">
        <f t="shared" si="51"/>
        <v>330</v>
      </c>
      <c r="I343">
        <f t="shared" si="52"/>
        <v>0</v>
      </c>
      <c r="J343">
        <f t="shared" si="58"/>
        <v>0</v>
      </c>
      <c r="K343">
        <f t="shared" si="53"/>
        <v>28</v>
      </c>
      <c r="L343">
        <f t="shared" si="54"/>
        <v>22135</v>
      </c>
      <c r="M343">
        <f t="shared" si="55"/>
        <v>330</v>
      </c>
      <c r="N343">
        <f t="shared" si="59"/>
        <v>0</v>
      </c>
    </row>
    <row r="344" spans="1:14" x14ac:dyDescent="0.25">
      <c r="A344" s="1">
        <v>45269</v>
      </c>
      <c r="B344" t="s">
        <v>5</v>
      </c>
      <c r="C344">
        <f t="shared" si="56"/>
        <v>22135</v>
      </c>
      <c r="D344">
        <f>IF(B344="zima",20%,IF(B344="wiosna",50%,IF(B344="lato",90%,40%)))</f>
        <v>0.4</v>
      </c>
      <c r="E344">
        <f t="shared" si="57"/>
        <v>28</v>
      </c>
      <c r="F344">
        <f>WEEKDAY(A344,2)</f>
        <v>6</v>
      </c>
      <c r="G344">
        <f t="shared" si="50"/>
        <v>0</v>
      </c>
      <c r="H344">
        <f t="shared" si="51"/>
        <v>0</v>
      </c>
      <c r="I344">
        <f t="shared" si="52"/>
        <v>0</v>
      </c>
      <c r="J344">
        <f t="shared" si="58"/>
        <v>0</v>
      </c>
      <c r="K344">
        <f t="shared" si="53"/>
        <v>28</v>
      </c>
      <c r="L344">
        <f t="shared" si="54"/>
        <v>22135</v>
      </c>
      <c r="M344">
        <f t="shared" si="55"/>
        <v>0</v>
      </c>
      <c r="N344">
        <f t="shared" si="59"/>
        <v>0</v>
      </c>
    </row>
    <row r="345" spans="1:14" x14ac:dyDescent="0.25">
      <c r="A345" s="1">
        <v>45270</v>
      </c>
      <c r="B345" t="s">
        <v>5</v>
      </c>
      <c r="C345">
        <f t="shared" si="56"/>
        <v>22135</v>
      </c>
      <c r="D345">
        <f>IF(B345="zima",20%,IF(B345="wiosna",50%,IF(B345="lato",90%,40%)))</f>
        <v>0.4</v>
      </c>
      <c r="E345">
        <f t="shared" si="57"/>
        <v>28</v>
      </c>
      <c r="F345">
        <f>WEEKDAY(A345,2)</f>
        <v>7</v>
      </c>
      <c r="G345">
        <f t="shared" si="50"/>
        <v>0</v>
      </c>
      <c r="H345">
        <f t="shared" si="51"/>
        <v>0</v>
      </c>
      <c r="I345">
        <f t="shared" si="52"/>
        <v>420</v>
      </c>
      <c r="J345">
        <f t="shared" si="58"/>
        <v>0</v>
      </c>
      <c r="K345">
        <f t="shared" si="53"/>
        <v>28</v>
      </c>
      <c r="L345">
        <f t="shared" si="54"/>
        <v>21715</v>
      </c>
      <c r="M345">
        <f t="shared" si="55"/>
        <v>0</v>
      </c>
      <c r="N345">
        <f t="shared" si="59"/>
        <v>420</v>
      </c>
    </row>
    <row r="346" spans="1:14" x14ac:dyDescent="0.25">
      <c r="A346" s="1">
        <v>45271</v>
      </c>
      <c r="B346" t="s">
        <v>5</v>
      </c>
      <c r="C346">
        <f t="shared" si="56"/>
        <v>21715</v>
      </c>
      <c r="D346">
        <f>IF(B346="zima",20%,IF(B346="wiosna",50%,IF(B346="lato",90%,40%)))</f>
        <v>0.4</v>
      </c>
      <c r="E346">
        <f t="shared" si="57"/>
        <v>28</v>
      </c>
      <c r="F346">
        <f>WEEKDAY(A346,2)</f>
        <v>1</v>
      </c>
      <c r="G346">
        <f t="shared" si="50"/>
        <v>1</v>
      </c>
      <c r="H346">
        <f t="shared" si="51"/>
        <v>330</v>
      </c>
      <c r="I346">
        <f t="shared" si="52"/>
        <v>0</v>
      </c>
      <c r="J346">
        <f t="shared" si="58"/>
        <v>0</v>
      </c>
      <c r="K346">
        <f t="shared" si="53"/>
        <v>28</v>
      </c>
      <c r="L346">
        <f t="shared" si="54"/>
        <v>22045</v>
      </c>
      <c r="M346">
        <f t="shared" si="55"/>
        <v>330</v>
      </c>
      <c r="N346">
        <f t="shared" si="59"/>
        <v>0</v>
      </c>
    </row>
    <row r="347" spans="1:14" x14ac:dyDescent="0.25">
      <c r="A347" s="1">
        <v>45272</v>
      </c>
      <c r="B347" t="s">
        <v>5</v>
      </c>
      <c r="C347">
        <f t="shared" si="56"/>
        <v>22045</v>
      </c>
      <c r="D347">
        <f>IF(B347="zima",20%,IF(B347="wiosna",50%,IF(B347="lato",90%,40%)))</f>
        <v>0.4</v>
      </c>
      <c r="E347">
        <f t="shared" si="57"/>
        <v>28</v>
      </c>
      <c r="F347">
        <f>WEEKDAY(A347,2)</f>
        <v>2</v>
      </c>
      <c r="G347">
        <f t="shared" si="50"/>
        <v>1</v>
      </c>
      <c r="H347">
        <f t="shared" si="51"/>
        <v>330</v>
      </c>
      <c r="I347">
        <f t="shared" si="52"/>
        <v>0</v>
      </c>
      <c r="J347">
        <f t="shared" si="58"/>
        <v>0</v>
      </c>
      <c r="K347">
        <f t="shared" si="53"/>
        <v>28</v>
      </c>
      <c r="L347">
        <f t="shared" si="54"/>
        <v>22375</v>
      </c>
      <c r="M347">
        <f t="shared" si="55"/>
        <v>330</v>
      </c>
      <c r="N347">
        <f t="shared" si="59"/>
        <v>0</v>
      </c>
    </row>
    <row r="348" spans="1:14" x14ac:dyDescent="0.25">
      <c r="A348" s="1">
        <v>45273</v>
      </c>
      <c r="B348" t="s">
        <v>5</v>
      </c>
      <c r="C348">
        <f t="shared" si="56"/>
        <v>22375</v>
      </c>
      <c r="D348">
        <f>IF(B348="zima",20%,IF(B348="wiosna",50%,IF(B348="lato",90%,40%)))</f>
        <v>0.4</v>
      </c>
      <c r="E348">
        <f t="shared" si="57"/>
        <v>28</v>
      </c>
      <c r="F348">
        <f>WEEKDAY(A348,2)</f>
        <v>3</v>
      </c>
      <c r="G348">
        <f t="shared" si="50"/>
        <v>1</v>
      </c>
      <c r="H348">
        <f t="shared" si="51"/>
        <v>330</v>
      </c>
      <c r="I348">
        <f t="shared" si="52"/>
        <v>0</v>
      </c>
      <c r="J348">
        <f t="shared" si="58"/>
        <v>0</v>
      </c>
      <c r="K348">
        <f t="shared" si="53"/>
        <v>28</v>
      </c>
      <c r="L348">
        <f t="shared" si="54"/>
        <v>22705</v>
      </c>
      <c r="M348">
        <f t="shared" si="55"/>
        <v>330</v>
      </c>
      <c r="N348">
        <f t="shared" si="59"/>
        <v>0</v>
      </c>
    </row>
    <row r="349" spans="1:14" x14ac:dyDescent="0.25">
      <c r="A349" s="1">
        <v>45274</v>
      </c>
      <c r="B349" t="s">
        <v>5</v>
      </c>
      <c r="C349">
        <f t="shared" si="56"/>
        <v>22705</v>
      </c>
      <c r="D349">
        <f>IF(B349="zima",20%,IF(B349="wiosna",50%,IF(B349="lato",90%,40%)))</f>
        <v>0.4</v>
      </c>
      <c r="E349">
        <f t="shared" si="57"/>
        <v>28</v>
      </c>
      <c r="F349">
        <f>WEEKDAY(A349,2)</f>
        <v>4</v>
      </c>
      <c r="G349">
        <f t="shared" si="50"/>
        <v>1</v>
      </c>
      <c r="H349">
        <f t="shared" si="51"/>
        <v>330</v>
      </c>
      <c r="I349">
        <f t="shared" si="52"/>
        <v>0</v>
      </c>
      <c r="J349">
        <f t="shared" si="58"/>
        <v>0</v>
      </c>
      <c r="K349">
        <f t="shared" si="53"/>
        <v>28</v>
      </c>
      <c r="L349">
        <f t="shared" si="54"/>
        <v>23035</v>
      </c>
      <c r="M349">
        <f t="shared" si="55"/>
        <v>330</v>
      </c>
      <c r="N349">
        <f t="shared" si="59"/>
        <v>0</v>
      </c>
    </row>
    <row r="350" spans="1:14" x14ac:dyDescent="0.25">
      <c r="A350" s="1">
        <v>45275</v>
      </c>
      <c r="B350" t="s">
        <v>5</v>
      </c>
      <c r="C350">
        <f t="shared" si="56"/>
        <v>23035</v>
      </c>
      <c r="D350">
        <f>IF(B350="zima",20%,IF(B350="wiosna",50%,IF(B350="lato",90%,40%)))</f>
        <v>0.4</v>
      </c>
      <c r="E350">
        <f t="shared" si="57"/>
        <v>28</v>
      </c>
      <c r="F350">
        <f>WEEKDAY(A350,2)</f>
        <v>5</v>
      </c>
      <c r="G350">
        <f t="shared" si="50"/>
        <v>1</v>
      </c>
      <c r="H350">
        <f t="shared" si="51"/>
        <v>330</v>
      </c>
      <c r="I350">
        <f t="shared" si="52"/>
        <v>0</v>
      </c>
      <c r="J350">
        <f t="shared" si="58"/>
        <v>0</v>
      </c>
      <c r="K350">
        <f t="shared" si="53"/>
        <v>28</v>
      </c>
      <c r="L350">
        <f t="shared" si="54"/>
        <v>23365</v>
      </c>
      <c r="M350">
        <f t="shared" si="55"/>
        <v>330</v>
      </c>
      <c r="N350">
        <f t="shared" si="59"/>
        <v>0</v>
      </c>
    </row>
    <row r="351" spans="1:14" x14ac:dyDescent="0.25">
      <c r="A351" s="1">
        <v>45276</v>
      </c>
      <c r="B351" t="s">
        <v>5</v>
      </c>
      <c r="C351">
        <f t="shared" si="56"/>
        <v>23365</v>
      </c>
      <c r="D351">
        <f>IF(B351="zima",20%,IF(B351="wiosna",50%,IF(B351="lato",90%,40%)))</f>
        <v>0.4</v>
      </c>
      <c r="E351">
        <f t="shared" si="57"/>
        <v>28</v>
      </c>
      <c r="F351">
        <f>WEEKDAY(A351,2)</f>
        <v>6</v>
      </c>
      <c r="G351">
        <f t="shared" si="50"/>
        <v>0</v>
      </c>
      <c r="H351">
        <f t="shared" si="51"/>
        <v>0</v>
      </c>
      <c r="I351">
        <f t="shared" si="52"/>
        <v>0</v>
      </c>
      <c r="J351">
        <f t="shared" si="58"/>
        <v>0</v>
      </c>
      <c r="K351">
        <f t="shared" si="53"/>
        <v>28</v>
      </c>
      <c r="L351">
        <f t="shared" si="54"/>
        <v>23365</v>
      </c>
      <c r="M351">
        <f t="shared" si="55"/>
        <v>0</v>
      </c>
      <c r="N351">
        <f t="shared" si="59"/>
        <v>0</v>
      </c>
    </row>
    <row r="352" spans="1:14" x14ac:dyDescent="0.25">
      <c r="A352" s="1">
        <v>45277</v>
      </c>
      <c r="B352" t="s">
        <v>5</v>
      </c>
      <c r="C352">
        <f t="shared" si="56"/>
        <v>23365</v>
      </c>
      <c r="D352">
        <f>IF(B352="zima",20%,IF(B352="wiosna",50%,IF(B352="lato",90%,40%)))</f>
        <v>0.4</v>
      </c>
      <c r="E352">
        <f t="shared" si="57"/>
        <v>28</v>
      </c>
      <c r="F352">
        <f>WEEKDAY(A352,2)</f>
        <v>7</v>
      </c>
      <c r="G352">
        <f t="shared" si="50"/>
        <v>0</v>
      </c>
      <c r="H352">
        <f t="shared" si="51"/>
        <v>0</v>
      </c>
      <c r="I352">
        <f t="shared" si="52"/>
        <v>420</v>
      </c>
      <c r="J352">
        <f t="shared" si="58"/>
        <v>0</v>
      </c>
      <c r="K352">
        <f t="shared" si="53"/>
        <v>28</v>
      </c>
      <c r="L352">
        <f t="shared" si="54"/>
        <v>22945</v>
      </c>
      <c r="M352">
        <f t="shared" si="55"/>
        <v>0</v>
      </c>
      <c r="N352">
        <f t="shared" si="59"/>
        <v>420</v>
      </c>
    </row>
    <row r="353" spans="1:14" x14ac:dyDescent="0.25">
      <c r="A353" s="1">
        <v>45278</v>
      </c>
      <c r="B353" t="s">
        <v>5</v>
      </c>
      <c r="C353">
        <f t="shared" si="56"/>
        <v>22945</v>
      </c>
      <c r="D353">
        <f>IF(B353="zima",20%,IF(B353="wiosna",50%,IF(B353="lato",90%,40%)))</f>
        <v>0.4</v>
      </c>
      <c r="E353">
        <f t="shared" si="57"/>
        <v>28</v>
      </c>
      <c r="F353">
        <f>WEEKDAY(A353,2)</f>
        <v>1</v>
      </c>
      <c r="G353">
        <f t="shared" si="50"/>
        <v>1</v>
      </c>
      <c r="H353">
        <f t="shared" si="51"/>
        <v>330</v>
      </c>
      <c r="I353">
        <f t="shared" si="52"/>
        <v>0</v>
      </c>
      <c r="J353">
        <f t="shared" si="58"/>
        <v>0</v>
      </c>
      <c r="K353">
        <f t="shared" si="53"/>
        <v>28</v>
      </c>
      <c r="L353">
        <f t="shared" si="54"/>
        <v>23275</v>
      </c>
      <c r="M353">
        <f t="shared" si="55"/>
        <v>330</v>
      </c>
      <c r="N353">
        <f t="shared" si="59"/>
        <v>0</v>
      </c>
    </row>
    <row r="354" spans="1:14" x14ac:dyDescent="0.25">
      <c r="A354" s="1">
        <v>45279</v>
      </c>
      <c r="B354" t="s">
        <v>5</v>
      </c>
      <c r="C354">
        <f t="shared" si="56"/>
        <v>23275</v>
      </c>
      <c r="D354">
        <f>IF(B354="zima",20%,IF(B354="wiosna",50%,IF(B354="lato",90%,40%)))</f>
        <v>0.4</v>
      </c>
      <c r="E354">
        <f t="shared" si="57"/>
        <v>28</v>
      </c>
      <c r="F354">
        <f>WEEKDAY(A354,2)</f>
        <v>2</v>
      </c>
      <c r="G354">
        <f t="shared" si="50"/>
        <v>1</v>
      </c>
      <c r="H354">
        <f t="shared" si="51"/>
        <v>330</v>
      </c>
      <c r="I354">
        <f t="shared" si="52"/>
        <v>0</v>
      </c>
      <c r="J354">
        <f t="shared" si="58"/>
        <v>0</v>
      </c>
      <c r="K354">
        <f t="shared" si="53"/>
        <v>28</v>
      </c>
      <c r="L354">
        <f t="shared" si="54"/>
        <v>23605</v>
      </c>
      <c r="M354">
        <f t="shared" si="55"/>
        <v>330</v>
      </c>
      <c r="N354">
        <f t="shared" si="59"/>
        <v>0</v>
      </c>
    </row>
    <row r="355" spans="1:14" x14ac:dyDescent="0.25">
      <c r="A355" s="1">
        <v>45280</v>
      </c>
      <c r="B355" t="s">
        <v>5</v>
      </c>
      <c r="C355">
        <f t="shared" si="56"/>
        <v>23605</v>
      </c>
      <c r="D355">
        <f>IF(B355="zima",20%,IF(B355="wiosna",50%,IF(B355="lato",90%,40%)))</f>
        <v>0.4</v>
      </c>
      <c r="E355">
        <f t="shared" si="57"/>
        <v>28</v>
      </c>
      <c r="F355">
        <f>WEEKDAY(A355,2)</f>
        <v>3</v>
      </c>
      <c r="G355">
        <f t="shared" si="50"/>
        <v>1</v>
      </c>
      <c r="H355">
        <f t="shared" si="51"/>
        <v>330</v>
      </c>
      <c r="I355">
        <f t="shared" si="52"/>
        <v>0</v>
      </c>
      <c r="J355">
        <f t="shared" si="58"/>
        <v>0</v>
      </c>
      <c r="K355">
        <f t="shared" si="53"/>
        <v>28</v>
      </c>
      <c r="L355">
        <f t="shared" si="54"/>
        <v>23935</v>
      </c>
      <c r="M355">
        <f t="shared" si="55"/>
        <v>330</v>
      </c>
      <c r="N355">
        <f t="shared" si="59"/>
        <v>0</v>
      </c>
    </row>
    <row r="356" spans="1:14" x14ac:dyDescent="0.25">
      <c r="A356" s="1">
        <v>45281</v>
      </c>
      <c r="B356" t="s">
        <v>2</v>
      </c>
      <c r="C356">
        <f t="shared" si="56"/>
        <v>23935</v>
      </c>
      <c r="D356">
        <f>IF(B356="zima",20%,IF(B356="wiosna",50%,IF(B356="lato",90%,40%)))</f>
        <v>0.2</v>
      </c>
      <c r="E356">
        <f t="shared" si="57"/>
        <v>28</v>
      </c>
      <c r="F356">
        <f>WEEKDAY(A356,2)</f>
        <v>4</v>
      </c>
      <c r="G356">
        <f t="shared" si="50"/>
        <v>1</v>
      </c>
      <c r="H356">
        <f t="shared" si="51"/>
        <v>150</v>
      </c>
      <c r="I356">
        <f t="shared" si="52"/>
        <v>0</v>
      </c>
      <c r="J356">
        <f t="shared" si="58"/>
        <v>0</v>
      </c>
      <c r="K356">
        <f t="shared" si="53"/>
        <v>28</v>
      </c>
      <c r="L356">
        <f t="shared" si="54"/>
        <v>24085</v>
      </c>
      <c r="M356">
        <f t="shared" si="55"/>
        <v>150</v>
      </c>
      <c r="N356">
        <f t="shared" si="59"/>
        <v>0</v>
      </c>
    </row>
    <row r="357" spans="1:14" x14ac:dyDescent="0.25">
      <c r="A357" s="1">
        <v>45282</v>
      </c>
      <c r="B357" t="s">
        <v>2</v>
      </c>
      <c r="C357">
        <f t="shared" si="56"/>
        <v>24085</v>
      </c>
      <c r="D357">
        <f>IF(B357="zima",20%,IF(B357="wiosna",50%,IF(B357="lato",90%,40%)))</f>
        <v>0.2</v>
      </c>
      <c r="E357">
        <f t="shared" si="57"/>
        <v>28</v>
      </c>
      <c r="F357">
        <f>WEEKDAY(A357,2)</f>
        <v>5</v>
      </c>
      <c r="G357">
        <f t="shared" si="50"/>
        <v>1</v>
      </c>
      <c r="H357">
        <f t="shared" si="51"/>
        <v>150</v>
      </c>
      <c r="I357">
        <f t="shared" si="52"/>
        <v>0</v>
      </c>
      <c r="J357">
        <f t="shared" si="58"/>
        <v>0</v>
      </c>
      <c r="K357">
        <f t="shared" si="53"/>
        <v>28</v>
      </c>
      <c r="L357">
        <f t="shared" si="54"/>
        <v>24235</v>
      </c>
      <c r="M357">
        <f t="shared" si="55"/>
        <v>150</v>
      </c>
      <c r="N357">
        <f t="shared" si="59"/>
        <v>0</v>
      </c>
    </row>
    <row r="358" spans="1:14" x14ac:dyDescent="0.25">
      <c r="A358" s="1">
        <v>45283</v>
      </c>
      <c r="B358" t="s">
        <v>2</v>
      </c>
      <c r="C358">
        <f t="shared" si="56"/>
        <v>24235</v>
      </c>
      <c r="D358">
        <f>IF(B358="zima",20%,IF(B358="wiosna",50%,IF(B358="lato",90%,40%)))</f>
        <v>0.2</v>
      </c>
      <c r="E358">
        <f t="shared" si="57"/>
        <v>28</v>
      </c>
      <c r="F358">
        <f>WEEKDAY(A358,2)</f>
        <v>6</v>
      </c>
      <c r="G358">
        <f t="shared" si="50"/>
        <v>0</v>
      </c>
      <c r="H358">
        <f t="shared" si="51"/>
        <v>0</v>
      </c>
      <c r="I358">
        <f t="shared" si="52"/>
        <v>0</v>
      </c>
      <c r="J358">
        <f t="shared" si="58"/>
        <v>0</v>
      </c>
      <c r="K358">
        <f t="shared" si="53"/>
        <v>28</v>
      </c>
      <c r="L358">
        <f t="shared" si="54"/>
        <v>24235</v>
      </c>
      <c r="M358">
        <f t="shared" si="55"/>
        <v>0</v>
      </c>
      <c r="N358">
        <f t="shared" si="59"/>
        <v>0</v>
      </c>
    </row>
    <row r="359" spans="1:14" x14ac:dyDescent="0.25">
      <c r="A359" s="1">
        <v>45284</v>
      </c>
      <c r="B359" t="s">
        <v>2</v>
      </c>
      <c r="C359">
        <f t="shared" si="56"/>
        <v>24235</v>
      </c>
      <c r="D359">
        <f>IF(B359="zima",20%,IF(B359="wiosna",50%,IF(B359="lato",90%,40%)))</f>
        <v>0.2</v>
      </c>
      <c r="E359">
        <f t="shared" si="57"/>
        <v>28</v>
      </c>
      <c r="F359">
        <f>WEEKDAY(A359,2)</f>
        <v>7</v>
      </c>
      <c r="G359">
        <f t="shared" si="50"/>
        <v>0</v>
      </c>
      <c r="H359">
        <f t="shared" si="51"/>
        <v>0</v>
      </c>
      <c r="I359">
        <f t="shared" si="52"/>
        <v>420</v>
      </c>
      <c r="J359">
        <f t="shared" si="58"/>
        <v>0</v>
      </c>
      <c r="K359">
        <f t="shared" si="53"/>
        <v>28</v>
      </c>
      <c r="L359">
        <f t="shared" si="54"/>
        <v>23815</v>
      </c>
      <c r="M359">
        <f t="shared" si="55"/>
        <v>0</v>
      </c>
      <c r="N359">
        <f t="shared" si="59"/>
        <v>420</v>
      </c>
    </row>
    <row r="360" spans="1:14" x14ac:dyDescent="0.25">
      <c r="A360" s="1">
        <v>45285</v>
      </c>
      <c r="B360" t="s">
        <v>2</v>
      </c>
      <c r="C360">
        <f t="shared" si="56"/>
        <v>23815</v>
      </c>
      <c r="D360">
        <f>IF(B360="zima",20%,IF(B360="wiosna",50%,IF(B360="lato",90%,40%)))</f>
        <v>0.2</v>
      </c>
      <c r="E360">
        <f t="shared" si="57"/>
        <v>28</v>
      </c>
      <c r="F360">
        <f>WEEKDAY(A360,2)</f>
        <v>1</v>
      </c>
      <c r="G360">
        <f t="shared" si="50"/>
        <v>1</v>
      </c>
      <c r="H360">
        <f t="shared" si="51"/>
        <v>150</v>
      </c>
      <c r="I360">
        <f t="shared" si="52"/>
        <v>0</v>
      </c>
      <c r="J360">
        <f t="shared" si="58"/>
        <v>0</v>
      </c>
      <c r="K360">
        <f t="shared" si="53"/>
        <v>28</v>
      </c>
      <c r="L360">
        <f t="shared" si="54"/>
        <v>23965</v>
      </c>
      <c r="M360">
        <f t="shared" si="55"/>
        <v>150</v>
      </c>
      <c r="N360">
        <f t="shared" si="59"/>
        <v>0</v>
      </c>
    </row>
    <row r="361" spans="1:14" x14ac:dyDescent="0.25">
      <c r="A361" s="1">
        <v>45286</v>
      </c>
      <c r="B361" t="s">
        <v>2</v>
      </c>
      <c r="C361">
        <f t="shared" si="56"/>
        <v>23965</v>
      </c>
      <c r="D361">
        <f>IF(B361="zima",20%,IF(B361="wiosna",50%,IF(B361="lato",90%,40%)))</f>
        <v>0.2</v>
      </c>
      <c r="E361">
        <f t="shared" si="57"/>
        <v>28</v>
      </c>
      <c r="F361">
        <f>WEEKDAY(A361,2)</f>
        <v>2</v>
      </c>
      <c r="G361">
        <f t="shared" si="50"/>
        <v>1</v>
      </c>
      <c r="H361">
        <f t="shared" si="51"/>
        <v>150</v>
      </c>
      <c r="I361">
        <f t="shared" si="52"/>
        <v>0</v>
      </c>
      <c r="J361">
        <f t="shared" si="58"/>
        <v>0</v>
      </c>
      <c r="K361">
        <f t="shared" si="53"/>
        <v>28</v>
      </c>
      <c r="L361">
        <f t="shared" si="54"/>
        <v>24115</v>
      </c>
      <c r="M361">
        <f t="shared" si="55"/>
        <v>150</v>
      </c>
      <c r="N361">
        <f t="shared" si="59"/>
        <v>0</v>
      </c>
    </row>
    <row r="362" spans="1:14" x14ac:dyDescent="0.25">
      <c r="A362" s="1">
        <v>45287</v>
      </c>
      <c r="B362" t="s">
        <v>2</v>
      </c>
      <c r="C362">
        <f t="shared" si="56"/>
        <v>24115</v>
      </c>
      <c r="D362">
        <f>IF(B362="zima",20%,IF(B362="wiosna",50%,IF(B362="lato",90%,40%)))</f>
        <v>0.2</v>
      </c>
      <c r="E362">
        <f t="shared" si="57"/>
        <v>28</v>
      </c>
      <c r="F362">
        <f>WEEKDAY(A362,2)</f>
        <v>3</v>
      </c>
      <c r="G362">
        <f t="shared" si="50"/>
        <v>1</v>
      </c>
      <c r="H362">
        <f t="shared" si="51"/>
        <v>150</v>
      </c>
      <c r="I362">
        <f t="shared" si="52"/>
        <v>0</v>
      </c>
      <c r="J362">
        <f t="shared" si="58"/>
        <v>0</v>
      </c>
      <c r="K362">
        <f t="shared" si="53"/>
        <v>28</v>
      </c>
      <c r="L362">
        <f t="shared" si="54"/>
        <v>24265</v>
      </c>
      <c r="M362">
        <f t="shared" si="55"/>
        <v>150</v>
      </c>
      <c r="N362">
        <f t="shared" si="59"/>
        <v>0</v>
      </c>
    </row>
    <row r="363" spans="1:14" x14ac:dyDescent="0.25">
      <c r="A363" s="1">
        <v>45288</v>
      </c>
      <c r="B363" t="s">
        <v>2</v>
      </c>
      <c r="C363">
        <f t="shared" si="56"/>
        <v>24265</v>
      </c>
      <c r="D363">
        <f>IF(B363="zima",20%,IF(B363="wiosna",50%,IF(B363="lato",90%,40%)))</f>
        <v>0.2</v>
      </c>
      <c r="E363">
        <f t="shared" si="57"/>
        <v>28</v>
      </c>
      <c r="F363">
        <f>WEEKDAY(A363,2)</f>
        <v>4</v>
      </c>
      <c r="G363">
        <f t="shared" si="50"/>
        <v>1</v>
      </c>
      <c r="H363">
        <f t="shared" si="51"/>
        <v>150</v>
      </c>
      <c r="I363">
        <f t="shared" si="52"/>
        <v>0</v>
      </c>
      <c r="J363">
        <f t="shared" si="58"/>
        <v>0</v>
      </c>
      <c r="K363">
        <f t="shared" si="53"/>
        <v>28</v>
      </c>
      <c r="L363">
        <f t="shared" si="54"/>
        <v>24415</v>
      </c>
      <c r="M363">
        <f t="shared" si="55"/>
        <v>150</v>
      </c>
      <c r="N363">
        <f t="shared" si="59"/>
        <v>0</v>
      </c>
    </row>
    <row r="364" spans="1:14" x14ac:dyDescent="0.25">
      <c r="A364" s="1">
        <v>45289</v>
      </c>
      <c r="B364" t="s">
        <v>2</v>
      </c>
      <c r="C364">
        <f t="shared" si="56"/>
        <v>24415</v>
      </c>
      <c r="D364">
        <f>IF(B364="zima",20%,IF(B364="wiosna",50%,IF(B364="lato",90%,40%)))</f>
        <v>0.2</v>
      </c>
      <c r="E364">
        <f t="shared" si="57"/>
        <v>28</v>
      </c>
      <c r="F364">
        <f>WEEKDAY(A364,2)</f>
        <v>5</v>
      </c>
      <c r="G364">
        <f t="shared" si="50"/>
        <v>1</v>
      </c>
      <c r="H364">
        <f t="shared" si="51"/>
        <v>150</v>
      </c>
      <c r="I364">
        <f t="shared" si="52"/>
        <v>0</v>
      </c>
      <c r="J364">
        <f t="shared" si="58"/>
        <v>0</v>
      </c>
      <c r="K364">
        <f t="shared" si="53"/>
        <v>28</v>
      </c>
      <c r="L364">
        <f t="shared" si="54"/>
        <v>24565</v>
      </c>
      <c r="M364">
        <f t="shared" si="55"/>
        <v>150</v>
      </c>
      <c r="N364">
        <f t="shared" si="59"/>
        <v>0</v>
      </c>
    </row>
    <row r="365" spans="1:14" x14ac:dyDescent="0.25">
      <c r="A365" s="1">
        <v>45290</v>
      </c>
      <c r="B365" t="s">
        <v>2</v>
      </c>
      <c r="C365">
        <f t="shared" si="56"/>
        <v>24565</v>
      </c>
      <c r="D365">
        <f>IF(B365="zima",20%,IF(B365="wiosna",50%,IF(B365="lato",90%,40%)))</f>
        <v>0.2</v>
      </c>
      <c r="E365">
        <f t="shared" si="57"/>
        <v>28</v>
      </c>
      <c r="F365">
        <f>WEEKDAY(A365,2)</f>
        <v>6</v>
      </c>
      <c r="G365">
        <f t="shared" si="50"/>
        <v>0</v>
      </c>
      <c r="H365">
        <f t="shared" si="51"/>
        <v>0</v>
      </c>
      <c r="I365">
        <f t="shared" si="52"/>
        <v>0</v>
      </c>
      <c r="J365">
        <f t="shared" si="58"/>
        <v>0</v>
      </c>
      <c r="K365">
        <f t="shared" si="53"/>
        <v>28</v>
      </c>
      <c r="L365">
        <f t="shared" si="54"/>
        <v>24565</v>
      </c>
      <c r="M365">
        <f t="shared" si="55"/>
        <v>0</v>
      </c>
      <c r="N365">
        <f t="shared" si="59"/>
        <v>0</v>
      </c>
    </row>
    <row r="366" spans="1:14" x14ac:dyDescent="0.25">
      <c r="A366" s="2">
        <v>45291</v>
      </c>
      <c r="B366" s="3" t="s">
        <v>2</v>
      </c>
      <c r="C366">
        <f t="shared" si="56"/>
        <v>24565</v>
      </c>
      <c r="D366" s="3">
        <f>IF(B366="zima",20%,IF(B366="wiosna",50%,IF(B366="lato",90%,40%)))</f>
        <v>0.2</v>
      </c>
      <c r="E366">
        <f t="shared" si="57"/>
        <v>28</v>
      </c>
      <c r="F366" s="3">
        <f>WEEKDAY(A366,2)</f>
        <v>7</v>
      </c>
      <c r="G366">
        <f t="shared" si="50"/>
        <v>0</v>
      </c>
      <c r="H366">
        <f t="shared" si="51"/>
        <v>0</v>
      </c>
      <c r="I366">
        <f t="shared" si="52"/>
        <v>420</v>
      </c>
      <c r="J366">
        <f t="shared" si="58"/>
        <v>2400</v>
      </c>
      <c r="K366">
        <f t="shared" si="53"/>
        <v>31</v>
      </c>
      <c r="L366">
        <f t="shared" si="54"/>
        <v>21745</v>
      </c>
      <c r="M366">
        <f t="shared" si="55"/>
        <v>0</v>
      </c>
      <c r="N366">
        <f t="shared" si="59"/>
        <v>2820</v>
      </c>
    </row>
    <row r="367" spans="1:14" x14ac:dyDescent="0.25">
      <c r="A367" s="1">
        <v>45292</v>
      </c>
      <c r="B367" t="s">
        <v>2</v>
      </c>
      <c r="C367">
        <f t="shared" si="56"/>
        <v>21745</v>
      </c>
      <c r="D367">
        <f>IF(B367="zima",20%,IF(B367="wiosna",50%,IF(B367="lato",90%,40%)))</f>
        <v>0.2</v>
      </c>
      <c r="E367">
        <f t="shared" si="57"/>
        <v>31</v>
      </c>
      <c r="F367">
        <f>WEEKDAY(A367,2)</f>
        <v>1</v>
      </c>
      <c r="G367">
        <f t="shared" si="50"/>
        <v>1</v>
      </c>
      <c r="H367">
        <f t="shared" si="51"/>
        <v>180</v>
      </c>
      <c r="I367">
        <f t="shared" si="52"/>
        <v>0</v>
      </c>
      <c r="J367">
        <f t="shared" si="58"/>
        <v>0</v>
      </c>
      <c r="K367">
        <f t="shared" si="53"/>
        <v>31</v>
      </c>
      <c r="L367">
        <f t="shared" si="54"/>
        <v>21925</v>
      </c>
      <c r="M367">
        <f t="shared" si="55"/>
        <v>180</v>
      </c>
      <c r="N367">
        <f t="shared" si="59"/>
        <v>0</v>
      </c>
    </row>
    <row r="368" spans="1:14" x14ac:dyDescent="0.25">
      <c r="A368" s="1">
        <v>45293</v>
      </c>
      <c r="B368" t="s">
        <v>2</v>
      </c>
      <c r="C368">
        <f t="shared" si="56"/>
        <v>21925</v>
      </c>
      <c r="D368">
        <f>IF(B368="zima",20%,IF(B368="wiosna",50%,IF(B368="lato",90%,40%)))</f>
        <v>0.2</v>
      </c>
      <c r="E368">
        <f t="shared" si="57"/>
        <v>31</v>
      </c>
      <c r="F368">
        <f>WEEKDAY(A368,2)</f>
        <v>2</v>
      </c>
      <c r="G368">
        <f t="shared" si="50"/>
        <v>1</v>
      </c>
      <c r="H368">
        <f t="shared" si="51"/>
        <v>180</v>
      </c>
      <c r="I368">
        <f t="shared" si="52"/>
        <v>0</v>
      </c>
      <c r="J368">
        <f t="shared" si="58"/>
        <v>0</v>
      </c>
      <c r="K368">
        <f t="shared" si="53"/>
        <v>31</v>
      </c>
      <c r="L368">
        <f t="shared" si="54"/>
        <v>22105</v>
      </c>
      <c r="M368">
        <f t="shared" si="55"/>
        <v>180</v>
      </c>
      <c r="N368">
        <f t="shared" si="59"/>
        <v>0</v>
      </c>
    </row>
    <row r="369" spans="1:14" x14ac:dyDescent="0.25">
      <c r="A369" s="1">
        <v>45294</v>
      </c>
      <c r="B369" t="s">
        <v>2</v>
      </c>
      <c r="C369">
        <f t="shared" si="56"/>
        <v>22105</v>
      </c>
      <c r="D369">
        <f>IF(B369="zima",20%,IF(B369="wiosna",50%,IF(B369="lato",90%,40%)))</f>
        <v>0.2</v>
      </c>
      <c r="E369">
        <f t="shared" si="57"/>
        <v>31</v>
      </c>
      <c r="F369">
        <f>WEEKDAY(A369,2)</f>
        <v>3</v>
      </c>
      <c r="G369">
        <f t="shared" si="50"/>
        <v>1</v>
      </c>
      <c r="H369">
        <f t="shared" si="51"/>
        <v>180</v>
      </c>
      <c r="I369">
        <f t="shared" si="52"/>
        <v>0</v>
      </c>
      <c r="J369">
        <f t="shared" si="58"/>
        <v>0</v>
      </c>
      <c r="K369">
        <f t="shared" si="53"/>
        <v>31</v>
      </c>
      <c r="L369">
        <f t="shared" si="54"/>
        <v>22285</v>
      </c>
      <c r="M369">
        <f t="shared" si="55"/>
        <v>180</v>
      </c>
      <c r="N369">
        <f t="shared" si="59"/>
        <v>0</v>
      </c>
    </row>
    <row r="370" spans="1:14" x14ac:dyDescent="0.25">
      <c r="A370" s="1">
        <v>45295</v>
      </c>
      <c r="B370" t="s">
        <v>2</v>
      </c>
      <c r="C370">
        <f t="shared" si="56"/>
        <v>22285</v>
      </c>
      <c r="D370">
        <f>IF(B370="zima",20%,IF(B370="wiosna",50%,IF(B370="lato",90%,40%)))</f>
        <v>0.2</v>
      </c>
      <c r="E370">
        <f t="shared" si="57"/>
        <v>31</v>
      </c>
      <c r="F370">
        <f>WEEKDAY(A370,2)</f>
        <v>4</v>
      </c>
      <c r="G370">
        <f t="shared" si="50"/>
        <v>1</v>
      </c>
      <c r="H370">
        <f t="shared" si="51"/>
        <v>180</v>
      </c>
      <c r="I370">
        <f t="shared" si="52"/>
        <v>0</v>
      </c>
      <c r="J370">
        <f t="shared" si="58"/>
        <v>0</v>
      </c>
      <c r="K370">
        <f t="shared" si="53"/>
        <v>31</v>
      </c>
      <c r="L370">
        <f t="shared" si="54"/>
        <v>22465</v>
      </c>
      <c r="M370">
        <f t="shared" si="55"/>
        <v>180</v>
      </c>
      <c r="N370">
        <f t="shared" si="59"/>
        <v>0</v>
      </c>
    </row>
    <row r="371" spans="1:14" x14ac:dyDescent="0.25">
      <c r="A371" s="1">
        <v>45296</v>
      </c>
      <c r="B371" t="s">
        <v>2</v>
      </c>
      <c r="C371">
        <f t="shared" si="56"/>
        <v>22465</v>
      </c>
      <c r="D371">
        <f>IF(B371="zima",20%,IF(B371="wiosna",50%,IF(B371="lato",90%,40%)))</f>
        <v>0.2</v>
      </c>
      <c r="E371">
        <f t="shared" si="57"/>
        <v>31</v>
      </c>
      <c r="F371">
        <f>WEEKDAY(A371,2)</f>
        <v>5</v>
      </c>
      <c r="G371">
        <f t="shared" si="50"/>
        <v>1</v>
      </c>
      <c r="H371">
        <f t="shared" si="51"/>
        <v>180</v>
      </c>
      <c r="I371">
        <f t="shared" si="52"/>
        <v>0</v>
      </c>
      <c r="J371">
        <f t="shared" si="58"/>
        <v>0</v>
      </c>
      <c r="K371">
        <f t="shared" si="53"/>
        <v>31</v>
      </c>
      <c r="L371">
        <f t="shared" si="54"/>
        <v>22645</v>
      </c>
      <c r="M371">
        <f t="shared" si="55"/>
        <v>180</v>
      </c>
      <c r="N371">
        <f t="shared" si="59"/>
        <v>0</v>
      </c>
    </row>
    <row r="372" spans="1:14" x14ac:dyDescent="0.25">
      <c r="A372" s="1">
        <v>45297</v>
      </c>
      <c r="B372" t="s">
        <v>2</v>
      </c>
      <c r="C372">
        <f t="shared" si="56"/>
        <v>22645</v>
      </c>
      <c r="D372">
        <f>IF(B372="zima",20%,IF(B372="wiosna",50%,IF(B372="lato",90%,40%)))</f>
        <v>0.2</v>
      </c>
      <c r="E372">
        <f t="shared" si="57"/>
        <v>31</v>
      </c>
      <c r="F372">
        <f>WEEKDAY(A372,2)</f>
        <v>6</v>
      </c>
      <c r="G372">
        <f t="shared" si="50"/>
        <v>0</v>
      </c>
      <c r="H372">
        <f t="shared" si="51"/>
        <v>0</v>
      </c>
      <c r="I372">
        <f t="shared" si="52"/>
        <v>0</v>
      </c>
      <c r="J372">
        <f t="shared" si="58"/>
        <v>0</v>
      </c>
      <c r="K372">
        <f t="shared" si="53"/>
        <v>31</v>
      </c>
      <c r="L372">
        <f t="shared" si="54"/>
        <v>22645</v>
      </c>
      <c r="M372">
        <f t="shared" si="55"/>
        <v>0</v>
      </c>
      <c r="N372">
        <f t="shared" si="59"/>
        <v>0</v>
      </c>
    </row>
    <row r="373" spans="1:14" x14ac:dyDescent="0.25">
      <c r="A373" s="1">
        <v>45298</v>
      </c>
      <c r="B373" t="s">
        <v>2</v>
      </c>
      <c r="C373">
        <f t="shared" si="56"/>
        <v>22645</v>
      </c>
      <c r="D373">
        <f>IF(B373="zima",20%,IF(B373="wiosna",50%,IF(B373="lato",90%,40%)))</f>
        <v>0.2</v>
      </c>
      <c r="E373">
        <f t="shared" si="57"/>
        <v>31</v>
      </c>
      <c r="F373">
        <f>WEEKDAY(A373,2)</f>
        <v>7</v>
      </c>
      <c r="G373">
        <f t="shared" si="50"/>
        <v>0</v>
      </c>
      <c r="H373">
        <f t="shared" si="51"/>
        <v>0</v>
      </c>
      <c r="I373">
        <f t="shared" si="52"/>
        <v>465</v>
      </c>
      <c r="J373">
        <f t="shared" si="58"/>
        <v>0</v>
      </c>
      <c r="K373">
        <f t="shared" si="53"/>
        <v>31</v>
      </c>
      <c r="L373">
        <f t="shared" si="54"/>
        <v>22180</v>
      </c>
      <c r="M373">
        <f t="shared" si="55"/>
        <v>0</v>
      </c>
      <c r="N373">
        <f t="shared" si="59"/>
        <v>465</v>
      </c>
    </row>
    <row r="374" spans="1:14" x14ac:dyDescent="0.25">
      <c r="A374" s="1">
        <v>45299</v>
      </c>
      <c r="B374" t="s">
        <v>2</v>
      </c>
      <c r="C374">
        <f t="shared" si="56"/>
        <v>22180</v>
      </c>
      <c r="D374">
        <f>IF(B374="zima",20%,IF(B374="wiosna",50%,IF(B374="lato",90%,40%)))</f>
        <v>0.2</v>
      </c>
      <c r="E374">
        <f t="shared" si="57"/>
        <v>31</v>
      </c>
      <c r="F374">
        <f>WEEKDAY(A374,2)</f>
        <v>1</v>
      </c>
      <c r="G374">
        <f t="shared" si="50"/>
        <v>1</v>
      </c>
      <c r="H374">
        <f t="shared" si="51"/>
        <v>180</v>
      </c>
      <c r="I374">
        <f t="shared" si="52"/>
        <v>0</v>
      </c>
      <c r="J374">
        <f t="shared" si="58"/>
        <v>0</v>
      </c>
      <c r="K374">
        <f t="shared" si="53"/>
        <v>31</v>
      </c>
      <c r="L374">
        <f t="shared" si="54"/>
        <v>22360</v>
      </c>
      <c r="M374">
        <f t="shared" si="55"/>
        <v>180</v>
      </c>
      <c r="N374">
        <f t="shared" si="59"/>
        <v>0</v>
      </c>
    </row>
    <row r="375" spans="1:14" x14ac:dyDescent="0.25">
      <c r="A375" s="1">
        <v>45300</v>
      </c>
      <c r="B375" t="s">
        <v>2</v>
      </c>
      <c r="C375">
        <f t="shared" si="56"/>
        <v>22360</v>
      </c>
      <c r="D375">
        <f>IF(B375="zima",20%,IF(B375="wiosna",50%,IF(B375="lato",90%,40%)))</f>
        <v>0.2</v>
      </c>
      <c r="E375">
        <f t="shared" si="57"/>
        <v>31</v>
      </c>
      <c r="F375">
        <f>WEEKDAY(A375,2)</f>
        <v>2</v>
      </c>
      <c r="G375">
        <f t="shared" si="50"/>
        <v>1</v>
      </c>
      <c r="H375">
        <f t="shared" si="51"/>
        <v>180</v>
      </c>
      <c r="I375">
        <f t="shared" si="52"/>
        <v>0</v>
      </c>
      <c r="J375">
        <f t="shared" si="58"/>
        <v>0</v>
      </c>
      <c r="K375">
        <f t="shared" si="53"/>
        <v>31</v>
      </c>
      <c r="L375">
        <f t="shared" si="54"/>
        <v>22540</v>
      </c>
      <c r="M375">
        <f t="shared" si="55"/>
        <v>180</v>
      </c>
      <c r="N375">
        <f t="shared" si="59"/>
        <v>0</v>
      </c>
    </row>
    <row r="376" spans="1:14" x14ac:dyDescent="0.25">
      <c r="A376" s="1">
        <v>45301</v>
      </c>
      <c r="B376" t="s">
        <v>2</v>
      </c>
      <c r="C376">
        <f t="shared" si="56"/>
        <v>22540</v>
      </c>
      <c r="D376">
        <f>IF(B376="zima",20%,IF(B376="wiosna",50%,IF(B376="lato",90%,40%)))</f>
        <v>0.2</v>
      </c>
      <c r="E376">
        <f t="shared" si="57"/>
        <v>31</v>
      </c>
      <c r="F376">
        <f>WEEKDAY(A376,2)</f>
        <v>3</v>
      </c>
      <c r="G376">
        <f t="shared" si="50"/>
        <v>1</v>
      </c>
      <c r="H376">
        <f t="shared" si="51"/>
        <v>180</v>
      </c>
      <c r="I376">
        <f t="shared" si="52"/>
        <v>0</v>
      </c>
      <c r="J376">
        <f t="shared" si="58"/>
        <v>0</v>
      </c>
      <c r="K376">
        <f t="shared" si="53"/>
        <v>31</v>
      </c>
      <c r="L376">
        <f t="shared" si="54"/>
        <v>22720</v>
      </c>
      <c r="M376">
        <f t="shared" si="55"/>
        <v>180</v>
      </c>
      <c r="N376">
        <f t="shared" si="59"/>
        <v>0</v>
      </c>
    </row>
    <row r="377" spans="1:14" x14ac:dyDescent="0.25">
      <c r="A377" s="1">
        <v>45302</v>
      </c>
      <c r="B377" t="s">
        <v>2</v>
      </c>
      <c r="C377">
        <f t="shared" si="56"/>
        <v>22720</v>
      </c>
      <c r="D377">
        <f>IF(B377="zima",20%,IF(B377="wiosna",50%,IF(B377="lato",90%,40%)))</f>
        <v>0.2</v>
      </c>
      <c r="E377">
        <f t="shared" si="57"/>
        <v>31</v>
      </c>
      <c r="F377">
        <f>WEEKDAY(A377,2)</f>
        <v>4</v>
      </c>
      <c r="G377">
        <f t="shared" si="50"/>
        <v>1</v>
      </c>
      <c r="H377">
        <f t="shared" si="51"/>
        <v>180</v>
      </c>
      <c r="I377">
        <f t="shared" si="52"/>
        <v>0</v>
      </c>
      <c r="J377">
        <f t="shared" si="58"/>
        <v>0</v>
      </c>
      <c r="K377">
        <f t="shared" si="53"/>
        <v>31</v>
      </c>
      <c r="L377">
        <f t="shared" si="54"/>
        <v>22900</v>
      </c>
      <c r="M377">
        <f t="shared" si="55"/>
        <v>180</v>
      </c>
      <c r="N377">
        <f t="shared" si="59"/>
        <v>0</v>
      </c>
    </row>
    <row r="378" spans="1:14" x14ac:dyDescent="0.25">
      <c r="A378" s="1">
        <v>45303</v>
      </c>
      <c r="B378" t="s">
        <v>2</v>
      </c>
      <c r="C378">
        <f t="shared" si="56"/>
        <v>22900</v>
      </c>
      <c r="D378">
        <f>IF(B378="zima",20%,IF(B378="wiosna",50%,IF(B378="lato",90%,40%)))</f>
        <v>0.2</v>
      </c>
      <c r="E378">
        <f t="shared" si="57"/>
        <v>31</v>
      </c>
      <c r="F378">
        <f>WEEKDAY(A378,2)</f>
        <v>5</v>
      </c>
      <c r="G378">
        <f t="shared" si="50"/>
        <v>1</v>
      </c>
      <c r="H378">
        <f t="shared" si="51"/>
        <v>180</v>
      </c>
      <c r="I378">
        <f t="shared" si="52"/>
        <v>0</v>
      </c>
      <c r="J378">
        <f t="shared" si="58"/>
        <v>0</v>
      </c>
      <c r="K378">
        <f t="shared" si="53"/>
        <v>31</v>
      </c>
      <c r="L378">
        <f t="shared" si="54"/>
        <v>23080</v>
      </c>
      <c r="M378">
        <f t="shared" si="55"/>
        <v>180</v>
      </c>
      <c r="N378">
        <f t="shared" si="59"/>
        <v>0</v>
      </c>
    </row>
    <row r="379" spans="1:14" x14ac:dyDescent="0.25">
      <c r="A379" s="1">
        <v>45304</v>
      </c>
      <c r="B379" t="s">
        <v>2</v>
      </c>
      <c r="C379">
        <f t="shared" si="56"/>
        <v>23080</v>
      </c>
      <c r="D379">
        <f>IF(B379="zima",20%,IF(B379="wiosna",50%,IF(B379="lato",90%,40%)))</f>
        <v>0.2</v>
      </c>
      <c r="E379">
        <f t="shared" si="57"/>
        <v>31</v>
      </c>
      <c r="F379">
        <f>WEEKDAY(A379,2)</f>
        <v>6</v>
      </c>
      <c r="G379">
        <f t="shared" si="50"/>
        <v>0</v>
      </c>
      <c r="H379">
        <f t="shared" si="51"/>
        <v>0</v>
      </c>
      <c r="I379">
        <f t="shared" si="52"/>
        <v>0</v>
      </c>
      <c r="J379">
        <f t="shared" si="58"/>
        <v>0</v>
      </c>
      <c r="K379">
        <f t="shared" si="53"/>
        <v>31</v>
      </c>
      <c r="L379">
        <f t="shared" si="54"/>
        <v>23080</v>
      </c>
      <c r="M379">
        <f t="shared" si="55"/>
        <v>0</v>
      </c>
      <c r="N379">
        <f t="shared" si="59"/>
        <v>0</v>
      </c>
    </row>
    <row r="380" spans="1:14" x14ac:dyDescent="0.25">
      <c r="A380" s="1">
        <v>45305</v>
      </c>
      <c r="B380" t="s">
        <v>2</v>
      </c>
      <c r="C380">
        <f t="shared" si="56"/>
        <v>23080</v>
      </c>
      <c r="D380">
        <f>IF(B380="zima",20%,IF(B380="wiosna",50%,IF(B380="lato",90%,40%)))</f>
        <v>0.2</v>
      </c>
      <c r="E380">
        <f t="shared" si="57"/>
        <v>31</v>
      </c>
      <c r="F380">
        <f>WEEKDAY(A380,2)</f>
        <v>7</v>
      </c>
      <c r="G380">
        <f t="shared" si="50"/>
        <v>0</v>
      </c>
      <c r="H380">
        <f t="shared" si="51"/>
        <v>0</v>
      </c>
      <c r="I380">
        <f t="shared" si="52"/>
        <v>465</v>
      </c>
      <c r="J380">
        <f t="shared" si="58"/>
        <v>0</v>
      </c>
      <c r="K380">
        <f t="shared" si="53"/>
        <v>31</v>
      </c>
      <c r="L380">
        <f t="shared" si="54"/>
        <v>22615</v>
      </c>
      <c r="M380">
        <f t="shared" si="55"/>
        <v>0</v>
      </c>
      <c r="N380">
        <f t="shared" si="59"/>
        <v>465</v>
      </c>
    </row>
    <row r="381" spans="1:14" x14ac:dyDescent="0.25">
      <c r="A381" s="1">
        <v>45306</v>
      </c>
      <c r="B381" t="s">
        <v>2</v>
      </c>
      <c r="C381">
        <f t="shared" si="56"/>
        <v>22615</v>
      </c>
      <c r="D381">
        <f>IF(B381="zima",20%,IF(B381="wiosna",50%,IF(B381="lato",90%,40%)))</f>
        <v>0.2</v>
      </c>
      <c r="E381">
        <f t="shared" si="57"/>
        <v>31</v>
      </c>
      <c r="F381">
        <f>WEEKDAY(A381,2)</f>
        <v>1</v>
      </c>
      <c r="G381">
        <f t="shared" si="50"/>
        <v>1</v>
      </c>
      <c r="H381">
        <f t="shared" si="51"/>
        <v>180</v>
      </c>
      <c r="I381">
        <f t="shared" si="52"/>
        <v>0</v>
      </c>
      <c r="J381">
        <f t="shared" si="58"/>
        <v>0</v>
      </c>
      <c r="K381">
        <f t="shared" si="53"/>
        <v>31</v>
      </c>
      <c r="L381">
        <f t="shared" si="54"/>
        <v>22795</v>
      </c>
      <c r="M381">
        <f t="shared" si="55"/>
        <v>180</v>
      </c>
      <c r="N381">
        <f t="shared" si="59"/>
        <v>0</v>
      </c>
    </row>
    <row r="382" spans="1:14" x14ac:dyDescent="0.25">
      <c r="A382" s="1">
        <v>45307</v>
      </c>
      <c r="B382" t="s">
        <v>2</v>
      </c>
      <c r="C382">
        <f t="shared" si="56"/>
        <v>22795</v>
      </c>
      <c r="D382">
        <f>IF(B382="zima",20%,IF(B382="wiosna",50%,IF(B382="lato",90%,40%)))</f>
        <v>0.2</v>
      </c>
      <c r="E382">
        <f t="shared" si="57"/>
        <v>31</v>
      </c>
      <c r="F382">
        <f>WEEKDAY(A382,2)</f>
        <v>2</v>
      </c>
      <c r="G382">
        <f t="shared" si="50"/>
        <v>1</v>
      </c>
      <c r="H382">
        <f t="shared" si="51"/>
        <v>180</v>
      </c>
      <c r="I382">
        <f t="shared" si="52"/>
        <v>0</v>
      </c>
      <c r="J382">
        <f t="shared" si="58"/>
        <v>0</v>
      </c>
      <c r="K382">
        <f t="shared" si="53"/>
        <v>31</v>
      </c>
      <c r="L382">
        <f t="shared" si="54"/>
        <v>22975</v>
      </c>
      <c r="M382">
        <f t="shared" si="55"/>
        <v>180</v>
      </c>
      <c r="N382">
        <f t="shared" si="59"/>
        <v>0</v>
      </c>
    </row>
    <row r="383" spans="1:14" x14ac:dyDescent="0.25">
      <c r="A383" s="1">
        <v>45308</v>
      </c>
      <c r="B383" t="s">
        <v>2</v>
      </c>
      <c r="C383">
        <f t="shared" si="56"/>
        <v>22975</v>
      </c>
      <c r="D383">
        <f>IF(B383="zima",20%,IF(B383="wiosna",50%,IF(B383="lato",90%,40%)))</f>
        <v>0.2</v>
      </c>
      <c r="E383">
        <f t="shared" si="57"/>
        <v>31</v>
      </c>
      <c r="F383">
        <f>WEEKDAY(A383,2)</f>
        <v>3</v>
      </c>
      <c r="G383">
        <f t="shared" si="50"/>
        <v>1</v>
      </c>
      <c r="H383">
        <f t="shared" si="51"/>
        <v>180</v>
      </c>
      <c r="I383">
        <f t="shared" si="52"/>
        <v>0</v>
      </c>
      <c r="J383">
        <f t="shared" si="58"/>
        <v>0</v>
      </c>
      <c r="K383">
        <f t="shared" si="53"/>
        <v>31</v>
      </c>
      <c r="L383">
        <f t="shared" si="54"/>
        <v>23155</v>
      </c>
      <c r="M383">
        <f t="shared" si="55"/>
        <v>180</v>
      </c>
      <c r="N383">
        <f t="shared" si="59"/>
        <v>0</v>
      </c>
    </row>
    <row r="384" spans="1:14" x14ac:dyDescent="0.25">
      <c r="A384" s="1">
        <v>45309</v>
      </c>
      <c r="B384" t="s">
        <v>2</v>
      </c>
      <c r="C384">
        <f t="shared" si="56"/>
        <v>23155</v>
      </c>
      <c r="D384">
        <f>IF(B384="zima",20%,IF(B384="wiosna",50%,IF(B384="lato",90%,40%)))</f>
        <v>0.2</v>
      </c>
      <c r="E384">
        <f t="shared" si="57"/>
        <v>31</v>
      </c>
      <c r="F384">
        <f>WEEKDAY(A384,2)</f>
        <v>4</v>
      </c>
      <c r="G384">
        <f t="shared" si="50"/>
        <v>1</v>
      </c>
      <c r="H384">
        <f t="shared" si="51"/>
        <v>180</v>
      </c>
      <c r="I384">
        <f t="shared" si="52"/>
        <v>0</v>
      </c>
      <c r="J384">
        <f t="shared" si="58"/>
        <v>0</v>
      </c>
      <c r="K384">
        <f t="shared" si="53"/>
        <v>31</v>
      </c>
      <c r="L384">
        <f t="shared" si="54"/>
        <v>23335</v>
      </c>
      <c r="M384">
        <f t="shared" si="55"/>
        <v>180</v>
      </c>
      <c r="N384">
        <f t="shared" si="59"/>
        <v>0</v>
      </c>
    </row>
    <row r="385" spans="1:14" x14ac:dyDescent="0.25">
      <c r="A385" s="1">
        <v>45310</v>
      </c>
      <c r="B385" t="s">
        <v>2</v>
      </c>
      <c r="C385">
        <f t="shared" si="56"/>
        <v>23335</v>
      </c>
      <c r="D385">
        <f>IF(B385="zima",20%,IF(B385="wiosna",50%,IF(B385="lato",90%,40%)))</f>
        <v>0.2</v>
      </c>
      <c r="E385">
        <f t="shared" si="57"/>
        <v>31</v>
      </c>
      <c r="F385">
        <f>WEEKDAY(A385,2)</f>
        <v>5</v>
      </c>
      <c r="G385">
        <f t="shared" si="50"/>
        <v>1</v>
      </c>
      <c r="H385">
        <f t="shared" si="51"/>
        <v>180</v>
      </c>
      <c r="I385">
        <f t="shared" si="52"/>
        <v>0</v>
      </c>
      <c r="J385">
        <f t="shared" si="58"/>
        <v>0</v>
      </c>
      <c r="K385">
        <f t="shared" si="53"/>
        <v>31</v>
      </c>
      <c r="L385">
        <f t="shared" si="54"/>
        <v>23515</v>
      </c>
      <c r="M385">
        <f t="shared" si="55"/>
        <v>180</v>
      </c>
      <c r="N385">
        <f t="shared" si="59"/>
        <v>0</v>
      </c>
    </row>
    <row r="386" spans="1:14" x14ac:dyDescent="0.25">
      <c r="A386" s="1">
        <v>45311</v>
      </c>
      <c r="B386" t="s">
        <v>2</v>
      </c>
      <c r="C386">
        <f t="shared" si="56"/>
        <v>23515</v>
      </c>
      <c r="D386">
        <f>IF(B386="zima",20%,IF(B386="wiosna",50%,IF(B386="lato",90%,40%)))</f>
        <v>0.2</v>
      </c>
      <c r="E386">
        <f t="shared" si="57"/>
        <v>31</v>
      </c>
      <c r="F386">
        <f>WEEKDAY(A386,2)</f>
        <v>6</v>
      </c>
      <c r="G386">
        <f t="shared" si="50"/>
        <v>0</v>
      </c>
      <c r="H386">
        <f t="shared" si="51"/>
        <v>0</v>
      </c>
      <c r="I386">
        <f t="shared" si="52"/>
        <v>0</v>
      </c>
      <c r="J386">
        <f t="shared" si="58"/>
        <v>0</v>
      </c>
      <c r="K386">
        <f t="shared" si="53"/>
        <v>31</v>
      </c>
      <c r="L386">
        <f t="shared" si="54"/>
        <v>23515</v>
      </c>
      <c r="M386">
        <f t="shared" si="55"/>
        <v>0</v>
      </c>
      <c r="N386">
        <f t="shared" si="59"/>
        <v>0</v>
      </c>
    </row>
    <row r="387" spans="1:14" x14ac:dyDescent="0.25">
      <c r="A387" s="1">
        <v>45312</v>
      </c>
      <c r="B387" t="s">
        <v>2</v>
      </c>
      <c r="C387">
        <f t="shared" si="56"/>
        <v>23515</v>
      </c>
      <c r="D387">
        <f>IF(B387="zima",20%,IF(B387="wiosna",50%,IF(B387="lato",90%,40%)))</f>
        <v>0.2</v>
      </c>
      <c r="E387">
        <f t="shared" si="57"/>
        <v>31</v>
      </c>
      <c r="F387">
        <f>WEEKDAY(A387,2)</f>
        <v>7</v>
      </c>
      <c r="G387">
        <f t="shared" ref="G387:G450" si="60">IF(AND(F387&lt;&gt;6,F387&lt;&gt;7),1,0)</f>
        <v>0</v>
      </c>
      <c r="H387">
        <f t="shared" ref="H387:H450" si="61">ROUNDDOWN(D387*E387,0)*30*G387</f>
        <v>0</v>
      </c>
      <c r="I387">
        <f t="shared" ref="I387:I450" si="62">IF(F387=7,E387*15,0)</f>
        <v>465</v>
      </c>
      <c r="J387">
        <f t="shared" si="58"/>
        <v>0</v>
      </c>
      <c r="K387">
        <f t="shared" ref="K387:K450" si="63">IF(J387&gt;0,E387+3,E387)</f>
        <v>31</v>
      </c>
      <c r="L387">
        <f t="shared" ref="L387:L450" si="64">C387+H387-I387-J387</f>
        <v>23050</v>
      </c>
      <c r="M387">
        <f t="shared" ref="M387:M450" si="65">H387</f>
        <v>0</v>
      </c>
      <c r="N387">
        <f t="shared" si="59"/>
        <v>465</v>
      </c>
    </row>
    <row r="388" spans="1:14" x14ac:dyDescent="0.25">
      <c r="A388" s="1">
        <v>45313</v>
      </c>
      <c r="B388" t="s">
        <v>2</v>
      </c>
      <c r="C388">
        <f t="shared" ref="C388:C451" si="66">L387</f>
        <v>23050</v>
      </c>
      <c r="D388">
        <f>IF(B388="zima",20%,IF(B388="wiosna",50%,IF(B388="lato",90%,40%)))</f>
        <v>0.2</v>
      </c>
      <c r="E388">
        <f t="shared" ref="E388:E451" si="67">K387</f>
        <v>31</v>
      </c>
      <c r="F388">
        <f>WEEKDAY(A388,2)</f>
        <v>1</v>
      </c>
      <c r="G388">
        <f t="shared" si="60"/>
        <v>1</v>
      </c>
      <c r="H388">
        <f t="shared" si="61"/>
        <v>180</v>
      </c>
      <c r="I388">
        <f t="shared" si="62"/>
        <v>0</v>
      </c>
      <c r="J388">
        <f t="shared" ref="J388:J451" si="68">IF(AND(DAY(A389)=1,C388&gt;=2400),2400,0)</f>
        <v>0</v>
      </c>
      <c r="K388">
        <f t="shared" si="63"/>
        <v>31</v>
      </c>
      <c r="L388">
        <f t="shared" si="64"/>
        <v>23230</v>
      </c>
      <c r="M388">
        <f t="shared" si="65"/>
        <v>180</v>
      </c>
      <c r="N388">
        <f t="shared" ref="N388:N451" si="69">J388+I388</f>
        <v>0</v>
      </c>
    </row>
    <row r="389" spans="1:14" x14ac:dyDescent="0.25">
      <c r="A389" s="1">
        <v>45314</v>
      </c>
      <c r="B389" t="s">
        <v>2</v>
      </c>
      <c r="C389">
        <f t="shared" si="66"/>
        <v>23230</v>
      </c>
      <c r="D389">
        <f>IF(B389="zima",20%,IF(B389="wiosna",50%,IF(B389="lato",90%,40%)))</f>
        <v>0.2</v>
      </c>
      <c r="E389">
        <f t="shared" si="67"/>
        <v>31</v>
      </c>
      <c r="F389">
        <f>WEEKDAY(A389,2)</f>
        <v>2</v>
      </c>
      <c r="G389">
        <f t="shared" si="60"/>
        <v>1</v>
      </c>
      <c r="H389">
        <f t="shared" si="61"/>
        <v>180</v>
      </c>
      <c r="I389">
        <f t="shared" si="62"/>
        <v>0</v>
      </c>
      <c r="J389">
        <f t="shared" si="68"/>
        <v>0</v>
      </c>
      <c r="K389">
        <f t="shared" si="63"/>
        <v>31</v>
      </c>
      <c r="L389">
        <f t="shared" si="64"/>
        <v>23410</v>
      </c>
      <c r="M389">
        <f t="shared" si="65"/>
        <v>180</v>
      </c>
      <c r="N389">
        <f t="shared" si="69"/>
        <v>0</v>
      </c>
    </row>
    <row r="390" spans="1:14" x14ac:dyDescent="0.25">
      <c r="A390" s="1">
        <v>45315</v>
      </c>
      <c r="B390" t="s">
        <v>2</v>
      </c>
      <c r="C390">
        <f t="shared" si="66"/>
        <v>23410</v>
      </c>
      <c r="D390">
        <f>IF(B390="zima",20%,IF(B390="wiosna",50%,IF(B390="lato",90%,40%)))</f>
        <v>0.2</v>
      </c>
      <c r="E390">
        <f t="shared" si="67"/>
        <v>31</v>
      </c>
      <c r="F390">
        <f>WEEKDAY(A390,2)</f>
        <v>3</v>
      </c>
      <c r="G390">
        <f t="shared" si="60"/>
        <v>1</v>
      </c>
      <c r="H390">
        <f t="shared" si="61"/>
        <v>180</v>
      </c>
      <c r="I390">
        <f t="shared" si="62"/>
        <v>0</v>
      </c>
      <c r="J390">
        <f t="shared" si="68"/>
        <v>0</v>
      </c>
      <c r="K390">
        <f t="shared" si="63"/>
        <v>31</v>
      </c>
      <c r="L390">
        <f t="shared" si="64"/>
        <v>23590</v>
      </c>
      <c r="M390">
        <f t="shared" si="65"/>
        <v>180</v>
      </c>
      <c r="N390">
        <f t="shared" si="69"/>
        <v>0</v>
      </c>
    </row>
    <row r="391" spans="1:14" x14ac:dyDescent="0.25">
      <c r="A391" s="1">
        <v>45316</v>
      </c>
      <c r="B391" t="s">
        <v>2</v>
      </c>
      <c r="C391">
        <f t="shared" si="66"/>
        <v>23590</v>
      </c>
      <c r="D391">
        <f>IF(B391="zima",20%,IF(B391="wiosna",50%,IF(B391="lato",90%,40%)))</f>
        <v>0.2</v>
      </c>
      <c r="E391">
        <f t="shared" si="67"/>
        <v>31</v>
      </c>
      <c r="F391">
        <f>WEEKDAY(A391,2)</f>
        <v>4</v>
      </c>
      <c r="G391">
        <f t="shared" si="60"/>
        <v>1</v>
      </c>
      <c r="H391">
        <f t="shared" si="61"/>
        <v>180</v>
      </c>
      <c r="I391">
        <f t="shared" si="62"/>
        <v>0</v>
      </c>
      <c r="J391">
        <f t="shared" si="68"/>
        <v>0</v>
      </c>
      <c r="K391">
        <f t="shared" si="63"/>
        <v>31</v>
      </c>
      <c r="L391">
        <f t="shared" si="64"/>
        <v>23770</v>
      </c>
      <c r="M391">
        <f t="shared" si="65"/>
        <v>180</v>
      </c>
      <c r="N391">
        <f t="shared" si="69"/>
        <v>0</v>
      </c>
    </row>
    <row r="392" spans="1:14" x14ac:dyDescent="0.25">
      <c r="A392" s="1">
        <v>45317</v>
      </c>
      <c r="B392" t="s">
        <v>2</v>
      </c>
      <c r="C392">
        <f t="shared" si="66"/>
        <v>23770</v>
      </c>
      <c r="D392">
        <f>IF(B392="zima",20%,IF(B392="wiosna",50%,IF(B392="lato",90%,40%)))</f>
        <v>0.2</v>
      </c>
      <c r="E392">
        <f t="shared" si="67"/>
        <v>31</v>
      </c>
      <c r="F392">
        <f>WEEKDAY(A392,2)</f>
        <v>5</v>
      </c>
      <c r="G392">
        <f t="shared" si="60"/>
        <v>1</v>
      </c>
      <c r="H392">
        <f t="shared" si="61"/>
        <v>180</v>
      </c>
      <c r="I392">
        <f t="shared" si="62"/>
        <v>0</v>
      </c>
      <c r="J392">
        <f t="shared" si="68"/>
        <v>0</v>
      </c>
      <c r="K392">
        <f t="shared" si="63"/>
        <v>31</v>
      </c>
      <c r="L392">
        <f t="shared" si="64"/>
        <v>23950</v>
      </c>
      <c r="M392">
        <f t="shared" si="65"/>
        <v>180</v>
      </c>
      <c r="N392">
        <f t="shared" si="69"/>
        <v>0</v>
      </c>
    </row>
    <row r="393" spans="1:14" x14ac:dyDescent="0.25">
      <c r="A393" s="1">
        <v>45318</v>
      </c>
      <c r="B393" t="s">
        <v>2</v>
      </c>
      <c r="C393">
        <f t="shared" si="66"/>
        <v>23950</v>
      </c>
      <c r="D393">
        <f>IF(B393="zima",20%,IF(B393="wiosna",50%,IF(B393="lato",90%,40%)))</f>
        <v>0.2</v>
      </c>
      <c r="E393">
        <f t="shared" si="67"/>
        <v>31</v>
      </c>
      <c r="F393">
        <f>WEEKDAY(A393,2)</f>
        <v>6</v>
      </c>
      <c r="G393">
        <f t="shared" si="60"/>
        <v>0</v>
      </c>
      <c r="H393">
        <f t="shared" si="61"/>
        <v>0</v>
      </c>
      <c r="I393">
        <f t="shared" si="62"/>
        <v>0</v>
      </c>
      <c r="J393">
        <f t="shared" si="68"/>
        <v>0</v>
      </c>
      <c r="K393">
        <f t="shared" si="63"/>
        <v>31</v>
      </c>
      <c r="L393">
        <f t="shared" si="64"/>
        <v>23950</v>
      </c>
      <c r="M393">
        <f t="shared" si="65"/>
        <v>0</v>
      </c>
      <c r="N393">
        <f t="shared" si="69"/>
        <v>0</v>
      </c>
    </row>
    <row r="394" spans="1:14" x14ac:dyDescent="0.25">
      <c r="A394" s="1">
        <v>45319</v>
      </c>
      <c r="B394" t="s">
        <v>2</v>
      </c>
      <c r="C394">
        <f t="shared" si="66"/>
        <v>23950</v>
      </c>
      <c r="D394">
        <f>IF(B394="zima",20%,IF(B394="wiosna",50%,IF(B394="lato",90%,40%)))</f>
        <v>0.2</v>
      </c>
      <c r="E394">
        <f t="shared" si="67"/>
        <v>31</v>
      </c>
      <c r="F394">
        <f>WEEKDAY(A394,2)</f>
        <v>7</v>
      </c>
      <c r="G394">
        <f t="shared" si="60"/>
        <v>0</v>
      </c>
      <c r="H394">
        <f t="shared" si="61"/>
        <v>0</v>
      </c>
      <c r="I394">
        <f t="shared" si="62"/>
        <v>465</v>
      </c>
      <c r="J394">
        <f t="shared" si="68"/>
        <v>0</v>
      </c>
      <c r="K394">
        <f t="shared" si="63"/>
        <v>31</v>
      </c>
      <c r="L394">
        <f t="shared" si="64"/>
        <v>23485</v>
      </c>
      <c r="M394">
        <f t="shared" si="65"/>
        <v>0</v>
      </c>
      <c r="N394">
        <f t="shared" si="69"/>
        <v>465</v>
      </c>
    </row>
    <row r="395" spans="1:14" x14ac:dyDescent="0.25">
      <c r="A395" s="1">
        <v>45320</v>
      </c>
      <c r="B395" t="s">
        <v>2</v>
      </c>
      <c r="C395">
        <f t="shared" si="66"/>
        <v>23485</v>
      </c>
      <c r="D395">
        <f>IF(B395="zima",20%,IF(B395="wiosna",50%,IF(B395="lato",90%,40%)))</f>
        <v>0.2</v>
      </c>
      <c r="E395">
        <f t="shared" si="67"/>
        <v>31</v>
      </c>
      <c r="F395">
        <f>WEEKDAY(A395,2)</f>
        <v>1</v>
      </c>
      <c r="G395">
        <f t="shared" si="60"/>
        <v>1</v>
      </c>
      <c r="H395">
        <f t="shared" si="61"/>
        <v>180</v>
      </c>
      <c r="I395">
        <f t="shared" si="62"/>
        <v>0</v>
      </c>
      <c r="J395">
        <f t="shared" si="68"/>
        <v>0</v>
      </c>
      <c r="K395">
        <f t="shared" si="63"/>
        <v>31</v>
      </c>
      <c r="L395">
        <f t="shared" si="64"/>
        <v>23665</v>
      </c>
      <c r="M395">
        <f t="shared" si="65"/>
        <v>180</v>
      </c>
      <c r="N395">
        <f t="shared" si="69"/>
        <v>0</v>
      </c>
    </row>
    <row r="396" spans="1:14" x14ac:dyDescent="0.25">
      <c r="A396" s="1">
        <v>45321</v>
      </c>
      <c r="B396" t="s">
        <v>2</v>
      </c>
      <c r="C396">
        <f t="shared" si="66"/>
        <v>23665</v>
      </c>
      <c r="D396">
        <f>IF(B396="zima",20%,IF(B396="wiosna",50%,IF(B396="lato",90%,40%)))</f>
        <v>0.2</v>
      </c>
      <c r="E396">
        <f t="shared" si="67"/>
        <v>31</v>
      </c>
      <c r="F396">
        <f>WEEKDAY(A396,2)</f>
        <v>2</v>
      </c>
      <c r="G396">
        <f t="shared" si="60"/>
        <v>1</v>
      </c>
      <c r="H396">
        <f t="shared" si="61"/>
        <v>180</v>
      </c>
      <c r="I396">
        <f t="shared" si="62"/>
        <v>0</v>
      </c>
      <c r="J396">
        <f t="shared" si="68"/>
        <v>0</v>
      </c>
      <c r="K396">
        <f t="shared" si="63"/>
        <v>31</v>
      </c>
      <c r="L396">
        <f t="shared" si="64"/>
        <v>23845</v>
      </c>
      <c r="M396">
        <f t="shared" si="65"/>
        <v>180</v>
      </c>
      <c r="N396">
        <f t="shared" si="69"/>
        <v>0</v>
      </c>
    </row>
    <row r="397" spans="1:14" x14ac:dyDescent="0.25">
      <c r="A397" s="1">
        <v>45322</v>
      </c>
      <c r="B397" t="s">
        <v>2</v>
      </c>
      <c r="C397">
        <f t="shared" si="66"/>
        <v>23845</v>
      </c>
      <c r="D397">
        <f>IF(B397="zima",20%,IF(B397="wiosna",50%,IF(B397="lato",90%,40%)))</f>
        <v>0.2</v>
      </c>
      <c r="E397">
        <f t="shared" si="67"/>
        <v>31</v>
      </c>
      <c r="F397">
        <f>WEEKDAY(A397,2)</f>
        <v>3</v>
      </c>
      <c r="G397">
        <f t="shared" si="60"/>
        <v>1</v>
      </c>
      <c r="H397">
        <f t="shared" si="61"/>
        <v>180</v>
      </c>
      <c r="I397">
        <f t="shared" si="62"/>
        <v>0</v>
      </c>
      <c r="J397">
        <f t="shared" si="68"/>
        <v>2400</v>
      </c>
      <c r="K397">
        <f t="shared" si="63"/>
        <v>34</v>
      </c>
      <c r="L397">
        <f t="shared" si="64"/>
        <v>21625</v>
      </c>
      <c r="M397">
        <f t="shared" si="65"/>
        <v>180</v>
      </c>
      <c r="N397">
        <f t="shared" si="69"/>
        <v>2400</v>
      </c>
    </row>
    <row r="398" spans="1:14" x14ac:dyDescent="0.25">
      <c r="A398" s="1">
        <v>45323</v>
      </c>
      <c r="B398" t="s">
        <v>2</v>
      </c>
      <c r="C398">
        <f t="shared" si="66"/>
        <v>21625</v>
      </c>
      <c r="D398">
        <f>IF(B398="zima",20%,IF(B398="wiosna",50%,IF(B398="lato",90%,40%)))</f>
        <v>0.2</v>
      </c>
      <c r="E398">
        <f t="shared" si="67"/>
        <v>34</v>
      </c>
      <c r="F398">
        <f>WEEKDAY(A398,2)</f>
        <v>4</v>
      </c>
      <c r="G398">
        <f t="shared" si="60"/>
        <v>1</v>
      </c>
      <c r="H398">
        <f t="shared" si="61"/>
        <v>180</v>
      </c>
      <c r="I398">
        <f t="shared" si="62"/>
        <v>0</v>
      </c>
      <c r="J398">
        <f t="shared" si="68"/>
        <v>0</v>
      </c>
      <c r="K398">
        <f t="shared" si="63"/>
        <v>34</v>
      </c>
      <c r="L398">
        <f t="shared" si="64"/>
        <v>21805</v>
      </c>
      <c r="M398">
        <f t="shared" si="65"/>
        <v>180</v>
      </c>
      <c r="N398">
        <f t="shared" si="69"/>
        <v>0</v>
      </c>
    </row>
    <row r="399" spans="1:14" x14ac:dyDescent="0.25">
      <c r="A399" s="1">
        <v>45324</v>
      </c>
      <c r="B399" t="s">
        <v>2</v>
      </c>
      <c r="C399">
        <f t="shared" si="66"/>
        <v>21805</v>
      </c>
      <c r="D399">
        <f>IF(B399="zima",20%,IF(B399="wiosna",50%,IF(B399="lato",90%,40%)))</f>
        <v>0.2</v>
      </c>
      <c r="E399">
        <f t="shared" si="67"/>
        <v>34</v>
      </c>
      <c r="F399">
        <f>WEEKDAY(A399,2)</f>
        <v>5</v>
      </c>
      <c r="G399">
        <f t="shared" si="60"/>
        <v>1</v>
      </c>
      <c r="H399">
        <f t="shared" si="61"/>
        <v>180</v>
      </c>
      <c r="I399">
        <f t="shared" si="62"/>
        <v>0</v>
      </c>
      <c r="J399">
        <f t="shared" si="68"/>
        <v>0</v>
      </c>
      <c r="K399">
        <f t="shared" si="63"/>
        <v>34</v>
      </c>
      <c r="L399">
        <f t="shared" si="64"/>
        <v>21985</v>
      </c>
      <c r="M399">
        <f t="shared" si="65"/>
        <v>180</v>
      </c>
      <c r="N399">
        <f t="shared" si="69"/>
        <v>0</v>
      </c>
    </row>
    <row r="400" spans="1:14" x14ac:dyDescent="0.25">
      <c r="A400" s="1">
        <v>45325</v>
      </c>
      <c r="B400" t="s">
        <v>2</v>
      </c>
      <c r="C400">
        <f t="shared" si="66"/>
        <v>21985</v>
      </c>
      <c r="D400">
        <f>IF(B400="zima",20%,IF(B400="wiosna",50%,IF(B400="lato",90%,40%)))</f>
        <v>0.2</v>
      </c>
      <c r="E400">
        <f t="shared" si="67"/>
        <v>34</v>
      </c>
      <c r="F400">
        <f>WEEKDAY(A400,2)</f>
        <v>6</v>
      </c>
      <c r="G400">
        <f t="shared" si="60"/>
        <v>0</v>
      </c>
      <c r="H400">
        <f t="shared" si="61"/>
        <v>0</v>
      </c>
      <c r="I400">
        <f t="shared" si="62"/>
        <v>0</v>
      </c>
      <c r="J400">
        <f t="shared" si="68"/>
        <v>0</v>
      </c>
      <c r="K400">
        <f t="shared" si="63"/>
        <v>34</v>
      </c>
      <c r="L400">
        <f t="shared" si="64"/>
        <v>21985</v>
      </c>
      <c r="M400">
        <f t="shared" si="65"/>
        <v>0</v>
      </c>
      <c r="N400">
        <f t="shared" si="69"/>
        <v>0</v>
      </c>
    </row>
    <row r="401" spans="1:14" x14ac:dyDescent="0.25">
      <c r="A401" s="1">
        <v>45326</v>
      </c>
      <c r="B401" t="s">
        <v>2</v>
      </c>
      <c r="C401">
        <f t="shared" si="66"/>
        <v>21985</v>
      </c>
      <c r="D401">
        <f>IF(B401="zima",20%,IF(B401="wiosna",50%,IF(B401="lato",90%,40%)))</f>
        <v>0.2</v>
      </c>
      <c r="E401">
        <f t="shared" si="67"/>
        <v>34</v>
      </c>
      <c r="F401">
        <f>WEEKDAY(A401,2)</f>
        <v>7</v>
      </c>
      <c r="G401">
        <f t="shared" si="60"/>
        <v>0</v>
      </c>
      <c r="H401">
        <f t="shared" si="61"/>
        <v>0</v>
      </c>
      <c r="I401">
        <f t="shared" si="62"/>
        <v>510</v>
      </c>
      <c r="J401">
        <f t="shared" si="68"/>
        <v>0</v>
      </c>
      <c r="K401">
        <f t="shared" si="63"/>
        <v>34</v>
      </c>
      <c r="L401">
        <f t="shared" si="64"/>
        <v>21475</v>
      </c>
      <c r="M401">
        <f t="shared" si="65"/>
        <v>0</v>
      </c>
      <c r="N401">
        <f t="shared" si="69"/>
        <v>510</v>
      </c>
    </row>
    <row r="402" spans="1:14" x14ac:dyDescent="0.25">
      <c r="A402" s="1">
        <v>45327</v>
      </c>
      <c r="B402" t="s">
        <v>2</v>
      </c>
      <c r="C402">
        <f t="shared" si="66"/>
        <v>21475</v>
      </c>
      <c r="D402">
        <f>IF(B402="zima",20%,IF(B402="wiosna",50%,IF(B402="lato",90%,40%)))</f>
        <v>0.2</v>
      </c>
      <c r="E402">
        <f t="shared" si="67"/>
        <v>34</v>
      </c>
      <c r="F402">
        <f>WEEKDAY(A402,2)</f>
        <v>1</v>
      </c>
      <c r="G402">
        <f t="shared" si="60"/>
        <v>1</v>
      </c>
      <c r="H402">
        <f t="shared" si="61"/>
        <v>180</v>
      </c>
      <c r="I402">
        <f t="shared" si="62"/>
        <v>0</v>
      </c>
      <c r="J402">
        <f t="shared" si="68"/>
        <v>0</v>
      </c>
      <c r="K402">
        <f t="shared" si="63"/>
        <v>34</v>
      </c>
      <c r="L402">
        <f t="shared" si="64"/>
        <v>21655</v>
      </c>
      <c r="M402">
        <f t="shared" si="65"/>
        <v>180</v>
      </c>
      <c r="N402">
        <f t="shared" si="69"/>
        <v>0</v>
      </c>
    </row>
    <row r="403" spans="1:14" x14ac:dyDescent="0.25">
      <c r="A403" s="1">
        <v>45328</v>
      </c>
      <c r="B403" t="s">
        <v>2</v>
      </c>
      <c r="C403">
        <f t="shared" si="66"/>
        <v>21655</v>
      </c>
      <c r="D403">
        <f>IF(B403="zima",20%,IF(B403="wiosna",50%,IF(B403="lato",90%,40%)))</f>
        <v>0.2</v>
      </c>
      <c r="E403">
        <f t="shared" si="67"/>
        <v>34</v>
      </c>
      <c r="F403">
        <f>WEEKDAY(A403,2)</f>
        <v>2</v>
      </c>
      <c r="G403">
        <f t="shared" si="60"/>
        <v>1</v>
      </c>
      <c r="H403">
        <f t="shared" si="61"/>
        <v>180</v>
      </c>
      <c r="I403">
        <f t="shared" si="62"/>
        <v>0</v>
      </c>
      <c r="J403">
        <f t="shared" si="68"/>
        <v>0</v>
      </c>
      <c r="K403">
        <f t="shared" si="63"/>
        <v>34</v>
      </c>
      <c r="L403">
        <f t="shared" si="64"/>
        <v>21835</v>
      </c>
      <c r="M403">
        <f t="shared" si="65"/>
        <v>180</v>
      </c>
      <c r="N403">
        <f t="shared" si="69"/>
        <v>0</v>
      </c>
    </row>
    <row r="404" spans="1:14" x14ac:dyDescent="0.25">
      <c r="A404" s="1">
        <v>45329</v>
      </c>
      <c r="B404" t="s">
        <v>2</v>
      </c>
      <c r="C404">
        <f t="shared" si="66"/>
        <v>21835</v>
      </c>
      <c r="D404">
        <f>IF(B404="zima",20%,IF(B404="wiosna",50%,IF(B404="lato",90%,40%)))</f>
        <v>0.2</v>
      </c>
      <c r="E404">
        <f t="shared" si="67"/>
        <v>34</v>
      </c>
      <c r="F404">
        <f>WEEKDAY(A404,2)</f>
        <v>3</v>
      </c>
      <c r="G404">
        <f t="shared" si="60"/>
        <v>1</v>
      </c>
      <c r="H404">
        <f t="shared" si="61"/>
        <v>180</v>
      </c>
      <c r="I404">
        <f t="shared" si="62"/>
        <v>0</v>
      </c>
      <c r="J404">
        <f t="shared" si="68"/>
        <v>0</v>
      </c>
      <c r="K404">
        <f t="shared" si="63"/>
        <v>34</v>
      </c>
      <c r="L404">
        <f t="shared" si="64"/>
        <v>22015</v>
      </c>
      <c r="M404">
        <f t="shared" si="65"/>
        <v>180</v>
      </c>
      <c r="N404">
        <f t="shared" si="69"/>
        <v>0</v>
      </c>
    </row>
    <row r="405" spans="1:14" x14ac:dyDescent="0.25">
      <c r="A405" s="1">
        <v>45330</v>
      </c>
      <c r="B405" t="s">
        <v>2</v>
      </c>
      <c r="C405">
        <f t="shared" si="66"/>
        <v>22015</v>
      </c>
      <c r="D405">
        <f>IF(B405="zima",20%,IF(B405="wiosna",50%,IF(B405="lato",90%,40%)))</f>
        <v>0.2</v>
      </c>
      <c r="E405">
        <f t="shared" si="67"/>
        <v>34</v>
      </c>
      <c r="F405">
        <f>WEEKDAY(A405,2)</f>
        <v>4</v>
      </c>
      <c r="G405">
        <f t="shared" si="60"/>
        <v>1</v>
      </c>
      <c r="H405">
        <f t="shared" si="61"/>
        <v>180</v>
      </c>
      <c r="I405">
        <f t="shared" si="62"/>
        <v>0</v>
      </c>
      <c r="J405">
        <f t="shared" si="68"/>
        <v>0</v>
      </c>
      <c r="K405">
        <f t="shared" si="63"/>
        <v>34</v>
      </c>
      <c r="L405">
        <f t="shared" si="64"/>
        <v>22195</v>
      </c>
      <c r="M405">
        <f t="shared" si="65"/>
        <v>180</v>
      </c>
      <c r="N405">
        <f t="shared" si="69"/>
        <v>0</v>
      </c>
    </row>
    <row r="406" spans="1:14" x14ac:dyDescent="0.25">
      <c r="A406" s="1">
        <v>45331</v>
      </c>
      <c r="B406" t="s">
        <v>2</v>
      </c>
      <c r="C406">
        <f t="shared" si="66"/>
        <v>22195</v>
      </c>
      <c r="D406">
        <f>IF(B406="zima",20%,IF(B406="wiosna",50%,IF(B406="lato",90%,40%)))</f>
        <v>0.2</v>
      </c>
      <c r="E406">
        <f t="shared" si="67"/>
        <v>34</v>
      </c>
      <c r="F406">
        <f>WEEKDAY(A406,2)</f>
        <v>5</v>
      </c>
      <c r="G406">
        <f t="shared" si="60"/>
        <v>1</v>
      </c>
      <c r="H406">
        <f t="shared" si="61"/>
        <v>180</v>
      </c>
      <c r="I406">
        <f t="shared" si="62"/>
        <v>0</v>
      </c>
      <c r="J406">
        <f t="shared" si="68"/>
        <v>0</v>
      </c>
      <c r="K406">
        <f t="shared" si="63"/>
        <v>34</v>
      </c>
      <c r="L406">
        <f t="shared" si="64"/>
        <v>22375</v>
      </c>
      <c r="M406">
        <f t="shared" si="65"/>
        <v>180</v>
      </c>
      <c r="N406">
        <f t="shared" si="69"/>
        <v>0</v>
      </c>
    </row>
    <row r="407" spans="1:14" x14ac:dyDescent="0.25">
      <c r="A407" s="1">
        <v>45332</v>
      </c>
      <c r="B407" t="s">
        <v>2</v>
      </c>
      <c r="C407">
        <f t="shared" si="66"/>
        <v>22375</v>
      </c>
      <c r="D407">
        <f>IF(B407="zima",20%,IF(B407="wiosna",50%,IF(B407="lato",90%,40%)))</f>
        <v>0.2</v>
      </c>
      <c r="E407">
        <f t="shared" si="67"/>
        <v>34</v>
      </c>
      <c r="F407">
        <f>WEEKDAY(A407,2)</f>
        <v>6</v>
      </c>
      <c r="G407">
        <f t="shared" si="60"/>
        <v>0</v>
      </c>
      <c r="H407">
        <f t="shared" si="61"/>
        <v>0</v>
      </c>
      <c r="I407">
        <f t="shared" si="62"/>
        <v>0</v>
      </c>
      <c r="J407">
        <f t="shared" si="68"/>
        <v>0</v>
      </c>
      <c r="K407">
        <f t="shared" si="63"/>
        <v>34</v>
      </c>
      <c r="L407">
        <f t="shared" si="64"/>
        <v>22375</v>
      </c>
      <c r="M407">
        <f t="shared" si="65"/>
        <v>0</v>
      </c>
      <c r="N407">
        <f t="shared" si="69"/>
        <v>0</v>
      </c>
    </row>
    <row r="408" spans="1:14" x14ac:dyDescent="0.25">
      <c r="A408" s="1">
        <v>45333</v>
      </c>
      <c r="B408" t="s">
        <v>2</v>
      </c>
      <c r="C408">
        <f t="shared" si="66"/>
        <v>22375</v>
      </c>
      <c r="D408">
        <f>IF(B408="zima",20%,IF(B408="wiosna",50%,IF(B408="lato",90%,40%)))</f>
        <v>0.2</v>
      </c>
      <c r="E408">
        <f t="shared" si="67"/>
        <v>34</v>
      </c>
      <c r="F408">
        <f>WEEKDAY(A408,2)</f>
        <v>7</v>
      </c>
      <c r="G408">
        <f t="shared" si="60"/>
        <v>0</v>
      </c>
      <c r="H408">
        <f t="shared" si="61"/>
        <v>0</v>
      </c>
      <c r="I408">
        <f t="shared" si="62"/>
        <v>510</v>
      </c>
      <c r="J408">
        <f t="shared" si="68"/>
        <v>0</v>
      </c>
      <c r="K408">
        <f t="shared" si="63"/>
        <v>34</v>
      </c>
      <c r="L408">
        <f t="shared" si="64"/>
        <v>21865</v>
      </c>
      <c r="M408">
        <f t="shared" si="65"/>
        <v>0</v>
      </c>
      <c r="N408">
        <f t="shared" si="69"/>
        <v>510</v>
      </c>
    </row>
    <row r="409" spans="1:14" x14ac:dyDescent="0.25">
      <c r="A409" s="1">
        <v>45334</v>
      </c>
      <c r="B409" t="s">
        <v>2</v>
      </c>
      <c r="C409">
        <f t="shared" si="66"/>
        <v>21865</v>
      </c>
      <c r="D409">
        <f>IF(B409="zima",20%,IF(B409="wiosna",50%,IF(B409="lato",90%,40%)))</f>
        <v>0.2</v>
      </c>
      <c r="E409">
        <f t="shared" si="67"/>
        <v>34</v>
      </c>
      <c r="F409">
        <f>WEEKDAY(A409,2)</f>
        <v>1</v>
      </c>
      <c r="G409">
        <f t="shared" si="60"/>
        <v>1</v>
      </c>
      <c r="H409">
        <f t="shared" si="61"/>
        <v>180</v>
      </c>
      <c r="I409">
        <f t="shared" si="62"/>
        <v>0</v>
      </c>
      <c r="J409">
        <f t="shared" si="68"/>
        <v>0</v>
      </c>
      <c r="K409">
        <f t="shared" si="63"/>
        <v>34</v>
      </c>
      <c r="L409">
        <f t="shared" si="64"/>
        <v>22045</v>
      </c>
      <c r="M409">
        <f t="shared" si="65"/>
        <v>180</v>
      </c>
      <c r="N409">
        <f t="shared" si="69"/>
        <v>0</v>
      </c>
    </row>
    <row r="410" spans="1:14" x14ac:dyDescent="0.25">
      <c r="A410" s="1">
        <v>45335</v>
      </c>
      <c r="B410" t="s">
        <v>2</v>
      </c>
      <c r="C410">
        <f t="shared" si="66"/>
        <v>22045</v>
      </c>
      <c r="D410">
        <f>IF(B410="zima",20%,IF(B410="wiosna",50%,IF(B410="lato",90%,40%)))</f>
        <v>0.2</v>
      </c>
      <c r="E410">
        <f t="shared" si="67"/>
        <v>34</v>
      </c>
      <c r="F410">
        <f>WEEKDAY(A410,2)</f>
        <v>2</v>
      </c>
      <c r="G410">
        <f t="shared" si="60"/>
        <v>1</v>
      </c>
      <c r="H410">
        <f t="shared" si="61"/>
        <v>180</v>
      </c>
      <c r="I410">
        <f t="shared" si="62"/>
        <v>0</v>
      </c>
      <c r="J410">
        <f t="shared" si="68"/>
        <v>0</v>
      </c>
      <c r="K410">
        <f t="shared" si="63"/>
        <v>34</v>
      </c>
      <c r="L410">
        <f t="shared" si="64"/>
        <v>22225</v>
      </c>
      <c r="M410">
        <f t="shared" si="65"/>
        <v>180</v>
      </c>
      <c r="N410">
        <f t="shared" si="69"/>
        <v>0</v>
      </c>
    </row>
    <row r="411" spans="1:14" x14ac:dyDescent="0.25">
      <c r="A411" s="1">
        <v>45336</v>
      </c>
      <c r="B411" t="s">
        <v>2</v>
      </c>
      <c r="C411">
        <f t="shared" si="66"/>
        <v>22225</v>
      </c>
      <c r="D411">
        <f>IF(B411="zima",20%,IF(B411="wiosna",50%,IF(B411="lato",90%,40%)))</f>
        <v>0.2</v>
      </c>
      <c r="E411">
        <f t="shared" si="67"/>
        <v>34</v>
      </c>
      <c r="F411">
        <f>WEEKDAY(A411,2)</f>
        <v>3</v>
      </c>
      <c r="G411">
        <f t="shared" si="60"/>
        <v>1</v>
      </c>
      <c r="H411">
        <f t="shared" si="61"/>
        <v>180</v>
      </c>
      <c r="I411">
        <f t="shared" si="62"/>
        <v>0</v>
      </c>
      <c r="J411">
        <f t="shared" si="68"/>
        <v>0</v>
      </c>
      <c r="K411">
        <f t="shared" si="63"/>
        <v>34</v>
      </c>
      <c r="L411">
        <f t="shared" si="64"/>
        <v>22405</v>
      </c>
      <c r="M411">
        <f t="shared" si="65"/>
        <v>180</v>
      </c>
      <c r="N411">
        <f t="shared" si="69"/>
        <v>0</v>
      </c>
    </row>
    <row r="412" spans="1:14" x14ac:dyDescent="0.25">
      <c r="A412" s="1">
        <v>45337</v>
      </c>
      <c r="B412" t="s">
        <v>2</v>
      </c>
      <c r="C412">
        <f t="shared" si="66"/>
        <v>22405</v>
      </c>
      <c r="D412">
        <f>IF(B412="zima",20%,IF(B412="wiosna",50%,IF(B412="lato",90%,40%)))</f>
        <v>0.2</v>
      </c>
      <c r="E412">
        <f t="shared" si="67"/>
        <v>34</v>
      </c>
      <c r="F412">
        <f>WEEKDAY(A412,2)</f>
        <v>4</v>
      </c>
      <c r="G412">
        <f t="shared" si="60"/>
        <v>1</v>
      </c>
      <c r="H412">
        <f t="shared" si="61"/>
        <v>180</v>
      </c>
      <c r="I412">
        <f t="shared" si="62"/>
        <v>0</v>
      </c>
      <c r="J412">
        <f t="shared" si="68"/>
        <v>0</v>
      </c>
      <c r="K412">
        <f t="shared" si="63"/>
        <v>34</v>
      </c>
      <c r="L412">
        <f t="shared" si="64"/>
        <v>22585</v>
      </c>
      <c r="M412">
        <f t="shared" si="65"/>
        <v>180</v>
      </c>
      <c r="N412">
        <f t="shared" si="69"/>
        <v>0</v>
      </c>
    </row>
    <row r="413" spans="1:14" x14ac:dyDescent="0.25">
      <c r="A413" s="1">
        <v>45338</v>
      </c>
      <c r="B413" t="s">
        <v>2</v>
      </c>
      <c r="C413">
        <f t="shared" si="66"/>
        <v>22585</v>
      </c>
      <c r="D413">
        <f>IF(B413="zima",20%,IF(B413="wiosna",50%,IF(B413="lato",90%,40%)))</f>
        <v>0.2</v>
      </c>
      <c r="E413">
        <f t="shared" si="67"/>
        <v>34</v>
      </c>
      <c r="F413">
        <f>WEEKDAY(A413,2)</f>
        <v>5</v>
      </c>
      <c r="G413">
        <f t="shared" si="60"/>
        <v>1</v>
      </c>
      <c r="H413">
        <f t="shared" si="61"/>
        <v>180</v>
      </c>
      <c r="I413">
        <f t="shared" si="62"/>
        <v>0</v>
      </c>
      <c r="J413">
        <f t="shared" si="68"/>
        <v>0</v>
      </c>
      <c r="K413">
        <f t="shared" si="63"/>
        <v>34</v>
      </c>
      <c r="L413">
        <f t="shared" si="64"/>
        <v>22765</v>
      </c>
      <c r="M413">
        <f t="shared" si="65"/>
        <v>180</v>
      </c>
      <c r="N413">
        <f t="shared" si="69"/>
        <v>0</v>
      </c>
    </row>
    <row r="414" spans="1:14" x14ac:dyDescent="0.25">
      <c r="A414" s="1">
        <v>45339</v>
      </c>
      <c r="B414" t="s">
        <v>2</v>
      </c>
      <c r="C414">
        <f t="shared" si="66"/>
        <v>22765</v>
      </c>
      <c r="D414">
        <f>IF(B414="zima",20%,IF(B414="wiosna",50%,IF(B414="lato",90%,40%)))</f>
        <v>0.2</v>
      </c>
      <c r="E414">
        <f t="shared" si="67"/>
        <v>34</v>
      </c>
      <c r="F414">
        <f>WEEKDAY(A414,2)</f>
        <v>6</v>
      </c>
      <c r="G414">
        <f t="shared" si="60"/>
        <v>0</v>
      </c>
      <c r="H414">
        <f t="shared" si="61"/>
        <v>0</v>
      </c>
      <c r="I414">
        <f t="shared" si="62"/>
        <v>0</v>
      </c>
      <c r="J414">
        <f t="shared" si="68"/>
        <v>0</v>
      </c>
      <c r="K414">
        <f t="shared" si="63"/>
        <v>34</v>
      </c>
      <c r="L414">
        <f t="shared" si="64"/>
        <v>22765</v>
      </c>
      <c r="M414">
        <f t="shared" si="65"/>
        <v>0</v>
      </c>
      <c r="N414">
        <f t="shared" si="69"/>
        <v>0</v>
      </c>
    </row>
    <row r="415" spans="1:14" x14ac:dyDescent="0.25">
      <c r="A415" s="1">
        <v>45340</v>
      </c>
      <c r="B415" t="s">
        <v>2</v>
      </c>
      <c r="C415">
        <f t="shared" si="66"/>
        <v>22765</v>
      </c>
      <c r="D415">
        <f>IF(B415="zima",20%,IF(B415="wiosna",50%,IF(B415="lato",90%,40%)))</f>
        <v>0.2</v>
      </c>
      <c r="E415">
        <f t="shared" si="67"/>
        <v>34</v>
      </c>
      <c r="F415">
        <f>WEEKDAY(A415,2)</f>
        <v>7</v>
      </c>
      <c r="G415">
        <f t="shared" si="60"/>
        <v>0</v>
      </c>
      <c r="H415">
        <f t="shared" si="61"/>
        <v>0</v>
      </c>
      <c r="I415">
        <f t="shared" si="62"/>
        <v>510</v>
      </c>
      <c r="J415">
        <f t="shared" si="68"/>
        <v>0</v>
      </c>
      <c r="K415">
        <f t="shared" si="63"/>
        <v>34</v>
      </c>
      <c r="L415">
        <f t="shared" si="64"/>
        <v>22255</v>
      </c>
      <c r="M415">
        <f t="shared" si="65"/>
        <v>0</v>
      </c>
      <c r="N415">
        <f t="shared" si="69"/>
        <v>510</v>
      </c>
    </row>
    <row r="416" spans="1:14" x14ac:dyDescent="0.25">
      <c r="A416" s="1">
        <v>45341</v>
      </c>
      <c r="B416" t="s">
        <v>2</v>
      </c>
      <c r="C416">
        <f t="shared" si="66"/>
        <v>22255</v>
      </c>
      <c r="D416">
        <f>IF(B416="zima",20%,IF(B416="wiosna",50%,IF(B416="lato",90%,40%)))</f>
        <v>0.2</v>
      </c>
      <c r="E416">
        <f t="shared" si="67"/>
        <v>34</v>
      </c>
      <c r="F416">
        <f>WEEKDAY(A416,2)</f>
        <v>1</v>
      </c>
      <c r="G416">
        <f t="shared" si="60"/>
        <v>1</v>
      </c>
      <c r="H416">
        <f t="shared" si="61"/>
        <v>180</v>
      </c>
      <c r="I416">
        <f t="shared" si="62"/>
        <v>0</v>
      </c>
      <c r="J416">
        <f t="shared" si="68"/>
        <v>0</v>
      </c>
      <c r="K416">
        <f t="shared" si="63"/>
        <v>34</v>
      </c>
      <c r="L416">
        <f t="shared" si="64"/>
        <v>22435</v>
      </c>
      <c r="M416">
        <f t="shared" si="65"/>
        <v>180</v>
      </c>
      <c r="N416">
        <f t="shared" si="69"/>
        <v>0</v>
      </c>
    </row>
    <row r="417" spans="1:14" x14ac:dyDescent="0.25">
      <c r="A417" s="1">
        <v>45342</v>
      </c>
      <c r="B417" t="s">
        <v>2</v>
      </c>
      <c r="C417">
        <f t="shared" si="66"/>
        <v>22435</v>
      </c>
      <c r="D417">
        <f>IF(B417="zima",20%,IF(B417="wiosna",50%,IF(B417="lato",90%,40%)))</f>
        <v>0.2</v>
      </c>
      <c r="E417">
        <f t="shared" si="67"/>
        <v>34</v>
      </c>
      <c r="F417">
        <f>WEEKDAY(A417,2)</f>
        <v>2</v>
      </c>
      <c r="G417">
        <f t="shared" si="60"/>
        <v>1</v>
      </c>
      <c r="H417">
        <f t="shared" si="61"/>
        <v>180</v>
      </c>
      <c r="I417">
        <f t="shared" si="62"/>
        <v>0</v>
      </c>
      <c r="J417">
        <f t="shared" si="68"/>
        <v>0</v>
      </c>
      <c r="K417">
        <f t="shared" si="63"/>
        <v>34</v>
      </c>
      <c r="L417">
        <f t="shared" si="64"/>
        <v>22615</v>
      </c>
      <c r="M417">
        <f t="shared" si="65"/>
        <v>180</v>
      </c>
      <c r="N417">
        <f t="shared" si="69"/>
        <v>0</v>
      </c>
    </row>
    <row r="418" spans="1:14" x14ac:dyDescent="0.25">
      <c r="A418" s="1">
        <v>45343</v>
      </c>
      <c r="B418" t="s">
        <v>2</v>
      </c>
      <c r="C418">
        <f t="shared" si="66"/>
        <v>22615</v>
      </c>
      <c r="D418">
        <f>IF(B418="zima",20%,IF(B418="wiosna",50%,IF(B418="lato",90%,40%)))</f>
        <v>0.2</v>
      </c>
      <c r="E418">
        <f t="shared" si="67"/>
        <v>34</v>
      </c>
      <c r="F418">
        <f>WEEKDAY(A418,2)</f>
        <v>3</v>
      </c>
      <c r="G418">
        <f t="shared" si="60"/>
        <v>1</v>
      </c>
      <c r="H418">
        <f t="shared" si="61"/>
        <v>180</v>
      </c>
      <c r="I418">
        <f t="shared" si="62"/>
        <v>0</v>
      </c>
      <c r="J418">
        <f t="shared" si="68"/>
        <v>0</v>
      </c>
      <c r="K418">
        <f t="shared" si="63"/>
        <v>34</v>
      </c>
      <c r="L418">
        <f t="shared" si="64"/>
        <v>22795</v>
      </c>
      <c r="M418">
        <f t="shared" si="65"/>
        <v>180</v>
      </c>
      <c r="N418">
        <f t="shared" si="69"/>
        <v>0</v>
      </c>
    </row>
    <row r="419" spans="1:14" x14ac:dyDescent="0.25">
      <c r="A419" s="1">
        <v>45344</v>
      </c>
      <c r="B419" t="s">
        <v>2</v>
      </c>
      <c r="C419">
        <f t="shared" si="66"/>
        <v>22795</v>
      </c>
      <c r="D419">
        <f>IF(B419="zima",20%,IF(B419="wiosna",50%,IF(B419="lato",90%,40%)))</f>
        <v>0.2</v>
      </c>
      <c r="E419">
        <f t="shared" si="67"/>
        <v>34</v>
      </c>
      <c r="F419">
        <f>WEEKDAY(A419,2)</f>
        <v>4</v>
      </c>
      <c r="G419">
        <f t="shared" si="60"/>
        <v>1</v>
      </c>
      <c r="H419">
        <f t="shared" si="61"/>
        <v>180</v>
      </c>
      <c r="I419">
        <f t="shared" si="62"/>
        <v>0</v>
      </c>
      <c r="J419">
        <f t="shared" si="68"/>
        <v>0</v>
      </c>
      <c r="K419">
        <f t="shared" si="63"/>
        <v>34</v>
      </c>
      <c r="L419">
        <f t="shared" si="64"/>
        <v>22975</v>
      </c>
      <c r="M419">
        <f t="shared" si="65"/>
        <v>180</v>
      </c>
      <c r="N419">
        <f t="shared" si="69"/>
        <v>0</v>
      </c>
    </row>
    <row r="420" spans="1:14" x14ac:dyDescent="0.25">
      <c r="A420" s="1">
        <v>45345</v>
      </c>
      <c r="B420" t="s">
        <v>2</v>
      </c>
      <c r="C420">
        <f t="shared" si="66"/>
        <v>22975</v>
      </c>
      <c r="D420">
        <f>IF(B420="zima",20%,IF(B420="wiosna",50%,IF(B420="lato",90%,40%)))</f>
        <v>0.2</v>
      </c>
      <c r="E420">
        <f t="shared" si="67"/>
        <v>34</v>
      </c>
      <c r="F420">
        <f>WEEKDAY(A420,2)</f>
        <v>5</v>
      </c>
      <c r="G420">
        <f t="shared" si="60"/>
        <v>1</v>
      </c>
      <c r="H420">
        <f t="shared" si="61"/>
        <v>180</v>
      </c>
      <c r="I420">
        <f t="shared" si="62"/>
        <v>0</v>
      </c>
      <c r="J420">
        <f t="shared" si="68"/>
        <v>0</v>
      </c>
      <c r="K420">
        <f t="shared" si="63"/>
        <v>34</v>
      </c>
      <c r="L420">
        <f t="shared" si="64"/>
        <v>23155</v>
      </c>
      <c r="M420">
        <f t="shared" si="65"/>
        <v>180</v>
      </c>
      <c r="N420">
        <f t="shared" si="69"/>
        <v>0</v>
      </c>
    </row>
    <row r="421" spans="1:14" x14ac:dyDescent="0.25">
      <c r="A421" s="1">
        <v>45346</v>
      </c>
      <c r="B421" t="s">
        <v>2</v>
      </c>
      <c r="C421">
        <f t="shared" si="66"/>
        <v>23155</v>
      </c>
      <c r="D421">
        <f>IF(B421="zima",20%,IF(B421="wiosna",50%,IF(B421="lato",90%,40%)))</f>
        <v>0.2</v>
      </c>
      <c r="E421">
        <f t="shared" si="67"/>
        <v>34</v>
      </c>
      <c r="F421">
        <f>WEEKDAY(A421,2)</f>
        <v>6</v>
      </c>
      <c r="G421">
        <f t="shared" si="60"/>
        <v>0</v>
      </c>
      <c r="H421">
        <f t="shared" si="61"/>
        <v>0</v>
      </c>
      <c r="I421">
        <f t="shared" si="62"/>
        <v>0</v>
      </c>
      <c r="J421">
        <f t="shared" si="68"/>
        <v>0</v>
      </c>
      <c r="K421">
        <f t="shared" si="63"/>
        <v>34</v>
      </c>
      <c r="L421">
        <f t="shared" si="64"/>
        <v>23155</v>
      </c>
      <c r="M421">
        <f t="shared" si="65"/>
        <v>0</v>
      </c>
      <c r="N421">
        <f t="shared" si="69"/>
        <v>0</v>
      </c>
    </row>
    <row r="422" spans="1:14" x14ac:dyDescent="0.25">
      <c r="A422" s="1">
        <v>45347</v>
      </c>
      <c r="B422" t="s">
        <v>2</v>
      </c>
      <c r="C422">
        <f t="shared" si="66"/>
        <v>23155</v>
      </c>
      <c r="D422">
        <f>IF(B422="zima",20%,IF(B422="wiosna",50%,IF(B422="lato",90%,40%)))</f>
        <v>0.2</v>
      </c>
      <c r="E422">
        <f t="shared" si="67"/>
        <v>34</v>
      </c>
      <c r="F422">
        <f>WEEKDAY(A422,2)</f>
        <v>7</v>
      </c>
      <c r="G422">
        <f t="shared" si="60"/>
        <v>0</v>
      </c>
      <c r="H422">
        <f t="shared" si="61"/>
        <v>0</v>
      </c>
      <c r="I422">
        <f t="shared" si="62"/>
        <v>510</v>
      </c>
      <c r="J422">
        <f t="shared" si="68"/>
        <v>0</v>
      </c>
      <c r="K422">
        <f t="shared" si="63"/>
        <v>34</v>
      </c>
      <c r="L422">
        <f t="shared" si="64"/>
        <v>22645</v>
      </c>
      <c r="M422">
        <f t="shared" si="65"/>
        <v>0</v>
      </c>
      <c r="N422">
        <f t="shared" si="69"/>
        <v>510</v>
      </c>
    </row>
    <row r="423" spans="1:14" x14ac:dyDescent="0.25">
      <c r="A423" s="1">
        <v>45348</v>
      </c>
      <c r="B423" t="s">
        <v>2</v>
      </c>
      <c r="C423">
        <f t="shared" si="66"/>
        <v>22645</v>
      </c>
      <c r="D423">
        <f>IF(B423="zima",20%,IF(B423="wiosna",50%,IF(B423="lato",90%,40%)))</f>
        <v>0.2</v>
      </c>
      <c r="E423">
        <f t="shared" si="67"/>
        <v>34</v>
      </c>
      <c r="F423">
        <f>WEEKDAY(A423,2)</f>
        <v>1</v>
      </c>
      <c r="G423">
        <f t="shared" si="60"/>
        <v>1</v>
      </c>
      <c r="H423">
        <f t="shared" si="61"/>
        <v>180</v>
      </c>
      <c r="I423">
        <f t="shared" si="62"/>
        <v>0</v>
      </c>
      <c r="J423">
        <f t="shared" si="68"/>
        <v>0</v>
      </c>
      <c r="K423">
        <f t="shared" si="63"/>
        <v>34</v>
      </c>
      <c r="L423">
        <f t="shared" si="64"/>
        <v>22825</v>
      </c>
      <c r="M423">
        <f t="shared" si="65"/>
        <v>180</v>
      </c>
      <c r="N423">
        <f t="shared" si="69"/>
        <v>0</v>
      </c>
    </row>
    <row r="424" spans="1:14" x14ac:dyDescent="0.25">
      <c r="A424" s="1">
        <v>45349</v>
      </c>
      <c r="B424" t="s">
        <v>2</v>
      </c>
      <c r="C424">
        <f t="shared" si="66"/>
        <v>22825</v>
      </c>
      <c r="D424">
        <f>IF(B424="zima",20%,IF(B424="wiosna",50%,IF(B424="lato",90%,40%)))</f>
        <v>0.2</v>
      </c>
      <c r="E424">
        <f t="shared" si="67"/>
        <v>34</v>
      </c>
      <c r="F424">
        <f>WEEKDAY(A424,2)</f>
        <v>2</v>
      </c>
      <c r="G424">
        <f t="shared" si="60"/>
        <v>1</v>
      </c>
      <c r="H424">
        <f t="shared" si="61"/>
        <v>180</v>
      </c>
      <c r="I424">
        <f t="shared" si="62"/>
        <v>0</v>
      </c>
      <c r="J424">
        <f t="shared" si="68"/>
        <v>0</v>
      </c>
      <c r="K424">
        <f t="shared" si="63"/>
        <v>34</v>
      </c>
      <c r="L424">
        <f t="shared" si="64"/>
        <v>23005</v>
      </c>
      <c r="M424">
        <f t="shared" si="65"/>
        <v>180</v>
      </c>
      <c r="N424">
        <f t="shared" si="69"/>
        <v>0</v>
      </c>
    </row>
    <row r="425" spans="1:14" x14ac:dyDescent="0.25">
      <c r="A425" s="1">
        <v>45350</v>
      </c>
      <c r="B425" t="s">
        <v>2</v>
      </c>
      <c r="C425">
        <f t="shared" si="66"/>
        <v>23005</v>
      </c>
      <c r="D425">
        <f>IF(B425="zima",20%,IF(B425="wiosna",50%,IF(B425="lato",90%,40%)))</f>
        <v>0.2</v>
      </c>
      <c r="E425">
        <f t="shared" si="67"/>
        <v>34</v>
      </c>
      <c r="F425">
        <f>WEEKDAY(A425,2)</f>
        <v>3</v>
      </c>
      <c r="G425">
        <f t="shared" si="60"/>
        <v>1</v>
      </c>
      <c r="H425">
        <f t="shared" si="61"/>
        <v>180</v>
      </c>
      <c r="I425">
        <f t="shared" si="62"/>
        <v>0</v>
      </c>
      <c r="J425">
        <f t="shared" si="68"/>
        <v>0</v>
      </c>
      <c r="K425">
        <f t="shared" si="63"/>
        <v>34</v>
      </c>
      <c r="L425">
        <f t="shared" si="64"/>
        <v>23185</v>
      </c>
      <c r="M425">
        <f t="shared" si="65"/>
        <v>180</v>
      </c>
      <c r="N425">
        <f t="shared" si="69"/>
        <v>0</v>
      </c>
    </row>
    <row r="426" spans="1:14" x14ac:dyDescent="0.25">
      <c r="A426" s="1">
        <v>45351</v>
      </c>
      <c r="B426" t="s">
        <v>2</v>
      </c>
      <c r="C426">
        <f t="shared" si="66"/>
        <v>23185</v>
      </c>
      <c r="D426">
        <f>IF(B426="zima",20%,IF(B426="wiosna",50%,IF(B426="lato",90%,40%)))</f>
        <v>0.2</v>
      </c>
      <c r="E426">
        <f t="shared" si="67"/>
        <v>34</v>
      </c>
      <c r="F426">
        <f>WEEKDAY(A426,2)</f>
        <v>4</v>
      </c>
      <c r="G426">
        <f t="shared" si="60"/>
        <v>1</v>
      </c>
      <c r="H426">
        <f t="shared" si="61"/>
        <v>180</v>
      </c>
      <c r="I426">
        <f t="shared" si="62"/>
        <v>0</v>
      </c>
      <c r="J426">
        <f t="shared" si="68"/>
        <v>2400</v>
      </c>
      <c r="K426">
        <f t="shared" si="63"/>
        <v>37</v>
      </c>
      <c r="L426">
        <f t="shared" si="64"/>
        <v>20965</v>
      </c>
      <c r="M426">
        <f t="shared" si="65"/>
        <v>180</v>
      </c>
      <c r="N426">
        <f t="shared" si="69"/>
        <v>2400</v>
      </c>
    </row>
    <row r="427" spans="1:14" x14ac:dyDescent="0.25">
      <c r="A427" s="1">
        <v>45352</v>
      </c>
      <c r="B427" t="s">
        <v>2</v>
      </c>
      <c r="C427">
        <f t="shared" si="66"/>
        <v>20965</v>
      </c>
      <c r="D427">
        <f>IF(B427="zima",20%,IF(B427="wiosna",50%,IF(B427="lato",90%,40%)))</f>
        <v>0.2</v>
      </c>
      <c r="E427">
        <f t="shared" si="67"/>
        <v>37</v>
      </c>
      <c r="F427">
        <f>WEEKDAY(A427,2)</f>
        <v>5</v>
      </c>
      <c r="G427">
        <f t="shared" si="60"/>
        <v>1</v>
      </c>
      <c r="H427">
        <f t="shared" si="61"/>
        <v>210</v>
      </c>
      <c r="I427">
        <f t="shared" si="62"/>
        <v>0</v>
      </c>
      <c r="J427">
        <f t="shared" si="68"/>
        <v>0</v>
      </c>
      <c r="K427">
        <f t="shared" si="63"/>
        <v>37</v>
      </c>
      <c r="L427">
        <f t="shared" si="64"/>
        <v>21175</v>
      </c>
      <c r="M427">
        <f t="shared" si="65"/>
        <v>210</v>
      </c>
      <c r="N427">
        <f t="shared" si="69"/>
        <v>0</v>
      </c>
    </row>
    <row r="428" spans="1:14" x14ac:dyDescent="0.25">
      <c r="A428" s="1">
        <v>45353</v>
      </c>
      <c r="B428" t="s">
        <v>2</v>
      </c>
      <c r="C428">
        <f t="shared" si="66"/>
        <v>21175</v>
      </c>
      <c r="D428">
        <f>IF(B428="zima",20%,IF(B428="wiosna",50%,IF(B428="lato",90%,40%)))</f>
        <v>0.2</v>
      </c>
      <c r="E428">
        <f t="shared" si="67"/>
        <v>37</v>
      </c>
      <c r="F428">
        <f>WEEKDAY(A428,2)</f>
        <v>6</v>
      </c>
      <c r="G428">
        <f t="shared" si="60"/>
        <v>0</v>
      </c>
      <c r="H428">
        <f t="shared" si="61"/>
        <v>0</v>
      </c>
      <c r="I428">
        <f t="shared" si="62"/>
        <v>0</v>
      </c>
      <c r="J428">
        <f t="shared" si="68"/>
        <v>0</v>
      </c>
      <c r="K428">
        <f t="shared" si="63"/>
        <v>37</v>
      </c>
      <c r="L428">
        <f t="shared" si="64"/>
        <v>21175</v>
      </c>
      <c r="M428">
        <f t="shared" si="65"/>
        <v>0</v>
      </c>
      <c r="N428">
        <f t="shared" si="69"/>
        <v>0</v>
      </c>
    </row>
    <row r="429" spans="1:14" x14ac:dyDescent="0.25">
      <c r="A429" s="1">
        <v>45354</v>
      </c>
      <c r="B429" t="s">
        <v>2</v>
      </c>
      <c r="C429">
        <f t="shared" si="66"/>
        <v>21175</v>
      </c>
      <c r="D429">
        <f>IF(B429="zima",20%,IF(B429="wiosna",50%,IF(B429="lato",90%,40%)))</f>
        <v>0.2</v>
      </c>
      <c r="E429">
        <f t="shared" si="67"/>
        <v>37</v>
      </c>
      <c r="F429">
        <f>WEEKDAY(A429,2)</f>
        <v>7</v>
      </c>
      <c r="G429">
        <f t="shared" si="60"/>
        <v>0</v>
      </c>
      <c r="H429">
        <f t="shared" si="61"/>
        <v>0</v>
      </c>
      <c r="I429">
        <f t="shared" si="62"/>
        <v>555</v>
      </c>
      <c r="J429">
        <f t="shared" si="68"/>
        <v>0</v>
      </c>
      <c r="K429">
        <f t="shared" si="63"/>
        <v>37</v>
      </c>
      <c r="L429">
        <f t="shared" si="64"/>
        <v>20620</v>
      </c>
      <c r="M429">
        <f t="shared" si="65"/>
        <v>0</v>
      </c>
      <c r="N429">
        <f t="shared" si="69"/>
        <v>555</v>
      </c>
    </row>
    <row r="430" spans="1:14" x14ac:dyDescent="0.25">
      <c r="A430" s="1">
        <v>45355</v>
      </c>
      <c r="B430" t="s">
        <v>2</v>
      </c>
      <c r="C430">
        <f t="shared" si="66"/>
        <v>20620</v>
      </c>
      <c r="D430">
        <f>IF(B430="zima",20%,IF(B430="wiosna",50%,IF(B430="lato",90%,40%)))</f>
        <v>0.2</v>
      </c>
      <c r="E430">
        <f t="shared" si="67"/>
        <v>37</v>
      </c>
      <c r="F430">
        <f>WEEKDAY(A430,2)</f>
        <v>1</v>
      </c>
      <c r="G430">
        <f t="shared" si="60"/>
        <v>1</v>
      </c>
      <c r="H430">
        <f t="shared" si="61"/>
        <v>210</v>
      </c>
      <c r="I430">
        <f t="shared" si="62"/>
        <v>0</v>
      </c>
      <c r="J430">
        <f t="shared" si="68"/>
        <v>0</v>
      </c>
      <c r="K430">
        <f t="shared" si="63"/>
        <v>37</v>
      </c>
      <c r="L430">
        <f t="shared" si="64"/>
        <v>20830</v>
      </c>
      <c r="M430">
        <f t="shared" si="65"/>
        <v>210</v>
      </c>
      <c r="N430">
        <f t="shared" si="69"/>
        <v>0</v>
      </c>
    </row>
    <row r="431" spans="1:14" x14ac:dyDescent="0.25">
      <c r="A431" s="1">
        <v>45356</v>
      </c>
      <c r="B431" t="s">
        <v>2</v>
      </c>
      <c r="C431">
        <f t="shared" si="66"/>
        <v>20830</v>
      </c>
      <c r="D431">
        <f>IF(B431="zima",20%,IF(B431="wiosna",50%,IF(B431="lato",90%,40%)))</f>
        <v>0.2</v>
      </c>
      <c r="E431">
        <f t="shared" si="67"/>
        <v>37</v>
      </c>
      <c r="F431">
        <f>WEEKDAY(A431,2)</f>
        <v>2</v>
      </c>
      <c r="G431">
        <f t="shared" si="60"/>
        <v>1</v>
      </c>
      <c r="H431">
        <f t="shared" si="61"/>
        <v>210</v>
      </c>
      <c r="I431">
        <f t="shared" si="62"/>
        <v>0</v>
      </c>
      <c r="J431">
        <f t="shared" si="68"/>
        <v>0</v>
      </c>
      <c r="K431">
        <f t="shared" si="63"/>
        <v>37</v>
      </c>
      <c r="L431">
        <f t="shared" si="64"/>
        <v>21040</v>
      </c>
      <c r="M431">
        <f t="shared" si="65"/>
        <v>210</v>
      </c>
      <c r="N431">
        <f t="shared" si="69"/>
        <v>0</v>
      </c>
    </row>
    <row r="432" spans="1:14" x14ac:dyDescent="0.25">
      <c r="A432" s="1">
        <v>45357</v>
      </c>
      <c r="B432" t="s">
        <v>2</v>
      </c>
      <c r="C432">
        <f t="shared" si="66"/>
        <v>21040</v>
      </c>
      <c r="D432">
        <f>IF(B432="zima",20%,IF(B432="wiosna",50%,IF(B432="lato",90%,40%)))</f>
        <v>0.2</v>
      </c>
      <c r="E432">
        <f t="shared" si="67"/>
        <v>37</v>
      </c>
      <c r="F432">
        <f>WEEKDAY(A432,2)</f>
        <v>3</v>
      </c>
      <c r="G432">
        <f t="shared" si="60"/>
        <v>1</v>
      </c>
      <c r="H432">
        <f t="shared" si="61"/>
        <v>210</v>
      </c>
      <c r="I432">
        <f t="shared" si="62"/>
        <v>0</v>
      </c>
      <c r="J432">
        <f t="shared" si="68"/>
        <v>0</v>
      </c>
      <c r="K432">
        <f t="shared" si="63"/>
        <v>37</v>
      </c>
      <c r="L432">
        <f t="shared" si="64"/>
        <v>21250</v>
      </c>
      <c r="M432">
        <f t="shared" si="65"/>
        <v>210</v>
      </c>
      <c r="N432">
        <f t="shared" si="69"/>
        <v>0</v>
      </c>
    </row>
    <row r="433" spans="1:14" x14ac:dyDescent="0.25">
      <c r="A433" s="1">
        <v>45358</v>
      </c>
      <c r="B433" t="s">
        <v>2</v>
      </c>
      <c r="C433">
        <f t="shared" si="66"/>
        <v>21250</v>
      </c>
      <c r="D433">
        <f>IF(B433="zima",20%,IF(B433="wiosna",50%,IF(B433="lato",90%,40%)))</f>
        <v>0.2</v>
      </c>
      <c r="E433">
        <f t="shared" si="67"/>
        <v>37</v>
      </c>
      <c r="F433">
        <f>WEEKDAY(A433,2)</f>
        <v>4</v>
      </c>
      <c r="G433">
        <f t="shared" si="60"/>
        <v>1</v>
      </c>
      <c r="H433">
        <f t="shared" si="61"/>
        <v>210</v>
      </c>
      <c r="I433">
        <f t="shared" si="62"/>
        <v>0</v>
      </c>
      <c r="J433">
        <f t="shared" si="68"/>
        <v>0</v>
      </c>
      <c r="K433">
        <f t="shared" si="63"/>
        <v>37</v>
      </c>
      <c r="L433">
        <f t="shared" si="64"/>
        <v>21460</v>
      </c>
      <c r="M433">
        <f t="shared" si="65"/>
        <v>210</v>
      </c>
      <c r="N433">
        <f t="shared" si="69"/>
        <v>0</v>
      </c>
    </row>
    <row r="434" spans="1:14" x14ac:dyDescent="0.25">
      <c r="A434" s="1">
        <v>45359</v>
      </c>
      <c r="B434" t="s">
        <v>2</v>
      </c>
      <c r="C434">
        <f t="shared" si="66"/>
        <v>21460</v>
      </c>
      <c r="D434">
        <f>IF(B434="zima",20%,IF(B434="wiosna",50%,IF(B434="lato",90%,40%)))</f>
        <v>0.2</v>
      </c>
      <c r="E434">
        <f t="shared" si="67"/>
        <v>37</v>
      </c>
      <c r="F434">
        <f>WEEKDAY(A434,2)</f>
        <v>5</v>
      </c>
      <c r="G434">
        <f t="shared" si="60"/>
        <v>1</v>
      </c>
      <c r="H434">
        <f t="shared" si="61"/>
        <v>210</v>
      </c>
      <c r="I434">
        <f t="shared" si="62"/>
        <v>0</v>
      </c>
      <c r="J434">
        <f t="shared" si="68"/>
        <v>0</v>
      </c>
      <c r="K434">
        <f t="shared" si="63"/>
        <v>37</v>
      </c>
      <c r="L434">
        <f t="shared" si="64"/>
        <v>21670</v>
      </c>
      <c r="M434">
        <f t="shared" si="65"/>
        <v>210</v>
      </c>
      <c r="N434">
        <f t="shared" si="69"/>
        <v>0</v>
      </c>
    </row>
    <row r="435" spans="1:14" x14ac:dyDescent="0.25">
      <c r="A435" s="1">
        <v>45360</v>
      </c>
      <c r="B435" t="s">
        <v>2</v>
      </c>
      <c r="C435">
        <f t="shared" si="66"/>
        <v>21670</v>
      </c>
      <c r="D435">
        <f>IF(B435="zima",20%,IF(B435="wiosna",50%,IF(B435="lato",90%,40%)))</f>
        <v>0.2</v>
      </c>
      <c r="E435">
        <f t="shared" si="67"/>
        <v>37</v>
      </c>
      <c r="F435">
        <f>WEEKDAY(A435,2)</f>
        <v>6</v>
      </c>
      <c r="G435">
        <f t="shared" si="60"/>
        <v>0</v>
      </c>
      <c r="H435">
        <f t="shared" si="61"/>
        <v>0</v>
      </c>
      <c r="I435">
        <f t="shared" si="62"/>
        <v>0</v>
      </c>
      <c r="J435">
        <f t="shared" si="68"/>
        <v>0</v>
      </c>
      <c r="K435">
        <f t="shared" si="63"/>
        <v>37</v>
      </c>
      <c r="L435">
        <f t="shared" si="64"/>
        <v>21670</v>
      </c>
      <c r="M435">
        <f t="shared" si="65"/>
        <v>0</v>
      </c>
      <c r="N435">
        <f t="shared" si="69"/>
        <v>0</v>
      </c>
    </row>
    <row r="436" spans="1:14" x14ac:dyDescent="0.25">
      <c r="A436" s="1">
        <v>45361</v>
      </c>
      <c r="B436" t="s">
        <v>2</v>
      </c>
      <c r="C436">
        <f t="shared" si="66"/>
        <v>21670</v>
      </c>
      <c r="D436">
        <f>IF(B436="zima",20%,IF(B436="wiosna",50%,IF(B436="lato",90%,40%)))</f>
        <v>0.2</v>
      </c>
      <c r="E436">
        <f t="shared" si="67"/>
        <v>37</v>
      </c>
      <c r="F436">
        <f>WEEKDAY(A436,2)</f>
        <v>7</v>
      </c>
      <c r="G436">
        <f t="shared" si="60"/>
        <v>0</v>
      </c>
      <c r="H436">
        <f t="shared" si="61"/>
        <v>0</v>
      </c>
      <c r="I436">
        <f t="shared" si="62"/>
        <v>555</v>
      </c>
      <c r="J436">
        <f t="shared" si="68"/>
        <v>0</v>
      </c>
      <c r="K436">
        <f t="shared" si="63"/>
        <v>37</v>
      </c>
      <c r="L436">
        <f t="shared" si="64"/>
        <v>21115</v>
      </c>
      <c r="M436">
        <f t="shared" si="65"/>
        <v>0</v>
      </c>
      <c r="N436">
        <f t="shared" si="69"/>
        <v>555</v>
      </c>
    </row>
    <row r="437" spans="1:14" x14ac:dyDescent="0.25">
      <c r="A437" s="1">
        <v>45362</v>
      </c>
      <c r="B437" t="s">
        <v>2</v>
      </c>
      <c r="C437">
        <f t="shared" si="66"/>
        <v>21115</v>
      </c>
      <c r="D437">
        <f>IF(B437="zima",20%,IF(B437="wiosna",50%,IF(B437="lato",90%,40%)))</f>
        <v>0.2</v>
      </c>
      <c r="E437">
        <f t="shared" si="67"/>
        <v>37</v>
      </c>
      <c r="F437">
        <f>WEEKDAY(A437,2)</f>
        <v>1</v>
      </c>
      <c r="G437">
        <f t="shared" si="60"/>
        <v>1</v>
      </c>
      <c r="H437">
        <f t="shared" si="61"/>
        <v>210</v>
      </c>
      <c r="I437">
        <f t="shared" si="62"/>
        <v>0</v>
      </c>
      <c r="J437">
        <f t="shared" si="68"/>
        <v>0</v>
      </c>
      <c r="K437">
        <f t="shared" si="63"/>
        <v>37</v>
      </c>
      <c r="L437">
        <f t="shared" si="64"/>
        <v>21325</v>
      </c>
      <c r="M437">
        <f t="shared" si="65"/>
        <v>210</v>
      </c>
      <c r="N437">
        <f t="shared" si="69"/>
        <v>0</v>
      </c>
    </row>
    <row r="438" spans="1:14" x14ac:dyDescent="0.25">
      <c r="A438" s="1">
        <v>45363</v>
      </c>
      <c r="B438" t="s">
        <v>2</v>
      </c>
      <c r="C438">
        <f t="shared" si="66"/>
        <v>21325</v>
      </c>
      <c r="D438">
        <f>IF(B438="zima",20%,IF(B438="wiosna",50%,IF(B438="lato",90%,40%)))</f>
        <v>0.2</v>
      </c>
      <c r="E438">
        <f t="shared" si="67"/>
        <v>37</v>
      </c>
      <c r="F438">
        <f>WEEKDAY(A438,2)</f>
        <v>2</v>
      </c>
      <c r="G438">
        <f t="shared" si="60"/>
        <v>1</v>
      </c>
      <c r="H438">
        <f t="shared" si="61"/>
        <v>210</v>
      </c>
      <c r="I438">
        <f t="shared" si="62"/>
        <v>0</v>
      </c>
      <c r="J438">
        <f t="shared" si="68"/>
        <v>0</v>
      </c>
      <c r="K438">
        <f t="shared" si="63"/>
        <v>37</v>
      </c>
      <c r="L438">
        <f t="shared" si="64"/>
        <v>21535</v>
      </c>
      <c r="M438">
        <f t="shared" si="65"/>
        <v>210</v>
      </c>
      <c r="N438">
        <f t="shared" si="69"/>
        <v>0</v>
      </c>
    </row>
    <row r="439" spans="1:14" x14ac:dyDescent="0.25">
      <c r="A439" s="1">
        <v>45364</v>
      </c>
      <c r="B439" t="s">
        <v>2</v>
      </c>
      <c r="C439">
        <f t="shared" si="66"/>
        <v>21535</v>
      </c>
      <c r="D439">
        <f>IF(B439="zima",20%,IF(B439="wiosna",50%,IF(B439="lato",90%,40%)))</f>
        <v>0.2</v>
      </c>
      <c r="E439">
        <f t="shared" si="67"/>
        <v>37</v>
      </c>
      <c r="F439">
        <f>WEEKDAY(A439,2)</f>
        <v>3</v>
      </c>
      <c r="G439">
        <f t="shared" si="60"/>
        <v>1</v>
      </c>
      <c r="H439">
        <f t="shared" si="61"/>
        <v>210</v>
      </c>
      <c r="I439">
        <f t="shared" si="62"/>
        <v>0</v>
      </c>
      <c r="J439">
        <f t="shared" si="68"/>
        <v>0</v>
      </c>
      <c r="K439">
        <f t="shared" si="63"/>
        <v>37</v>
      </c>
      <c r="L439">
        <f t="shared" si="64"/>
        <v>21745</v>
      </c>
      <c r="M439">
        <f t="shared" si="65"/>
        <v>210</v>
      </c>
      <c r="N439">
        <f t="shared" si="69"/>
        <v>0</v>
      </c>
    </row>
    <row r="440" spans="1:14" x14ac:dyDescent="0.25">
      <c r="A440" s="1">
        <v>45365</v>
      </c>
      <c r="B440" t="s">
        <v>2</v>
      </c>
      <c r="C440">
        <f t="shared" si="66"/>
        <v>21745</v>
      </c>
      <c r="D440">
        <f>IF(B440="zima",20%,IF(B440="wiosna",50%,IF(B440="lato",90%,40%)))</f>
        <v>0.2</v>
      </c>
      <c r="E440">
        <f t="shared" si="67"/>
        <v>37</v>
      </c>
      <c r="F440">
        <f>WEEKDAY(A440,2)</f>
        <v>4</v>
      </c>
      <c r="G440">
        <f t="shared" si="60"/>
        <v>1</v>
      </c>
      <c r="H440">
        <f t="shared" si="61"/>
        <v>210</v>
      </c>
      <c r="I440">
        <f t="shared" si="62"/>
        <v>0</v>
      </c>
      <c r="J440">
        <f t="shared" si="68"/>
        <v>0</v>
      </c>
      <c r="K440">
        <f t="shared" si="63"/>
        <v>37</v>
      </c>
      <c r="L440">
        <f t="shared" si="64"/>
        <v>21955</v>
      </c>
      <c r="M440">
        <f t="shared" si="65"/>
        <v>210</v>
      </c>
      <c r="N440">
        <f t="shared" si="69"/>
        <v>0</v>
      </c>
    </row>
    <row r="441" spans="1:14" x14ac:dyDescent="0.25">
      <c r="A441" s="1">
        <v>45366</v>
      </c>
      <c r="B441" t="s">
        <v>2</v>
      </c>
      <c r="C441">
        <f t="shared" si="66"/>
        <v>21955</v>
      </c>
      <c r="D441">
        <f>IF(B441="zima",20%,IF(B441="wiosna",50%,IF(B441="lato",90%,40%)))</f>
        <v>0.2</v>
      </c>
      <c r="E441">
        <f t="shared" si="67"/>
        <v>37</v>
      </c>
      <c r="F441">
        <f>WEEKDAY(A441,2)</f>
        <v>5</v>
      </c>
      <c r="G441">
        <f t="shared" si="60"/>
        <v>1</v>
      </c>
      <c r="H441">
        <f t="shared" si="61"/>
        <v>210</v>
      </c>
      <c r="I441">
        <f t="shared" si="62"/>
        <v>0</v>
      </c>
      <c r="J441">
        <f t="shared" si="68"/>
        <v>0</v>
      </c>
      <c r="K441">
        <f t="shared" si="63"/>
        <v>37</v>
      </c>
      <c r="L441">
        <f t="shared" si="64"/>
        <v>22165</v>
      </c>
      <c r="M441">
        <f t="shared" si="65"/>
        <v>210</v>
      </c>
      <c r="N441">
        <f t="shared" si="69"/>
        <v>0</v>
      </c>
    </row>
    <row r="442" spans="1:14" x14ac:dyDescent="0.25">
      <c r="A442" s="1">
        <v>45367</v>
      </c>
      <c r="B442" t="s">
        <v>2</v>
      </c>
      <c r="C442">
        <f t="shared" si="66"/>
        <v>22165</v>
      </c>
      <c r="D442">
        <f>IF(B442="zima",20%,IF(B442="wiosna",50%,IF(B442="lato",90%,40%)))</f>
        <v>0.2</v>
      </c>
      <c r="E442">
        <f t="shared" si="67"/>
        <v>37</v>
      </c>
      <c r="F442">
        <f>WEEKDAY(A442,2)</f>
        <v>6</v>
      </c>
      <c r="G442">
        <f t="shared" si="60"/>
        <v>0</v>
      </c>
      <c r="H442">
        <f t="shared" si="61"/>
        <v>0</v>
      </c>
      <c r="I442">
        <f t="shared" si="62"/>
        <v>0</v>
      </c>
      <c r="J442">
        <f t="shared" si="68"/>
        <v>0</v>
      </c>
      <c r="K442">
        <f t="shared" si="63"/>
        <v>37</v>
      </c>
      <c r="L442">
        <f t="shared" si="64"/>
        <v>22165</v>
      </c>
      <c r="M442">
        <f t="shared" si="65"/>
        <v>0</v>
      </c>
      <c r="N442">
        <f t="shared" si="69"/>
        <v>0</v>
      </c>
    </row>
    <row r="443" spans="1:14" x14ac:dyDescent="0.25">
      <c r="A443" s="1">
        <v>45368</v>
      </c>
      <c r="B443" t="s">
        <v>2</v>
      </c>
      <c r="C443">
        <f t="shared" si="66"/>
        <v>22165</v>
      </c>
      <c r="D443">
        <f>IF(B443="zima",20%,IF(B443="wiosna",50%,IF(B443="lato",90%,40%)))</f>
        <v>0.2</v>
      </c>
      <c r="E443">
        <f t="shared" si="67"/>
        <v>37</v>
      </c>
      <c r="F443">
        <f>WEEKDAY(A443,2)</f>
        <v>7</v>
      </c>
      <c r="G443">
        <f t="shared" si="60"/>
        <v>0</v>
      </c>
      <c r="H443">
        <f t="shared" si="61"/>
        <v>0</v>
      </c>
      <c r="I443">
        <f t="shared" si="62"/>
        <v>555</v>
      </c>
      <c r="J443">
        <f t="shared" si="68"/>
        <v>0</v>
      </c>
      <c r="K443">
        <f t="shared" si="63"/>
        <v>37</v>
      </c>
      <c r="L443">
        <f t="shared" si="64"/>
        <v>21610</v>
      </c>
      <c r="M443">
        <f t="shared" si="65"/>
        <v>0</v>
      </c>
      <c r="N443">
        <f t="shared" si="69"/>
        <v>555</v>
      </c>
    </row>
    <row r="444" spans="1:14" x14ac:dyDescent="0.25">
      <c r="A444" s="1">
        <v>45369</v>
      </c>
      <c r="B444" t="s">
        <v>2</v>
      </c>
      <c r="C444">
        <f t="shared" si="66"/>
        <v>21610</v>
      </c>
      <c r="D444">
        <f>IF(B444="zima",20%,IF(B444="wiosna",50%,IF(B444="lato",90%,40%)))</f>
        <v>0.2</v>
      </c>
      <c r="E444">
        <f t="shared" si="67"/>
        <v>37</v>
      </c>
      <c r="F444">
        <f>WEEKDAY(A444,2)</f>
        <v>1</v>
      </c>
      <c r="G444">
        <f t="shared" si="60"/>
        <v>1</v>
      </c>
      <c r="H444">
        <f t="shared" si="61"/>
        <v>210</v>
      </c>
      <c r="I444">
        <f t="shared" si="62"/>
        <v>0</v>
      </c>
      <c r="J444">
        <f t="shared" si="68"/>
        <v>0</v>
      </c>
      <c r="K444">
        <f t="shared" si="63"/>
        <v>37</v>
      </c>
      <c r="L444">
        <f t="shared" si="64"/>
        <v>21820</v>
      </c>
      <c r="M444">
        <f t="shared" si="65"/>
        <v>210</v>
      </c>
      <c r="N444">
        <f t="shared" si="69"/>
        <v>0</v>
      </c>
    </row>
    <row r="445" spans="1:14" x14ac:dyDescent="0.25">
      <c r="A445" s="1">
        <v>45370</v>
      </c>
      <c r="B445" t="s">
        <v>2</v>
      </c>
      <c r="C445">
        <f t="shared" si="66"/>
        <v>21820</v>
      </c>
      <c r="D445">
        <f>IF(B445="zima",20%,IF(B445="wiosna",50%,IF(B445="lato",90%,40%)))</f>
        <v>0.2</v>
      </c>
      <c r="E445">
        <f t="shared" si="67"/>
        <v>37</v>
      </c>
      <c r="F445">
        <f>WEEKDAY(A445,2)</f>
        <v>2</v>
      </c>
      <c r="G445">
        <f t="shared" si="60"/>
        <v>1</v>
      </c>
      <c r="H445">
        <f t="shared" si="61"/>
        <v>210</v>
      </c>
      <c r="I445">
        <f t="shared" si="62"/>
        <v>0</v>
      </c>
      <c r="J445">
        <f t="shared" si="68"/>
        <v>0</v>
      </c>
      <c r="K445">
        <f t="shared" si="63"/>
        <v>37</v>
      </c>
      <c r="L445">
        <f t="shared" si="64"/>
        <v>22030</v>
      </c>
      <c r="M445">
        <f t="shared" si="65"/>
        <v>210</v>
      </c>
      <c r="N445">
        <f t="shared" si="69"/>
        <v>0</v>
      </c>
    </row>
    <row r="446" spans="1:14" x14ac:dyDescent="0.25">
      <c r="A446" s="1">
        <v>45371</v>
      </c>
      <c r="B446" t="s">
        <v>2</v>
      </c>
      <c r="C446">
        <f t="shared" si="66"/>
        <v>22030</v>
      </c>
      <c r="D446">
        <f>IF(B446="zima",20%,IF(B446="wiosna",50%,IF(B446="lato",90%,40%)))</f>
        <v>0.2</v>
      </c>
      <c r="E446">
        <f t="shared" si="67"/>
        <v>37</v>
      </c>
      <c r="F446">
        <f>WEEKDAY(A446,2)</f>
        <v>3</v>
      </c>
      <c r="G446">
        <f t="shared" si="60"/>
        <v>1</v>
      </c>
      <c r="H446">
        <f t="shared" si="61"/>
        <v>210</v>
      </c>
      <c r="I446">
        <f t="shared" si="62"/>
        <v>0</v>
      </c>
      <c r="J446">
        <f t="shared" si="68"/>
        <v>0</v>
      </c>
      <c r="K446">
        <f t="shared" si="63"/>
        <v>37</v>
      </c>
      <c r="L446">
        <f t="shared" si="64"/>
        <v>22240</v>
      </c>
      <c r="M446">
        <f t="shared" si="65"/>
        <v>210</v>
      </c>
      <c r="N446">
        <f t="shared" si="69"/>
        <v>0</v>
      </c>
    </row>
    <row r="447" spans="1:14" x14ac:dyDescent="0.25">
      <c r="A447" s="1">
        <v>45372</v>
      </c>
      <c r="B447" t="s">
        <v>3</v>
      </c>
      <c r="C447">
        <f t="shared" si="66"/>
        <v>22240</v>
      </c>
      <c r="D447">
        <f>IF(B447="zima",20%,IF(B447="wiosna",50%,IF(B447="lato",90%,40%)))</f>
        <v>0.5</v>
      </c>
      <c r="E447">
        <f t="shared" si="67"/>
        <v>37</v>
      </c>
      <c r="F447">
        <f>WEEKDAY(A447,2)</f>
        <v>4</v>
      </c>
      <c r="G447">
        <f t="shared" si="60"/>
        <v>1</v>
      </c>
      <c r="H447">
        <f t="shared" si="61"/>
        <v>540</v>
      </c>
      <c r="I447">
        <f t="shared" si="62"/>
        <v>0</v>
      </c>
      <c r="J447">
        <f t="shared" si="68"/>
        <v>0</v>
      </c>
      <c r="K447">
        <f t="shared" si="63"/>
        <v>37</v>
      </c>
      <c r="L447">
        <f t="shared" si="64"/>
        <v>22780</v>
      </c>
      <c r="M447">
        <f t="shared" si="65"/>
        <v>540</v>
      </c>
      <c r="N447">
        <f t="shared" si="69"/>
        <v>0</v>
      </c>
    </row>
    <row r="448" spans="1:14" x14ac:dyDescent="0.25">
      <c r="A448" s="1">
        <v>45373</v>
      </c>
      <c r="B448" t="s">
        <v>3</v>
      </c>
      <c r="C448">
        <f t="shared" si="66"/>
        <v>22780</v>
      </c>
      <c r="D448">
        <f>IF(B448="zima",20%,IF(B448="wiosna",50%,IF(B448="lato",90%,40%)))</f>
        <v>0.5</v>
      </c>
      <c r="E448">
        <f t="shared" si="67"/>
        <v>37</v>
      </c>
      <c r="F448">
        <f>WEEKDAY(A448,2)</f>
        <v>5</v>
      </c>
      <c r="G448">
        <f t="shared" si="60"/>
        <v>1</v>
      </c>
      <c r="H448">
        <f t="shared" si="61"/>
        <v>540</v>
      </c>
      <c r="I448">
        <f t="shared" si="62"/>
        <v>0</v>
      </c>
      <c r="J448">
        <f t="shared" si="68"/>
        <v>0</v>
      </c>
      <c r="K448">
        <f t="shared" si="63"/>
        <v>37</v>
      </c>
      <c r="L448">
        <f t="shared" si="64"/>
        <v>23320</v>
      </c>
      <c r="M448">
        <f t="shared" si="65"/>
        <v>540</v>
      </c>
      <c r="N448">
        <f t="shared" si="69"/>
        <v>0</v>
      </c>
    </row>
    <row r="449" spans="1:14" x14ac:dyDescent="0.25">
      <c r="A449" s="1">
        <v>45374</v>
      </c>
      <c r="B449" t="s">
        <v>3</v>
      </c>
      <c r="C449">
        <f t="shared" si="66"/>
        <v>23320</v>
      </c>
      <c r="D449">
        <f>IF(B449="zima",20%,IF(B449="wiosna",50%,IF(B449="lato",90%,40%)))</f>
        <v>0.5</v>
      </c>
      <c r="E449">
        <f t="shared" si="67"/>
        <v>37</v>
      </c>
      <c r="F449">
        <f>WEEKDAY(A449,2)</f>
        <v>6</v>
      </c>
      <c r="G449">
        <f t="shared" si="60"/>
        <v>0</v>
      </c>
      <c r="H449">
        <f t="shared" si="61"/>
        <v>0</v>
      </c>
      <c r="I449">
        <f t="shared" si="62"/>
        <v>0</v>
      </c>
      <c r="J449">
        <f t="shared" si="68"/>
        <v>0</v>
      </c>
      <c r="K449">
        <f t="shared" si="63"/>
        <v>37</v>
      </c>
      <c r="L449">
        <f t="shared" si="64"/>
        <v>23320</v>
      </c>
      <c r="M449">
        <f t="shared" si="65"/>
        <v>0</v>
      </c>
      <c r="N449">
        <f t="shared" si="69"/>
        <v>0</v>
      </c>
    </row>
    <row r="450" spans="1:14" x14ac:dyDescent="0.25">
      <c r="A450" s="1">
        <v>45375</v>
      </c>
      <c r="B450" t="s">
        <v>3</v>
      </c>
      <c r="C450">
        <f t="shared" si="66"/>
        <v>23320</v>
      </c>
      <c r="D450">
        <f>IF(B450="zima",20%,IF(B450="wiosna",50%,IF(B450="lato",90%,40%)))</f>
        <v>0.5</v>
      </c>
      <c r="E450">
        <f t="shared" si="67"/>
        <v>37</v>
      </c>
      <c r="F450">
        <f>WEEKDAY(A450,2)</f>
        <v>7</v>
      </c>
      <c r="G450">
        <f t="shared" si="60"/>
        <v>0</v>
      </c>
      <c r="H450">
        <f t="shared" si="61"/>
        <v>0</v>
      </c>
      <c r="I450">
        <f t="shared" si="62"/>
        <v>555</v>
      </c>
      <c r="J450">
        <f t="shared" si="68"/>
        <v>0</v>
      </c>
      <c r="K450">
        <f t="shared" si="63"/>
        <v>37</v>
      </c>
      <c r="L450">
        <f t="shared" si="64"/>
        <v>22765</v>
      </c>
      <c r="M450">
        <f t="shared" si="65"/>
        <v>0</v>
      </c>
      <c r="N450">
        <f t="shared" si="69"/>
        <v>555</v>
      </c>
    </row>
    <row r="451" spans="1:14" x14ac:dyDescent="0.25">
      <c r="A451" s="1">
        <v>45376</v>
      </c>
      <c r="B451" t="s">
        <v>3</v>
      </c>
      <c r="C451">
        <f t="shared" si="66"/>
        <v>22765</v>
      </c>
      <c r="D451">
        <f>IF(B451="zima",20%,IF(B451="wiosna",50%,IF(B451="lato",90%,40%)))</f>
        <v>0.5</v>
      </c>
      <c r="E451">
        <f t="shared" si="67"/>
        <v>37</v>
      </c>
      <c r="F451">
        <f>WEEKDAY(A451,2)</f>
        <v>1</v>
      </c>
      <c r="G451">
        <f t="shared" ref="G451:G514" si="70">IF(AND(F451&lt;&gt;6,F451&lt;&gt;7),1,0)</f>
        <v>1</v>
      </c>
      <c r="H451">
        <f t="shared" ref="H451:H514" si="71">ROUNDDOWN(D451*E451,0)*30*G451</f>
        <v>540</v>
      </c>
      <c r="I451">
        <f t="shared" ref="I451:I514" si="72">IF(F451=7,E451*15,0)</f>
        <v>0</v>
      </c>
      <c r="J451">
        <f t="shared" si="68"/>
        <v>0</v>
      </c>
      <c r="K451">
        <f t="shared" ref="K451:K514" si="73">IF(J451&gt;0,E451+3,E451)</f>
        <v>37</v>
      </c>
      <c r="L451">
        <f t="shared" ref="L451:L514" si="74">C451+H451-I451-J451</f>
        <v>23305</v>
      </c>
      <c r="M451">
        <f t="shared" ref="M451:M514" si="75">H451</f>
        <v>540</v>
      </c>
      <c r="N451">
        <f t="shared" si="69"/>
        <v>0</v>
      </c>
    </row>
    <row r="452" spans="1:14" x14ac:dyDescent="0.25">
      <c r="A452" s="1">
        <v>45377</v>
      </c>
      <c r="B452" t="s">
        <v>3</v>
      </c>
      <c r="C452">
        <f t="shared" ref="C452:C515" si="76">L451</f>
        <v>23305</v>
      </c>
      <c r="D452">
        <f>IF(B452="zima",20%,IF(B452="wiosna",50%,IF(B452="lato",90%,40%)))</f>
        <v>0.5</v>
      </c>
      <c r="E452">
        <f t="shared" ref="E452:E515" si="77">K451</f>
        <v>37</v>
      </c>
      <c r="F452">
        <f>WEEKDAY(A452,2)</f>
        <v>2</v>
      </c>
      <c r="G452">
        <f t="shared" si="70"/>
        <v>1</v>
      </c>
      <c r="H452">
        <f t="shared" si="71"/>
        <v>540</v>
      </c>
      <c r="I452">
        <f t="shared" si="72"/>
        <v>0</v>
      </c>
      <c r="J452">
        <f t="shared" ref="J452:J515" si="78">IF(AND(DAY(A453)=1,C452&gt;=2400),2400,0)</f>
        <v>0</v>
      </c>
      <c r="K452">
        <f t="shared" si="73"/>
        <v>37</v>
      </c>
      <c r="L452">
        <f t="shared" si="74"/>
        <v>23845</v>
      </c>
      <c r="M452">
        <f t="shared" si="75"/>
        <v>540</v>
      </c>
      <c r="N452">
        <f t="shared" ref="N452:N515" si="79">J452+I452</f>
        <v>0</v>
      </c>
    </row>
    <row r="453" spans="1:14" x14ac:dyDescent="0.25">
      <c r="A453" s="1">
        <v>45378</v>
      </c>
      <c r="B453" t="s">
        <v>3</v>
      </c>
      <c r="C453">
        <f t="shared" si="76"/>
        <v>23845</v>
      </c>
      <c r="D453">
        <f>IF(B453="zima",20%,IF(B453="wiosna",50%,IF(B453="lato",90%,40%)))</f>
        <v>0.5</v>
      </c>
      <c r="E453">
        <f t="shared" si="77"/>
        <v>37</v>
      </c>
      <c r="F453">
        <f>WEEKDAY(A453,2)</f>
        <v>3</v>
      </c>
      <c r="G453">
        <f t="shared" si="70"/>
        <v>1</v>
      </c>
      <c r="H453">
        <f t="shared" si="71"/>
        <v>540</v>
      </c>
      <c r="I453">
        <f t="shared" si="72"/>
        <v>0</v>
      </c>
      <c r="J453">
        <f t="shared" si="78"/>
        <v>0</v>
      </c>
      <c r="K453">
        <f t="shared" si="73"/>
        <v>37</v>
      </c>
      <c r="L453">
        <f t="shared" si="74"/>
        <v>24385</v>
      </c>
      <c r="M453">
        <f t="shared" si="75"/>
        <v>540</v>
      </c>
      <c r="N453">
        <f t="shared" si="79"/>
        <v>0</v>
      </c>
    </row>
    <row r="454" spans="1:14" x14ac:dyDescent="0.25">
      <c r="A454" s="1">
        <v>45379</v>
      </c>
      <c r="B454" t="s">
        <v>3</v>
      </c>
      <c r="C454">
        <f t="shared" si="76"/>
        <v>24385</v>
      </c>
      <c r="D454">
        <f>IF(B454="zima",20%,IF(B454="wiosna",50%,IF(B454="lato",90%,40%)))</f>
        <v>0.5</v>
      </c>
      <c r="E454">
        <f t="shared" si="77"/>
        <v>37</v>
      </c>
      <c r="F454">
        <f>WEEKDAY(A454,2)</f>
        <v>4</v>
      </c>
      <c r="G454">
        <f t="shared" si="70"/>
        <v>1</v>
      </c>
      <c r="H454">
        <f t="shared" si="71"/>
        <v>540</v>
      </c>
      <c r="I454">
        <f t="shared" si="72"/>
        <v>0</v>
      </c>
      <c r="J454">
        <f t="shared" si="78"/>
        <v>0</v>
      </c>
      <c r="K454">
        <f t="shared" si="73"/>
        <v>37</v>
      </c>
      <c r="L454">
        <f t="shared" si="74"/>
        <v>24925</v>
      </c>
      <c r="M454">
        <f t="shared" si="75"/>
        <v>540</v>
      </c>
      <c r="N454">
        <f t="shared" si="79"/>
        <v>0</v>
      </c>
    </row>
    <row r="455" spans="1:14" x14ac:dyDescent="0.25">
      <c r="A455" s="1">
        <v>45380</v>
      </c>
      <c r="B455" t="s">
        <v>3</v>
      </c>
      <c r="C455">
        <f t="shared" si="76"/>
        <v>24925</v>
      </c>
      <c r="D455">
        <f>IF(B455="zima",20%,IF(B455="wiosna",50%,IF(B455="lato",90%,40%)))</f>
        <v>0.5</v>
      </c>
      <c r="E455">
        <f t="shared" si="77"/>
        <v>37</v>
      </c>
      <c r="F455">
        <f>WEEKDAY(A455,2)</f>
        <v>5</v>
      </c>
      <c r="G455">
        <f t="shared" si="70"/>
        <v>1</v>
      </c>
      <c r="H455">
        <f t="shared" si="71"/>
        <v>540</v>
      </c>
      <c r="I455">
        <f t="shared" si="72"/>
        <v>0</v>
      </c>
      <c r="J455">
        <f t="shared" si="78"/>
        <v>0</v>
      </c>
      <c r="K455">
        <f t="shared" si="73"/>
        <v>37</v>
      </c>
      <c r="L455">
        <f t="shared" si="74"/>
        <v>25465</v>
      </c>
      <c r="M455">
        <f t="shared" si="75"/>
        <v>540</v>
      </c>
      <c r="N455">
        <f t="shared" si="79"/>
        <v>0</v>
      </c>
    </row>
    <row r="456" spans="1:14" x14ac:dyDescent="0.25">
      <c r="A456" s="1">
        <v>45381</v>
      </c>
      <c r="B456" t="s">
        <v>3</v>
      </c>
      <c r="C456">
        <f t="shared" si="76"/>
        <v>25465</v>
      </c>
      <c r="D456">
        <f>IF(B456="zima",20%,IF(B456="wiosna",50%,IF(B456="lato",90%,40%)))</f>
        <v>0.5</v>
      </c>
      <c r="E456">
        <f t="shared" si="77"/>
        <v>37</v>
      </c>
      <c r="F456">
        <f>WEEKDAY(A456,2)</f>
        <v>6</v>
      </c>
      <c r="G456">
        <f t="shared" si="70"/>
        <v>0</v>
      </c>
      <c r="H456">
        <f t="shared" si="71"/>
        <v>0</v>
      </c>
      <c r="I456">
        <f t="shared" si="72"/>
        <v>0</v>
      </c>
      <c r="J456">
        <f t="shared" si="78"/>
        <v>0</v>
      </c>
      <c r="K456">
        <f t="shared" si="73"/>
        <v>37</v>
      </c>
      <c r="L456">
        <f t="shared" si="74"/>
        <v>25465</v>
      </c>
      <c r="M456">
        <f t="shared" si="75"/>
        <v>0</v>
      </c>
      <c r="N456">
        <f t="shared" si="79"/>
        <v>0</v>
      </c>
    </row>
    <row r="457" spans="1:14" x14ac:dyDescent="0.25">
      <c r="A457" s="1">
        <v>45382</v>
      </c>
      <c r="B457" t="s">
        <v>3</v>
      </c>
      <c r="C457">
        <f t="shared" si="76"/>
        <v>25465</v>
      </c>
      <c r="D457">
        <f>IF(B457="zima",20%,IF(B457="wiosna",50%,IF(B457="lato",90%,40%)))</f>
        <v>0.5</v>
      </c>
      <c r="E457">
        <f t="shared" si="77"/>
        <v>37</v>
      </c>
      <c r="F457">
        <f>WEEKDAY(A457,2)</f>
        <v>7</v>
      </c>
      <c r="G457">
        <f t="shared" si="70"/>
        <v>0</v>
      </c>
      <c r="H457">
        <f t="shared" si="71"/>
        <v>0</v>
      </c>
      <c r="I457">
        <f t="shared" si="72"/>
        <v>555</v>
      </c>
      <c r="J457">
        <f t="shared" si="78"/>
        <v>2400</v>
      </c>
      <c r="K457">
        <f t="shared" si="73"/>
        <v>40</v>
      </c>
      <c r="L457">
        <f t="shared" si="74"/>
        <v>22510</v>
      </c>
      <c r="M457">
        <f t="shared" si="75"/>
        <v>0</v>
      </c>
      <c r="N457">
        <f t="shared" si="79"/>
        <v>2955</v>
      </c>
    </row>
    <row r="458" spans="1:14" x14ac:dyDescent="0.25">
      <c r="A458" s="1">
        <v>45383</v>
      </c>
      <c r="B458" t="s">
        <v>3</v>
      </c>
      <c r="C458">
        <f t="shared" si="76"/>
        <v>22510</v>
      </c>
      <c r="D458">
        <f>IF(B458="zima",20%,IF(B458="wiosna",50%,IF(B458="lato",90%,40%)))</f>
        <v>0.5</v>
      </c>
      <c r="E458">
        <f t="shared" si="77"/>
        <v>40</v>
      </c>
      <c r="F458">
        <f>WEEKDAY(A458,2)</f>
        <v>1</v>
      </c>
      <c r="G458">
        <f t="shared" si="70"/>
        <v>1</v>
      </c>
      <c r="H458">
        <f t="shared" si="71"/>
        <v>600</v>
      </c>
      <c r="I458">
        <f t="shared" si="72"/>
        <v>0</v>
      </c>
      <c r="J458">
        <f t="shared" si="78"/>
        <v>0</v>
      </c>
      <c r="K458">
        <f t="shared" si="73"/>
        <v>40</v>
      </c>
      <c r="L458">
        <f t="shared" si="74"/>
        <v>23110</v>
      </c>
      <c r="M458">
        <f t="shared" si="75"/>
        <v>600</v>
      </c>
      <c r="N458">
        <f t="shared" si="79"/>
        <v>0</v>
      </c>
    </row>
    <row r="459" spans="1:14" x14ac:dyDescent="0.25">
      <c r="A459" s="1">
        <v>45384</v>
      </c>
      <c r="B459" t="s">
        <v>3</v>
      </c>
      <c r="C459">
        <f t="shared" si="76"/>
        <v>23110</v>
      </c>
      <c r="D459">
        <f>IF(B459="zima",20%,IF(B459="wiosna",50%,IF(B459="lato",90%,40%)))</f>
        <v>0.5</v>
      </c>
      <c r="E459">
        <f t="shared" si="77"/>
        <v>40</v>
      </c>
      <c r="F459">
        <f>WEEKDAY(A459,2)</f>
        <v>2</v>
      </c>
      <c r="G459">
        <f t="shared" si="70"/>
        <v>1</v>
      </c>
      <c r="H459">
        <f t="shared" si="71"/>
        <v>600</v>
      </c>
      <c r="I459">
        <f t="shared" si="72"/>
        <v>0</v>
      </c>
      <c r="J459">
        <f t="shared" si="78"/>
        <v>0</v>
      </c>
      <c r="K459">
        <f t="shared" si="73"/>
        <v>40</v>
      </c>
      <c r="L459">
        <f t="shared" si="74"/>
        <v>23710</v>
      </c>
      <c r="M459">
        <f t="shared" si="75"/>
        <v>600</v>
      </c>
      <c r="N459">
        <f t="shared" si="79"/>
        <v>0</v>
      </c>
    </row>
    <row r="460" spans="1:14" x14ac:dyDescent="0.25">
      <c r="A460" s="1">
        <v>45385</v>
      </c>
      <c r="B460" t="s">
        <v>3</v>
      </c>
      <c r="C460">
        <f t="shared" si="76"/>
        <v>23710</v>
      </c>
      <c r="D460">
        <f>IF(B460="zima",20%,IF(B460="wiosna",50%,IF(B460="lato",90%,40%)))</f>
        <v>0.5</v>
      </c>
      <c r="E460">
        <f t="shared" si="77"/>
        <v>40</v>
      </c>
      <c r="F460">
        <f>WEEKDAY(A460,2)</f>
        <v>3</v>
      </c>
      <c r="G460">
        <f t="shared" si="70"/>
        <v>1</v>
      </c>
      <c r="H460">
        <f t="shared" si="71"/>
        <v>600</v>
      </c>
      <c r="I460">
        <f t="shared" si="72"/>
        <v>0</v>
      </c>
      <c r="J460">
        <f t="shared" si="78"/>
        <v>0</v>
      </c>
      <c r="K460">
        <f t="shared" si="73"/>
        <v>40</v>
      </c>
      <c r="L460">
        <f t="shared" si="74"/>
        <v>24310</v>
      </c>
      <c r="M460">
        <f t="shared" si="75"/>
        <v>600</v>
      </c>
      <c r="N460">
        <f t="shared" si="79"/>
        <v>0</v>
      </c>
    </row>
    <row r="461" spans="1:14" x14ac:dyDescent="0.25">
      <c r="A461" s="1">
        <v>45386</v>
      </c>
      <c r="B461" t="s">
        <v>3</v>
      </c>
      <c r="C461">
        <f t="shared" si="76"/>
        <v>24310</v>
      </c>
      <c r="D461">
        <f>IF(B461="zima",20%,IF(B461="wiosna",50%,IF(B461="lato",90%,40%)))</f>
        <v>0.5</v>
      </c>
      <c r="E461">
        <f t="shared" si="77"/>
        <v>40</v>
      </c>
      <c r="F461">
        <f>WEEKDAY(A461,2)</f>
        <v>4</v>
      </c>
      <c r="G461">
        <f t="shared" si="70"/>
        <v>1</v>
      </c>
      <c r="H461">
        <f t="shared" si="71"/>
        <v>600</v>
      </c>
      <c r="I461">
        <f t="shared" si="72"/>
        <v>0</v>
      </c>
      <c r="J461">
        <f t="shared" si="78"/>
        <v>0</v>
      </c>
      <c r="K461">
        <f t="shared" si="73"/>
        <v>40</v>
      </c>
      <c r="L461">
        <f t="shared" si="74"/>
        <v>24910</v>
      </c>
      <c r="M461">
        <f t="shared" si="75"/>
        <v>600</v>
      </c>
      <c r="N461">
        <f t="shared" si="79"/>
        <v>0</v>
      </c>
    </row>
    <row r="462" spans="1:14" x14ac:dyDescent="0.25">
      <c r="A462" s="1">
        <v>45387</v>
      </c>
      <c r="B462" t="s">
        <v>3</v>
      </c>
      <c r="C462">
        <f t="shared" si="76"/>
        <v>24910</v>
      </c>
      <c r="D462">
        <f>IF(B462="zima",20%,IF(B462="wiosna",50%,IF(B462="lato",90%,40%)))</f>
        <v>0.5</v>
      </c>
      <c r="E462">
        <f t="shared" si="77"/>
        <v>40</v>
      </c>
      <c r="F462">
        <f>WEEKDAY(A462,2)</f>
        <v>5</v>
      </c>
      <c r="G462">
        <f t="shared" si="70"/>
        <v>1</v>
      </c>
      <c r="H462">
        <f t="shared" si="71"/>
        <v>600</v>
      </c>
      <c r="I462">
        <f t="shared" si="72"/>
        <v>0</v>
      </c>
      <c r="J462">
        <f t="shared" si="78"/>
        <v>0</v>
      </c>
      <c r="K462">
        <f t="shared" si="73"/>
        <v>40</v>
      </c>
      <c r="L462">
        <f t="shared" si="74"/>
        <v>25510</v>
      </c>
      <c r="M462">
        <f t="shared" si="75"/>
        <v>600</v>
      </c>
      <c r="N462">
        <f t="shared" si="79"/>
        <v>0</v>
      </c>
    </row>
    <row r="463" spans="1:14" x14ac:dyDescent="0.25">
      <c r="A463" s="1">
        <v>45388</v>
      </c>
      <c r="B463" t="s">
        <v>3</v>
      </c>
      <c r="C463">
        <f t="shared" si="76"/>
        <v>25510</v>
      </c>
      <c r="D463">
        <f>IF(B463="zima",20%,IF(B463="wiosna",50%,IF(B463="lato",90%,40%)))</f>
        <v>0.5</v>
      </c>
      <c r="E463">
        <f t="shared" si="77"/>
        <v>40</v>
      </c>
      <c r="F463">
        <f>WEEKDAY(A463,2)</f>
        <v>6</v>
      </c>
      <c r="G463">
        <f t="shared" si="70"/>
        <v>0</v>
      </c>
      <c r="H463">
        <f t="shared" si="71"/>
        <v>0</v>
      </c>
      <c r="I463">
        <f t="shared" si="72"/>
        <v>0</v>
      </c>
      <c r="J463">
        <f t="shared" si="78"/>
        <v>0</v>
      </c>
      <c r="K463">
        <f t="shared" si="73"/>
        <v>40</v>
      </c>
      <c r="L463">
        <f t="shared" si="74"/>
        <v>25510</v>
      </c>
      <c r="M463">
        <f t="shared" si="75"/>
        <v>0</v>
      </c>
      <c r="N463">
        <f t="shared" si="79"/>
        <v>0</v>
      </c>
    </row>
    <row r="464" spans="1:14" x14ac:dyDescent="0.25">
      <c r="A464" s="1">
        <v>45389</v>
      </c>
      <c r="B464" t="s">
        <v>3</v>
      </c>
      <c r="C464">
        <f t="shared" si="76"/>
        <v>25510</v>
      </c>
      <c r="D464">
        <f>IF(B464="zima",20%,IF(B464="wiosna",50%,IF(B464="lato",90%,40%)))</f>
        <v>0.5</v>
      </c>
      <c r="E464">
        <f t="shared" si="77"/>
        <v>40</v>
      </c>
      <c r="F464">
        <f>WEEKDAY(A464,2)</f>
        <v>7</v>
      </c>
      <c r="G464">
        <f t="shared" si="70"/>
        <v>0</v>
      </c>
      <c r="H464">
        <f t="shared" si="71"/>
        <v>0</v>
      </c>
      <c r="I464">
        <f t="shared" si="72"/>
        <v>600</v>
      </c>
      <c r="J464">
        <f t="shared" si="78"/>
        <v>0</v>
      </c>
      <c r="K464">
        <f t="shared" si="73"/>
        <v>40</v>
      </c>
      <c r="L464">
        <f t="shared" si="74"/>
        <v>24910</v>
      </c>
      <c r="M464">
        <f t="shared" si="75"/>
        <v>0</v>
      </c>
      <c r="N464">
        <f t="shared" si="79"/>
        <v>600</v>
      </c>
    </row>
    <row r="465" spans="1:14" x14ac:dyDescent="0.25">
      <c r="A465" s="1">
        <v>45390</v>
      </c>
      <c r="B465" t="s">
        <v>3</v>
      </c>
      <c r="C465">
        <f t="shared" si="76"/>
        <v>24910</v>
      </c>
      <c r="D465">
        <f>IF(B465="zima",20%,IF(B465="wiosna",50%,IF(B465="lato",90%,40%)))</f>
        <v>0.5</v>
      </c>
      <c r="E465">
        <f t="shared" si="77"/>
        <v>40</v>
      </c>
      <c r="F465">
        <f>WEEKDAY(A465,2)</f>
        <v>1</v>
      </c>
      <c r="G465">
        <f t="shared" si="70"/>
        <v>1</v>
      </c>
      <c r="H465">
        <f t="shared" si="71"/>
        <v>600</v>
      </c>
      <c r="I465">
        <f t="shared" si="72"/>
        <v>0</v>
      </c>
      <c r="J465">
        <f t="shared" si="78"/>
        <v>0</v>
      </c>
      <c r="K465">
        <f t="shared" si="73"/>
        <v>40</v>
      </c>
      <c r="L465">
        <f t="shared" si="74"/>
        <v>25510</v>
      </c>
      <c r="M465">
        <f t="shared" si="75"/>
        <v>600</v>
      </c>
      <c r="N465">
        <f t="shared" si="79"/>
        <v>0</v>
      </c>
    </row>
    <row r="466" spans="1:14" x14ac:dyDescent="0.25">
      <c r="A466" s="1">
        <v>45391</v>
      </c>
      <c r="B466" t="s">
        <v>3</v>
      </c>
      <c r="C466">
        <f t="shared" si="76"/>
        <v>25510</v>
      </c>
      <c r="D466">
        <f>IF(B466="zima",20%,IF(B466="wiosna",50%,IF(B466="lato",90%,40%)))</f>
        <v>0.5</v>
      </c>
      <c r="E466">
        <f t="shared" si="77"/>
        <v>40</v>
      </c>
      <c r="F466">
        <f>WEEKDAY(A466,2)</f>
        <v>2</v>
      </c>
      <c r="G466">
        <f t="shared" si="70"/>
        <v>1</v>
      </c>
      <c r="H466">
        <f t="shared" si="71"/>
        <v>600</v>
      </c>
      <c r="I466">
        <f t="shared" si="72"/>
        <v>0</v>
      </c>
      <c r="J466">
        <f t="shared" si="78"/>
        <v>0</v>
      </c>
      <c r="K466">
        <f t="shared" si="73"/>
        <v>40</v>
      </c>
      <c r="L466">
        <f t="shared" si="74"/>
        <v>26110</v>
      </c>
      <c r="M466">
        <f t="shared" si="75"/>
        <v>600</v>
      </c>
      <c r="N466">
        <f t="shared" si="79"/>
        <v>0</v>
      </c>
    </row>
    <row r="467" spans="1:14" x14ac:dyDescent="0.25">
      <c r="A467" s="1">
        <v>45392</v>
      </c>
      <c r="B467" t="s">
        <v>3</v>
      </c>
      <c r="C467">
        <f t="shared" si="76"/>
        <v>26110</v>
      </c>
      <c r="D467">
        <f>IF(B467="zima",20%,IF(B467="wiosna",50%,IF(B467="lato",90%,40%)))</f>
        <v>0.5</v>
      </c>
      <c r="E467">
        <f t="shared" si="77"/>
        <v>40</v>
      </c>
      <c r="F467">
        <f>WEEKDAY(A467,2)</f>
        <v>3</v>
      </c>
      <c r="G467">
        <f t="shared" si="70"/>
        <v>1</v>
      </c>
      <c r="H467">
        <f t="shared" si="71"/>
        <v>600</v>
      </c>
      <c r="I467">
        <f t="shared" si="72"/>
        <v>0</v>
      </c>
      <c r="J467">
        <f t="shared" si="78"/>
        <v>0</v>
      </c>
      <c r="K467">
        <f t="shared" si="73"/>
        <v>40</v>
      </c>
      <c r="L467">
        <f t="shared" si="74"/>
        <v>26710</v>
      </c>
      <c r="M467">
        <f t="shared" si="75"/>
        <v>600</v>
      </c>
      <c r="N467">
        <f t="shared" si="79"/>
        <v>0</v>
      </c>
    </row>
    <row r="468" spans="1:14" x14ac:dyDescent="0.25">
      <c r="A468" s="1">
        <v>45393</v>
      </c>
      <c r="B468" t="s">
        <v>3</v>
      </c>
      <c r="C468">
        <f t="shared" si="76"/>
        <v>26710</v>
      </c>
      <c r="D468">
        <f>IF(B468="zima",20%,IF(B468="wiosna",50%,IF(B468="lato",90%,40%)))</f>
        <v>0.5</v>
      </c>
      <c r="E468">
        <f t="shared" si="77"/>
        <v>40</v>
      </c>
      <c r="F468">
        <f>WEEKDAY(A468,2)</f>
        <v>4</v>
      </c>
      <c r="G468">
        <f t="shared" si="70"/>
        <v>1</v>
      </c>
      <c r="H468">
        <f t="shared" si="71"/>
        <v>600</v>
      </c>
      <c r="I468">
        <f t="shared" si="72"/>
        <v>0</v>
      </c>
      <c r="J468">
        <f t="shared" si="78"/>
        <v>0</v>
      </c>
      <c r="K468">
        <f t="shared" si="73"/>
        <v>40</v>
      </c>
      <c r="L468">
        <f t="shared" si="74"/>
        <v>27310</v>
      </c>
      <c r="M468">
        <f t="shared" si="75"/>
        <v>600</v>
      </c>
      <c r="N468">
        <f t="shared" si="79"/>
        <v>0</v>
      </c>
    </row>
    <row r="469" spans="1:14" x14ac:dyDescent="0.25">
      <c r="A469" s="1">
        <v>45394</v>
      </c>
      <c r="B469" t="s">
        <v>3</v>
      </c>
      <c r="C469">
        <f t="shared" si="76"/>
        <v>27310</v>
      </c>
      <c r="D469">
        <f>IF(B469="zima",20%,IF(B469="wiosna",50%,IF(B469="lato",90%,40%)))</f>
        <v>0.5</v>
      </c>
      <c r="E469">
        <f t="shared" si="77"/>
        <v>40</v>
      </c>
      <c r="F469">
        <f>WEEKDAY(A469,2)</f>
        <v>5</v>
      </c>
      <c r="G469">
        <f t="shared" si="70"/>
        <v>1</v>
      </c>
      <c r="H469">
        <f t="shared" si="71"/>
        <v>600</v>
      </c>
      <c r="I469">
        <f t="shared" si="72"/>
        <v>0</v>
      </c>
      <c r="J469">
        <f t="shared" si="78"/>
        <v>0</v>
      </c>
      <c r="K469">
        <f t="shared" si="73"/>
        <v>40</v>
      </c>
      <c r="L469">
        <f t="shared" si="74"/>
        <v>27910</v>
      </c>
      <c r="M469">
        <f t="shared" si="75"/>
        <v>600</v>
      </c>
      <c r="N469">
        <f t="shared" si="79"/>
        <v>0</v>
      </c>
    </row>
    <row r="470" spans="1:14" x14ac:dyDescent="0.25">
      <c r="A470" s="1">
        <v>45395</v>
      </c>
      <c r="B470" t="s">
        <v>3</v>
      </c>
      <c r="C470">
        <f t="shared" si="76"/>
        <v>27910</v>
      </c>
      <c r="D470">
        <f>IF(B470="zima",20%,IF(B470="wiosna",50%,IF(B470="lato",90%,40%)))</f>
        <v>0.5</v>
      </c>
      <c r="E470">
        <f t="shared" si="77"/>
        <v>40</v>
      </c>
      <c r="F470">
        <f>WEEKDAY(A470,2)</f>
        <v>6</v>
      </c>
      <c r="G470">
        <f t="shared" si="70"/>
        <v>0</v>
      </c>
      <c r="H470">
        <f t="shared" si="71"/>
        <v>0</v>
      </c>
      <c r="I470">
        <f t="shared" si="72"/>
        <v>0</v>
      </c>
      <c r="J470">
        <f t="shared" si="78"/>
        <v>0</v>
      </c>
      <c r="K470">
        <f t="shared" si="73"/>
        <v>40</v>
      </c>
      <c r="L470">
        <f t="shared" si="74"/>
        <v>27910</v>
      </c>
      <c r="M470">
        <f t="shared" si="75"/>
        <v>0</v>
      </c>
      <c r="N470">
        <f t="shared" si="79"/>
        <v>0</v>
      </c>
    </row>
    <row r="471" spans="1:14" x14ac:dyDescent="0.25">
      <c r="A471" s="1">
        <v>45396</v>
      </c>
      <c r="B471" t="s">
        <v>3</v>
      </c>
      <c r="C471">
        <f t="shared" si="76"/>
        <v>27910</v>
      </c>
      <c r="D471">
        <f>IF(B471="zima",20%,IF(B471="wiosna",50%,IF(B471="lato",90%,40%)))</f>
        <v>0.5</v>
      </c>
      <c r="E471">
        <f t="shared" si="77"/>
        <v>40</v>
      </c>
      <c r="F471">
        <f>WEEKDAY(A471,2)</f>
        <v>7</v>
      </c>
      <c r="G471">
        <f t="shared" si="70"/>
        <v>0</v>
      </c>
      <c r="H471">
        <f t="shared" si="71"/>
        <v>0</v>
      </c>
      <c r="I471">
        <f t="shared" si="72"/>
        <v>600</v>
      </c>
      <c r="J471">
        <f t="shared" si="78"/>
        <v>0</v>
      </c>
      <c r="K471">
        <f t="shared" si="73"/>
        <v>40</v>
      </c>
      <c r="L471">
        <f t="shared" si="74"/>
        <v>27310</v>
      </c>
      <c r="M471">
        <f t="shared" si="75"/>
        <v>0</v>
      </c>
      <c r="N471">
        <f t="shared" si="79"/>
        <v>600</v>
      </c>
    </row>
    <row r="472" spans="1:14" x14ac:dyDescent="0.25">
      <c r="A472" s="1">
        <v>45397</v>
      </c>
      <c r="B472" t="s">
        <v>3</v>
      </c>
      <c r="C472">
        <f t="shared" si="76"/>
        <v>27310</v>
      </c>
      <c r="D472">
        <f>IF(B472="zima",20%,IF(B472="wiosna",50%,IF(B472="lato",90%,40%)))</f>
        <v>0.5</v>
      </c>
      <c r="E472">
        <f t="shared" si="77"/>
        <v>40</v>
      </c>
      <c r="F472">
        <f>WEEKDAY(A472,2)</f>
        <v>1</v>
      </c>
      <c r="G472">
        <f t="shared" si="70"/>
        <v>1</v>
      </c>
      <c r="H472">
        <f t="shared" si="71"/>
        <v>600</v>
      </c>
      <c r="I472">
        <f t="shared" si="72"/>
        <v>0</v>
      </c>
      <c r="J472">
        <f t="shared" si="78"/>
        <v>0</v>
      </c>
      <c r="K472">
        <f t="shared" si="73"/>
        <v>40</v>
      </c>
      <c r="L472">
        <f t="shared" si="74"/>
        <v>27910</v>
      </c>
      <c r="M472">
        <f t="shared" si="75"/>
        <v>600</v>
      </c>
      <c r="N472">
        <f t="shared" si="79"/>
        <v>0</v>
      </c>
    </row>
    <row r="473" spans="1:14" x14ac:dyDescent="0.25">
      <c r="A473" s="1">
        <v>45398</v>
      </c>
      <c r="B473" t="s">
        <v>3</v>
      </c>
      <c r="C473">
        <f t="shared" si="76"/>
        <v>27910</v>
      </c>
      <c r="D473">
        <f>IF(B473="zima",20%,IF(B473="wiosna",50%,IF(B473="lato",90%,40%)))</f>
        <v>0.5</v>
      </c>
      <c r="E473">
        <f t="shared" si="77"/>
        <v>40</v>
      </c>
      <c r="F473">
        <f>WEEKDAY(A473,2)</f>
        <v>2</v>
      </c>
      <c r="G473">
        <f t="shared" si="70"/>
        <v>1</v>
      </c>
      <c r="H473">
        <f t="shared" si="71"/>
        <v>600</v>
      </c>
      <c r="I473">
        <f t="shared" si="72"/>
        <v>0</v>
      </c>
      <c r="J473">
        <f t="shared" si="78"/>
        <v>0</v>
      </c>
      <c r="K473">
        <f t="shared" si="73"/>
        <v>40</v>
      </c>
      <c r="L473">
        <f t="shared" si="74"/>
        <v>28510</v>
      </c>
      <c r="M473">
        <f t="shared" si="75"/>
        <v>600</v>
      </c>
      <c r="N473">
        <f t="shared" si="79"/>
        <v>0</v>
      </c>
    </row>
    <row r="474" spans="1:14" x14ac:dyDescent="0.25">
      <c r="A474" s="1">
        <v>45399</v>
      </c>
      <c r="B474" t="s">
        <v>3</v>
      </c>
      <c r="C474">
        <f t="shared" si="76"/>
        <v>28510</v>
      </c>
      <c r="D474">
        <f>IF(B474="zima",20%,IF(B474="wiosna",50%,IF(B474="lato",90%,40%)))</f>
        <v>0.5</v>
      </c>
      <c r="E474">
        <f t="shared" si="77"/>
        <v>40</v>
      </c>
      <c r="F474">
        <f>WEEKDAY(A474,2)</f>
        <v>3</v>
      </c>
      <c r="G474">
        <f t="shared" si="70"/>
        <v>1</v>
      </c>
      <c r="H474">
        <f t="shared" si="71"/>
        <v>600</v>
      </c>
      <c r="I474">
        <f t="shared" si="72"/>
        <v>0</v>
      </c>
      <c r="J474">
        <f t="shared" si="78"/>
        <v>0</v>
      </c>
      <c r="K474">
        <f t="shared" si="73"/>
        <v>40</v>
      </c>
      <c r="L474">
        <f t="shared" si="74"/>
        <v>29110</v>
      </c>
      <c r="M474">
        <f t="shared" si="75"/>
        <v>600</v>
      </c>
      <c r="N474">
        <f t="shared" si="79"/>
        <v>0</v>
      </c>
    </row>
    <row r="475" spans="1:14" x14ac:dyDescent="0.25">
      <c r="A475" s="1">
        <v>45400</v>
      </c>
      <c r="B475" t="s">
        <v>3</v>
      </c>
      <c r="C475">
        <f t="shared" si="76"/>
        <v>29110</v>
      </c>
      <c r="D475">
        <f>IF(B475="zima",20%,IF(B475="wiosna",50%,IF(B475="lato",90%,40%)))</f>
        <v>0.5</v>
      </c>
      <c r="E475">
        <f t="shared" si="77"/>
        <v>40</v>
      </c>
      <c r="F475">
        <f>WEEKDAY(A475,2)</f>
        <v>4</v>
      </c>
      <c r="G475">
        <f t="shared" si="70"/>
        <v>1</v>
      </c>
      <c r="H475">
        <f t="shared" si="71"/>
        <v>600</v>
      </c>
      <c r="I475">
        <f t="shared" si="72"/>
        <v>0</v>
      </c>
      <c r="J475">
        <f t="shared" si="78"/>
        <v>0</v>
      </c>
      <c r="K475">
        <f t="shared" si="73"/>
        <v>40</v>
      </c>
      <c r="L475">
        <f t="shared" si="74"/>
        <v>29710</v>
      </c>
      <c r="M475">
        <f t="shared" si="75"/>
        <v>600</v>
      </c>
      <c r="N475">
        <f t="shared" si="79"/>
        <v>0</v>
      </c>
    </row>
    <row r="476" spans="1:14" x14ac:dyDescent="0.25">
      <c r="A476" s="1">
        <v>45401</v>
      </c>
      <c r="B476" t="s">
        <v>3</v>
      </c>
      <c r="C476">
        <f t="shared" si="76"/>
        <v>29710</v>
      </c>
      <c r="D476">
        <f>IF(B476="zima",20%,IF(B476="wiosna",50%,IF(B476="lato",90%,40%)))</f>
        <v>0.5</v>
      </c>
      <c r="E476">
        <f t="shared" si="77"/>
        <v>40</v>
      </c>
      <c r="F476">
        <f>WEEKDAY(A476,2)</f>
        <v>5</v>
      </c>
      <c r="G476">
        <f t="shared" si="70"/>
        <v>1</v>
      </c>
      <c r="H476">
        <f t="shared" si="71"/>
        <v>600</v>
      </c>
      <c r="I476">
        <f t="shared" si="72"/>
        <v>0</v>
      </c>
      <c r="J476">
        <f t="shared" si="78"/>
        <v>0</v>
      </c>
      <c r="K476">
        <f t="shared" si="73"/>
        <v>40</v>
      </c>
      <c r="L476">
        <f t="shared" si="74"/>
        <v>30310</v>
      </c>
      <c r="M476">
        <f t="shared" si="75"/>
        <v>600</v>
      </c>
      <c r="N476">
        <f t="shared" si="79"/>
        <v>0</v>
      </c>
    </row>
    <row r="477" spans="1:14" x14ac:dyDescent="0.25">
      <c r="A477" s="1">
        <v>45402</v>
      </c>
      <c r="B477" t="s">
        <v>3</v>
      </c>
      <c r="C477">
        <f t="shared" si="76"/>
        <v>30310</v>
      </c>
      <c r="D477">
        <f>IF(B477="zima",20%,IF(B477="wiosna",50%,IF(B477="lato",90%,40%)))</f>
        <v>0.5</v>
      </c>
      <c r="E477">
        <f t="shared" si="77"/>
        <v>40</v>
      </c>
      <c r="F477">
        <f>WEEKDAY(A477,2)</f>
        <v>6</v>
      </c>
      <c r="G477">
        <f t="shared" si="70"/>
        <v>0</v>
      </c>
      <c r="H477">
        <f t="shared" si="71"/>
        <v>0</v>
      </c>
      <c r="I477">
        <f t="shared" si="72"/>
        <v>0</v>
      </c>
      <c r="J477">
        <f t="shared" si="78"/>
        <v>0</v>
      </c>
      <c r="K477">
        <f t="shared" si="73"/>
        <v>40</v>
      </c>
      <c r="L477">
        <f t="shared" si="74"/>
        <v>30310</v>
      </c>
      <c r="M477">
        <f t="shared" si="75"/>
        <v>0</v>
      </c>
      <c r="N477">
        <f t="shared" si="79"/>
        <v>0</v>
      </c>
    </row>
    <row r="478" spans="1:14" x14ac:dyDescent="0.25">
      <c r="A478" s="1">
        <v>45403</v>
      </c>
      <c r="B478" t="s">
        <v>3</v>
      </c>
      <c r="C478">
        <f t="shared" si="76"/>
        <v>30310</v>
      </c>
      <c r="D478">
        <f>IF(B478="zima",20%,IF(B478="wiosna",50%,IF(B478="lato",90%,40%)))</f>
        <v>0.5</v>
      </c>
      <c r="E478">
        <f t="shared" si="77"/>
        <v>40</v>
      </c>
      <c r="F478">
        <f>WEEKDAY(A478,2)</f>
        <v>7</v>
      </c>
      <c r="G478">
        <f t="shared" si="70"/>
        <v>0</v>
      </c>
      <c r="H478">
        <f t="shared" si="71"/>
        <v>0</v>
      </c>
      <c r="I478">
        <f t="shared" si="72"/>
        <v>600</v>
      </c>
      <c r="J478">
        <f t="shared" si="78"/>
        <v>0</v>
      </c>
      <c r="K478">
        <f t="shared" si="73"/>
        <v>40</v>
      </c>
      <c r="L478">
        <f t="shared" si="74"/>
        <v>29710</v>
      </c>
      <c r="M478">
        <f t="shared" si="75"/>
        <v>0</v>
      </c>
      <c r="N478">
        <f t="shared" si="79"/>
        <v>600</v>
      </c>
    </row>
    <row r="479" spans="1:14" x14ac:dyDescent="0.25">
      <c r="A479" s="1">
        <v>45404</v>
      </c>
      <c r="B479" t="s">
        <v>3</v>
      </c>
      <c r="C479">
        <f t="shared" si="76"/>
        <v>29710</v>
      </c>
      <c r="D479">
        <f>IF(B479="zima",20%,IF(B479="wiosna",50%,IF(B479="lato",90%,40%)))</f>
        <v>0.5</v>
      </c>
      <c r="E479">
        <f t="shared" si="77"/>
        <v>40</v>
      </c>
      <c r="F479">
        <f>WEEKDAY(A479,2)</f>
        <v>1</v>
      </c>
      <c r="G479">
        <f t="shared" si="70"/>
        <v>1</v>
      </c>
      <c r="H479">
        <f t="shared" si="71"/>
        <v>600</v>
      </c>
      <c r="I479">
        <f t="shared" si="72"/>
        <v>0</v>
      </c>
      <c r="J479">
        <f t="shared" si="78"/>
        <v>0</v>
      </c>
      <c r="K479">
        <f t="shared" si="73"/>
        <v>40</v>
      </c>
      <c r="L479">
        <f t="shared" si="74"/>
        <v>30310</v>
      </c>
      <c r="M479">
        <f t="shared" si="75"/>
        <v>600</v>
      </c>
      <c r="N479">
        <f t="shared" si="79"/>
        <v>0</v>
      </c>
    </row>
    <row r="480" spans="1:14" x14ac:dyDescent="0.25">
      <c r="A480" s="1">
        <v>45405</v>
      </c>
      <c r="B480" t="s">
        <v>3</v>
      </c>
      <c r="C480">
        <f t="shared" si="76"/>
        <v>30310</v>
      </c>
      <c r="D480">
        <f>IF(B480="zima",20%,IF(B480="wiosna",50%,IF(B480="lato",90%,40%)))</f>
        <v>0.5</v>
      </c>
      <c r="E480">
        <f t="shared" si="77"/>
        <v>40</v>
      </c>
      <c r="F480">
        <f>WEEKDAY(A480,2)</f>
        <v>2</v>
      </c>
      <c r="G480">
        <f t="shared" si="70"/>
        <v>1</v>
      </c>
      <c r="H480">
        <f t="shared" si="71"/>
        <v>600</v>
      </c>
      <c r="I480">
        <f t="shared" si="72"/>
        <v>0</v>
      </c>
      <c r="J480">
        <f t="shared" si="78"/>
        <v>0</v>
      </c>
      <c r="K480">
        <f t="shared" si="73"/>
        <v>40</v>
      </c>
      <c r="L480">
        <f t="shared" si="74"/>
        <v>30910</v>
      </c>
      <c r="M480">
        <f t="shared" si="75"/>
        <v>600</v>
      </c>
      <c r="N480">
        <f t="shared" si="79"/>
        <v>0</v>
      </c>
    </row>
    <row r="481" spans="1:14" x14ac:dyDescent="0.25">
      <c r="A481" s="1">
        <v>45406</v>
      </c>
      <c r="B481" t="s">
        <v>3</v>
      </c>
      <c r="C481">
        <f t="shared" si="76"/>
        <v>30910</v>
      </c>
      <c r="D481">
        <f>IF(B481="zima",20%,IF(B481="wiosna",50%,IF(B481="lato",90%,40%)))</f>
        <v>0.5</v>
      </c>
      <c r="E481">
        <f t="shared" si="77"/>
        <v>40</v>
      </c>
      <c r="F481">
        <f>WEEKDAY(A481,2)</f>
        <v>3</v>
      </c>
      <c r="G481">
        <f t="shared" si="70"/>
        <v>1</v>
      </c>
      <c r="H481">
        <f t="shared" si="71"/>
        <v>600</v>
      </c>
      <c r="I481">
        <f t="shared" si="72"/>
        <v>0</v>
      </c>
      <c r="J481">
        <f t="shared" si="78"/>
        <v>0</v>
      </c>
      <c r="K481">
        <f t="shared" si="73"/>
        <v>40</v>
      </c>
      <c r="L481">
        <f t="shared" si="74"/>
        <v>31510</v>
      </c>
      <c r="M481">
        <f t="shared" si="75"/>
        <v>600</v>
      </c>
      <c r="N481">
        <f t="shared" si="79"/>
        <v>0</v>
      </c>
    </row>
    <row r="482" spans="1:14" x14ac:dyDescent="0.25">
      <c r="A482" s="1">
        <v>45407</v>
      </c>
      <c r="B482" t="s">
        <v>3</v>
      </c>
      <c r="C482">
        <f t="shared" si="76"/>
        <v>31510</v>
      </c>
      <c r="D482">
        <f>IF(B482="zima",20%,IF(B482="wiosna",50%,IF(B482="lato",90%,40%)))</f>
        <v>0.5</v>
      </c>
      <c r="E482">
        <f t="shared" si="77"/>
        <v>40</v>
      </c>
      <c r="F482">
        <f>WEEKDAY(A482,2)</f>
        <v>4</v>
      </c>
      <c r="G482">
        <f t="shared" si="70"/>
        <v>1</v>
      </c>
      <c r="H482">
        <f t="shared" si="71"/>
        <v>600</v>
      </c>
      <c r="I482">
        <f t="shared" si="72"/>
        <v>0</v>
      </c>
      <c r="J482">
        <f t="shared" si="78"/>
        <v>0</v>
      </c>
      <c r="K482">
        <f t="shared" si="73"/>
        <v>40</v>
      </c>
      <c r="L482">
        <f t="shared" si="74"/>
        <v>32110</v>
      </c>
      <c r="M482">
        <f t="shared" si="75"/>
        <v>600</v>
      </c>
      <c r="N482">
        <f t="shared" si="79"/>
        <v>0</v>
      </c>
    </row>
    <row r="483" spans="1:14" x14ac:dyDescent="0.25">
      <c r="A483" s="1">
        <v>45408</v>
      </c>
      <c r="B483" t="s">
        <v>3</v>
      </c>
      <c r="C483">
        <f t="shared" si="76"/>
        <v>32110</v>
      </c>
      <c r="D483">
        <f>IF(B483="zima",20%,IF(B483="wiosna",50%,IF(B483="lato",90%,40%)))</f>
        <v>0.5</v>
      </c>
      <c r="E483">
        <f t="shared" si="77"/>
        <v>40</v>
      </c>
      <c r="F483">
        <f>WEEKDAY(A483,2)</f>
        <v>5</v>
      </c>
      <c r="G483">
        <f t="shared" si="70"/>
        <v>1</v>
      </c>
      <c r="H483">
        <f t="shared" si="71"/>
        <v>600</v>
      </c>
      <c r="I483">
        <f t="shared" si="72"/>
        <v>0</v>
      </c>
      <c r="J483">
        <f t="shared" si="78"/>
        <v>0</v>
      </c>
      <c r="K483">
        <f t="shared" si="73"/>
        <v>40</v>
      </c>
      <c r="L483">
        <f t="shared" si="74"/>
        <v>32710</v>
      </c>
      <c r="M483">
        <f t="shared" si="75"/>
        <v>600</v>
      </c>
      <c r="N483">
        <f t="shared" si="79"/>
        <v>0</v>
      </c>
    </row>
    <row r="484" spans="1:14" x14ac:dyDescent="0.25">
      <c r="A484" s="1">
        <v>45409</v>
      </c>
      <c r="B484" t="s">
        <v>3</v>
      </c>
      <c r="C484">
        <f t="shared" si="76"/>
        <v>32710</v>
      </c>
      <c r="D484">
        <f>IF(B484="zima",20%,IF(B484="wiosna",50%,IF(B484="lato",90%,40%)))</f>
        <v>0.5</v>
      </c>
      <c r="E484">
        <f t="shared" si="77"/>
        <v>40</v>
      </c>
      <c r="F484">
        <f>WEEKDAY(A484,2)</f>
        <v>6</v>
      </c>
      <c r="G484">
        <f t="shared" si="70"/>
        <v>0</v>
      </c>
      <c r="H484">
        <f t="shared" si="71"/>
        <v>0</v>
      </c>
      <c r="I484">
        <f t="shared" si="72"/>
        <v>0</v>
      </c>
      <c r="J484">
        <f t="shared" si="78"/>
        <v>0</v>
      </c>
      <c r="K484">
        <f t="shared" si="73"/>
        <v>40</v>
      </c>
      <c r="L484">
        <f t="shared" si="74"/>
        <v>32710</v>
      </c>
      <c r="M484">
        <f t="shared" si="75"/>
        <v>0</v>
      </c>
      <c r="N484">
        <f t="shared" si="79"/>
        <v>0</v>
      </c>
    </row>
    <row r="485" spans="1:14" x14ac:dyDescent="0.25">
      <c r="A485" s="1">
        <v>45410</v>
      </c>
      <c r="B485" t="s">
        <v>3</v>
      </c>
      <c r="C485">
        <f t="shared" si="76"/>
        <v>32710</v>
      </c>
      <c r="D485">
        <f>IF(B485="zima",20%,IF(B485="wiosna",50%,IF(B485="lato",90%,40%)))</f>
        <v>0.5</v>
      </c>
      <c r="E485">
        <f t="shared" si="77"/>
        <v>40</v>
      </c>
      <c r="F485">
        <f>WEEKDAY(A485,2)</f>
        <v>7</v>
      </c>
      <c r="G485">
        <f t="shared" si="70"/>
        <v>0</v>
      </c>
      <c r="H485">
        <f t="shared" si="71"/>
        <v>0</v>
      </c>
      <c r="I485">
        <f t="shared" si="72"/>
        <v>600</v>
      </c>
      <c r="J485">
        <f t="shared" si="78"/>
        <v>0</v>
      </c>
      <c r="K485">
        <f t="shared" si="73"/>
        <v>40</v>
      </c>
      <c r="L485">
        <f t="shared" si="74"/>
        <v>32110</v>
      </c>
      <c r="M485">
        <f t="shared" si="75"/>
        <v>0</v>
      </c>
      <c r="N485">
        <f t="shared" si="79"/>
        <v>600</v>
      </c>
    </row>
    <row r="486" spans="1:14" x14ac:dyDescent="0.25">
      <c r="A486" s="1">
        <v>45411</v>
      </c>
      <c r="B486" t="s">
        <v>3</v>
      </c>
      <c r="C486">
        <f t="shared" si="76"/>
        <v>32110</v>
      </c>
      <c r="D486">
        <f>IF(B486="zima",20%,IF(B486="wiosna",50%,IF(B486="lato",90%,40%)))</f>
        <v>0.5</v>
      </c>
      <c r="E486">
        <f t="shared" si="77"/>
        <v>40</v>
      </c>
      <c r="F486">
        <f>WEEKDAY(A486,2)</f>
        <v>1</v>
      </c>
      <c r="G486">
        <f t="shared" si="70"/>
        <v>1</v>
      </c>
      <c r="H486">
        <f t="shared" si="71"/>
        <v>600</v>
      </c>
      <c r="I486">
        <f t="shared" si="72"/>
        <v>0</v>
      </c>
      <c r="J486">
        <f t="shared" si="78"/>
        <v>0</v>
      </c>
      <c r="K486">
        <f t="shared" si="73"/>
        <v>40</v>
      </c>
      <c r="L486">
        <f t="shared" si="74"/>
        <v>32710</v>
      </c>
      <c r="M486">
        <f t="shared" si="75"/>
        <v>600</v>
      </c>
      <c r="N486">
        <f t="shared" si="79"/>
        <v>0</v>
      </c>
    </row>
    <row r="487" spans="1:14" x14ac:dyDescent="0.25">
      <c r="A487" s="1">
        <v>45412</v>
      </c>
      <c r="B487" t="s">
        <v>3</v>
      </c>
      <c r="C487">
        <f t="shared" si="76"/>
        <v>32710</v>
      </c>
      <c r="D487">
        <f>IF(B487="zima",20%,IF(B487="wiosna",50%,IF(B487="lato",90%,40%)))</f>
        <v>0.5</v>
      </c>
      <c r="E487">
        <f t="shared" si="77"/>
        <v>40</v>
      </c>
      <c r="F487">
        <f>WEEKDAY(A487,2)</f>
        <v>2</v>
      </c>
      <c r="G487">
        <f t="shared" si="70"/>
        <v>1</v>
      </c>
      <c r="H487">
        <f t="shared" si="71"/>
        <v>600</v>
      </c>
      <c r="I487">
        <f t="shared" si="72"/>
        <v>0</v>
      </c>
      <c r="J487">
        <f t="shared" si="78"/>
        <v>2400</v>
      </c>
      <c r="K487">
        <f t="shared" si="73"/>
        <v>43</v>
      </c>
      <c r="L487">
        <f t="shared" si="74"/>
        <v>30910</v>
      </c>
      <c r="M487">
        <f t="shared" si="75"/>
        <v>600</v>
      </c>
      <c r="N487">
        <f t="shared" si="79"/>
        <v>2400</v>
      </c>
    </row>
    <row r="488" spans="1:14" x14ac:dyDescent="0.25">
      <c r="A488" s="1">
        <v>45413</v>
      </c>
      <c r="B488" t="s">
        <v>3</v>
      </c>
      <c r="C488">
        <f t="shared" si="76"/>
        <v>30910</v>
      </c>
      <c r="D488">
        <f>IF(B488="zima",20%,IF(B488="wiosna",50%,IF(B488="lato",90%,40%)))</f>
        <v>0.5</v>
      </c>
      <c r="E488">
        <f t="shared" si="77"/>
        <v>43</v>
      </c>
      <c r="F488">
        <f>WEEKDAY(A488,2)</f>
        <v>3</v>
      </c>
      <c r="G488">
        <f t="shared" si="70"/>
        <v>1</v>
      </c>
      <c r="H488">
        <f t="shared" si="71"/>
        <v>630</v>
      </c>
      <c r="I488">
        <f t="shared" si="72"/>
        <v>0</v>
      </c>
      <c r="J488">
        <f t="shared" si="78"/>
        <v>0</v>
      </c>
      <c r="K488">
        <f t="shared" si="73"/>
        <v>43</v>
      </c>
      <c r="L488">
        <f t="shared" si="74"/>
        <v>31540</v>
      </c>
      <c r="M488">
        <f t="shared" si="75"/>
        <v>630</v>
      </c>
      <c r="N488">
        <f t="shared" si="79"/>
        <v>0</v>
      </c>
    </row>
    <row r="489" spans="1:14" x14ac:dyDescent="0.25">
      <c r="A489" s="1">
        <v>45414</v>
      </c>
      <c r="B489" t="s">
        <v>3</v>
      </c>
      <c r="C489">
        <f t="shared" si="76"/>
        <v>31540</v>
      </c>
      <c r="D489">
        <f>IF(B489="zima",20%,IF(B489="wiosna",50%,IF(B489="lato",90%,40%)))</f>
        <v>0.5</v>
      </c>
      <c r="E489">
        <f t="shared" si="77"/>
        <v>43</v>
      </c>
      <c r="F489">
        <f>WEEKDAY(A489,2)</f>
        <v>4</v>
      </c>
      <c r="G489">
        <f t="shared" si="70"/>
        <v>1</v>
      </c>
      <c r="H489">
        <f t="shared" si="71"/>
        <v>630</v>
      </c>
      <c r="I489">
        <f t="shared" si="72"/>
        <v>0</v>
      </c>
      <c r="J489">
        <f t="shared" si="78"/>
        <v>0</v>
      </c>
      <c r="K489">
        <f t="shared" si="73"/>
        <v>43</v>
      </c>
      <c r="L489">
        <f t="shared" si="74"/>
        <v>32170</v>
      </c>
      <c r="M489">
        <f t="shared" si="75"/>
        <v>630</v>
      </c>
      <c r="N489">
        <f t="shared" si="79"/>
        <v>0</v>
      </c>
    </row>
    <row r="490" spans="1:14" x14ac:dyDescent="0.25">
      <c r="A490" s="1">
        <v>45415</v>
      </c>
      <c r="B490" t="s">
        <v>3</v>
      </c>
      <c r="C490">
        <f t="shared" si="76"/>
        <v>32170</v>
      </c>
      <c r="D490">
        <f>IF(B490="zima",20%,IF(B490="wiosna",50%,IF(B490="lato",90%,40%)))</f>
        <v>0.5</v>
      </c>
      <c r="E490">
        <f t="shared" si="77"/>
        <v>43</v>
      </c>
      <c r="F490">
        <f>WEEKDAY(A490,2)</f>
        <v>5</v>
      </c>
      <c r="G490">
        <f t="shared" si="70"/>
        <v>1</v>
      </c>
      <c r="H490">
        <f t="shared" si="71"/>
        <v>630</v>
      </c>
      <c r="I490">
        <f t="shared" si="72"/>
        <v>0</v>
      </c>
      <c r="J490">
        <f t="shared" si="78"/>
        <v>0</v>
      </c>
      <c r="K490">
        <f t="shared" si="73"/>
        <v>43</v>
      </c>
      <c r="L490">
        <f t="shared" si="74"/>
        <v>32800</v>
      </c>
      <c r="M490">
        <f t="shared" si="75"/>
        <v>630</v>
      </c>
      <c r="N490">
        <f t="shared" si="79"/>
        <v>0</v>
      </c>
    </row>
    <row r="491" spans="1:14" x14ac:dyDescent="0.25">
      <c r="A491" s="1">
        <v>45416</v>
      </c>
      <c r="B491" t="s">
        <v>3</v>
      </c>
      <c r="C491">
        <f t="shared" si="76"/>
        <v>32800</v>
      </c>
      <c r="D491">
        <f>IF(B491="zima",20%,IF(B491="wiosna",50%,IF(B491="lato",90%,40%)))</f>
        <v>0.5</v>
      </c>
      <c r="E491">
        <f t="shared" si="77"/>
        <v>43</v>
      </c>
      <c r="F491">
        <f>WEEKDAY(A491,2)</f>
        <v>6</v>
      </c>
      <c r="G491">
        <f t="shared" si="70"/>
        <v>0</v>
      </c>
      <c r="H491">
        <f t="shared" si="71"/>
        <v>0</v>
      </c>
      <c r="I491">
        <f t="shared" si="72"/>
        <v>0</v>
      </c>
      <c r="J491">
        <f t="shared" si="78"/>
        <v>0</v>
      </c>
      <c r="K491">
        <f t="shared" si="73"/>
        <v>43</v>
      </c>
      <c r="L491">
        <f t="shared" si="74"/>
        <v>32800</v>
      </c>
      <c r="M491">
        <f t="shared" si="75"/>
        <v>0</v>
      </c>
      <c r="N491">
        <f t="shared" si="79"/>
        <v>0</v>
      </c>
    </row>
    <row r="492" spans="1:14" x14ac:dyDescent="0.25">
      <c r="A492" s="1">
        <v>45417</v>
      </c>
      <c r="B492" t="s">
        <v>3</v>
      </c>
      <c r="C492">
        <f t="shared" si="76"/>
        <v>32800</v>
      </c>
      <c r="D492">
        <f>IF(B492="zima",20%,IF(B492="wiosna",50%,IF(B492="lato",90%,40%)))</f>
        <v>0.5</v>
      </c>
      <c r="E492">
        <f t="shared" si="77"/>
        <v>43</v>
      </c>
      <c r="F492">
        <f>WEEKDAY(A492,2)</f>
        <v>7</v>
      </c>
      <c r="G492">
        <f t="shared" si="70"/>
        <v>0</v>
      </c>
      <c r="H492">
        <f t="shared" si="71"/>
        <v>0</v>
      </c>
      <c r="I492">
        <f t="shared" si="72"/>
        <v>645</v>
      </c>
      <c r="J492">
        <f t="shared" si="78"/>
        <v>0</v>
      </c>
      <c r="K492">
        <f t="shared" si="73"/>
        <v>43</v>
      </c>
      <c r="L492">
        <f t="shared" si="74"/>
        <v>32155</v>
      </c>
      <c r="M492">
        <f t="shared" si="75"/>
        <v>0</v>
      </c>
      <c r="N492">
        <f t="shared" si="79"/>
        <v>645</v>
      </c>
    </row>
    <row r="493" spans="1:14" x14ac:dyDescent="0.25">
      <c r="A493" s="1">
        <v>45418</v>
      </c>
      <c r="B493" t="s">
        <v>3</v>
      </c>
      <c r="C493">
        <f t="shared" si="76"/>
        <v>32155</v>
      </c>
      <c r="D493">
        <f>IF(B493="zima",20%,IF(B493="wiosna",50%,IF(B493="lato",90%,40%)))</f>
        <v>0.5</v>
      </c>
      <c r="E493">
        <f t="shared" si="77"/>
        <v>43</v>
      </c>
      <c r="F493">
        <f>WEEKDAY(A493,2)</f>
        <v>1</v>
      </c>
      <c r="G493">
        <f t="shared" si="70"/>
        <v>1</v>
      </c>
      <c r="H493">
        <f t="shared" si="71"/>
        <v>630</v>
      </c>
      <c r="I493">
        <f t="shared" si="72"/>
        <v>0</v>
      </c>
      <c r="J493">
        <f t="shared" si="78"/>
        <v>0</v>
      </c>
      <c r="K493">
        <f t="shared" si="73"/>
        <v>43</v>
      </c>
      <c r="L493">
        <f t="shared" si="74"/>
        <v>32785</v>
      </c>
      <c r="M493">
        <f t="shared" si="75"/>
        <v>630</v>
      </c>
      <c r="N493">
        <f t="shared" si="79"/>
        <v>0</v>
      </c>
    </row>
    <row r="494" spans="1:14" x14ac:dyDescent="0.25">
      <c r="A494" s="1">
        <v>45419</v>
      </c>
      <c r="B494" t="s">
        <v>3</v>
      </c>
      <c r="C494">
        <f t="shared" si="76"/>
        <v>32785</v>
      </c>
      <c r="D494">
        <f>IF(B494="zima",20%,IF(B494="wiosna",50%,IF(B494="lato",90%,40%)))</f>
        <v>0.5</v>
      </c>
      <c r="E494">
        <f t="shared" si="77"/>
        <v>43</v>
      </c>
      <c r="F494">
        <f>WEEKDAY(A494,2)</f>
        <v>2</v>
      </c>
      <c r="G494">
        <f t="shared" si="70"/>
        <v>1</v>
      </c>
      <c r="H494">
        <f t="shared" si="71"/>
        <v>630</v>
      </c>
      <c r="I494">
        <f t="shared" si="72"/>
        <v>0</v>
      </c>
      <c r="J494">
        <f t="shared" si="78"/>
        <v>0</v>
      </c>
      <c r="K494">
        <f t="shared" si="73"/>
        <v>43</v>
      </c>
      <c r="L494">
        <f t="shared" si="74"/>
        <v>33415</v>
      </c>
      <c r="M494">
        <f t="shared" si="75"/>
        <v>630</v>
      </c>
      <c r="N494">
        <f t="shared" si="79"/>
        <v>0</v>
      </c>
    </row>
    <row r="495" spans="1:14" x14ac:dyDescent="0.25">
      <c r="A495" s="1">
        <v>45420</v>
      </c>
      <c r="B495" t="s">
        <v>3</v>
      </c>
      <c r="C495">
        <f t="shared" si="76"/>
        <v>33415</v>
      </c>
      <c r="D495">
        <f>IF(B495="zima",20%,IF(B495="wiosna",50%,IF(B495="lato",90%,40%)))</f>
        <v>0.5</v>
      </c>
      <c r="E495">
        <f t="shared" si="77"/>
        <v>43</v>
      </c>
      <c r="F495">
        <f>WEEKDAY(A495,2)</f>
        <v>3</v>
      </c>
      <c r="G495">
        <f t="shared" si="70"/>
        <v>1</v>
      </c>
      <c r="H495">
        <f t="shared" si="71"/>
        <v>630</v>
      </c>
      <c r="I495">
        <f t="shared" si="72"/>
        <v>0</v>
      </c>
      <c r="J495">
        <f t="shared" si="78"/>
        <v>0</v>
      </c>
      <c r="K495">
        <f t="shared" si="73"/>
        <v>43</v>
      </c>
      <c r="L495">
        <f t="shared" si="74"/>
        <v>34045</v>
      </c>
      <c r="M495">
        <f t="shared" si="75"/>
        <v>630</v>
      </c>
      <c r="N495">
        <f t="shared" si="79"/>
        <v>0</v>
      </c>
    </row>
    <row r="496" spans="1:14" x14ac:dyDescent="0.25">
      <c r="A496" s="1">
        <v>45421</v>
      </c>
      <c r="B496" t="s">
        <v>3</v>
      </c>
      <c r="C496">
        <f t="shared" si="76"/>
        <v>34045</v>
      </c>
      <c r="D496">
        <f>IF(B496="zima",20%,IF(B496="wiosna",50%,IF(B496="lato",90%,40%)))</f>
        <v>0.5</v>
      </c>
      <c r="E496">
        <f t="shared" si="77"/>
        <v>43</v>
      </c>
      <c r="F496">
        <f>WEEKDAY(A496,2)</f>
        <v>4</v>
      </c>
      <c r="G496">
        <f t="shared" si="70"/>
        <v>1</v>
      </c>
      <c r="H496">
        <f t="shared" si="71"/>
        <v>630</v>
      </c>
      <c r="I496">
        <f t="shared" si="72"/>
        <v>0</v>
      </c>
      <c r="J496">
        <f t="shared" si="78"/>
        <v>0</v>
      </c>
      <c r="K496">
        <f t="shared" si="73"/>
        <v>43</v>
      </c>
      <c r="L496">
        <f t="shared" si="74"/>
        <v>34675</v>
      </c>
      <c r="M496">
        <f t="shared" si="75"/>
        <v>630</v>
      </c>
      <c r="N496">
        <f t="shared" si="79"/>
        <v>0</v>
      </c>
    </row>
    <row r="497" spans="1:14" x14ac:dyDescent="0.25">
      <c r="A497" s="1">
        <v>45422</v>
      </c>
      <c r="B497" t="s">
        <v>3</v>
      </c>
      <c r="C497">
        <f t="shared" si="76"/>
        <v>34675</v>
      </c>
      <c r="D497">
        <f>IF(B497="zima",20%,IF(B497="wiosna",50%,IF(B497="lato",90%,40%)))</f>
        <v>0.5</v>
      </c>
      <c r="E497">
        <f t="shared" si="77"/>
        <v>43</v>
      </c>
      <c r="F497">
        <f>WEEKDAY(A497,2)</f>
        <v>5</v>
      </c>
      <c r="G497">
        <f t="shared" si="70"/>
        <v>1</v>
      </c>
      <c r="H497">
        <f t="shared" si="71"/>
        <v>630</v>
      </c>
      <c r="I497">
        <f t="shared" si="72"/>
        <v>0</v>
      </c>
      <c r="J497">
        <f t="shared" si="78"/>
        <v>0</v>
      </c>
      <c r="K497">
        <f t="shared" si="73"/>
        <v>43</v>
      </c>
      <c r="L497">
        <f t="shared" si="74"/>
        <v>35305</v>
      </c>
      <c r="M497">
        <f t="shared" si="75"/>
        <v>630</v>
      </c>
      <c r="N497">
        <f t="shared" si="79"/>
        <v>0</v>
      </c>
    </row>
    <row r="498" spans="1:14" x14ac:dyDescent="0.25">
      <c r="A498" s="1">
        <v>45423</v>
      </c>
      <c r="B498" t="s">
        <v>3</v>
      </c>
      <c r="C498">
        <f t="shared" si="76"/>
        <v>35305</v>
      </c>
      <c r="D498">
        <f>IF(B498="zima",20%,IF(B498="wiosna",50%,IF(B498="lato",90%,40%)))</f>
        <v>0.5</v>
      </c>
      <c r="E498">
        <f t="shared" si="77"/>
        <v>43</v>
      </c>
      <c r="F498">
        <f>WEEKDAY(A498,2)</f>
        <v>6</v>
      </c>
      <c r="G498">
        <f t="shared" si="70"/>
        <v>0</v>
      </c>
      <c r="H498">
        <f t="shared" si="71"/>
        <v>0</v>
      </c>
      <c r="I498">
        <f t="shared" si="72"/>
        <v>0</v>
      </c>
      <c r="J498">
        <f t="shared" si="78"/>
        <v>0</v>
      </c>
      <c r="K498">
        <f t="shared" si="73"/>
        <v>43</v>
      </c>
      <c r="L498">
        <f t="shared" si="74"/>
        <v>35305</v>
      </c>
      <c r="M498">
        <f t="shared" si="75"/>
        <v>0</v>
      </c>
      <c r="N498">
        <f t="shared" si="79"/>
        <v>0</v>
      </c>
    </row>
    <row r="499" spans="1:14" x14ac:dyDescent="0.25">
      <c r="A499" s="1">
        <v>45424</v>
      </c>
      <c r="B499" t="s">
        <v>3</v>
      </c>
      <c r="C499">
        <f t="shared" si="76"/>
        <v>35305</v>
      </c>
      <c r="D499">
        <f>IF(B499="zima",20%,IF(B499="wiosna",50%,IF(B499="lato",90%,40%)))</f>
        <v>0.5</v>
      </c>
      <c r="E499">
        <f t="shared" si="77"/>
        <v>43</v>
      </c>
      <c r="F499">
        <f>WEEKDAY(A499,2)</f>
        <v>7</v>
      </c>
      <c r="G499">
        <f t="shared" si="70"/>
        <v>0</v>
      </c>
      <c r="H499">
        <f t="shared" si="71"/>
        <v>0</v>
      </c>
      <c r="I499">
        <f t="shared" si="72"/>
        <v>645</v>
      </c>
      <c r="J499">
        <f t="shared" si="78"/>
        <v>0</v>
      </c>
      <c r="K499">
        <f t="shared" si="73"/>
        <v>43</v>
      </c>
      <c r="L499">
        <f t="shared" si="74"/>
        <v>34660</v>
      </c>
      <c r="M499">
        <f t="shared" si="75"/>
        <v>0</v>
      </c>
      <c r="N499">
        <f t="shared" si="79"/>
        <v>645</v>
      </c>
    </row>
    <row r="500" spans="1:14" x14ac:dyDescent="0.25">
      <c r="A500" s="1">
        <v>45425</v>
      </c>
      <c r="B500" t="s">
        <v>3</v>
      </c>
      <c r="C500">
        <f t="shared" si="76"/>
        <v>34660</v>
      </c>
      <c r="D500">
        <f>IF(B500="zima",20%,IF(B500="wiosna",50%,IF(B500="lato",90%,40%)))</f>
        <v>0.5</v>
      </c>
      <c r="E500">
        <f t="shared" si="77"/>
        <v>43</v>
      </c>
      <c r="F500">
        <f>WEEKDAY(A500,2)</f>
        <v>1</v>
      </c>
      <c r="G500">
        <f t="shared" si="70"/>
        <v>1</v>
      </c>
      <c r="H500">
        <f t="shared" si="71"/>
        <v>630</v>
      </c>
      <c r="I500">
        <f t="shared" si="72"/>
        <v>0</v>
      </c>
      <c r="J500">
        <f t="shared" si="78"/>
        <v>0</v>
      </c>
      <c r="K500">
        <f t="shared" si="73"/>
        <v>43</v>
      </c>
      <c r="L500">
        <f t="shared" si="74"/>
        <v>35290</v>
      </c>
      <c r="M500">
        <f t="shared" si="75"/>
        <v>630</v>
      </c>
      <c r="N500">
        <f t="shared" si="79"/>
        <v>0</v>
      </c>
    </row>
    <row r="501" spans="1:14" x14ac:dyDescent="0.25">
      <c r="A501" s="1">
        <v>45426</v>
      </c>
      <c r="B501" t="s">
        <v>3</v>
      </c>
      <c r="C501">
        <f t="shared" si="76"/>
        <v>35290</v>
      </c>
      <c r="D501">
        <f>IF(B501="zima",20%,IF(B501="wiosna",50%,IF(B501="lato",90%,40%)))</f>
        <v>0.5</v>
      </c>
      <c r="E501">
        <f t="shared" si="77"/>
        <v>43</v>
      </c>
      <c r="F501">
        <f>WEEKDAY(A501,2)</f>
        <v>2</v>
      </c>
      <c r="G501">
        <f t="shared" si="70"/>
        <v>1</v>
      </c>
      <c r="H501">
        <f t="shared" si="71"/>
        <v>630</v>
      </c>
      <c r="I501">
        <f t="shared" si="72"/>
        <v>0</v>
      </c>
      <c r="J501">
        <f t="shared" si="78"/>
        <v>0</v>
      </c>
      <c r="K501">
        <f t="shared" si="73"/>
        <v>43</v>
      </c>
      <c r="L501">
        <f t="shared" si="74"/>
        <v>35920</v>
      </c>
      <c r="M501">
        <f t="shared" si="75"/>
        <v>630</v>
      </c>
      <c r="N501">
        <f t="shared" si="79"/>
        <v>0</v>
      </c>
    </row>
    <row r="502" spans="1:14" x14ac:dyDescent="0.25">
      <c r="A502" s="1">
        <v>45427</v>
      </c>
      <c r="B502" t="s">
        <v>3</v>
      </c>
      <c r="C502">
        <f t="shared" si="76"/>
        <v>35920</v>
      </c>
      <c r="D502">
        <f>IF(B502="zima",20%,IF(B502="wiosna",50%,IF(B502="lato",90%,40%)))</f>
        <v>0.5</v>
      </c>
      <c r="E502">
        <f t="shared" si="77"/>
        <v>43</v>
      </c>
      <c r="F502">
        <f>WEEKDAY(A502,2)</f>
        <v>3</v>
      </c>
      <c r="G502">
        <f t="shared" si="70"/>
        <v>1</v>
      </c>
      <c r="H502">
        <f t="shared" si="71"/>
        <v>630</v>
      </c>
      <c r="I502">
        <f t="shared" si="72"/>
        <v>0</v>
      </c>
      <c r="J502">
        <f t="shared" si="78"/>
        <v>0</v>
      </c>
      <c r="K502">
        <f t="shared" si="73"/>
        <v>43</v>
      </c>
      <c r="L502">
        <f t="shared" si="74"/>
        <v>36550</v>
      </c>
      <c r="M502">
        <f t="shared" si="75"/>
        <v>630</v>
      </c>
      <c r="N502">
        <f t="shared" si="79"/>
        <v>0</v>
      </c>
    </row>
    <row r="503" spans="1:14" x14ac:dyDescent="0.25">
      <c r="A503" s="1">
        <v>45428</v>
      </c>
      <c r="B503" t="s">
        <v>3</v>
      </c>
      <c r="C503">
        <f t="shared" si="76"/>
        <v>36550</v>
      </c>
      <c r="D503">
        <f>IF(B503="zima",20%,IF(B503="wiosna",50%,IF(B503="lato",90%,40%)))</f>
        <v>0.5</v>
      </c>
      <c r="E503">
        <f t="shared" si="77"/>
        <v>43</v>
      </c>
      <c r="F503">
        <f>WEEKDAY(A503,2)</f>
        <v>4</v>
      </c>
      <c r="G503">
        <f t="shared" si="70"/>
        <v>1</v>
      </c>
      <c r="H503">
        <f t="shared" si="71"/>
        <v>630</v>
      </c>
      <c r="I503">
        <f t="shared" si="72"/>
        <v>0</v>
      </c>
      <c r="J503">
        <f t="shared" si="78"/>
        <v>0</v>
      </c>
      <c r="K503">
        <f t="shared" si="73"/>
        <v>43</v>
      </c>
      <c r="L503">
        <f t="shared" si="74"/>
        <v>37180</v>
      </c>
      <c r="M503">
        <f t="shared" si="75"/>
        <v>630</v>
      </c>
      <c r="N503">
        <f t="shared" si="79"/>
        <v>0</v>
      </c>
    </row>
    <row r="504" spans="1:14" x14ac:dyDescent="0.25">
      <c r="A504" s="1">
        <v>45429</v>
      </c>
      <c r="B504" t="s">
        <v>3</v>
      </c>
      <c r="C504">
        <f t="shared" si="76"/>
        <v>37180</v>
      </c>
      <c r="D504">
        <f>IF(B504="zima",20%,IF(B504="wiosna",50%,IF(B504="lato",90%,40%)))</f>
        <v>0.5</v>
      </c>
      <c r="E504">
        <f t="shared" si="77"/>
        <v>43</v>
      </c>
      <c r="F504">
        <f>WEEKDAY(A504,2)</f>
        <v>5</v>
      </c>
      <c r="G504">
        <f t="shared" si="70"/>
        <v>1</v>
      </c>
      <c r="H504">
        <f t="shared" si="71"/>
        <v>630</v>
      </c>
      <c r="I504">
        <f t="shared" si="72"/>
        <v>0</v>
      </c>
      <c r="J504">
        <f t="shared" si="78"/>
        <v>0</v>
      </c>
      <c r="K504">
        <f t="shared" si="73"/>
        <v>43</v>
      </c>
      <c r="L504">
        <f t="shared" si="74"/>
        <v>37810</v>
      </c>
      <c r="M504">
        <f t="shared" si="75"/>
        <v>630</v>
      </c>
      <c r="N504">
        <f t="shared" si="79"/>
        <v>0</v>
      </c>
    </row>
    <row r="505" spans="1:14" x14ac:dyDescent="0.25">
      <c r="A505" s="1">
        <v>45430</v>
      </c>
      <c r="B505" t="s">
        <v>3</v>
      </c>
      <c r="C505">
        <f t="shared" si="76"/>
        <v>37810</v>
      </c>
      <c r="D505">
        <f>IF(B505="zima",20%,IF(B505="wiosna",50%,IF(B505="lato",90%,40%)))</f>
        <v>0.5</v>
      </c>
      <c r="E505">
        <f t="shared" si="77"/>
        <v>43</v>
      </c>
      <c r="F505">
        <f>WEEKDAY(A505,2)</f>
        <v>6</v>
      </c>
      <c r="G505">
        <f t="shared" si="70"/>
        <v>0</v>
      </c>
      <c r="H505">
        <f t="shared" si="71"/>
        <v>0</v>
      </c>
      <c r="I505">
        <f t="shared" si="72"/>
        <v>0</v>
      </c>
      <c r="J505">
        <f t="shared" si="78"/>
        <v>0</v>
      </c>
      <c r="K505">
        <f t="shared" si="73"/>
        <v>43</v>
      </c>
      <c r="L505">
        <f t="shared" si="74"/>
        <v>37810</v>
      </c>
      <c r="M505">
        <f t="shared" si="75"/>
        <v>0</v>
      </c>
      <c r="N505">
        <f t="shared" si="79"/>
        <v>0</v>
      </c>
    </row>
    <row r="506" spans="1:14" x14ac:dyDescent="0.25">
      <c r="A506" s="1">
        <v>45431</v>
      </c>
      <c r="B506" t="s">
        <v>3</v>
      </c>
      <c r="C506">
        <f t="shared" si="76"/>
        <v>37810</v>
      </c>
      <c r="D506">
        <f>IF(B506="zima",20%,IF(B506="wiosna",50%,IF(B506="lato",90%,40%)))</f>
        <v>0.5</v>
      </c>
      <c r="E506">
        <f t="shared" si="77"/>
        <v>43</v>
      </c>
      <c r="F506">
        <f>WEEKDAY(A506,2)</f>
        <v>7</v>
      </c>
      <c r="G506">
        <f t="shared" si="70"/>
        <v>0</v>
      </c>
      <c r="H506">
        <f t="shared" si="71"/>
        <v>0</v>
      </c>
      <c r="I506">
        <f t="shared" si="72"/>
        <v>645</v>
      </c>
      <c r="J506">
        <f t="shared" si="78"/>
        <v>0</v>
      </c>
      <c r="K506">
        <f t="shared" si="73"/>
        <v>43</v>
      </c>
      <c r="L506">
        <f t="shared" si="74"/>
        <v>37165</v>
      </c>
      <c r="M506">
        <f t="shared" si="75"/>
        <v>0</v>
      </c>
      <c r="N506">
        <f t="shared" si="79"/>
        <v>645</v>
      </c>
    </row>
    <row r="507" spans="1:14" x14ac:dyDescent="0.25">
      <c r="A507" s="1">
        <v>45432</v>
      </c>
      <c r="B507" t="s">
        <v>3</v>
      </c>
      <c r="C507">
        <f t="shared" si="76"/>
        <v>37165</v>
      </c>
      <c r="D507">
        <f>IF(B507="zima",20%,IF(B507="wiosna",50%,IF(B507="lato",90%,40%)))</f>
        <v>0.5</v>
      </c>
      <c r="E507">
        <f t="shared" si="77"/>
        <v>43</v>
      </c>
      <c r="F507">
        <f>WEEKDAY(A507,2)</f>
        <v>1</v>
      </c>
      <c r="G507">
        <f t="shared" si="70"/>
        <v>1</v>
      </c>
      <c r="H507">
        <f t="shared" si="71"/>
        <v>630</v>
      </c>
      <c r="I507">
        <f t="shared" si="72"/>
        <v>0</v>
      </c>
      <c r="J507">
        <f t="shared" si="78"/>
        <v>0</v>
      </c>
      <c r="K507">
        <f t="shared" si="73"/>
        <v>43</v>
      </c>
      <c r="L507">
        <f t="shared" si="74"/>
        <v>37795</v>
      </c>
      <c r="M507">
        <f t="shared" si="75"/>
        <v>630</v>
      </c>
      <c r="N507">
        <f t="shared" si="79"/>
        <v>0</v>
      </c>
    </row>
    <row r="508" spans="1:14" x14ac:dyDescent="0.25">
      <c r="A508" s="1">
        <v>45433</v>
      </c>
      <c r="B508" t="s">
        <v>3</v>
      </c>
      <c r="C508">
        <f t="shared" si="76"/>
        <v>37795</v>
      </c>
      <c r="D508">
        <f>IF(B508="zima",20%,IF(B508="wiosna",50%,IF(B508="lato",90%,40%)))</f>
        <v>0.5</v>
      </c>
      <c r="E508">
        <f t="shared" si="77"/>
        <v>43</v>
      </c>
      <c r="F508">
        <f>WEEKDAY(A508,2)</f>
        <v>2</v>
      </c>
      <c r="G508">
        <f t="shared" si="70"/>
        <v>1</v>
      </c>
      <c r="H508">
        <f t="shared" si="71"/>
        <v>630</v>
      </c>
      <c r="I508">
        <f t="shared" si="72"/>
        <v>0</v>
      </c>
      <c r="J508">
        <f t="shared" si="78"/>
        <v>0</v>
      </c>
      <c r="K508">
        <f t="shared" si="73"/>
        <v>43</v>
      </c>
      <c r="L508">
        <f t="shared" si="74"/>
        <v>38425</v>
      </c>
      <c r="M508">
        <f t="shared" si="75"/>
        <v>630</v>
      </c>
      <c r="N508">
        <f t="shared" si="79"/>
        <v>0</v>
      </c>
    </row>
    <row r="509" spans="1:14" x14ac:dyDescent="0.25">
      <c r="A509" s="1">
        <v>45434</v>
      </c>
      <c r="B509" t="s">
        <v>3</v>
      </c>
      <c r="C509">
        <f t="shared" si="76"/>
        <v>38425</v>
      </c>
      <c r="D509">
        <f>IF(B509="zima",20%,IF(B509="wiosna",50%,IF(B509="lato",90%,40%)))</f>
        <v>0.5</v>
      </c>
      <c r="E509">
        <f t="shared" si="77"/>
        <v>43</v>
      </c>
      <c r="F509">
        <f>WEEKDAY(A509,2)</f>
        <v>3</v>
      </c>
      <c r="G509">
        <f t="shared" si="70"/>
        <v>1</v>
      </c>
      <c r="H509">
        <f t="shared" si="71"/>
        <v>630</v>
      </c>
      <c r="I509">
        <f t="shared" si="72"/>
        <v>0</v>
      </c>
      <c r="J509">
        <f t="shared" si="78"/>
        <v>0</v>
      </c>
      <c r="K509">
        <f t="shared" si="73"/>
        <v>43</v>
      </c>
      <c r="L509">
        <f t="shared" si="74"/>
        <v>39055</v>
      </c>
      <c r="M509">
        <f t="shared" si="75"/>
        <v>630</v>
      </c>
      <c r="N509">
        <f t="shared" si="79"/>
        <v>0</v>
      </c>
    </row>
    <row r="510" spans="1:14" x14ac:dyDescent="0.25">
      <c r="A510" s="1">
        <v>45435</v>
      </c>
      <c r="B510" t="s">
        <v>3</v>
      </c>
      <c r="C510">
        <f t="shared" si="76"/>
        <v>39055</v>
      </c>
      <c r="D510">
        <f>IF(B510="zima",20%,IF(B510="wiosna",50%,IF(B510="lato",90%,40%)))</f>
        <v>0.5</v>
      </c>
      <c r="E510">
        <f t="shared" si="77"/>
        <v>43</v>
      </c>
      <c r="F510">
        <f>WEEKDAY(A510,2)</f>
        <v>4</v>
      </c>
      <c r="G510">
        <f t="shared" si="70"/>
        <v>1</v>
      </c>
      <c r="H510">
        <f t="shared" si="71"/>
        <v>630</v>
      </c>
      <c r="I510">
        <f t="shared" si="72"/>
        <v>0</v>
      </c>
      <c r="J510">
        <f t="shared" si="78"/>
        <v>0</v>
      </c>
      <c r="K510">
        <f t="shared" si="73"/>
        <v>43</v>
      </c>
      <c r="L510">
        <f t="shared" si="74"/>
        <v>39685</v>
      </c>
      <c r="M510">
        <f t="shared" si="75"/>
        <v>630</v>
      </c>
      <c r="N510">
        <f t="shared" si="79"/>
        <v>0</v>
      </c>
    </row>
    <row r="511" spans="1:14" x14ac:dyDescent="0.25">
      <c r="A511" s="1">
        <v>45436</v>
      </c>
      <c r="B511" t="s">
        <v>3</v>
      </c>
      <c r="C511">
        <f t="shared" si="76"/>
        <v>39685</v>
      </c>
      <c r="D511">
        <f>IF(B511="zima",20%,IF(B511="wiosna",50%,IF(B511="lato",90%,40%)))</f>
        <v>0.5</v>
      </c>
      <c r="E511">
        <f t="shared" si="77"/>
        <v>43</v>
      </c>
      <c r="F511">
        <f>WEEKDAY(A511,2)</f>
        <v>5</v>
      </c>
      <c r="G511">
        <f t="shared" si="70"/>
        <v>1</v>
      </c>
      <c r="H511">
        <f t="shared" si="71"/>
        <v>630</v>
      </c>
      <c r="I511">
        <f t="shared" si="72"/>
        <v>0</v>
      </c>
      <c r="J511">
        <f t="shared" si="78"/>
        <v>0</v>
      </c>
      <c r="K511">
        <f t="shared" si="73"/>
        <v>43</v>
      </c>
      <c r="L511">
        <f t="shared" si="74"/>
        <v>40315</v>
      </c>
      <c r="M511">
        <f t="shared" si="75"/>
        <v>630</v>
      </c>
      <c r="N511">
        <f t="shared" si="79"/>
        <v>0</v>
      </c>
    </row>
    <row r="512" spans="1:14" x14ac:dyDescent="0.25">
      <c r="A512" s="1">
        <v>45437</v>
      </c>
      <c r="B512" t="s">
        <v>3</v>
      </c>
      <c r="C512">
        <f t="shared" si="76"/>
        <v>40315</v>
      </c>
      <c r="D512">
        <f>IF(B512="zima",20%,IF(B512="wiosna",50%,IF(B512="lato",90%,40%)))</f>
        <v>0.5</v>
      </c>
      <c r="E512">
        <f t="shared" si="77"/>
        <v>43</v>
      </c>
      <c r="F512">
        <f>WEEKDAY(A512,2)</f>
        <v>6</v>
      </c>
      <c r="G512">
        <f t="shared" si="70"/>
        <v>0</v>
      </c>
      <c r="H512">
        <f t="shared" si="71"/>
        <v>0</v>
      </c>
      <c r="I512">
        <f t="shared" si="72"/>
        <v>0</v>
      </c>
      <c r="J512">
        <f t="shared" si="78"/>
        <v>0</v>
      </c>
      <c r="K512">
        <f t="shared" si="73"/>
        <v>43</v>
      </c>
      <c r="L512">
        <f t="shared" si="74"/>
        <v>40315</v>
      </c>
      <c r="M512">
        <f t="shared" si="75"/>
        <v>0</v>
      </c>
      <c r="N512">
        <f t="shared" si="79"/>
        <v>0</v>
      </c>
    </row>
    <row r="513" spans="1:14" x14ac:dyDescent="0.25">
      <c r="A513" s="1">
        <v>45438</v>
      </c>
      <c r="B513" t="s">
        <v>3</v>
      </c>
      <c r="C513">
        <f t="shared" si="76"/>
        <v>40315</v>
      </c>
      <c r="D513">
        <f>IF(B513="zima",20%,IF(B513="wiosna",50%,IF(B513="lato",90%,40%)))</f>
        <v>0.5</v>
      </c>
      <c r="E513">
        <f t="shared" si="77"/>
        <v>43</v>
      </c>
      <c r="F513">
        <f>WEEKDAY(A513,2)</f>
        <v>7</v>
      </c>
      <c r="G513">
        <f t="shared" si="70"/>
        <v>0</v>
      </c>
      <c r="H513">
        <f t="shared" si="71"/>
        <v>0</v>
      </c>
      <c r="I513">
        <f t="shared" si="72"/>
        <v>645</v>
      </c>
      <c r="J513">
        <f t="shared" si="78"/>
        <v>0</v>
      </c>
      <c r="K513">
        <f t="shared" si="73"/>
        <v>43</v>
      </c>
      <c r="L513">
        <f t="shared" si="74"/>
        <v>39670</v>
      </c>
      <c r="M513">
        <f t="shared" si="75"/>
        <v>0</v>
      </c>
      <c r="N513">
        <f t="shared" si="79"/>
        <v>645</v>
      </c>
    </row>
    <row r="514" spans="1:14" x14ac:dyDescent="0.25">
      <c r="A514" s="1">
        <v>45439</v>
      </c>
      <c r="B514" t="s">
        <v>3</v>
      </c>
      <c r="C514">
        <f t="shared" si="76"/>
        <v>39670</v>
      </c>
      <c r="D514">
        <f>IF(B514="zima",20%,IF(B514="wiosna",50%,IF(B514="lato",90%,40%)))</f>
        <v>0.5</v>
      </c>
      <c r="E514">
        <f t="shared" si="77"/>
        <v>43</v>
      </c>
      <c r="F514">
        <f>WEEKDAY(A514,2)</f>
        <v>1</v>
      </c>
      <c r="G514">
        <f t="shared" si="70"/>
        <v>1</v>
      </c>
      <c r="H514">
        <f t="shared" si="71"/>
        <v>630</v>
      </c>
      <c r="I514">
        <f t="shared" si="72"/>
        <v>0</v>
      </c>
      <c r="J514">
        <f t="shared" si="78"/>
        <v>0</v>
      </c>
      <c r="K514">
        <f t="shared" si="73"/>
        <v>43</v>
      </c>
      <c r="L514">
        <f t="shared" si="74"/>
        <v>40300</v>
      </c>
      <c r="M514">
        <f t="shared" si="75"/>
        <v>630</v>
      </c>
      <c r="N514">
        <f t="shared" si="79"/>
        <v>0</v>
      </c>
    </row>
    <row r="515" spans="1:14" x14ac:dyDescent="0.25">
      <c r="A515" s="1">
        <v>45440</v>
      </c>
      <c r="B515" t="s">
        <v>3</v>
      </c>
      <c r="C515">
        <f t="shared" si="76"/>
        <v>40300</v>
      </c>
      <c r="D515">
        <f>IF(B515="zima",20%,IF(B515="wiosna",50%,IF(B515="lato",90%,40%)))</f>
        <v>0.5</v>
      </c>
      <c r="E515">
        <f t="shared" si="77"/>
        <v>43</v>
      </c>
      <c r="F515">
        <f>WEEKDAY(A515,2)</f>
        <v>2</v>
      </c>
      <c r="G515">
        <f t="shared" ref="G515:G578" si="80">IF(AND(F515&lt;&gt;6,F515&lt;&gt;7),1,0)</f>
        <v>1</v>
      </c>
      <c r="H515">
        <f t="shared" ref="H515:H578" si="81">ROUNDDOWN(D515*E515,0)*30*G515</f>
        <v>630</v>
      </c>
      <c r="I515">
        <f t="shared" ref="I515:I578" si="82">IF(F515=7,E515*15,0)</f>
        <v>0</v>
      </c>
      <c r="J515">
        <f t="shared" si="78"/>
        <v>0</v>
      </c>
      <c r="K515">
        <f t="shared" ref="K515:K578" si="83">IF(J515&gt;0,E515+3,E515)</f>
        <v>43</v>
      </c>
      <c r="L515">
        <f t="shared" ref="L515:L578" si="84">C515+H515-I515-J515</f>
        <v>40930</v>
      </c>
      <c r="M515">
        <f t="shared" ref="M515:M578" si="85">H515</f>
        <v>630</v>
      </c>
      <c r="N515">
        <f t="shared" si="79"/>
        <v>0</v>
      </c>
    </row>
    <row r="516" spans="1:14" x14ac:dyDescent="0.25">
      <c r="A516" s="1">
        <v>45441</v>
      </c>
      <c r="B516" t="s">
        <v>3</v>
      </c>
      <c r="C516">
        <f t="shared" ref="C516:C579" si="86">L515</f>
        <v>40930</v>
      </c>
      <c r="D516">
        <f>IF(B516="zima",20%,IF(B516="wiosna",50%,IF(B516="lato",90%,40%)))</f>
        <v>0.5</v>
      </c>
      <c r="E516">
        <f t="shared" ref="E516:E579" si="87">K515</f>
        <v>43</v>
      </c>
      <c r="F516">
        <f>WEEKDAY(A516,2)</f>
        <v>3</v>
      </c>
      <c r="G516">
        <f t="shared" si="80"/>
        <v>1</v>
      </c>
      <c r="H516">
        <f t="shared" si="81"/>
        <v>630</v>
      </c>
      <c r="I516">
        <f t="shared" si="82"/>
        <v>0</v>
      </c>
      <c r="J516">
        <f t="shared" ref="J516:J579" si="88">IF(AND(DAY(A517)=1,C516&gt;=2400),2400,0)</f>
        <v>0</v>
      </c>
      <c r="K516">
        <f t="shared" si="83"/>
        <v>43</v>
      </c>
      <c r="L516">
        <f t="shared" si="84"/>
        <v>41560</v>
      </c>
      <c r="M516">
        <f t="shared" si="85"/>
        <v>630</v>
      </c>
      <c r="N516">
        <f t="shared" ref="N516:N579" si="89">J516+I516</f>
        <v>0</v>
      </c>
    </row>
    <row r="517" spans="1:14" x14ac:dyDescent="0.25">
      <c r="A517" s="1">
        <v>45442</v>
      </c>
      <c r="B517" t="s">
        <v>3</v>
      </c>
      <c r="C517">
        <f t="shared" si="86"/>
        <v>41560</v>
      </c>
      <c r="D517">
        <f>IF(B517="zima",20%,IF(B517="wiosna",50%,IF(B517="lato",90%,40%)))</f>
        <v>0.5</v>
      </c>
      <c r="E517">
        <f t="shared" si="87"/>
        <v>43</v>
      </c>
      <c r="F517">
        <f>WEEKDAY(A517,2)</f>
        <v>4</v>
      </c>
      <c r="G517">
        <f t="shared" si="80"/>
        <v>1</v>
      </c>
      <c r="H517">
        <f t="shared" si="81"/>
        <v>630</v>
      </c>
      <c r="I517">
        <f t="shared" si="82"/>
        <v>0</v>
      </c>
      <c r="J517">
        <f t="shared" si="88"/>
        <v>0</v>
      </c>
      <c r="K517">
        <f t="shared" si="83"/>
        <v>43</v>
      </c>
      <c r="L517">
        <f t="shared" si="84"/>
        <v>42190</v>
      </c>
      <c r="M517">
        <f t="shared" si="85"/>
        <v>630</v>
      </c>
      <c r="N517">
        <f t="shared" si="89"/>
        <v>0</v>
      </c>
    </row>
    <row r="518" spans="1:14" x14ac:dyDescent="0.25">
      <c r="A518" s="1">
        <v>45443</v>
      </c>
      <c r="B518" t="s">
        <v>3</v>
      </c>
      <c r="C518">
        <f t="shared" si="86"/>
        <v>42190</v>
      </c>
      <c r="D518">
        <f>IF(B518="zima",20%,IF(B518="wiosna",50%,IF(B518="lato",90%,40%)))</f>
        <v>0.5</v>
      </c>
      <c r="E518">
        <f t="shared" si="87"/>
        <v>43</v>
      </c>
      <c r="F518">
        <f>WEEKDAY(A518,2)</f>
        <v>5</v>
      </c>
      <c r="G518">
        <f t="shared" si="80"/>
        <v>1</v>
      </c>
      <c r="H518">
        <f t="shared" si="81"/>
        <v>630</v>
      </c>
      <c r="I518">
        <f t="shared" si="82"/>
        <v>0</v>
      </c>
      <c r="J518">
        <f t="shared" si="88"/>
        <v>2400</v>
      </c>
      <c r="K518">
        <f t="shared" si="83"/>
        <v>46</v>
      </c>
      <c r="L518">
        <f t="shared" si="84"/>
        <v>40420</v>
      </c>
      <c r="M518">
        <f t="shared" si="85"/>
        <v>630</v>
      </c>
      <c r="N518">
        <f t="shared" si="89"/>
        <v>2400</v>
      </c>
    </row>
    <row r="519" spans="1:14" x14ac:dyDescent="0.25">
      <c r="A519" s="1">
        <v>45444</v>
      </c>
      <c r="B519" t="s">
        <v>3</v>
      </c>
      <c r="C519">
        <f t="shared" si="86"/>
        <v>40420</v>
      </c>
      <c r="D519">
        <f>IF(B519="zima",20%,IF(B519="wiosna",50%,IF(B519="lato",90%,40%)))</f>
        <v>0.5</v>
      </c>
      <c r="E519">
        <f t="shared" si="87"/>
        <v>46</v>
      </c>
      <c r="F519">
        <f>WEEKDAY(A519,2)</f>
        <v>6</v>
      </c>
      <c r="G519">
        <f t="shared" si="80"/>
        <v>0</v>
      </c>
      <c r="H519">
        <f t="shared" si="81"/>
        <v>0</v>
      </c>
      <c r="I519">
        <f t="shared" si="82"/>
        <v>0</v>
      </c>
      <c r="J519">
        <f t="shared" si="88"/>
        <v>0</v>
      </c>
      <c r="K519">
        <f t="shared" si="83"/>
        <v>46</v>
      </c>
      <c r="L519">
        <f t="shared" si="84"/>
        <v>40420</v>
      </c>
      <c r="M519">
        <f t="shared" si="85"/>
        <v>0</v>
      </c>
      <c r="N519">
        <f t="shared" si="89"/>
        <v>0</v>
      </c>
    </row>
    <row r="520" spans="1:14" x14ac:dyDescent="0.25">
      <c r="A520" s="1">
        <v>45445</v>
      </c>
      <c r="B520" t="s">
        <v>3</v>
      </c>
      <c r="C520">
        <f t="shared" si="86"/>
        <v>40420</v>
      </c>
      <c r="D520">
        <f>IF(B520="zima",20%,IF(B520="wiosna",50%,IF(B520="lato",90%,40%)))</f>
        <v>0.5</v>
      </c>
      <c r="E520">
        <f t="shared" si="87"/>
        <v>46</v>
      </c>
      <c r="F520">
        <f>WEEKDAY(A520,2)</f>
        <v>7</v>
      </c>
      <c r="G520">
        <f t="shared" si="80"/>
        <v>0</v>
      </c>
      <c r="H520">
        <f t="shared" si="81"/>
        <v>0</v>
      </c>
      <c r="I520">
        <f t="shared" si="82"/>
        <v>690</v>
      </c>
      <c r="J520">
        <f t="shared" si="88"/>
        <v>0</v>
      </c>
      <c r="K520">
        <f t="shared" si="83"/>
        <v>46</v>
      </c>
      <c r="L520">
        <f t="shared" si="84"/>
        <v>39730</v>
      </c>
      <c r="M520">
        <f t="shared" si="85"/>
        <v>0</v>
      </c>
      <c r="N520">
        <f t="shared" si="89"/>
        <v>690</v>
      </c>
    </row>
    <row r="521" spans="1:14" x14ac:dyDescent="0.25">
      <c r="A521" s="1">
        <v>45446</v>
      </c>
      <c r="B521" t="s">
        <v>3</v>
      </c>
      <c r="C521">
        <f t="shared" si="86"/>
        <v>39730</v>
      </c>
      <c r="D521">
        <f>IF(B521="zima",20%,IF(B521="wiosna",50%,IF(B521="lato",90%,40%)))</f>
        <v>0.5</v>
      </c>
      <c r="E521">
        <f t="shared" si="87"/>
        <v>46</v>
      </c>
      <c r="F521">
        <f>WEEKDAY(A521,2)</f>
        <v>1</v>
      </c>
      <c r="G521">
        <f t="shared" si="80"/>
        <v>1</v>
      </c>
      <c r="H521">
        <f t="shared" si="81"/>
        <v>690</v>
      </c>
      <c r="I521">
        <f t="shared" si="82"/>
        <v>0</v>
      </c>
      <c r="J521">
        <f t="shared" si="88"/>
        <v>0</v>
      </c>
      <c r="K521">
        <f t="shared" si="83"/>
        <v>46</v>
      </c>
      <c r="L521">
        <f t="shared" si="84"/>
        <v>40420</v>
      </c>
      <c r="M521">
        <f t="shared" si="85"/>
        <v>690</v>
      </c>
      <c r="N521">
        <f t="shared" si="89"/>
        <v>0</v>
      </c>
    </row>
    <row r="522" spans="1:14" x14ac:dyDescent="0.25">
      <c r="A522" s="1">
        <v>45447</v>
      </c>
      <c r="B522" t="s">
        <v>3</v>
      </c>
      <c r="C522">
        <f t="shared" si="86"/>
        <v>40420</v>
      </c>
      <c r="D522">
        <f>IF(B522="zima",20%,IF(B522="wiosna",50%,IF(B522="lato",90%,40%)))</f>
        <v>0.5</v>
      </c>
      <c r="E522">
        <f t="shared" si="87"/>
        <v>46</v>
      </c>
      <c r="F522">
        <f>WEEKDAY(A522,2)</f>
        <v>2</v>
      </c>
      <c r="G522">
        <f t="shared" si="80"/>
        <v>1</v>
      </c>
      <c r="H522">
        <f t="shared" si="81"/>
        <v>690</v>
      </c>
      <c r="I522">
        <f t="shared" si="82"/>
        <v>0</v>
      </c>
      <c r="J522">
        <f t="shared" si="88"/>
        <v>0</v>
      </c>
      <c r="K522">
        <f t="shared" si="83"/>
        <v>46</v>
      </c>
      <c r="L522">
        <f t="shared" si="84"/>
        <v>41110</v>
      </c>
      <c r="M522">
        <f t="shared" si="85"/>
        <v>690</v>
      </c>
      <c r="N522">
        <f t="shared" si="89"/>
        <v>0</v>
      </c>
    </row>
    <row r="523" spans="1:14" x14ac:dyDescent="0.25">
      <c r="A523" s="1">
        <v>45448</v>
      </c>
      <c r="B523" t="s">
        <v>3</v>
      </c>
      <c r="C523">
        <f t="shared" si="86"/>
        <v>41110</v>
      </c>
      <c r="D523">
        <f>IF(B523="zima",20%,IF(B523="wiosna",50%,IF(B523="lato",90%,40%)))</f>
        <v>0.5</v>
      </c>
      <c r="E523">
        <f t="shared" si="87"/>
        <v>46</v>
      </c>
      <c r="F523">
        <f>WEEKDAY(A523,2)</f>
        <v>3</v>
      </c>
      <c r="G523">
        <f t="shared" si="80"/>
        <v>1</v>
      </c>
      <c r="H523">
        <f t="shared" si="81"/>
        <v>690</v>
      </c>
      <c r="I523">
        <f t="shared" si="82"/>
        <v>0</v>
      </c>
      <c r="J523">
        <f t="shared" si="88"/>
        <v>0</v>
      </c>
      <c r="K523">
        <f t="shared" si="83"/>
        <v>46</v>
      </c>
      <c r="L523">
        <f t="shared" si="84"/>
        <v>41800</v>
      </c>
      <c r="M523">
        <f t="shared" si="85"/>
        <v>690</v>
      </c>
      <c r="N523">
        <f t="shared" si="89"/>
        <v>0</v>
      </c>
    </row>
    <row r="524" spans="1:14" x14ac:dyDescent="0.25">
      <c r="A524" s="1">
        <v>45449</v>
      </c>
      <c r="B524" t="s">
        <v>3</v>
      </c>
      <c r="C524">
        <f t="shared" si="86"/>
        <v>41800</v>
      </c>
      <c r="D524">
        <f>IF(B524="zima",20%,IF(B524="wiosna",50%,IF(B524="lato",90%,40%)))</f>
        <v>0.5</v>
      </c>
      <c r="E524">
        <f t="shared" si="87"/>
        <v>46</v>
      </c>
      <c r="F524">
        <f>WEEKDAY(A524,2)</f>
        <v>4</v>
      </c>
      <c r="G524">
        <f t="shared" si="80"/>
        <v>1</v>
      </c>
      <c r="H524">
        <f t="shared" si="81"/>
        <v>690</v>
      </c>
      <c r="I524">
        <f t="shared" si="82"/>
        <v>0</v>
      </c>
      <c r="J524">
        <f t="shared" si="88"/>
        <v>0</v>
      </c>
      <c r="K524">
        <f t="shared" si="83"/>
        <v>46</v>
      </c>
      <c r="L524">
        <f t="shared" si="84"/>
        <v>42490</v>
      </c>
      <c r="M524">
        <f t="shared" si="85"/>
        <v>690</v>
      </c>
      <c r="N524">
        <f t="shared" si="89"/>
        <v>0</v>
      </c>
    </row>
    <row r="525" spans="1:14" x14ac:dyDescent="0.25">
      <c r="A525" s="1">
        <v>45450</v>
      </c>
      <c r="B525" t="s">
        <v>3</v>
      </c>
      <c r="C525">
        <f t="shared" si="86"/>
        <v>42490</v>
      </c>
      <c r="D525">
        <f>IF(B525="zima",20%,IF(B525="wiosna",50%,IF(B525="lato",90%,40%)))</f>
        <v>0.5</v>
      </c>
      <c r="E525">
        <f t="shared" si="87"/>
        <v>46</v>
      </c>
      <c r="F525">
        <f>WEEKDAY(A525,2)</f>
        <v>5</v>
      </c>
      <c r="G525">
        <f t="shared" si="80"/>
        <v>1</v>
      </c>
      <c r="H525">
        <f t="shared" si="81"/>
        <v>690</v>
      </c>
      <c r="I525">
        <f t="shared" si="82"/>
        <v>0</v>
      </c>
      <c r="J525">
        <f t="shared" si="88"/>
        <v>0</v>
      </c>
      <c r="K525">
        <f t="shared" si="83"/>
        <v>46</v>
      </c>
      <c r="L525">
        <f t="shared" si="84"/>
        <v>43180</v>
      </c>
      <c r="M525">
        <f t="shared" si="85"/>
        <v>690</v>
      </c>
      <c r="N525">
        <f t="shared" si="89"/>
        <v>0</v>
      </c>
    </row>
    <row r="526" spans="1:14" x14ac:dyDescent="0.25">
      <c r="A526" s="1">
        <v>45451</v>
      </c>
      <c r="B526" t="s">
        <v>3</v>
      </c>
      <c r="C526">
        <f t="shared" si="86"/>
        <v>43180</v>
      </c>
      <c r="D526">
        <f>IF(B526="zima",20%,IF(B526="wiosna",50%,IF(B526="lato",90%,40%)))</f>
        <v>0.5</v>
      </c>
      <c r="E526">
        <f t="shared" si="87"/>
        <v>46</v>
      </c>
      <c r="F526">
        <f>WEEKDAY(A526,2)</f>
        <v>6</v>
      </c>
      <c r="G526">
        <f t="shared" si="80"/>
        <v>0</v>
      </c>
      <c r="H526">
        <f t="shared" si="81"/>
        <v>0</v>
      </c>
      <c r="I526">
        <f t="shared" si="82"/>
        <v>0</v>
      </c>
      <c r="J526">
        <f t="shared" si="88"/>
        <v>0</v>
      </c>
      <c r="K526">
        <f t="shared" si="83"/>
        <v>46</v>
      </c>
      <c r="L526">
        <f t="shared" si="84"/>
        <v>43180</v>
      </c>
      <c r="M526">
        <f t="shared" si="85"/>
        <v>0</v>
      </c>
      <c r="N526">
        <f t="shared" si="89"/>
        <v>0</v>
      </c>
    </row>
    <row r="527" spans="1:14" x14ac:dyDescent="0.25">
      <c r="A527" s="1">
        <v>45452</v>
      </c>
      <c r="B527" t="s">
        <v>3</v>
      </c>
      <c r="C527">
        <f t="shared" si="86"/>
        <v>43180</v>
      </c>
      <c r="D527">
        <f>IF(B527="zima",20%,IF(B527="wiosna",50%,IF(B527="lato",90%,40%)))</f>
        <v>0.5</v>
      </c>
      <c r="E527">
        <f t="shared" si="87"/>
        <v>46</v>
      </c>
      <c r="F527">
        <f>WEEKDAY(A527,2)</f>
        <v>7</v>
      </c>
      <c r="G527">
        <f t="shared" si="80"/>
        <v>0</v>
      </c>
      <c r="H527">
        <f t="shared" si="81"/>
        <v>0</v>
      </c>
      <c r="I527">
        <f t="shared" si="82"/>
        <v>690</v>
      </c>
      <c r="J527">
        <f t="shared" si="88"/>
        <v>0</v>
      </c>
      <c r="K527">
        <f t="shared" si="83"/>
        <v>46</v>
      </c>
      <c r="L527">
        <f t="shared" si="84"/>
        <v>42490</v>
      </c>
      <c r="M527">
        <f t="shared" si="85"/>
        <v>0</v>
      </c>
      <c r="N527">
        <f t="shared" si="89"/>
        <v>690</v>
      </c>
    </row>
    <row r="528" spans="1:14" x14ac:dyDescent="0.25">
      <c r="A528" s="1">
        <v>45453</v>
      </c>
      <c r="B528" t="s">
        <v>3</v>
      </c>
      <c r="C528">
        <f t="shared" si="86"/>
        <v>42490</v>
      </c>
      <c r="D528">
        <f>IF(B528="zima",20%,IF(B528="wiosna",50%,IF(B528="lato",90%,40%)))</f>
        <v>0.5</v>
      </c>
      <c r="E528">
        <f t="shared" si="87"/>
        <v>46</v>
      </c>
      <c r="F528">
        <f>WEEKDAY(A528,2)</f>
        <v>1</v>
      </c>
      <c r="G528">
        <f t="shared" si="80"/>
        <v>1</v>
      </c>
      <c r="H528">
        <f t="shared" si="81"/>
        <v>690</v>
      </c>
      <c r="I528">
        <f t="shared" si="82"/>
        <v>0</v>
      </c>
      <c r="J528">
        <f t="shared" si="88"/>
        <v>0</v>
      </c>
      <c r="K528">
        <f t="shared" si="83"/>
        <v>46</v>
      </c>
      <c r="L528">
        <f t="shared" si="84"/>
        <v>43180</v>
      </c>
      <c r="M528">
        <f t="shared" si="85"/>
        <v>690</v>
      </c>
      <c r="N528">
        <f t="shared" si="89"/>
        <v>0</v>
      </c>
    </row>
    <row r="529" spans="1:14" x14ac:dyDescent="0.25">
      <c r="A529" s="1">
        <v>45454</v>
      </c>
      <c r="B529" t="s">
        <v>3</v>
      </c>
      <c r="C529">
        <f t="shared" si="86"/>
        <v>43180</v>
      </c>
      <c r="D529">
        <f>IF(B529="zima",20%,IF(B529="wiosna",50%,IF(B529="lato",90%,40%)))</f>
        <v>0.5</v>
      </c>
      <c r="E529">
        <f t="shared" si="87"/>
        <v>46</v>
      </c>
      <c r="F529">
        <f>WEEKDAY(A529,2)</f>
        <v>2</v>
      </c>
      <c r="G529">
        <f t="shared" si="80"/>
        <v>1</v>
      </c>
      <c r="H529">
        <f t="shared" si="81"/>
        <v>690</v>
      </c>
      <c r="I529">
        <f t="shared" si="82"/>
        <v>0</v>
      </c>
      <c r="J529">
        <f t="shared" si="88"/>
        <v>0</v>
      </c>
      <c r="K529">
        <f t="shared" si="83"/>
        <v>46</v>
      </c>
      <c r="L529">
        <f t="shared" si="84"/>
        <v>43870</v>
      </c>
      <c r="M529">
        <f t="shared" si="85"/>
        <v>690</v>
      </c>
      <c r="N529">
        <f t="shared" si="89"/>
        <v>0</v>
      </c>
    </row>
    <row r="530" spans="1:14" x14ac:dyDescent="0.25">
      <c r="A530" s="1">
        <v>45455</v>
      </c>
      <c r="B530" t="s">
        <v>3</v>
      </c>
      <c r="C530">
        <f t="shared" si="86"/>
        <v>43870</v>
      </c>
      <c r="D530">
        <f>IF(B530="zima",20%,IF(B530="wiosna",50%,IF(B530="lato",90%,40%)))</f>
        <v>0.5</v>
      </c>
      <c r="E530">
        <f t="shared" si="87"/>
        <v>46</v>
      </c>
      <c r="F530">
        <f>WEEKDAY(A530,2)</f>
        <v>3</v>
      </c>
      <c r="G530">
        <f t="shared" si="80"/>
        <v>1</v>
      </c>
      <c r="H530">
        <f t="shared" si="81"/>
        <v>690</v>
      </c>
      <c r="I530">
        <f t="shared" si="82"/>
        <v>0</v>
      </c>
      <c r="J530">
        <f t="shared" si="88"/>
        <v>0</v>
      </c>
      <c r="K530">
        <f t="shared" si="83"/>
        <v>46</v>
      </c>
      <c r="L530">
        <f t="shared" si="84"/>
        <v>44560</v>
      </c>
      <c r="M530">
        <f t="shared" si="85"/>
        <v>690</v>
      </c>
      <c r="N530">
        <f t="shared" si="89"/>
        <v>0</v>
      </c>
    </row>
    <row r="531" spans="1:14" x14ac:dyDescent="0.25">
      <c r="A531" s="1">
        <v>45456</v>
      </c>
      <c r="B531" t="s">
        <v>3</v>
      </c>
      <c r="C531">
        <f t="shared" si="86"/>
        <v>44560</v>
      </c>
      <c r="D531">
        <f>IF(B531="zima",20%,IF(B531="wiosna",50%,IF(B531="lato",90%,40%)))</f>
        <v>0.5</v>
      </c>
      <c r="E531">
        <f t="shared" si="87"/>
        <v>46</v>
      </c>
      <c r="F531">
        <f>WEEKDAY(A531,2)</f>
        <v>4</v>
      </c>
      <c r="G531">
        <f t="shared" si="80"/>
        <v>1</v>
      </c>
      <c r="H531">
        <f t="shared" si="81"/>
        <v>690</v>
      </c>
      <c r="I531">
        <f t="shared" si="82"/>
        <v>0</v>
      </c>
      <c r="J531">
        <f t="shared" si="88"/>
        <v>0</v>
      </c>
      <c r="K531">
        <f t="shared" si="83"/>
        <v>46</v>
      </c>
      <c r="L531">
        <f t="shared" si="84"/>
        <v>45250</v>
      </c>
      <c r="M531">
        <f t="shared" si="85"/>
        <v>690</v>
      </c>
      <c r="N531">
        <f t="shared" si="89"/>
        <v>0</v>
      </c>
    </row>
    <row r="532" spans="1:14" x14ac:dyDescent="0.25">
      <c r="A532" s="1">
        <v>45457</v>
      </c>
      <c r="B532" t="s">
        <v>3</v>
      </c>
      <c r="C532">
        <f t="shared" si="86"/>
        <v>45250</v>
      </c>
      <c r="D532">
        <f>IF(B532="zima",20%,IF(B532="wiosna",50%,IF(B532="lato",90%,40%)))</f>
        <v>0.5</v>
      </c>
      <c r="E532">
        <f t="shared" si="87"/>
        <v>46</v>
      </c>
      <c r="F532">
        <f>WEEKDAY(A532,2)</f>
        <v>5</v>
      </c>
      <c r="G532">
        <f t="shared" si="80"/>
        <v>1</v>
      </c>
      <c r="H532">
        <f t="shared" si="81"/>
        <v>690</v>
      </c>
      <c r="I532">
        <f t="shared" si="82"/>
        <v>0</v>
      </c>
      <c r="J532">
        <f t="shared" si="88"/>
        <v>0</v>
      </c>
      <c r="K532">
        <f t="shared" si="83"/>
        <v>46</v>
      </c>
      <c r="L532">
        <f t="shared" si="84"/>
        <v>45940</v>
      </c>
      <c r="M532">
        <f t="shared" si="85"/>
        <v>690</v>
      </c>
      <c r="N532">
        <f t="shared" si="89"/>
        <v>0</v>
      </c>
    </row>
    <row r="533" spans="1:14" x14ac:dyDescent="0.25">
      <c r="A533" s="1">
        <v>45458</v>
      </c>
      <c r="B533" t="s">
        <v>3</v>
      </c>
      <c r="C533">
        <f t="shared" si="86"/>
        <v>45940</v>
      </c>
      <c r="D533">
        <f>IF(B533="zima",20%,IF(B533="wiosna",50%,IF(B533="lato",90%,40%)))</f>
        <v>0.5</v>
      </c>
      <c r="E533">
        <f t="shared" si="87"/>
        <v>46</v>
      </c>
      <c r="F533">
        <f>WEEKDAY(A533,2)</f>
        <v>6</v>
      </c>
      <c r="G533">
        <f t="shared" si="80"/>
        <v>0</v>
      </c>
      <c r="H533">
        <f t="shared" si="81"/>
        <v>0</v>
      </c>
      <c r="I533">
        <f t="shared" si="82"/>
        <v>0</v>
      </c>
      <c r="J533">
        <f t="shared" si="88"/>
        <v>0</v>
      </c>
      <c r="K533">
        <f t="shared" si="83"/>
        <v>46</v>
      </c>
      <c r="L533">
        <f t="shared" si="84"/>
        <v>45940</v>
      </c>
      <c r="M533">
        <f t="shared" si="85"/>
        <v>0</v>
      </c>
      <c r="N533">
        <f t="shared" si="89"/>
        <v>0</v>
      </c>
    </row>
    <row r="534" spans="1:14" x14ac:dyDescent="0.25">
      <c r="A534" s="1">
        <v>45459</v>
      </c>
      <c r="B534" t="s">
        <v>3</v>
      </c>
      <c r="C534">
        <f t="shared" si="86"/>
        <v>45940</v>
      </c>
      <c r="D534">
        <f>IF(B534="zima",20%,IF(B534="wiosna",50%,IF(B534="lato",90%,40%)))</f>
        <v>0.5</v>
      </c>
      <c r="E534">
        <f t="shared" si="87"/>
        <v>46</v>
      </c>
      <c r="F534">
        <f>WEEKDAY(A534,2)</f>
        <v>7</v>
      </c>
      <c r="G534">
        <f t="shared" si="80"/>
        <v>0</v>
      </c>
      <c r="H534">
        <f t="shared" si="81"/>
        <v>0</v>
      </c>
      <c r="I534">
        <f t="shared" si="82"/>
        <v>690</v>
      </c>
      <c r="J534">
        <f t="shared" si="88"/>
        <v>0</v>
      </c>
      <c r="K534">
        <f t="shared" si="83"/>
        <v>46</v>
      </c>
      <c r="L534">
        <f t="shared" si="84"/>
        <v>45250</v>
      </c>
      <c r="M534">
        <f t="shared" si="85"/>
        <v>0</v>
      </c>
      <c r="N534">
        <f t="shared" si="89"/>
        <v>690</v>
      </c>
    </row>
    <row r="535" spans="1:14" x14ac:dyDescent="0.25">
      <c r="A535" s="1">
        <v>45460</v>
      </c>
      <c r="B535" t="s">
        <v>3</v>
      </c>
      <c r="C535">
        <f t="shared" si="86"/>
        <v>45250</v>
      </c>
      <c r="D535">
        <f>IF(B535="zima",20%,IF(B535="wiosna",50%,IF(B535="lato",90%,40%)))</f>
        <v>0.5</v>
      </c>
      <c r="E535">
        <f t="shared" si="87"/>
        <v>46</v>
      </c>
      <c r="F535">
        <f>WEEKDAY(A535,2)</f>
        <v>1</v>
      </c>
      <c r="G535">
        <f t="shared" si="80"/>
        <v>1</v>
      </c>
      <c r="H535">
        <f t="shared" si="81"/>
        <v>690</v>
      </c>
      <c r="I535">
        <f t="shared" si="82"/>
        <v>0</v>
      </c>
      <c r="J535">
        <f t="shared" si="88"/>
        <v>0</v>
      </c>
      <c r="K535">
        <f t="shared" si="83"/>
        <v>46</v>
      </c>
      <c r="L535">
        <f t="shared" si="84"/>
        <v>45940</v>
      </c>
      <c r="M535">
        <f t="shared" si="85"/>
        <v>690</v>
      </c>
      <c r="N535">
        <f t="shared" si="89"/>
        <v>0</v>
      </c>
    </row>
    <row r="536" spans="1:14" x14ac:dyDescent="0.25">
      <c r="A536" s="1">
        <v>45461</v>
      </c>
      <c r="B536" t="s">
        <v>3</v>
      </c>
      <c r="C536">
        <f t="shared" si="86"/>
        <v>45940</v>
      </c>
      <c r="D536">
        <f>IF(B536="zima",20%,IF(B536="wiosna",50%,IF(B536="lato",90%,40%)))</f>
        <v>0.5</v>
      </c>
      <c r="E536">
        <f t="shared" si="87"/>
        <v>46</v>
      </c>
      <c r="F536">
        <f>WEEKDAY(A536,2)</f>
        <v>2</v>
      </c>
      <c r="G536">
        <f t="shared" si="80"/>
        <v>1</v>
      </c>
      <c r="H536">
        <f t="shared" si="81"/>
        <v>690</v>
      </c>
      <c r="I536">
        <f t="shared" si="82"/>
        <v>0</v>
      </c>
      <c r="J536">
        <f t="shared" si="88"/>
        <v>0</v>
      </c>
      <c r="K536">
        <f t="shared" si="83"/>
        <v>46</v>
      </c>
      <c r="L536">
        <f t="shared" si="84"/>
        <v>46630</v>
      </c>
      <c r="M536">
        <f t="shared" si="85"/>
        <v>690</v>
      </c>
      <c r="N536">
        <f t="shared" si="89"/>
        <v>0</v>
      </c>
    </row>
    <row r="537" spans="1:14" x14ac:dyDescent="0.25">
      <c r="A537" s="1">
        <v>45462</v>
      </c>
      <c r="B537" t="s">
        <v>3</v>
      </c>
      <c r="C537">
        <f t="shared" si="86"/>
        <v>46630</v>
      </c>
      <c r="D537">
        <f>IF(B537="zima",20%,IF(B537="wiosna",50%,IF(B537="lato",90%,40%)))</f>
        <v>0.5</v>
      </c>
      <c r="E537">
        <f t="shared" si="87"/>
        <v>46</v>
      </c>
      <c r="F537">
        <f>WEEKDAY(A537,2)</f>
        <v>3</v>
      </c>
      <c r="G537">
        <f t="shared" si="80"/>
        <v>1</v>
      </c>
      <c r="H537">
        <f t="shared" si="81"/>
        <v>690</v>
      </c>
      <c r="I537">
        <f t="shared" si="82"/>
        <v>0</v>
      </c>
      <c r="J537">
        <f t="shared" si="88"/>
        <v>0</v>
      </c>
      <c r="K537">
        <f t="shared" si="83"/>
        <v>46</v>
      </c>
      <c r="L537">
        <f t="shared" si="84"/>
        <v>47320</v>
      </c>
      <c r="M537">
        <f t="shared" si="85"/>
        <v>690</v>
      </c>
      <c r="N537">
        <f t="shared" si="89"/>
        <v>0</v>
      </c>
    </row>
    <row r="538" spans="1:14" x14ac:dyDescent="0.25">
      <c r="A538" s="1">
        <v>45463</v>
      </c>
      <c r="B538" t="s">
        <v>3</v>
      </c>
      <c r="C538">
        <f t="shared" si="86"/>
        <v>47320</v>
      </c>
      <c r="D538">
        <f>IF(B538="zima",20%,IF(B538="wiosna",50%,IF(B538="lato",90%,40%)))</f>
        <v>0.5</v>
      </c>
      <c r="E538">
        <f t="shared" si="87"/>
        <v>46</v>
      </c>
      <c r="F538">
        <f>WEEKDAY(A538,2)</f>
        <v>4</v>
      </c>
      <c r="G538">
        <f t="shared" si="80"/>
        <v>1</v>
      </c>
      <c r="H538">
        <f t="shared" si="81"/>
        <v>690</v>
      </c>
      <c r="I538">
        <f t="shared" si="82"/>
        <v>0</v>
      </c>
      <c r="J538">
        <f t="shared" si="88"/>
        <v>0</v>
      </c>
      <c r="K538">
        <f t="shared" si="83"/>
        <v>46</v>
      </c>
      <c r="L538">
        <f t="shared" si="84"/>
        <v>48010</v>
      </c>
      <c r="M538">
        <f t="shared" si="85"/>
        <v>690</v>
      </c>
      <c r="N538">
        <f t="shared" si="89"/>
        <v>0</v>
      </c>
    </row>
    <row r="539" spans="1:14" x14ac:dyDescent="0.25">
      <c r="A539" s="1">
        <v>45464</v>
      </c>
      <c r="B539" t="s">
        <v>4</v>
      </c>
      <c r="C539">
        <f t="shared" si="86"/>
        <v>48010</v>
      </c>
      <c r="D539">
        <f>IF(B539="zima",20%,IF(B539="wiosna",50%,IF(B539="lato",90%,40%)))</f>
        <v>0.9</v>
      </c>
      <c r="E539">
        <f t="shared" si="87"/>
        <v>46</v>
      </c>
      <c r="F539">
        <f>WEEKDAY(A539,2)</f>
        <v>5</v>
      </c>
      <c r="G539">
        <f t="shared" si="80"/>
        <v>1</v>
      </c>
      <c r="H539">
        <f t="shared" si="81"/>
        <v>1230</v>
      </c>
      <c r="I539">
        <f t="shared" si="82"/>
        <v>0</v>
      </c>
      <c r="J539">
        <f t="shared" si="88"/>
        <v>0</v>
      </c>
      <c r="K539">
        <f t="shared" si="83"/>
        <v>46</v>
      </c>
      <c r="L539">
        <f t="shared" si="84"/>
        <v>49240</v>
      </c>
      <c r="M539">
        <f t="shared" si="85"/>
        <v>1230</v>
      </c>
      <c r="N539">
        <f t="shared" si="89"/>
        <v>0</v>
      </c>
    </row>
    <row r="540" spans="1:14" x14ac:dyDescent="0.25">
      <c r="A540" s="1">
        <v>45465</v>
      </c>
      <c r="B540" t="s">
        <v>4</v>
      </c>
      <c r="C540">
        <f t="shared" si="86"/>
        <v>49240</v>
      </c>
      <c r="D540">
        <f>IF(B540="zima",20%,IF(B540="wiosna",50%,IF(B540="lato",90%,40%)))</f>
        <v>0.9</v>
      </c>
      <c r="E540">
        <f t="shared" si="87"/>
        <v>46</v>
      </c>
      <c r="F540">
        <f>WEEKDAY(A540,2)</f>
        <v>6</v>
      </c>
      <c r="G540">
        <f t="shared" si="80"/>
        <v>0</v>
      </c>
      <c r="H540">
        <f t="shared" si="81"/>
        <v>0</v>
      </c>
      <c r="I540">
        <f t="shared" si="82"/>
        <v>0</v>
      </c>
      <c r="J540">
        <f t="shared" si="88"/>
        <v>0</v>
      </c>
      <c r="K540">
        <f t="shared" si="83"/>
        <v>46</v>
      </c>
      <c r="L540">
        <f t="shared" si="84"/>
        <v>49240</v>
      </c>
      <c r="M540">
        <f t="shared" si="85"/>
        <v>0</v>
      </c>
      <c r="N540">
        <f t="shared" si="89"/>
        <v>0</v>
      </c>
    </row>
    <row r="541" spans="1:14" x14ac:dyDescent="0.25">
      <c r="A541" s="1">
        <v>45466</v>
      </c>
      <c r="B541" t="s">
        <v>4</v>
      </c>
      <c r="C541">
        <f t="shared" si="86"/>
        <v>49240</v>
      </c>
      <c r="D541">
        <f>IF(B541="zima",20%,IF(B541="wiosna",50%,IF(B541="lato",90%,40%)))</f>
        <v>0.9</v>
      </c>
      <c r="E541">
        <f t="shared" si="87"/>
        <v>46</v>
      </c>
      <c r="F541">
        <f>WEEKDAY(A541,2)</f>
        <v>7</v>
      </c>
      <c r="G541">
        <f t="shared" si="80"/>
        <v>0</v>
      </c>
      <c r="H541">
        <f t="shared" si="81"/>
        <v>0</v>
      </c>
      <c r="I541">
        <f t="shared" si="82"/>
        <v>690</v>
      </c>
      <c r="J541">
        <f t="shared" si="88"/>
        <v>0</v>
      </c>
      <c r="K541">
        <f t="shared" si="83"/>
        <v>46</v>
      </c>
      <c r="L541">
        <f t="shared" si="84"/>
        <v>48550</v>
      </c>
      <c r="M541">
        <f t="shared" si="85"/>
        <v>0</v>
      </c>
      <c r="N541">
        <f t="shared" si="89"/>
        <v>690</v>
      </c>
    </row>
    <row r="542" spans="1:14" x14ac:dyDescent="0.25">
      <c r="A542" s="1">
        <v>45467</v>
      </c>
      <c r="B542" t="s">
        <v>4</v>
      </c>
      <c r="C542">
        <f t="shared" si="86"/>
        <v>48550</v>
      </c>
      <c r="D542">
        <f>IF(B542="zima",20%,IF(B542="wiosna",50%,IF(B542="lato",90%,40%)))</f>
        <v>0.9</v>
      </c>
      <c r="E542">
        <f t="shared" si="87"/>
        <v>46</v>
      </c>
      <c r="F542">
        <f>WEEKDAY(A542,2)</f>
        <v>1</v>
      </c>
      <c r="G542">
        <f t="shared" si="80"/>
        <v>1</v>
      </c>
      <c r="H542">
        <f t="shared" si="81"/>
        <v>1230</v>
      </c>
      <c r="I542">
        <f t="shared" si="82"/>
        <v>0</v>
      </c>
      <c r="J542">
        <f t="shared" si="88"/>
        <v>0</v>
      </c>
      <c r="K542">
        <f t="shared" si="83"/>
        <v>46</v>
      </c>
      <c r="L542">
        <f t="shared" si="84"/>
        <v>49780</v>
      </c>
      <c r="M542">
        <f t="shared" si="85"/>
        <v>1230</v>
      </c>
      <c r="N542">
        <f t="shared" si="89"/>
        <v>0</v>
      </c>
    </row>
    <row r="543" spans="1:14" x14ac:dyDescent="0.25">
      <c r="A543" s="1">
        <v>45468</v>
      </c>
      <c r="B543" t="s">
        <v>4</v>
      </c>
      <c r="C543">
        <f t="shared" si="86"/>
        <v>49780</v>
      </c>
      <c r="D543">
        <f>IF(B543="zima",20%,IF(B543="wiosna",50%,IF(B543="lato",90%,40%)))</f>
        <v>0.9</v>
      </c>
      <c r="E543">
        <f t="shared" si="87"/>
        <v>46</v>
      </c>
      <c r="F543">
        <f>WEEKDAY(A543,2)</f>
        <v>2</v>
      </c>
      <c r="G543">
        <f t="shared" si="80"/>
        <v>1</v>
      </c>
      <c r="H543">
        <f t="shared" si="81"/>
        <v>1230</v>
      </c>
      <c r="I543">
        <f t="shared" si="82"/>
        <v>0</v>
      </c>
      <c r="J543">
        <f t="shared" si="88"/>
        <v>0</v>
      </c>
      <c r="K543">
        <f t="shared" si="83"/>
        <v>46</v>
      </c>
      <c r="L543">
        <f t="shared" si="84"/>
        <v>51010</v>
      </c>
      <c r="M543">
        <f t="shared" si="85"/>
        <v>1230</v>
      </c>
      <c r="N543">
        <f t="shared" si="89"/>
        <v>0</v>
      </c>
    </row>
    <row r="544" spans="1:14" x14ac:dyDescent="0.25">
      <c r="A544" s="1">
        <v>45469</v>
      </c>
      <c r="B544" t="s">
        <v>4</v>
      </c>
      <c r="C544">
        <f t="shared" si="86"/>
        <v>51010</v>
      </c>
      <c r="D544">
        <f>IF(B544="zima",20%,IF(B544="wiosna",50%,IF(B544="lato",90%,40%)))</f>
        <v>0.9</v>
      </c>
      <c r="E544">
        <f t="shared" si="87"/>
        <v>46</v>
      </c>
      <c r="F544">
        <f>WEEKDAY(A544,2)</f>
        <v>3</v>
      </c>
      <c r="G544">
        <f t="shared" si="80"/>
        <v>1</v>
      </c>
      <c r="H544">
        <f t="shared" si="81"/>
        <v>1230</v>
      </c>
      <c r="I544">
        <f t="shared" si="82"/>
        <v>0</v>
      </c>
      <c r="J544">
        <f t="shared" si="88"/>
        <v>0</v>
      </c>
      <c r="K544">
        <f t="shared" si="83"/>
        <v>46</v>
      </c>
      <c r="L544">
        <f t="shared" si="84"/>
        <v>52240</v>
      </c>
      <c r="M544">
        <f t="shared" si="85"/>
        <v>1230</v>
      </c>
      <c r="N544">
        <f t="shared" si="89"/>
        <v>0</v>
      </c>
    </row>
    <row r="545" spans="1:14" x14ac:dyDescent="0.25">
      <c r="A545" s="1">
        <v>45470</v>
      </c>
      <c r="B545" t="s">
        <v>4</v>
      </c>
      <c r="C545">
        <f t="shared" si="86"/>
        <v>52240</v>
      </c>
      <c r="D545">
        <f>IF(B545="zima",20%,IF(B545="wiosna",50%,IF(B545="lato",90%,40%)))</f>
        <v>0.9</v>
      </c>
      <c r="E545">
        <f t="shared" si="87"/>
        <v>46</v>
      </c>
      <c r="F545">
        <f>WEEKDAY(A545,2)</f>
        <v>4</v>
      </c>
      <c r="G545">
        <f t="shared" si="80"/>
        <v>1</v>
      </c>
      <c r="H545">
        <f t="shared" si="81"/>
        <v>1230</v>
      </c>
      <c r="I545">
        <f t="shared" si="82"/>
        <v>0</v>
      </c>
      <c r="J545">
        <f t="shared" si="88"/>
        <v>0</v>
      </c>
      <c r="K545">
        <f t="shared" si="83"/>
        <v>46</v>
      </c>
      <c r="L545">
        <f t="shared" si="84"/>
        <v>53470</v>
      </c>
      <c r="M545">
        <f t="shared" si="85"/>
        <v>1230</v>
      </c>
      <c r="N545">
        <f t="shared" si="89"/>
        <v>0</v>
      </c>
    </row>
    <row r="546" spans="1:14" x14ac:dyDescent="0.25">
      <c r="A546" s="1">
        <v>45471</v>
      </c>
      <c r="B546" t="s">
        <v>4</v>
      </c>
      <c r="C546">
        <f t="shared" si="86"/>
        <v>53470</v>
      </c>
      <c r="D546">
        <f>IF(B546="zima",20%,IF(B546="wiosna",50%,IF(B546="lato",90%,40%)))</f>
        <v>0.9</v>
      </c>
      <c r="E546">
        <f t="shared" si="87"/>
        <v>46</v>
      </c>
      <c r="F546">
        <f>WEEKDAY(A546,2)</f>
        <v>5</v>
      </c>
      <c r="G546">
        <f t="shared" si="80"/>
        <v>1</v>
      </c>
      <c r="H546">
        <f t="shared" si="81"/>
        <v>1230</v>
      </c>
      <c r="I546">
        <f t="shared" si="82"/>
        <v>0</v>
      </c>
      <c r="J546">
        <f t="shared" si="88"/>
        <v>0</v>
      </c>
      <c r="K546">
        <f t="shared" si="83"/>
        <v>46</v>
      </c>
      <c r="L546">
        <f t="shared" si="84"/>
        <v>54700</v>
      </c>
      <c r="M546">
        <f t="shared" si="85"/>
        <v>1230</v>
      </c>
      <c r="N546">
        <f t="shared" si="89"/>
        <v>0</v>
      </c>
    </row>
    <row r="547" spans="1:14" x14ac:dyDescent="0.25">
      <c r="A547" s="1">
        <v>45472</v>
      </c>
      <c r="B547" t="s">
        <v>4</v>
      </c>
      <c r="C547">
        <f t="shared" si="86"/>
        <v>54700</v>
      </c>
      <c r="D547">
        <f>IF(B547="zima",20%,IF(B547="wiosna",50%,IF(B547="lato",90%,40%)))</f>
        <v>0.9</v>
      </c>
      <c r="E547">
        <f t="shared" si="87"/>
        <v>46</v>
      </c>
      <c r="F547">
        <f>WEEKDAY(A547,2)</f>
        <v>6</v>
      </c>
      <c r="G547">
        <f t="shared" si="80"/>
        <v>0</v>
      </c>
      <c r="H547">
        <f t="shared" si="81"/>
        <v>0</v>
      </c>
      <c r="I547">
        <f t="shared" si="82"/>
        <v>0</v>
      </c>
      <c r="J547">
        <f t="shared" si="88"/>
        <v>0</v>
      </c>
      <c r="K547">
        <f t="shared" si="83"/>
        <v>46</v>
      </c>
      <c r="L547">
        <f t="shared" si="84"/>
        <v>54700</v>
      </c>
      <c r="M547">
        <f t="shared" si="85"/>
        <v>0</v>
      </c>
      <c r="N547">
        <f t="shared" si="89"/>
        <v>0</v>
      </c>
    </row>
    <row r="548" spans="1:14" x14ac:dyDescent="0.25">
      <c r="A548" s="1">
        <v>45473</v>
      </c>
      <c r="B548" t="s">
        <v>4</v>
      </c>
      <c r="C548">
        <f t="shared" si="86"/>
        <v>54700</v>
      </c>
      <c r="D548">
        <f>IF(B548="zima",20%,IF(B548="wiosna",50%,IF(B548="lato",90%,40%)))</f>
        <v>0.9</v>
      </c>
      <c r="E548">
        <f t="shared" si="87"/>
        <v>46</v>
      </c>
      <c r="F548">
        <f>WEEKDAY(A548,2)</f>
        <v>7</v>
      </c>
      <c r="G548">
        <f t="shared" si="80"/>
        <v>0</v>
      </c>
      <c r="H548">
        <f t="shared" si="81"/>
        <v>0</v>
      </c>
      <c r="I548">
        <f t="shared" si="82"/>
        <v>690</v>
      </c>
      <c r="J548">
        <f t="shared" si="88"/>
        <v>2400</v>
      </c>
      <c r="K548">
        <f t="shared" si="83"/>
        <v>49</v>
      </c>
      <c r="L548">
        <f t="shared" si="84"/>
        <v>51610</v>
      </c>
      <c r="M548">
        <f t="shared" si="85"/>
        <v>0</v>
      </c>
      <c r="N548">
        <f t="shared" si="89"/>
        <v>3090</v>
      </c>
    </row>
    <row r="549" spans="1:14" x14ac:dyDescent="0.25">
      <c r="A549" s="1">
        <v>45474</v>
      </c>
      <c r="B549" t="s">
        <v>4</v>
      </c>
      <c r="C549">
        <f t="shared" si="86"/>
        <v>51610</v>
      </c>
      <c r="D549">
        <f>IF(B549="zima",20%,IF(B549="wiosna",50%,IF(B549="lato",90%,40%)))</f>
        <v>0.9</v>
      </c>
      <c r="E549">
        <f t="shared" si="87"/>
        <v>49</v>
      </c>
      <c r="F549">
        <f>WEEKDAY(A549,2)</f>
        <v>1</v>
      </c>
      <c r="G549">
        <f t="shared" si="80"/>
        <v>1</v>
      </c>
      <c r="H549">
        <f t="shared" si="81"/>
        <v>1320</v>
      </c>
      <c r="I549">
        <f t="shared" si="82"/>
        <v>0</v>
      </c>
      <c r="J549">
        <f t="shared" si="88"/>
        <v>0</v>
      </c>
      <c r="K549">
        <f t="shared" si="83"/>
        <v>49</v>
      </c>
      <c r="L549">
        <f t="shared" si="84"/>
        <v>52930</v>
      </c>
      <c r="M549">
        <f t="shared" si="85"/>
        <v>1320</v>
      </c>
      <c r="N549">
        <f t="shared" si="89"/>
        <v>0</v>
      </c>
    </row>
    <row r="550" spans="1:14" x14ac:dyDescent="0.25">
      <c r="A550" s="1">
        <v>45475</v>
      </c>
      <c r="B550" t="s">
        <v>4</v>
      </c>
      <c r="C550">
        <f t="shared" si="86"/>
        <v>52930</v>
      </c>
      <c r="D550">
        <f>IF(B550="zima",20%,IF(B550="wiosna",50%,IF(B550="lato",90%,40%)))</f>
        <v>0.9</v>
      </c>
      <c r="E550">
        <f t="shared" si="87"/>
        <v>49</v>
      </c>
      <c r="F550">
        <f>WEEKDAY(A550,2)</f>
        <v>2</v>
      </c>
      <c r="G550">
        <f t="shared" si="80"/>
        <v>1</v>
      </c>
      <c r="H550">
        <f t="shared" si="81"/>
        <v>1320</v>
      </c>
      <c r="I550">
        <f t="shared" si="82"/>
        <v>0</v>
      </c>
      <c r="J550">
        <f t="shared" si="88"/>
        <v>0</v>
      </c>
      <c r="K550">
        <f t="shared" si="83"/>
        <v>49</v>
      </c>
      <c r="L550">
        <f t="shared" si="84"/>
        <v>54250</v>
      </c>
      <c r="M550">
        <f t="shared" si="85"/>
        <v>1320</v>
      </c>
      <c r="N550">
        <f t="shared" si="89"/>
        <v>0</v>
      </c>
    </row>
    <row r="551" spans="1:14" x14ac:dyDescent="0.25">
      <c r="A551" s="1">
        <v>45476</v>
      </c>
      <c r="B551" t="s">
        <v>4</v>
      </c>
      <c r="C551">
        <f t="shared" si="86"/>
        <v>54250</v>
      </c>
      <c r="D551">
        <f>IF(B551="zima",20%,IF(B551="wiosna",50%,IF(B551="lato",90%,40%)))</f>
        <v>0.9</v>
      </c>
      <c r="E551">
        <f t="shared" si="87"/>
        <v>49</v>
      </c>
      <c r="F551">
        <f>WEEKDAY(A551,2)</f>
        <v>3</v>
      </c>
      <c r="G551">
        <f t="shared" si="80"/>
        <v>1</v>
      </c>
      <c r="H551">
        <f t="shared" si="81"/>
        <v>1320</v>
      </c>
      <c r="I551">
        <f t="shared" si="82"/>
        <v>0</v>
      </c>
      <c r="J551">
        <f t="shared" si="88"/>
        <v>0</v>
      </c>
      <c r="K551">
        <f t="shared" si="83"/>
        <v>49</v>
      </c>
      <c r="L551">
        <f t="shared" si="84"/>
        <v>55570</v>
      </c>
      <c r="M551">
        <f t="shared" si="85"/>
        <v>1320</v>
      </c>
      <c r="N551">
        <f t="shared" si="89"/>
        <v>0</v>
      </c>
    </row>
    <row r="552" spans="1:14" x14ac:dyDescent="0.25">
      <c r="A552" s="1">
        <v>45477</v>
      </c>
      <c r="B552" t="s">
        <v>4</v>
      </c>
      <c r="C552">
        <f t="shared" si="86"/>
        <v>55570</v>
      </c>
      <c r="D552">
        <f>IF(B552="zima",20%,IF(B552="wiosna",50%,IF(B552="lato",90%,40%)))</f>
        <v>0.9</v>
      </c>
      <c r="E552">
        <f t="shared" si="87"/>
        <v>49</v>
      </c>
      <c r="F552">
        <f>WEEKDAY(A552,2)</f>
        <v>4</v>
      </c>
      <c r="G552">
        <f t="shared" si="80"/>
        <v>1</v>
      </c>
      <c r="H552">
        <f t="shared" si="81"/>
        <v>1320</v>
      </c>
      <c r="I552">
        <f t="shared" si="82"/>
        <v>0</v>
      </c>
      <c r="J552">
        <f t="shared" si="88"/>
        <v>0</v>
      </c>
      <c r="K552">
        <f t="shared" si="83"/>
        <v>49</v>
      </c>
      <c r="L552">
        <f t="shared" si="84"/>
        <v>56890</v>
      </c>
      <c r="M552">
        <f t="shared" si="85"/>
        <v>1320</v>
      </c>
      <c r="N552">
        <f t="shared" si="89"/>
        <v>0</v>
      </c>
    </row>
    <row r="553" spans="1:14" x14ac:dyDescent="0.25">
      <c r="A553" s="1">
        <v>45478</v>
      </c>
      <c r="B553" t="s">
        <v>4</v>
      </c>
      <c r="C553">
        <f t="shared" si="86"/>
        <v>56890</v>
      </c>
      <c r="D553">
        <f>IF(B553="zima",20%,IF(B553="wiosna",50%,IF(B553="lato",90%,40%)))</f>
        <v>0.9</v>
      </c>
      <c r="E553">
        <f t="shared" si="87"/>
        <v>49</v>
      </c>
      <c r="F553">
        <f>WEEKDAY(A553,2)</f>
        <v>5</v>
      </c>
      <c r="G553">
        <f t="shared" si="80"/>
        <v>1</v>
      </c>
      <c r="H553">
        <f t="shared" si="81"/>
        <v>1320</v>
      </c>
      <c r="I553">
        <f t="shared" si="82"/>
        <v>0</v>
      </c>
      <c r="J553">
        <f t="shared" si="88"/>
        <v>0</v>
      </c>
      <c r="K553">
        <f t="shared" si="83"/>
        <v>49</v>
      </c>
      <c r="L553">
        <f t="shared" si="84"/>
        <v>58210</v>
      </c>
      <c r="M553">
        <f t="shared" si="85"/>
        <v>1320</v>
      </c>
      <c r="N553">
        <f t="shared" si="89"/>
        <v>0</v>
      </c>
    </row>
    <row r="554" spans="1:14" x14ac:dyDescent="0.25">
      <c r="A554" s="1">
        <v>45479</v>
      </c>
      <c r="B554" t="s">
        <v>4</v>
      </c>
      <c r="C554">
        <f t="shared" si="86"/>
        <v>58210</v>
      </c>
      <c r="D554">
        <f>IF(B554="zima",20%,IF(B554="wiosna",50%,IF(B554="lato",90%,40%)))</f>
        <v>0.9</v>
      </c>
      <c r="E554">
        <f t="shared" si="87"/>
        <v>49</v>
      </c>
      <c r="F554">
        <f>WEEKDAY(A554,2)</f>
        <v>6</v>
      </c>
      <c r="G554">
        <f t="shared" si="80"/>
        <v>0</v>
      </c>
      <c r="H554">
        <f t="shared" si="81"/>
        <v>0</v>
      </c>
      <c r="I554">
        <f t="shared" si="82"/>
        <v>0</v>
      </c>
      <c r="J554">
        <f t="shared" si="88"/>
        <v>0</v>
      </c>
      <c r="K554">
        <f t="shared" si="83"/>
        <v>49</v>
      </c>
      <c r="L554">
        <f t="shared" si="84"/>
        <v>58210</v>
      </c>
      <c r="M554">
        <f t="shared" si="85"/>
        <v>0</v>
      </c>
      <c r="N554">
        <f t="shared" si="89"/>
        <v>0</v>
      </c>
    </row>
    <row r="555" spans="1:14" x14ac:dyDescent="0.25">
      <c r="A555" s="1">
        <v>45480</v>
      </c>
      <c r="B555" t="s">
        <v>4</v>
      </c>
      <c r="C555">
        <f t="shared" si="86"/>
        <v>58210</v>
      </c>
      <c r="D555">
        <f>IF(B555="zima",20%,IF(B555="wiosna",50%,IF(B555="lato",90%,40%)))</f>
        <v>0.9</v>
      </c>
      <c r="E555">
        <f t="shared" si="87"/>
        <v>49</v>
      </c>
      <c r="F555">
        <f>WEEKDAY(A555,2)</f>
        <v>7</v>
      </c>
      <c r="G555">
        <f t="shared" si="80"/>
        <v>0</v>
      </c>
      <c r="H555">
        <f t="shared" si="81"/>
        <v>0</v>
      </c>
      <c r="I555">
        <f t="shared" si="82"/>
        <v>735</v>
      </c>
      <c r="J555">
        <f t="shared" si="88"/>
        <v>0</v>
      </c>
      <c r="K555">
        <f t="shared" si="83"/>
        <v>49</v>
      </c>
      <c r="L555">
        <f t="shared" si="84"/>
        <v>57475</v>
      </c>
      <c r="M555">
        <f t="shared" si="85"/>
        <v>0</v>
      </c>
      <c r="N555">
        <f t="shared" si="89"/>
        <v>735</v>
      </c>
    </row>
    <row r="556" spans="1:14" x14ac:dyDescent="0.25">
      <c r="A556" s="1">
        <v>45481</v>
      </c>
      <c r="B556" t="s">
        <v>4</v>
      </c>
      <c r="C556">
        <f t="shared" si="86"/>
        <v>57475</v>
      </c>
      <c r="D556">
        <f>IF(B556="zima",20%,IF(B556="wiosna",50%,IF(B556="lato",90%,40%)))</f>
        <v>0.9</v>
      </c>
      <c r="E556">
        <f t="shared" si="87"/>
        <v>49</v>
      </c>
      <c r="F556">
        <f>WEEKDAY(A556,2)</f>
        <v>1</v>
      </c>
      <c r="G556">
        <f t="shared" si="80"/>
        <v>1</v>
      </c>
      <c r="H556">
        <f t="shared" si="81"/>
        <v>1320</v>
      </c>
      <c r="I556">
        <f t="shared" si="82"/>
        <v>0</v>
      </c>
      <c r="J556">
        <f t="shared" si="88"/>
        <v>0</v>
      </c>
      <c r="K556">
        <f t="shared" si="83"/>
        <v>49</v>
      </c>
      <c r="L556">
        <f t="shared" si="84"/>
        <v>58795</v>
      </c>
      <c r="M556">
        <f t="shared" si="85"/>
        <v>1320</v>
      </c>
      <c r="N556">
        <f t="shared" si="89"/>
        <v>0</v>
      </c>
    </row>
    <row r="557" spans="1:14" x14ac:dyDescent="0.25">
      <c r="A557" s="1">
        <v>45482</v>
      </c>
      <c r="B557" t="s">
        <v>4</v>
      </c>
      <c r="C557">
        <f t="shared" si="86"/>
        <v>58795</v>
      </c>
      <c r="D557">
        <f>IF(B557="zima",20%,IF(B557="wiosna",50%,IF(B557="lato",90%,40%)))</f>
        <v>0.9</v>
      </c>
      <c r="E557">
        <f t="shared" si="87"/>
        <v>49</v>
      </c>
      <c r="F557">
        <f>WEEKDAY(A557,2)</f>
        <v>2</v>
      </c>
      <c r="G557">
        <f t="shared" si="80"/>
        <v>1</v>
      </c>
      <c r="H557">
        <f t="shared" si="81"/>
        <v>1320</v>
      </c>
      <c r="I557">
        <f t="shared" si="82"/>
        <v>0</v>
      </c>
      <c r="J557">
        <f t="shared" si="88"/>
        <v>0</v>
      </c>
      <c r="K557">
        <f t="shared" si="83"/>
        <v>49</v>
      </c>
      <c r="L557">
        <f t="shared" si="84"/>
        <v>60115</v>
      </c>
      <c r="M557">
        <f t="shared" si="85"/>
        <v>1320</v>
      </c>
      <c r="N557">
        <f t="shared" si="89"/>
        <v>0</v>
      </c>
    </row>
    <row r="558" spans="1:14" x14ac:dyDescent="0.25">
      <c r="A558" s="1">
        <v>45483</v>
      </c>
      <c r="B558" t="s">
        <v>4</v>
      </c>
      <c r="C558">
        <f t="shared" si="86"/>
        <v>60115</v>
      </c>
      <c r="D558">
        <f>IF(B558="zima",20%,IF(B558="wiosna",50%,IF(B558="lato",90%,40%)))</f>
        <v>0.9</v>
      </c>
      <c r="E558">
        <f t="shared" si="87"/>
        <v>49</v>
      </c>
      <c r="F558">
        <f>WEEKDAY(A558,2)</f>
        <v>3</v>
      </c>
      <c r="G558">
        <f t="shared" si="80"/>
        <v>1</v>
      </c>
      <c r="H558">
        <f t="shared" si="81"/>
        <v>1320</v>
      </c>
      <c r="I558">
        <f t="shared" si="82"/>
        <v>0</v>
      </c>
      <c r="J558">
        <f t="shared" si="88"/>
        <v>0</v>
      </c>
      <c r="K558">
        <f t="shared" si="83"/>
        <v>49</v>
      </c>
      <c r="L558">
        <f t="shared" si="84"/>
        <v>61435</v>
      </c>
      <c r="M558">
        <f t="shared" si="85"/>
        <v>1320</v>
      </c>
      <c r="N558">
        <f t="shared" si="89"/>
        <v>0</v>
      </c>
    </row>
    <row r="559" spans="1:14" x14ac:dyDescent="0.25">
      <c r="A559" s="1">
        <v>45484</v>
      </c>
      <c r="B559" t="s">
        <v>4</v>
      </c>
      <c r="C559">
        <f t="shared" si="86"/>
        <v>61435</v>
      </c>
      <c r="D559">
        <f>IF(B559="zima",20%,IF(B559="wiosna",50%,IF(B559="lato",90%,40%)))</f>
        <v>0.9</v>
      </c>
      <c r="E559">
        <f t="shared" si="87"/>
        <v>49</v>
      </c>
      <c r="F559">
        <f>WEEKDAY(A559,2)</f>
        <v>4</v>
      </c>
      <c r="G559">
        <f t="shared" si="80"/>
        <v>1</v>
      </c>
      <c r="H559">
        <f t="shared" si="81"/>
        <v>1320</v>
      </c>
      <c r="I559">
        <f t="shared" si="82"/>
        <v>0</v>
      </c>
      <c r="J559">
        <f t="shared" si="88"/>
        <v>0</v>
      </c>
      <c r="K559">
        <f t="shared" si="83"/>
        <v>49</v>
      </c>
      <c r="L559">
        <f t="shared" si="84"/>
        <v>62755</v>
      </c>
      <c r="M559">
        <f t="shared" si="85"/>
        <v>1320</v>
      </c>
      <c r="N559">
        <f t="shared" si="89"/>
        <v>0</v>
      </c>
    </row>
    <row r="560" spans="1:14" x14ac:dyDescent="0.25">
      <c r="A560" s="1">
        <v>45485</v>
      </c>
      <c r="B560" t="s">
        <v>4</v>
      </c>
      <c r="C560">
        <f t="shared" si="86"/>
        <v>62755</v>
      </c>
      <c r="D560">
        <f>IF(B560="zima",20%,IF(B560="wiosna",50%,IF(B560="lato",90%,40%)))</f>
        <v>0.9</v>
      </c>
      <c r="E560">
        <f t="shared" si="87"/>
        <v>49</v>
      </c>
      <c r="F560">
        <f>WEEKDAY(A560,2)</f>
        <v>5</v>
      </c>
      <c r="G560">
        <f t="shared" si="80"/>
        <v>1</v>
      </c>
      <c r="H560">
        <f t="shared" si="81"/>
        <v>1320</v>
      </c>
      <c r="I560">
        <f t="shared" si="82"/>
        <v>0</v>
      </c>
      <c r="J560">
        <f t="shared" si="88"/>
        <v>0</v>
      </c>
      <c r="K560">
        <f t="shared" si="83"/>
        <v>49</v>
      </c>
      <c r="L560">
        <f t="shared" si="84"/>
        <v>64075</v>
      </c>
      <c r="M560">
        <f t="shared" si="85"/>
        <v>1320</v>
      </c>
      <c r="N560">
        <f t="shared" si="89"/>
        <v>0</v>
      </c>
    </row>
    <row r="561" spans="1:14" x14ac:dyDescent="0.25">
      <c r="A561" s="1">
        <v>45486</v>
      </c>
      <c r="B561" t="s">
        <v>4</v>
      </c>
      <c r="C561">
        <f t="shared" si="86"/>
        <v>64075</v>
      </c>
      <c r="D561">
        <f>IF(B561="zima",20%,IF(B561="wiosna",50%,IF(B561="lato",90%,40%)))</f>
        <v>0.9</v>
      </c>
      <c r="E561">
        <f t="shared" si="87"/>
        <v>49</v>
      </c>
      <c r="F561">
        <f>WEEKDAY(A561,2)</f>
        <v>6</v>
      </c>
      <c r="G561">
        <f t="shared" si="80"/>
        <v>0</v>
      </c>
      <c r="H561">
        <f t="shared" si="81"/>
        <v>0</v>
      </c>
      <c r="I561">
        <f t="shared" si="82"/>
        <v>0</v>
      </c>
      <c r="J561">
        <f t="shared" si="88"/>
        <v>0</v>
      </c>
      <c r="K561">
        <f t="shared" si="83"/>
        <v>49</v>
      </c>
      <c r="L561">
        <f t="shared" si="84"/>
        <v>64075</v>
      </c>
      <c r="M561">
        <f t="shared" si="85"/>
        <v>0</v>
      </c>
      <c r="N561">
        <f t="shared" si="89"/>
        <v>0</v>
      </c>
    </row>
    <row r="562" spans="1:14" x14ac:dyDescent="0.25">
      <c r="A562" s="1">
        <v>45487</v>
      </c>
      <c r="B562" t="s">
        <v>4</v>
      </c>
      <c r="C562">
        <f t="shared" si="86"/>
        <v>64075</v>
      </c>
      <c r="D562">
        <f>IF(B562="zima",20%,IF(B562="wiosna",50%,IF(B562="lato",90%,40%)))</f>
        <v>0.9</v>
      </c>
      <c r="E562">
        <f t="shared" si="87"/>
        <v>49</v>
      </c>
      <c r="F562">
        <f>WEEKDAY(A562,2)</f>
        <v>7</v>
      </c>
      <c r="G562">
        <f t="shared" si="80"/>
        <v>0</v>
      </c>
      <c r="H562">
        <f t="shared" si="81"/>
        <v>0</v>
      </c>
      <c r="I562">
        <f t="shared" si="82"/>
        <v>735</v>
      </c>
      <c r="J562">
        <f t="shared" si="88"/>
        <v>0</v>
      </c>
      <c r="K562">
        <f t="shared" si="83"/>
        <v>49</v>
      </c>
      <c r="L562">
        <f t="shared" si="84"/>
        <v>63340</v>
      </c>
      <c r="M562">
        <f t="shared" si="85"/>
        <v>0</v>
      </c>
      <c r="N562">
        <f t="shared" si="89"/>
        <v>735</v>
      </c>
    </row>
    <row r="563" spans="1:14" x14ac:dyDescent="0.25">
      <c r="A563" s="1">
        <v>45488</v>
      </c>
      <c r="B563" t="s">
        <v>4</v>
      </c>
      <c r="C563">
        <f t="shared" si="86"/>
        <v>63340</v>
      </c>
      <c r="D563">
        <f>IF(B563="zima",20%,IF(B563="wiosna",50%,IF(B563="lato",90%,40%)))</f>
        <v>0.9</v>
      </c>
      <c r="E563">
        <f t="shared" si="87"/>
        <v>49</v>
      </c>
      <c r="F563">
        <f>WEEKDAY(A563,2)</f>
        <v>1</v>
      </c>
      <c r="G563">
        <f t="shared" si="80"/>
        <v>1</v>
      </c>
      <c r="H563">
        <f t="shared" si="81"/>
        <v>1320</v>
      </c>
      <c r="I563">
        <f t="shared" si="82"/>
        <v>0</v>
      </c>
      <c r="J563">
        <f t="shared" si="88"/>
        <v>0</v>
      </c>
      <c r="K563">
        <f t="shared" si="83"/>
        <v>49</v>
      </c>
      <c r="L563">
        <f t="shared" si="84"/>
        <v>64660</v>
      </c>
      <c r="M563">
        <f t="shared" si="85"/>
        <v>1320</v>
      </c>
      <c r="N563">
        <f t="shared" si="89"/>
        <v>0</v>
      </c>
    </row>
    <row r="564" spans="1:14" x14ac:dyDescent="0.25">
      <c r="A564" s="1">
        <v>45489</v>
      </c>
      <c r="B564" t="s">
        <v>4</v>
      </c>
      <c r="C564">
        <f t="shared" si="86"/>
        <v>64660</v>
      </c>
      <c r="D564">
        <f>IF(B564="zima",20%,IF(B564="wiosna",50%,IF(B564="lato",90%,40%)))</f>
        <v>0.9</v>
      </c>
      <c r="E564">
        <f t="shared" si="87"/>
        <v>49</v>
      </c>
      <c r="F564">
        <f>WEEKDAY(A564,2)</f>
        <v>2</v>
      </c>
      <c r="G564">
        <f t="shared" si="80"/>
        <v>1</v>
      </c>
      <c r="H564">
        <f t="shared" si="81"/>
        <v>1320</v>
      </c>
      <c r="I564">
        <f t="shared" si="82"/>
        <v>0</v>
      </c>
      <c r="J564">
        <f t="shared" si="88"/>
        <v>0</v>
      </c>
      <c r="K564">
        <f t="shared" si="83"/>
        <v>49</v>
      </c>
      <c r="L564">
        <f t="shared" si="84"/>
        <v>65980</v>
      </c>
      <c r="M564">
        <f t="shared" si="85"/>
        <v>1320</v>
      </c>
      <c r="N564">
        <f t="shared" si="89"/>
        <v>0</v>
      </c>
    </row>
    <row r="565" spans="1:14" x14ac:dyDescent="0.25">
      <c r="A565" s="1">
        <v>45490</v>
      </c>
      <c r="B565" t="s">
        <v>4</v>
      </c>
      <c r="C565">
        <f t="shared" si="86"/>
        <v>65980</v>
      </c>
      <c r="D565">
        <f>IF(B565="zima",20%,IF(B565="wiosna",50%,IF(B565="lato",90%,40%)))</f>
        <v>0.9</v>
      </c>
      <c r="E565">
        <f t="shared" si="87"/>
        <v>49</v>
      </c>
      <c r="F565">
        <f>WEEKDAY(A565,2)</f>
        <v>3</v>
      </c>
      <c r="G565">
        <f t="shared" si="80"/>
        <v>1</v>
      </c>
      <c r="H565">
        <f t="shared" si="81"/>
        <v>1320</v>
      </c>
      <c r="I565">
        <f t="shared" si="82"/>
        <v>0</v>
      </c>
      <c r="J565">
        <f t="shared" si="88"/>
        <v>0</v>
      </c>
      <c r="K565">
        <f t="shared" si="83"/>
        <v>49</v>
      </c>
      <c r="L565">
        <f t="shared" si="84"/>
        <v>67300</v>
      </c>
      <c r="M565">
        <f t="shared" si="85"/>
        <v>1320</v>
      </c>
      <c r="N565">
        <f t="shared" si="89"/>
        <v>0</v>
      </c>
    </row>
    <row r="566" spans="1:14" x14ac:dyDescent="0.25">
      <c r="A566" s="1">
        <v>45491</v>
      </c>
      <c r="B566" t="s">
        <v>4</v>
      </c>
      <c r="C566">
        <f t="shared" si="86"/>
        <v>67300</v>
      </c>
      <c r="D566">
        <f>IF(B566="zima",20%,IF(B566="wiosna",50%,IF(B566="lato",90%,40%)))</f>
        <v>0.9</v>
      </c>
      <c r="E566">
        <f t="shared" si="87"/>
        <v>49</v>
      </c>
      <c r="F566">
        <f>WEEKDAY(A566,2)</f>
        <v>4</v>
      </c>
      <c r="G566">
        <f t="shared" si="80"/>
        <v>1</v>
      </c>
      <c r="H566">
        <f t="shared" si="81"/>
        <v>1320</v>
      </c>
      <c r="I566">
        <f t="shared" si="82"/>
        <v>0</v>
      </c>
      <c r="J566">
        <f t="shared" si="88"/>
        <v>0</v>
      </c>
      <c r="K566">
        <f t="shared" si="83"/>
        <v>49</v>
      </c>
      <c r="L566">
        <f t="shared" si="84"/>
        <v>68620</v>
      </c>
      <c r="M566">
        <f t="shared" si="85"/>
        <v>1320</v>
      </c>
      <c r="N566">
        <f t="shared" si="89"/>
        <v>0</v>
      </c>
    </row>
    <row r="567" spans="1:14" x14ac:dyDescent="0.25">
      <c r="A567" s="1">
        <v>45492</v>
      </c>
      <c r="B567" t="s">
        <v>4</v>
      </c>
      <c r="C567">
        <f t="shared" si="86"/>
        <v>68620</v>
      </c>
      <c r="D567">
        <f>IF(B567="zima",20%,IF(B567="wiosna",50%,IF(B567="lato",90%,40%)))</f>
        <v>0.9</v>
      </c>
      <c r="E567">
        <f t="shared" si="87"/>
        <v>49</v>
      </c>
      <c r="F567">
        <f>WEEKDAY(A567,2)</f>
        <v>5</v>
      </c>
      <c r="G567">
        <f t="shared" si="80"/>
        <v>1</v>
      </c>
      <c r="H567">
        <f t="shared" si="81"/>
        <v>1320</v>
      </c>
      <c r="I567">
        <f t="shared" si="82"/>
        <v>0</v>
      </c>
      <c r="J567">
        <f t="shared" si="88"/>
        <v>0</v>
      </c>
      <c r="K567">
        <f t="shared" si="83"/>
        <v>49</v>
      </c>
      <c r="L567">
        <f t="shared" si="84"/>
        <v>69940</v>
      </c>
      <c r="M567">
        <f t="shared" si="85"/>
        <v>1320</v>
      </c>
      <c r="N567">
        <f t="shared" si="89"/>
        <v>0</v>
      </c>
    </row>
    <row r="568" spans="1:14" x14ac:dyDescent="0.25">
      <c r="A568" s="1">
        <v>45493</v>
      </c>
      <c r="B568" t="s">
        <v>4</v>
      </c>
      <c r="C568">
        <f t="shared" si="86"/>
        <v>69940</v>
      </c>
      <c r="D568">
        <f>IF(B568="zima",20%,IF(B568="wiosna",50%,IF(B568="lato",90%,40%)))</f>
        <v>0.9</v>
      </c>
      <c r="E568">
        <f t="shared" si="87"/>
        <v>49</v>
      </c>
      <c r="F568">
        <f>WEEKDAY(A568,2)</f>
        <v>6</v>
      </c>
      <c r="G568">
        <f t="shared" si="80"/>
        <v>0</v>
      </c>
      <c r="H568">
        <f t="shared" si="81"/>
        <v>0</v>
      </c>
      <c r="I568">
        <f t="shared" si="82"/>
        <v>0</v>
      </c>
      <c r="J568">
        <f t="shared" si="88"/>
        <v>0</v>
      </c>
      <c r="K568">
        <f t="shared" si="83"/>
        <v>49</v>
      </c>
      <c r="L568">
        <f t="shared" si="84"/>
        <v>69940</v>
      </c>
      <c r="M568">
        <f t="shared" si="85"/>
        <v>0</v>
      </c>
      <c r="N568">
        <f t="shared" si="89"/>
        <v>0</v>
      </c>
    </row>
    <row r="569" spans="1:14" x14ac:dyDescent="0.25">
      <c r="A569" s="1">
        <v>45494</v>
      </c>
      <c r="B569" t="s">
        <v>4</v>
      </c>
      <c r="C569">
        <f t="shared" si="86"/>
        <v>69940</v>
      </c>
      <c r="D569">
        <f>IF(B569="zima",20%,IF(B569="wiosna",50%,IF(B569="lato",90%,40%)))</f>
        <v>0.9</v>
      </c>
      <c r="E569">
        <f t="shared" si="87"/>
        <v>49</v>
      </c>
      <c r="F569">
        <f>WEEKDAY(A569,2)</f>
        <v>7</v>
      </c>
      <c r="G569">
        <f t="shared" si="80"/>
        <v>0</v>
      </c>
      <c r="H569">
        <f t="shared" si="81"/>
        <v>0</v>
      </c>
      <c r="I569">
        <f t="shared" si="82"/>
        <v>735</v>
      </c>
      <c r="J569">
        <f t="shared" si="88"/>
        <v>0</v>
      </c>
      <c r="K569">
        <f t="shared" si="83"/>
        <v>49</v>
      </c>
      <c r="L569">
        <f t="shared" si="84"/>
        <v>69205</v>
      </c>
      <c r="M569">
        <f t="shared" si="85"/>
        <v>0</v>
      </c>
      <c r="N569">
        <f t="shared" si="89"/>
        <v>735</v>
      </c>
    </row>
    <row r="570" spans="1:14" x14ac:dyDescent="0.25">
      <c r="A570" s="1">
        <v>45495</v>
      </c>
      <c r="B570" t="s">
        <v>4</v>
      </c>
      <c r="C570">
        <f t="shared" si="86"/>
        <v>69205</v>
      </c>
      <c r="D570">
        <f>IF(B570="zima",20%,IF(B570="wiosna",50%,IF(B570="lato",90%,40%)))</f>
        <v>0.9</v>
      </c>
      <c r="E570">
        <f t="shared" si="87"/>
        <v>49</v>
      </c>
      <c r="F570">
        <f>WEEKDAY(A570,2)</f>
        <v>1</v>
      </c>
      <c r="G570">
        <f t="shared" si="80"/>
        <v>1</v>
      </c>
      <c r="H570">
        <f t="shared" si="81"/>
        <v>1320</v>
      </c>
      <c r="I570">
        <f t="shared" si="82"/>
        <v>0</v>
      </c>
      <c r="J570">
        <f t="shared" si="88"/>
        <v>0</v>
      </c>
      <c r="K570">
        <f t="shared" si="83"/>
        <v>49</v>
      </c>
      <c r="L570">
        <f t="shared" si="84"/>
        <v>70525</v>
      </c>
      <c r="M570">
        <f t="shared" si="85"/>
        <v>1320</v>
      </c>
      <c r="N570">
        <f t="shared" si="89"/>
        <v>0</v>
      </c>
    </row>
    <row r="571" spans="1:14" x14ac:dyDescent="0.25">
      <c r="A571" s="1">
        <v>45496</v>
      </c>
      <c r="B571" t="s">
        <v>4</v>
      </c>
      <c r="C571">
        <f t="shared" si="86"/>
        <v>70525</v>
      </c>
      <c r="D571">
        <f>IF(B571="zima",20%,IF(B571="wiosna",50%,IF(B571="lato",90%,40%)))</f>
        <v>0.9</v>
      </c>
      <c r="E571">
        <f t="shared" si="87"/>
        <v>49</v>
      </c>
      <c r="F571">
        <f>WEEKDAY(A571,2)</f>
        <v>2</v>
      </c>
      <c r="G571">
        <f t="shared" si="80"/>
        <v>1</v>
      </c>
      <c r="H571">
        <f t="shared" si="81"/>
        <v>1320</v>
      </c>
      <c r="I571">
        <f t="shared" si="82"/>
        <v>0</v>
      </c>
      <c r="J571">
        <f t="shared" si="88"/>
        <v>0</v>
      </c>
      <c r="K571">
        <f t="shared" si="83"/>
        <v>49</v>
      </c>
      <c r="L571">
        <f t="shared" si="84"/>
        <v>71845</v>
      </c>
      <c r="M571">
        <f t="shared" si="85"/>
        <v>1320</v>
      </c>
      <c r="N571">
        <f t="shared" si="89"/>
        <v>0</v>
      </c>
    </row>
    <row r="572" spans="1:14" x14ac:dyDescent="0.25">
      <c r="A572" s="1">
        <v>45497</v>
      </c>
      <c r="B572" t="s">
        <v>4</v>
      </c>
      <c r="C572">
        <f t="shared" si="86"/>
        <v>71845</v>
      </c>
      <c r="D572">
        <f>IF(B572="zima",20%,IF(B572="wiosna",50%,IF(B572="lato",90%,40%)))</f>
        <v>0.9</v>
      </c>
      <c r="E572">
        <f t="shared" si="87"/>
        <v>49</v>
      </c>
      <c r="F572">
        <f>WEEKDAY(A572,2)</f>
        <v>3</v>
      </c>
      <c r="G572">
        <f t="shared" si="80"/>
        <v>1</v>
      </c>
      <c r="H572">
        <f t="shared" si="81"/>
        <v>1320</v>
      </c>
      <c r="I572">
        <f t="shared" si="82"/>
        <v>0</v>
      </c>
      <c r="J572">
        <f t="shared" si="88"/>
        <v>0</v>
      </c>
      <c r="K572">
        <f t="shared" si="83"/>
        <v>49</v>
      </c>
      <c r="L572">
        <f t="shared" si="84"/>
        <v>73165</v>
      </c>
      <c r="M572">
        <f t="shared" si="85"/>
        <v>1320</v>
      </c>
      <c r="N572">
        <f t="shared" si="89"/>
        <v>0</v>
      </c>
    </row>
    <row r="573" spans="1:14" x14ac:dyDescent="0.25">
      <c r="A573" s="1">
        <v>45498</v>
      </c>
      <c r="B573" t="s">
        <v>4</v>
      </c>
      <c r="C573">
        <f t="shared" si="86"/>
        <v>73165</v>
      </c>
      <c r="D573">
        <f>IF(B573="zima",20%,IF(B573="wiosna",50%,IF(B573="lato",90%,40%)))</f>
        <v>0.9</v>
      </c>
      <c r="E573">
        <f t="shared" si="87"/>
        <v>49</v>
      </c>
      <c r="F573">
        <f>WEEKDAY(A573,2)</f>
        <v>4</v>
      </c>
      <c r="G573">
        <f t="shared" si="80"/>
        <v>1</v>
      </c>
      <c r="H573">
        <f t="shared" si="81"/>
        <v>1320</v>
      </c>
      <c r="I573">
        <f t="shared" si="82"/>
        <v>0</v>
      </c>
      <c r="J573">
        <f t="shared" si="88"/>
        <v>0</v>
      </c>
      <c r="K573">
        <f t="shared" si="83"/>
        <v>49</v>
      </c>
      <c r="L573">
        <f t="shared" si="84"/>
        <v>74485</v>
      </c>
      <c r="M573">
        <f t="shared" si="85"/>
        <v>1320</v>
      </c>
      <c r="N573">
        <f t="shared" si="89"/>
        <v>0</v>
      </c>
    </row>
    <row r="574" spans="1:14" x14ac:dyDescent="0.25">
      <c r="A574" s="1">
        <v>45499</v>
      </c>
      <c r="B574" t="s">
        <v>4</v>
      </c>
      <c r="C574">
        <f t="shared" si="86"/>
        <v>74485</v>
      </c>
      <c r="D574">
        <f>IF(B574="zima",20%,IF(B574="wiosna",50%,IF(B574="lato",90%,40%)))</f>
        <v>0.9</v>
      </c>
      <c r="E574">
        <f t="shared" si="87"/>
        <v>49</v>
      </c>
      <c r="F574">
        <f>WEEKDAY(A574,2)</f>
        <v>5</v>
      </c>
      <c r="G574">
        <f t="shared" si="80"/>
        <v>1</v>
      </c>
      <c r="H574">
        <f t="shared" si="81"/>
        <v>1320</v>
      </c>
      <c r="I574">
        <f t="shared" si="82"/>
        <v>0</v>
      </c>
      <c r="J574">
        <f t="shared" si="88"/>
        <v>0</v>
      </c>
      <c r="K574">
        <f t="shared" si="83"/>
        <v>49</v>
      </c>
      <c r="L574">
        <f t="shared" si="84"/>
        <v>75805</v>
      </c>
      <c r="M574">
        <f t="shared" si="85"/>
        <v>1320</v>
      </c>
      <c r="N574">
        <f t="shared" si="89"/>
        <v>0</v>
      </c>
    </row>
    <row r="575" spans="1:14" x14ac:dyDescent="0.25">
      <c r="A575" s="1">
        <v>45500</v>
      </c>
      <c r="B575" t="s">
        <v>4</v>
      </c>
      <c r="C575">
        <f t="shared" si="86"/>
        <v>75805</v>
      </c>
      <c r="D575">
        <f>IF(B575="zima",20%,IF(B575="wiosna",50%,IF(B575="lato",90%,40%)))</f>
        <v>0.9</v>
      </c>
      <c r="E575">
        <f t="shared" si="87"/>
        <v>49</v>
      </c>
      <c r="F575">
        <f>WEEKDAY(A575,2)</f>
        <v>6</v>
      </c>
      <c r="G575">
        <f t="shared" si="80"/>
        <v>0</v>
      </c>
      <c r="H575">
        <f t="shared" si="81"/>
        <v>0</v>
      </c>
      <c r="I575">
        <f t="shared" si="82"/>
        <v>0</v>
      </c>
      <c r="J575">
        <f t="shared" si="88"/>
        <v>0</v>
      </c>
      <c r="K575">
        <f t="shared" si="83"/>
        <v>49</v>
      </c>
      <c r="L575">
        <f t="shared" si="84"/>
        <v>75805</v>
      </c>
      <c r="M575">
        <f t="shared" si="85"/>
        <v>0</v>
      </c>
      <c r="N575">
        <f t="shared" si="89"/>
        <v>0</v>
      </c>
    </row>
    <row r="576" spans="1:14" x14ac:dyDescent="0.25">
      <c r="A576" s="1">
        <v>45501</v>
      </c>
      <c r="B576" t="s">
        <v>4</v>
      </c>
      <c r="C576">
        <f t="shared" si="86"/>
        <v>75805</v>
      </c>
      <c r="D576">
        <f>IF(B576="zima",20%,IF(B576="wiosna",50%,IF(B576="lato",90%,40%)))</f>
        <v>0.9</v>
      </c>
      <c r="E576">
        <f t="shared" si="87"/>
        <v>49</v>
      </c>
      <c r="F576">
        <f>WEEKDAY(A576,2)</f>
        <v>7</v>
      </c>
      <c r="G576">
        <f t="shared" si="80"/>
        <v>0</v>
      </c>
      <c r="H576">
        <f t="shared" si="81"/>
        <v>0</v>
      </c>
      <c r="I576">
        <f t="shared" si="82"/>
        <v>735</v>
      </c>
      <c r="J576">
        <f t="shared" si="88"/>
        <v>0</v>
      </c>
      <c r="K576">
        <f t="shared" si="83"/>
        <v>49</v>
      </c>
      <c r="L576">
        <f t="shared" si="84"/>
        <v>75070</v>
      </c>
      <c r="M576">
        <f t="shared" si="85"/>
        <v>0</v>
      </c>
      <c r="N576">
        <f t="shared" si="89"/>
        <v>735</v>
      </c>
    </row>
    <row r="577" spans="1:14" x14ac:dyDescent="0.25">
      <c r="A577" s="1">
        <v>45502</v>
      </c>
      <c r="B577" t="s">
        <v>4</v>
      </c>
      <c r="C577">
        <f t="shared" si="86"/>
        <v>75070</v>
      </c>
      <c r="D577">
        <f>IF(B577="zima",20%,IF(B577="wiosna",50%,IF(B577="lato",90%,40%)))</f>
        <v>0.9</v>
      </c>
      <c r="E577">
        <f t="shared" si="87"/>
        <v>49</v>
      </c>
      <c r="F577">
        <f>WEEKDAY(A577,2)</f>
        <v>1</v>
      </c>
      <c r="G577">
        <f t="shared" si="80"/>
        <v>1</v>
      </c>
      <c r="H577">
        <f t="shared" si="81"/>
        <v>1320</v>
      </c>
      <c r="I577">
        <f t="shared" si="82"/>
        <v>0</v>
      </c>
      <c r="J577">
        <f t="shared" si="88"/>
        <v>0</v>
      </c>
      <c r="K577">
        <f t="shared" si="83"/>
        <v>49</v>
      </c>
      <c r="L577">
        <f t="shared" si="84"/>
        <v>76390</v>
      </c>
      <c r="M577">
        <f t="shared" si="85"/>
        <v>1320</v>
      </c>
      <c r="N577">
        <f t="shared" si="89"/>
        <v>0</v>
      </c>
    </row>
    <row r="578" spans="1:14" x14ac:dyDescent="0.25">
      <c r="A578" s="1">
        <v>45503</v>
      </c>
      <c r="B578" t="s">
        <v>4</v>
      </c>
      <c r="C578">
        <f t="shared" si="86"/>
        <v>76390</v>
      </c>
      <c r="D578">
        <f>IF(B578="zima",20%,IF(B578="wiosna",50%,IF(B578="lato",90%,40%)))</f>
        <v>0.9</v>
      </c>
      <c r="E578">
        <f t="shared" si="87"/>
        <v>49</v>
      </c>
      <c r="F578">
        <f>WEEKDAY(A578,2)</f>
        <v>2</v>
      </c>
      <c r="G578">
        <f t="shared" si="80"/>
        <v>1</v>
      </c>
      <c r="H578">
        <f t="shared" si="81"/>
        <v>1320</v>
      </c>
      <c r="I578">
        <f t="shared" si="82"/>
        <v>0</v>
      </c>
      <c r="J578">
        <f t="shared" si="88"/>
        <v>0</v>
      </c>
      <c r="K578">
        <f t="shared" si="83"/>
        <v>49</v>
      </c>
      <c r="L578">
        <f t="shared" si="84"/>
        <v>77710</v>
      </c>
      <c r="M578">
        <f t="shared" si="85"/>
        <v>1320</v>
      </c>
      <c r="N578">
        <f t="shared" si="89"/>
        <v>0</v>
      </c>
    </row>
    <row r="579" spans="1:14" x14ac:dyDescent="0.25">
      <c r="A579" s="1">
        <v>45504</v>
      </c>
      <c r="B579" t="s">
        <v>4</v>
      </c>
      <c r="C579">
        <f t="shared" si="86"/>
        <v>77710</v>
      </c>
      <c r="D579">
        <f>IF(B579="zima",20%,IF(B579="wiosna",50%,IF(B579="lato",90%,40%)))</f>
        <v>0.9</v>
      </c>
      <c r="E579">
        <f t="shared" si="87"/>
        <v>49</v>
      </c>
      <c r="F579">
        <f>WEEKDAY(A579,2)</f>
        <v>3</v>
      </c>
      <c r="G579">
        <f t="shared" ref="G579:G642" si="90">IF(AND(F579&lt;&gt;6,F579&lt;&gt;7),1,0)</f>
        <v>1</v>
      </c>
      <c r="H579">
        <f t="shared" ref="H579:H642" si="91">ROUNDDOWN(D579*E579,0)*30*G579</f>
        <v>1320</v>
      </c>
      <c r="I579">
        <f t="shared" ref="I579:I642" si="92">IF(F579=7,E579*15,0)</f>
        <v>0</v>
      </c>
      <c r="J579">
        <f t="shared" si="88"/>
        <v>2400</v>
      </c>
      <c r="K579">
        <f t="shared" ref="K579:K642" si="93">IF(J579&gt;0,E579+3,E579)</f>
        <v>52</v>
      </c>
      <c r="L579">
        <f t="shared" ref="L579:L642" si="94">C579+H579-I579-J579</f>
        <v>76630</v>
      </c>
      <c r="M579">
        <f t="shared" ref="M579:M642" si="95">H579</f>
        <v>1320</v>
      </c>
      <c r="N579">
        <f t="shared" si="89"/>
        <v>2400</v>
      </c>
    </row>
    <row r="580" spans="1:14" x14ac:dyDescent="0.25">
      <c r="A580" s="1">
        <v>45505</v>
      </c>
      <c r="B580" t="s">
        <v>4</v>
      </c>
      <c r="C580">
        <f t="shared" ref="C580:C643" si="96">L579</f>
        <v>76630</v>
      </c>
      <c r="D580">
        <f>IF(B580="zima",20%,IF(B580="wiosna",50%,IF(B580="lato",90%,40%)))</f>
        <v>0.9</v>
      </c>
      <c r="E580">
        <f t="shared" ref="E580:E643" si="97">K579</f>
        <v>52</v>
      </c>
      <c r="F580">
        <f>WEEKDAY(A580,2)</f>
        <v>4</v>
      </c>
      <c r="G580">
        <f t="shared" si="90"/>
        <v>1</v>
      </c>
      <c r="H580">
        <f t="shared" si="91"/>
        <v>1380</v>
      </c>
      <c r="I580">
        <f t="shared" si="92"/>
        <v>0</v>
      </c>
      <c r="J580">
        <f t="shared" ref="J580:J643" si="98">IF(AND(DAY(A581)=1,C580&gt;=2400),2400,0)</f>
        <v>0</v>
      </c>
      <c r="K580">
        <f t="shared" si="93"/>
        <v>52</v>
      </c>
      <c r="L580">
        <f t="shared" si="94"/>
        <v>78010</v>
      </c>
      <c r="M580">
        <f t="shared" si="95"/>
        <v>1380</v>
      </c>
      <c r="N580">
        <f t="shared" ref="N580:N643" si="99">J580+I580</f>
        <v>0</v>
      </c>
    </row>
    <row r="581" spans="1:14" x14ac:dyDescent="0.25">
      <c r="A581" s="1">
        <v>45506</v>
      </c>
      <c r="B581" t="s">
        <v>4</v>
      </c>
      <c r="C581">
        <f t="shared" si="96"/>
        <v>78010</v>
      </c>
      <c r="D581">
        <f>IF(B581="zima",20%,IF(B581="wiosna",50%,IF(B581="lato",90%,40%)))</f>
        <v>0.9</v>
      </c>
      <c r="E581">
        <f t="shared" si="97"/>
        <v>52</v>
      </c>
      <c r="F581">
        <f>WEEKDAY(A581,2)</f>
        <v>5</v>
      </c>
      <c r="G581">
        <f t="shared" si="90"/>
        <v>1</v>
      </c>
      <c r="H581">
        <f t="shared" si="91"/>
        <v>1380</v>
      </c>
      <c r="I581">
        <f t="shared" si="92"/>
        <v>0</v>
      </c>
      <c r="J581">
        <f t="shared" si="98"/>
        <v>0</v>
      </c>
      <c r="K581">
        <f t="shared" si="93"/>
        <v>52</v>
      </c>
      <c r="L581">
        <f t="shared" si="94"/>
        <v>79390</v>
      </c>
      <c r="M581">
        <f t="shared" si="95"/>
        <v>1380</v>
      </c>
      <c r="N581">
        <f t="shared" si="99"/>
        <v>0</v>
      </c>
    </row>
    <row r="582" spans="1:14" x14ac:dyDescent="0.25">
      <c r="A582" s="1">
        <v>45507</v>
      </c>
      <c r="B582" t="s">
        <v>4</v>
      </c>
      <c r="C582">
        <f t="shared" si="96"/>
        <v>79390</v>
      </c>
      <c r="D582">
        <f>IF(B582="zima",20%,IF(B582="wiosna",50%,IF(B582="lato",90%,40%)))</f>
        <v>0.9</v>
      </c>
      <c r="E582">
        <f t="shared" si="97"/>
        <v>52</v>
      </c>
      <c r="F582">
        <f>WEEKDAY(A582,2)</f>
        <v>6</v>
      </c>
      <c r="G582">
        <f t="shared" si="90"/>
        <v>0</v>
      </c>
      <c r="H582">
        <f t="shared" si="91"/>
        <v>0</v>
      </c>
      <c r="I582">
        <f t="shared" si="92"/>
        <v>0</v>
      </c>
      <c r="J582">
        <f t="shared" si="98"/>
        <v>0</v>
      </c>
      <c r="K582">
        <f t="shared" si="93"/>
        <v>52</v>
      </c>
      <c r="L582">
        <f t="shared" si="94"/>
        <v>79390</v>
      </c>
      <c r="M582">
        <f t="shared" si="95"/>
        <v>0</v>
      </c>
      <c r="N582">
        <f t="shared" si="99"/>
        <v>0</v>
      </c>
    </row>
    <row r="583" spans="1:14" x14ac:dyDescent="0.25">
      <c r="A583" s="1">
        <v>45508</v>
      </c>
      <c r="B583" t="s">
        <v>4</v>
      </c>
      <c r="C583">
        <f t="shared" si="96"/>
        <v>79390</v>
      </c>
      <c r="D583">
        <f>IF(B583="zima",20%,IF(B583="wiosna",50%,IF(B583="lato",90%,40%)))</f>
        <v>0.9</v>
      </c>
      <c r="E583">
        <f t="shared" si="97"/>
        <v>52</v>
      </c>
      <c r="F583">
        <f>WEEKDAY(A583,2)</f>
        <v>7</v>
      </c>
      <c r="G583">
        <f t="shared" si="90"/>
        <v>0</v>
      </c>
      <c r="H583">
        <f t="shared" si="91"/>
        <v>0</v>
      </c>
      <c r="I583">
        <f t="shared" si="92"/>
        <v>780</v>
      </c>
      <c r="J583">
        <f t="shared" si="98"/>
        <v>0</v>
      </c>
      <c r="K583">
        <f t="shared" si="93"/>
        <v>52</v>
      </c>
      <c r="L583">
        <f t="shared" si="94"/>
        <v>78610</v>
      </c>
      <c r="M583">
        <f t="shared" si="95"/>
        <v>0</v>
      </c>
      <c r="N583">
        <f t="shared" si="99"/>
        <v>780</v>
      </c>
    </row>
    <row r="584" spans="1:14" x14ac:dyDescent="0.25">
      <c r="A584" s="1">
        <v>45509</v>
      </c>
      <c r="B584" t="s">
        <v>4</v>
      </c>
      <c r="C584">
        <f t="shared" si="96"/>
        <v>78610</v>
      </c>
      <c r="D584">
        <f>IF(B584="zima",20%,IF(B584="wiosna",50%,IF(B584="lato",90%,40%)))</f>
        <v>0.9</v>
      </c>
      <c r="E584">
        <f t="shared" si="97"/>
        <v>52</v>
      </c>
      <c r="F584">
        <f>WEEKDAY(A584,2)</f>
        <v>1</v>
      </c>
      <c r="G584">
        <f t="shared" si="90"/>
        <v>1</v>
      </c>
      <c r="H584">
        <f t="shared" si="91"/>
        <v>1380</v>
      </c>
      <c r="I584">
        <f t="shared" si="92"/>
        <v>0</v>
      </c>
      <c r="J584">
        <f t="shared" si="98"/>
        <v>0</v>
      </c>
      <c r="K584">
        <f t="shared" si="93"/>
        <v>52</v>
      </c>
      <c r="L584">
        <f t="shared" si="94"/>
        <v>79990</v>
      </c>
      <c r="M584">
        <f t="shared" si="95"/>
        <v>1380</v>
      </c>
      <c r="N584">
        <f t="shared" si="99"/>
        <v>0</v>
      </c>
    </row>
    <row r="585" spans="1:14" x14ac:dyDescent="0.25">
      <c r="A585" s="1">
        <v>45510</v>
      </c>
      <c r="B585" t="s">
        <v>4</v>
      </c>
      <c r="C585">
        <f t="shared" si="96"/>
        <v>79990</v>
      </c>
      <c r="D585">
        <f>IF(B585="zima",20%,IF(B585="wiosna",50%,IF(B585="lato",90%,40%)))</f>
        <v>0.9</v>
      </c>
      <c r="E585">
        <f t="shared" si="97"/>
        <v>52</v>
      </c>
      <c r="F585">
        <f>WEEKDAY(A585,2)</f>
        <v>2</v>
      </c>
      <c r="G585">
        <f t="shared" si="90"/>
        <v>1</v>
      </c>
      <c r="H585">
        <f t="shared" si="91"/>
        <v>1380</v>
      </c>
      <c r="I585">
        <f t="shared" si="92"/>
        <v>0</v>
      </c>
      <c r="J585">
        <f t="shared" si="98"/>
        <v>0</v>
      </c>
      <c r="K585">
        <f t="shared" si="93"/>
        <v>52</v>
      </c>
      <c r="L585">
        <f t="shared" si="94"/>
        <v>81370</v>
      </c>
      <c r="M585">
        <f t="shared" si="95"/>
        <v>1380</v>
      </c>
      <c r="N585">
        <f t="shared" si="99"/>
        <v>0</v>
      </c>
    </row>
    <row r="586" spans="1:14" x14ac:dyDescent="0.25">
      <c r="A586" s="1">
        <v>45511</v>
      </c>
      <c r="B586" t="s">
        <v>4</v>
      </c>
      <c r="C586">
        <f t="shared" si="96"/>
        <v>81370</v>
      </c>
      <c r="D586">
        <f>IF(B586="zima",20%,IF(B586="wiosna",50%,IF(B586="lato",90%,40%)))</f>
        <v>0.9</v>
      </c>
      <c r="E586">
        <f t="shared" si="97"/>
        <v>52</v>
      </c>
      <c r="F586">
        <f>WEEKDAY(A586,2)</f>
        <v>3</v>
      </c>
      <c r="G586">
        <f t="shared" si="90"/>
        <v>1</v>
      </c>
      <c r="H586">
        <f t="shared" si="91"/>
        <v>1380</v>
      </c>
      <c r="I586">
        <f t="shared" si="92"/>
        <v>0</v>
      </c>
      <c r="J586">
        <f t="shared" si="98"/>
        <v>0</v>
      </c>
      <c r="K586">
        <f t="shared" si="93"/>
        <v>52</v>
      </c>
      <c r="L586">
        <f t="shared" si="94"/>
        <v>82750</v>
      </c>
      <c r="M586">
        <f t="shared" si="95"/>
        <v>1380</v>
      </c>
      <c r="N586">
        <f t="shared" si="99"/>
        <v>0</v>
      </c>
    </row>
    <row r="587" spans="1:14" x14ac:dyDescent="0.25">
      <c r="A587" s="1">
        <v>45512</v>
      </c>
      <c r="B587" t="s">
        <v>4</v>
      </c>
      <c r="C587">
        <f t="shared" si="96"/>
        <v>82750</v>
      </c>
      <c r="D587">
        <f>IF(B587="zima",20%,IF(B587="wiosna",50%,IF(B587="lato",90%,40%)))</f>
        <v>0.9</v>
      </c>
      <c r="E587">
        <f t="shared" si="97"/>
        <v>52</v>
      </c>
      <c r="F587">
        <f>WEEKDAY(A587,2)</f>
        <v>4</v>
      </c>
      <c r="G587">
        <f t="shared" si="90"/>
        <v>1</v>
      </c>
      <c r="H587">
        <f t="shared" si="91"/>
        <v>1380</v>
      </c>
      <c r="I587">
        <f t="shared" si="92"/>
        <v>0</v>
      </c>
      <c r="J587">
        <f t="shared" si="98"/>
        <v>0</v>
      </c>
      <c r="K587">
        <f t="shared" si="93"/>
        <v>52</v>
      </c>
      <c r="L587">
        <f t="shared" si="94"/>
        <v>84130</v>
      </c>
      <c r="M587">
        <f t="shared" si="95"/>
        <v>1380</v>
      </c>
      <c r="N587">
        <f t="shared" si="99"/>
        <v>0</v>
      </c>
    </row>
    <row r="588" spans="1:14" x14ac:dyDescent="0.25">
      <c r="A588" s="1">
        <v>45513</v>
      </c>
      <c r="B588" t="s">
        <v>4</v>
      </c>
      <c r="C588">
        <f t="shared" si="96"/>
        <v>84130</v>
      </c>
      <c r="D588">
        <f>IF(B588="zima",20%,IF(B588="wiosna",50%,IF(B588="lato",90%,40%)))</f>
        <v>0.9</v>
      </c>
      <c r="E588">
        <f t="shared" si="97"/>
        <v>52</v>
      </c>
      <c r="F588">
        <f>WEEKDAY(A588,2)</f>
        <v>5</v>
      </c>
      <c r="G588">
        <f t="shared" si="90"/>
        <v>1</v>
      </c>
      <c r="H588">
        <f t="shared" si="91"/>
        <v>1380</v>
      </c>
      <c r="I588">
        <f t="shared" si="92"/>
        <v>0</v>
      </c>
      <c r="J588">
        <f t="shared" si="98"/>
        <v>0</v>
      </c>
      <c r="K588">
        <f t="shared" si="93"/>
        <v>52</v>
      </c>
      <c r="L588">
        <f t="shared" si="94"/>
        <v>85510</v>
      </c>
      <c r="M588">
        <f t="shared" si="95"/>
        <v>1380</v>
      </c>
      <c r="N588">
        <f t="shared" si="99"/>
        <v>0</v>
      </c>
    </row>
    <row r="589" spans="1:14" x14ac:dyDescent="0.25">
      <c r="A589" s="1">
        <v>45514</v>
      </c>
      <c r="B589" t="s">
        <v>4</v>
      </c>
      <c r="C589">
        <f t="shared" si="96"/>
        <v>85510</v>
      </c>
      <c r="D589">
        <f>IF(B589="zima",20%,IF(B589="wiosna",50%,IF(B589="lato",90%,40%)))</f>
        <v>0.9</v>
      </c>
      <c r="E589">
        <f t="shared" si="97"/>
        <v>52</v>
      </c>
      <c r="F589">
        <f>WEEKDAY(A589,2)</f>
        <v>6</v>
      </c>
      <c r="G589">
        <f t="shared" si="90"/>
        <v>0</v>
      </c>
      <c r="H589">
        <f t="shared" si="91"/>
        <v>0</v>
      </c>
      <c r="I589">
        <f t="shared" si="92"/>
        <v>0</v>
      </c>
      <c r="J589">
        <f t="shared" si="98"/>
        <v>0</v>
      </c>
      <c r="K589">
        <f t="shared" si="93"/>
        <v>52</v>
      </c>
      <c r="L589">
        <f t="shared" si="94"/>
        <v>85510</v>
      </c>
      <c r="M589">
        <f t="shared" si="95"/>
        <v>0</v>
      </c>
      <c r="N589">
        <f t="shared" si="99"/>
        <v>0</v>
      </c>
    </row>
    <row r="590" spans="1:14" x14ac:dyDescent="0.25">
      <c r="A590" s="1">
        <v>45515</v>
      </c>
      <c r="B590" t="s">
        <v>4</v>
      </c>
      <c r="C590">
        <f t="shared" si="96"/>
        <v>85510</v>
      </c>
      <c r="D590">
        <f>IF(B590="zima",20%,IF(B590="wiosna",50%,IF(B590="lato",90%,40%)))</f>
        <v>0.9</v>
      </c>
      <c r="E590">
        <f t="shared" si="97"/>
        <v>52</v>
      </c>
      <c r="F590">
        <f>WEEKDAY(A590,2)</f>
        <v>7</v>
      </c>
      <c r="G590">
        <f t="shared" si="90"/>
        <v>0</v>
      </c>
      <c r="H590">
        <f t="shared" si="91"/>
        <v>0</v>
      </c>
      <c r="I590">
        <f t="shared" si="92"/>
        <v>780</v>
      </c>
      <c r="J590">
        <f t="shared" si="98"/>
        <v>0</v>
      </c>
      <c r="K590">
        <f t="shared" si="93"/>
        <v>52</v>
      </c>
      <c r="L590">
        <f t="shared" si="94"/>
        <v>84730</v>
      </c>
      <c r="M590">
        <f t="shared" si="95"/>
        <v>0</v>
      </c>
      <c r="N590">
        <f t="shared" si="99"/>
        <v>780</v>
      </c>
    </row>
    <row r="591" spans="1:14" x14ac:dyDescent="0.25">
      <c r="A591" s="1">
        <v>45516</v>
      </c>
      <c r="B591" t="s">
        <v>4</v>
      </c>
      <c r="C591">
        <f t="shared" si="96"/>
        <v>84730</v>
      </c>
      <c r="D591">
        <f>IF(B591="zima",20%,IF(B591="wiosna",50%,IF(B591="lato",90%,40%)))</f>
        <v>0.9</v>
      </c>
      <c r="E591">
        <f t="shared" si="97"/>
        <v>52</v>
      </c>
      <c r="F591">
        <f>WEEKDAY(A591,2)</f>
        <v>1</v>
      </c>
      <c r="G591">
        <f t="shared" si="90"/>
        <v>1</v>
      </c>
      <c r="H591">
        <f t="shared" si="91"/>
        <v>1380</v>
      </c>
      <c r="I591">
        <f t="shared" si="92"/>
        <v>0</v>
      </c>
      <c r="J591">
        <f t="shared" si="98"/>
        <v>0</v>
      </c>
      <c r="K591">
        <f t="shared" si="93"/>
        <v>52</v>
      </c>
      <c r="L591">
        <f t="shared" si="94"/>
        <v>86110</v>
      </c>
      <c r="M591">
        <f t="shared" si="95"/>
        <v>1380</v>
      </c>
      <c r="N591">
        <f t="shared" si="99"/>
        <v>0</v>
      </c>
    </row>
    <row r="592" spans="1:14" x14ac:dyDescent="0.25">
      <c r="A592" s="1">
        <v>45517</v>
      </c>
      <c r="B592" t="s">
        <v>4</v>
      </c>
      <c r="C592">
        <f t="shared" si="96"/>
        <v>86110</v>
      </c>
      <c r="D592">
        <f>IF(B592="zima",20%,IF(B592="wiosna",50%,IF(B592="lato",90%,40%)))</f>
        <v>0.9</v>
      </c>
      <c r="E592">
        <f t="shared" si="97"/>
        <v>52</v>
      </c>
      <c r="F592">
        <f>WEEKDAY(A592,2)</f>
        <v>2</v>
      </c>
      <c r="G592">
        <f t="shared" si="90"/>
        <v>1</v>
      </c>
      <c r="H592">
        <f t="shared" si="91"/>
        <v>1380</v>
      </c>
      <c r="I592">
        <f t="shared" si="92"/>
        <v>0</v>
      </c>
      <c r="J592">
        <f t="shared" si="98"/>
        <v>0</v>
      </c>
      <c r="K592">
        <f t="shared" si="93"/>
        <v>52</v>
      </c>
      <c r="L592">
        <f t="shared" si="94"/>
        <v>87490</v>
      </c>
      <c r="M592">
        <f t="shared" si="95"/>
        <v>1380</v>
      </c>
      <c r="N592">
        <f t="shared" si="99"/>
        <v>0</v>
      </c>
    </row>
    <row r="593" spans="1:14" x14ac:dyDescent="0.25">
      <c r="A593" s="1">
        <v>45518</v>
      </c>
      <c r="B593" t="s">
        <v>4</v>
      </c>
      <c r="C593">
        <f t="shared" si="96"/>
        <v>87490</v>
      </c>
      <c r="D593">
        <f>IF(B593="zima",20%,IF(B593="wiosna",50%,IF(B593="lato",90%,40%)))</f>
        <v>0.9</v>
      </c>
      <c r="E593">
        <f t="shared" si="97"/>
        <v>52</v>
      </c>
      <c r="F593">
        <f>WEEKDAY(A593,2)</f>
        <v>3</v>
      </c>
      <c r="G593">
        <f t="shared" si="90"/>
        <v>1</v>
      </c>
      <c r="H593">
        <f t="shared" si="91"/>
        <v>1380</v>
      </c>
      <c r="I593">
        <f t="shared" si="92"/>
        <v>0</v>
      </c>
      <c r="J593">
        <f t="shared" si="98"/>
        <v>0</v>
      </c>
      <c r="K593">
        <f t="shared" si="93"/>
        <v>52</v>
      </c>
      <c r="L593">
        <f t="shared" si="94"/>
        <v>88870</v>
      </c>
      <c r="M593">
        <f t="shared" si="95"/>
        <v>1380</v>
      </c>
      <c r="N593">
        <f t="shared" si="99"/>
        <v>0</v>
      </c>
    </row>
    <row r="594" spans="1:14" x14ac:dyDescent="0.25">
      <c r="A594" s="1">
        <v>45519</v>
      </c>
      <c r="B594" t="s">
        <v>4</v>
      </c>
      <c r="C594">
        <f t="shared" si="96"/>
        <v>88870</v>
      </c>
      <c r="D594">
        <f>IF(B594="zima",20%,IF(B594="wiosna",50%,IF(B594="lato",90%,40%)))</f>
        <v>0.9</v>
      </c>
      <c r="E594">
        <f t="shared" si="97"/>
        <v>52</v>
      </c>
      <c r="F594">
        <f>WEEKDAY(A594,2)</f>
        <v>4</v>
      </c>
      <c r="G594">
        <f t="shared" si="90"/>
        <v>1</v>
      </c>
      <c r="H594">
        <f t="shared" si="91"/>
        <v>1380</v>
      </c>
      <c r="I594">
        <f t="shared" si="92"/>
        <v>0</v>
      </c>
      <c r="J594">
        <f t="shared" si="98"/>
        <v>0</v>
      </c>
      <c r="K594">
        <f t="shared" si="93"/>
        <v>52</v>
      </c>
      <c r="L594">
        <f t="shared" si="94"/>
        <v>90250</v>
      </c>
      <c r="M594">
        <f t="shared" si="95"/>
        <v>1380</v>
      </c>
      <c r="N594">
        <f t="shared" si="99"/>
        <v>0</v>
      </c>
    </row>
    <row r="595" spans="1:14" x14ac:dyDescent="0.25">
      <c r="A595" s="1">
        <v>45520</v>
      </c>
      <c r="B595" t="s">
        <v>4</v>
      </c>
      <c r="C595">
        <f t="shared" si="96"/>
        <v>90250</v>
      </c>
      <c r="D595">
        <f>IF(B595="zima",20%,IF(B595="wiosna",50%,IF(B595="lato",90%,40%)))</f>
        <v>0.9</v>
      </c>
      <c r="E595">
        <f t="shared" si="97"/>
        <v>52</v>
      </c>
      <c r="F595">
        <f>WEEKDAY(A595,2)</f>
        <v>5</v>
      </c>
      <c r="G595">
        <f t="shared" si="90"/>
        <v>1</v>
      </c>
      <c r="H595">
        <f t="shared" si="91"/>
        <v>1380</v>
      </c>
      <c r="I595">
        <f t="shared" si="92"/>
        <v>0</v>
      </c>
      <c r="J595">
        <f t="shared" si="98"/>
        <v>0</v>
      </c>
      <c r="K595">
        <f t="shared" si="93"/>
        <v>52</v>
      </c>
      <c r="L595">
        <f t="shared" si="94"/>
        <v>91630</v>
      </c>
      <c r="M595">
        <f t="shared" si="95"/>
        <v>1380</v>
      </c>
      <c r="N595">
        <f t="shared" si="99"/>
        <v>0</v>
      </c>
    </row>
    <row r="596" spans="1:14" x14ac:dyDescent="0.25">
      <c r="A596" s="1">
        <v>45521</v>
      </c>
      <c r="B596" t="s">
        <v>4</v>
      </c>
      <c r="C596">
        <f t="shared" si="96"/>
        <v>91630</v>
      </c>
      <c r="D596">
        <f>IF(B596="zima",20%,IF(B596="wiosna",50%,IF(B596="lato",90%,40%)))</f>
        <v>0.9</v>
      </c>
      <c r="E596">
        <f t="shared" si="97"/>
        <v>52</v>
      </c>
      <c r="F596">
        <f>WEEKDAY(A596,2)</f>
        <v>6</v>
      </c>
      <c r="G596">
        <f t="shared" si="90"/>
        <v>0</v>
      </c>
      <c r="H596">
        <f t="shared" si="91"/>
        <v>0</v>
      </c>
      <c r="I596">
        <f t="shared" si="92"/>
        <v>0</v>
      </c>
      <c r="J596">
        <f t="shared" si="98"/>
        <v>0</v>
      </c>
      <c r="K596">
        <f t="shared" si="93"/>
        <v>52</v>
      </c>
      <c r="L596">
        <f t="shared" si="94"/>
        <v>91630</v>
      </c>
      <c r="M596">
        <f t="shared" si="95"/>
        <v>0</v>
      </c>
      <c r="N596">
        <f t="shared" si="99"/>
        <v>0</v>
      </c>
    </row>
    <row r="597" spans="1:14" x14ac:dyDescent="0.25">
      <c r="A597" s="1">
        <v>45522</v>
      </c>
      <c r="B597" t="s">
        <v>4</v>
      </c>
      <c r="C597">
        <f t="shared" si="96"/>
        <v>91630</v>
      </c>
      <c r="D597">
        <f>IF(B597="zima",20%,IF(B597="wiosna",50%,IF(B597="lato",90%,40%)))</f>
        <v>0.9</v>
      </c>
      <c r="E597">
        <f t="shared" si="97"/>
        <v>52</v>
      </c>
      <c r="F597">
        <f>WEEKDAY(A597,2)</f>
        <v>7</v>
      </c>
      <c r="G597">
        <f t="shared" si="90"/>
        <v>0</v>
      </c>
      <c r="H597">
        <f t="shared" si="91"/>
        <v>0</v>
      </c>
      <c r="I597">
        <f t="shared" si="92"/>
        <v>780</v>
      </c>
      <c r="J597">
        <f t="shared" si="98"/>
        <v>0</v>
      </c>
      <c r="K597">
        <f t="shared" si="93"/>
        <v>52</v>
      </c>
      <c r="L597">
        <f t="shared" si="94"/>
        <v>90850</v>
      </c>
      <c r="M597">
        <f t="shared" si="95"/>
        <v>0</v>
      </c>
      <c r="N597">
        <f t="shared" si="99"/>
        <v>780</v>
      </c>
    </row>
    <row r="598" spans="1:14" x14ac:dyDescent="0.25">
      <c r="A598" s="1">
        <v>45523</v>
      </c>
      <c r="B598" t="s">
        <v>4</v>
      </c>
      <c r="C598">
        <f t="shared" si="96"/>
        <v>90850</v>
      </c>
      <c r="D598">
        <f>IF(B598="zima",20%,IF(B598="wiosna",50%,IF(B598="lato",90%,40%)))</f>
        <v>0.9</v>
      </c>
      <c r="E598">
        <f t="shared" si="97"/>
        <v>52</v>
      </c>
      <c r="F598">
        <f>WEEKDAY(A598,2)</f>
        <v>1</v>
      </c>
      <c r="G598">
        <f t="shared" si="90"/>
        <v>1</v>
      </c>
      <c r="H598">
        <f t="shared" si="91"/>
        <v>1380</v>
      </c>
      <c r="I598">
        <f t="shared" si="92"/>
        <v>0</v>
      </c>
      <c r="J598">
        <f t="shared" si="98"/>
        <v>0</v>
      </c>
      <c r="K598">
        <f t="shared" si="93"/>
        <v>52</v>
      </c>
      <c r="L598">
        <f t="shared" si="94"/>
        <v>92230</v>
      </c>
      <c r="M598">
        <f t="shared" si="95"/>
        <v>1380</v>
      </c>
      <c r="N598">
        <f t="shared" si="99"/>
        <v>0</v>
      </c>
    </row>
    <row r="599" spans="1:14" x14ac:dyDescent="0.25">
      <c r="A599" s="1">
        <v>45524</v>
      </c>
      <c r="B599" t="s">
        <v>4</v>
      </c>
      <c r="C599">
        <f t="shared" si="96"/>
        <v>92230</v>
      </c>
      <c r="D599">
        <f>IF(B599="zima",20%,IF(B599="wiosna",50%,IF(B599="lato",90%,40%)))</f>
        <v>0.9</v>
      </c>
      <c r="E599">
        <f t="shared" si="97"/>
        <v>52</v>
      </c>
      <c r="F599">
        <f>WEEKDAY(A599,2)</f>
        <v>2</v>
      </c>
      <c r="G599">
        <f t="shared" si="90"/>
        <v>1</v>
      </c>
      <c r="H599">
        <f t="shared" si="91"/>
        <v>1380</v>
      </c>
      <c r="I599">
        <f t="shared" si="92"/>
        <v>0</v>
      </c>
      <c r="J599">
        <f t="shared" si="98"/>
        <v>0</v>
      </c>
      <c r="K599">
        <f t="shared" si="93"/>
        <v>52</v>
      </c>
      <c r="L599">
        <f t="shared" si="94"/>
        <v>93610</v>
      </c>
      <c r="M599">
        <f t="shared" si="95"/>
        <v>1380</v>
      </c>
      <c r="N599">
        <f t="shared" si="99"/>
        <v>0</v>
      </c>
    </row>
    <row r="600" spans="1:14" x14ac:dyDescent="0.25">
      <c r="A600" s="1">
        <v>45525</v>
      </c>
      <c r="B600" t="s">
        <v>4</v>
      </c>
      <c r="C600">
        <f t="shared" si="96"/>
        <v>93610</v>
      </c>
      <c r="D600">
        <f>IF(B600="zima",20%,IF(B600="wiosna",50%,IF(B600="lato",90%,40%)))</f>
        <v>0.9</v>
      </c>
      <c r="E600">
        <f t="shared" si="97"/>
        <v>52</v>
      </c>
      <c r="F600">
        <f>WEEKDAY(A600,2)</f>
        <v>3</v>
      </c>
      <c r="G600">
        <f t="shared" si="90"/>
        <v>1</v>
      </c>
      <c r="H600">
        <f t="shared" si="91"/>
        <v>1380</v>
      </c>
      <c r="I600">
        <f t="shared" si="92"/>
        <v>0</v>
      </c>
      <c r="J600">
        <f t="shared" si="98"/>
        <v>0</v>
      </c>
      <c r="K600">
        <f t="shared" si="93"/>
        <v>52</v>
      </c>
      <c r="L600">
        <f t="shared" si="94"/>
        <v>94990</v>
      </c>
      <c r="M600">
        <f t="shared" si="95"/>
        <v>1380</v>
      </c>
      <c r="N600">
        <f t="shared" si="99"/>
        <v>0</v>
      </c>
    </row>
    <row r="601" spans="1:14" x14ac:dyDescent="0.25">
      <c r="A601" s="1">
        <v>45526</v>
      </c>
      <c r="B601" t="s">
        <v>4</v>
      </c>
      <c r="C601">
        <f t="shared" si="96"/>
        <v>94990</v>
      </c>
      <c r="D601">
        <f>IF(B601="zima",20%,IF(B601="wiosna",50%,IF(B601="lato",90%,40%)))</f>
        <v>0.9</v>
      </c>
      <c r="E601">
        <f t="shared" si="97"/>
        <v>52</v>
      </c>
      <c r="F601">
        <f>WEEKDAY(A601,2)</f>
        <v>4</v>
      </c>
      <c r="G601">
        <f t="shared" si="90"/>
        <v>1</v>
      </c>
      <c r="H601">
        <f t="shared" si="91"/>
        <v>1380</v>
      </c>
      <c r="I601">
        <f t="shared" si="92"/>
        <v>0</v>
      </c>
      <c r="J601">
        <f t="shared" si="98"/>
        <v>0</v>
      </c>
      <c r="K601">
        <f t="shared" si="93"/>
        <v>52</v>
      </c>
      <c r="L601">
        <f t="shared" si="94"/>
        <v>96370</v>
      </c>
      <c r="M601">
        <f t="shared" si="95"/>
        <v>1380</v>
      </c>
      <c r="N601">
        <f t="shared" si="99"/>
        <v>0</v>
      </c>
    </row>
    <row r="602" spans="1:14" x14ac:dyDescent="0.25">
      <c r="A602" s="1">
        <v>45527</v>
      </c>
      <c r="B602" t="s">
        <v>4</v>
      </c>
      <c r="C602">
        <f t="shared" si="96"/>
        <v>96370</v>
      </c>
      <c r="D602">
        <f>IF(B602="zima",20%,IF(B602="wiosna",50%,IF(B602="lato",90%,40%)))</f>
        <v>0.9</v>
      </c>
      <c r="E602">
        <f t="shared" si="97"/>
        <v>52</v>
      </c>
      <c r="F602">
        <f>WEEKDAY(A602,2)</f>
        <v>5</v>
      </c>
      <c r="G602">
        <f t="shared" si="90"/>
        <v>1</v>
      </c>
      <c r="H602">
        <f t="shared" si="91"/>
        <v>1380</v>
      </c>
      <c r="I602">
        <f t="shared" si="92"/>
        <v>0</v>
      </c>
      <c r="J602">
        <f t="shared" si="98"/>
        <v>0</v>
      </c>
      <c r="K602">
        <f t="shared" si="93"/>
        <v>52</v>
      </c>
      <c r="L602">
        <f t="shared" si="94"/>
        <v>97750</v>
      </c>
      <c r="M602">
        <f t="shared" si="95"/>
        <v>1380</v>
      </c>
      <c r="N602">
        <f t="shared" si="99"/>
        <v>0</v>
      </c>
    </row>
    <row r="603" spans="1:14" x14ac:dyDescent="0.25">
      <c r="A603" s="1">
        <v>45528</v>
      </c>
      <c r="B603" t="s">
        <v>4</v>
      </c>
      <c r="C603">
        <f t="shared" si="96"/>
        <v>97750</v>
      </c>
      <c r="D603">
        <f>IF(B603="zima",20%,IF(B603="wiosna",50%,IF(B603="lato",90%,40%)))</f>
        <v>0.9</v>
      </c>
      <c r="E603">
        <f t="shared" si="97"/>
        <v>52</v>
      </c>
      <c r="F603">
        <f>WEEKDAY(A603,2)</f>
        <v>6</v>
      </c>
      <c r="G603">
        <f t="shared" si="90"/>
        <v>0</v>
      </c>
      <c r="H603">
        <f t="shared" si="91"/>
        <v>0</v>
      </c>
      <c r="I603">
        <f t="shared" si="92"/>
        <v>0</v>
      </c>
      <c r="J603">
        <f t="shared" si="98"/>
        <v>0</v>
      </c>
      <c r="K603">
        <f t="shared" si="93"/>
        <v>52</v>
      </c>
      <c r="L603">
        <f t="shared" si="94"/>
        <v>97750</v>
      </c>
      <c r="M603">
        <f t="shared" si="95"/>
        <v>0</v>
      </c>
      <c r="N603">
        <f t="shared" si="99"/>
        <v>0</v>
      </c>
    </row>
    <row r="604" spans="1:14" x14ac:dyDescent="0.25">
      <c r="A604" s="1">
        <v>45529</v>
      </c>
      <c r="B604" t="s">
        <v>4</v>
      </c>
      <c r="C604">
        <f t="shared" si="96"/>
        <v>97750</v>
      </c>
      <c r="D604">
        <f>IF(B604="zima",20%,IF(B604="wiosna",50%,IF(B604="lato",90%,40%)))</f>
        <v>0.9</v>
      </c>
      <c r="E604">
        <f t="shared" si="97"/>
        <v>52</v>
      </c>
      <c r="F604">
        <f>WEEKDAY(A604,2)</f>
        <v>7</v>
      </c>
      <c r="G604">
        <f t="shared" si="90"/>
        <v>0</v>
      </c>
      <c r="H604">
        <f t="shared" si="91"/>
        <v>0</v>
      </c>
      <c r="I604">
        <f t="shared" si="92"/>
        <v>780</v>
      </c>
      <c r="J604">
        <f t="shared" si="98"/>
        <v>0</v>
      </c>
      <c r="K604">
        <f t="shared" si="93"/>
        <v>52</v>
      </c>
      <c r="L604">
        <f t="shared" si="94"/>
        <v>96970</v>
      </c>
      <c r="M604">
        <f t="shared" si="95"/>
        <v>0</v>
      </c>
      <c r="N604">
        <f t="shared" si="99"/>
        <v>780</v>
      </c>
    </row>
    <row r="605" spans="1:14" x14ac:dyDescent="0.25">
      <c r="A605" s="1">
        <v>45530</v>
      </c>
      <c r="B605" t="s">
        <v>4</v>
      </c>
      <c r="C605">
        <f t="shared" si="96"/>
        <v>96970</v>
      </c>
      <c r="D605">
        <f>IF(B605="zima",20%,IF(B605="wiosna",50%,IF(B605="lato",90%,40%)))</f>
        <v>0.9</v>
      </c>
      <c r="E605">
        <f t="shared" si="97"/>
        <v>52</v>
      </c>
      <c r="F605">
        <f>WEEKDAY(A605,2)</f>
        <v>1</v>
      </c>
      <c r="G605">
        <f t="shared" si="90"/>
        <v>1</v>
      </c>
      <c r="H605">
        <f t="shared" si="91"/>
        <v>1380</v>
      </c>
      <c r="I605">
        <f t="shared" si="92"/>
        <v>0</v>
      </c>
      <c r="J605">
        <f t="shared" si="98"/>
        <v>0</v>
      </c>
      <c r="K605">
        <f t="shared" si="93"/>
        <v>52</v>
      </c>
      <c r="L605">
        <f t="shared" si="94"/>
        <v>98350</v>
      </c>
      <c r="M605">
        <f t="shared" si="95"/>
        <v>1380</v>
      </c>
      <c r="N605">
        <f t="shared" si="99"/>
        <v>0</v>
      </c>
    </row>
    <row r="606" spans="1:14" x14ac:dyDescent="0.25">
      <c r="A606" s="1">
        <v>45531</v>
      </c>
      <c r="B606" t="s">
        <v>4</v>
      </c>
      <c r="C606">
        <f t="shared" si="96"/>
        <v>98350</v>
      </c>
      <c r="D606">
        <f>IF(B606="zima",20%,IF(B606="wiosna",50%,IF(B606="lato",90%,40%)))</f>
        <v>0.9</v>
      </c>
      <c r="E606">
        <f t="shared" si="97"/>
        <v>52</v>
      </c>
      <c r="F606">
        <f>WEEKDAY(A606,2)</f>
        <v>2</v>
      </c>
      <c r="G606">
        <f t="shared" si="90"/>
        <v>1</v>
      </c>
      <c r="H606">
        <f t="shared" si="91"/>
        <v>1380</v>
      </c>
      <c r="I606">
        <f t="shared" si="92"/>
        <v>0</v>
      </c>
      <c r="J606">
        <f t="shared" si="98"/>
        <v>0</v>
      </c>
      <c r="K606">
        <f t="shared" si="93"/>
        <v>52</v>
      </c>
      <c r="L606">
        <f t="shared" si="94"/>
        <v>99730</v>
      </c>
      <c r="M606">
        <f t="shared" si="95"/>
        <v>1380</v>
      </c>
      <c r="N606">
        <f t="shared" si="99"/>
        <v>0</v>
      </c>
    </row>
    <row r="607" spans="1:14" x14ac:dyDescent="0.25">
      <c r="A607" s="1">
        <v>45532</v>
      </c>
      <c r="B607" t="s">
        <v>4</v>
      </c>
      <c r="C607">
        <f t="shared" si="96"/>
        <v>99730</v>
      </c>
      <c r="D607">
        <f>IF(B607="zima",20%,IF(B607="wiosna",50%,IF(B607="lato",90%,40%)))</f>
        <v>0.9</v>
      </c>
      <c r="E607">
        <f t="shared" si="97"/>
        <v>52</v>
      </c>
      <c r="F607">
        <f>WEEKDAY(A607,2)</f>
        <v>3</v>
      </c>
      <c r="G607">
        <f t="shared" si="90"/>
        <v>1</v>
      </c>
      <c r="H607">
        <f t="shared" si="91"/>
        <v>1380</v>
      </c>
      <c r="I607">
        <f t="shared" si="92"/>
        <v>0</v>
      </c>
      <c r="J607">
        <f t="shared" si="98"/>
        <v>0</v>
      </c>
      <c r="K607">
        <f t="shared" si="93"/>
        <v>52</v>
      </c>
      <c r="L607">
        <f t="shared" si="94"/>
        <v>101110</v>
      </c>
      <c r="M607">
        <f t="shared" si="95"/>
        <v>1380</v>
      </c>
      <c r="N607">
        <f t="shared" si="99"/>
        <v>0</v>
      </c>
    </row>
    <row r="608" spans="1:14" x14ac:dyDescent="0.25">
      <c r="A608" s="1">
        <v>45533</v>
      </c>
      <c r="B608" t="s">
        <v>4</v>
      </c>
      <c r="C608">
        <f t="shared" si="96"/>
        <v>101110</v>
      </c>
      <c r="D608">
        <f>IF(B608="zima",20%,IF(B608="wiosna",50%,IF(B608="lato",90%,40%)))</f>
        <v>0.9</v>
      </c>
      <c r="E608">
        <f t="shared" si="97"/>
        <v>52</v>
      </c>
      <c r="F608">
        <f>WEEKDAY(A608,2)</f>
        <v>4</v>
      </c>
      <c r="G608">
        <f t="shared" si="90"/>
        <v>1</v>
      </c>
      <c r="H608">
        <f t="shared" si="91"/>
        <v>1380</v>
      </c>
      <c r="I608">
        <f t="shared" si="92"/>
        <v>0</v>
      </c>
      <c r="J608">
        <f t="shared" si="98"/>
        <v>0</v>
      </c>
      <c r="K608">
        <f t="shared" si="93"/>
        <v>52</v>
      </c>
      <c r="L608">
        <f t="shared" si="94"/>
        <v>102490</v>
      </c>
      <c r="M608">
        <f t="shared" si="95"/>
        <v>1380</v>
      </c>
      <c r="N608">
        <f t="shared" si="99"/>
        <v>0</v>
      </c>
    </row>
    <row r="609" spans="1:14" x14ac:dyDescent="0.25">
      <c r="A609" s="1">
        <v>45534</v>
      </c>
      <c r="B609" t="s">
        <v>4</v>
      </c>
      <c r="C609">
        <f t="shared" si="96"/>
        <v>102490</v>
      </c>
      <c r="D609">
        <f>IF(B609="zima",20%,IF(B609="wiosna",50%,IF(B609="lato",90%,40%)))</f>
        <v>0.9</v>
      </c>
      <c r="E609">
        <f t="shared" si="97"/>
        <v>52</v>
      </c>
      <c r="F609">
        <f>WEEKDAY(A609,2)</f>
        <v>5</v>
      </c>
      <c r="G609">
        <f t="shared" si="90"/>
        <v>1</v>
      </c>
      <c r="H609">
        <f t="shared" si="91"/>
        <v>1380</v>
      </c>
      <c r="I609">
        <f t="shared" si="92"/>
        <v>0</v>
      </c>
      <c r="J609">
        <f t="shared" si="98"/>
        <v>0</v>
      </c>
      <c r="K609">
        <f t="shared" si="93"/>
        <v>52</v>
      </c>
      <c r="L609">
        <f t="shared" si="94"/>
        <v>103870</v>
      </c>
      <c r="M609">
        <f t="shared" si="95"/>
        <v>1380</v>
      </c>
      <c r="N609">
        <f t="shared" si="99"/>
        <v>0</v>
      </c>
    </row>
    <row r="610" spans="1:14" x14ac:dyDescent="0.25">
      <c r="A610" s="1">
        <v>45535</v>
      </c>
      <c r="B610" t="s">
        <v>4</v>
      </c>
      <c r="C610">
        <f t="shared" si="96"/>
        <v>103870</v>
      </c>
      <c r="D610">
        <f>IF(B610="zima",20%,IF(B610="wiosna",50%,IF(B610="lato",90%,40%)))</f>
        <v>0.9</v>
      </c>
      <c r="E610">
        <f t="shared" si="97"/>
        <v>52</v>
      </c>
      <c r="F610">
        <f>WEEKDAY(A610,2)</f>
        <v>6</v>
      </c>
      <c r="G610">
        <f t="shared" si="90"/>
        <v>0</v>
      </c>
      <c r="H610">
        <f t="shared" si="91"/>
        <v>0</v>
      </c>
      <c r="I610">
        <f t="shared" si="92"/>
        <v>0</v>
      </c>
      <c r="J610">
        <f t="shared" si="98"/>
        <v>2400</v>
      </c>
      <c r="K610">
        <f t="shared" si="93"/>
        <v>55</v>
      </c>
      <c r="L610">
        <f t="shared" si="94"/>
        <v>101470</v>
      </c>
      <c r="M610">
        <f t="shared" si="95"/>
        <v>0</v>
      </c>
      <c r="N610">
        <f t="shared" si="99"/>
        <v>2400</v>
      </c>
    </row>
    <row r="611" spans="1:14" x14ac:dyDescent="0.25">
      <c r="A611" s="1">
        <v>45536</v>
      </c>
      <c r="B611" t="s">
        <v>4</v>
      </c>
      <c r="C611">
        <f t="shared" si="96"/>
        <v>101470</v>
      </c>
      <c r="D611">
        <f>IF(B611="zima",20%,IF(B611="wiosna",50%,IF(B611="lato",90%,40%)))</f>
        <v>0.9</v>
      </c>
      <c r="E611">
        <f t="shared" si="97"/>
        <v>55</v>
      </c>
      <c r="F611">
        <f>WEEKDAY(A611,2)</f>
        <v>7</v>
      </c>
      <c r="G611">
        <f t="shared" si="90"/>
        <v>0</v>
      </c>
      <c r="H611">
        <f t="shared" si="91"/>
        <v>0</v>
      </c>
      <c r="I611">
        <f t="shared" si="92"/>
        <v>825</v>
      </c>
      <c r="J611">
        <f t="shared" si="98"/>
        <v>0</v>
      </c>
      <c r="K611">
        <f t="shared" si="93"/>
        <v>55</v>
      </c>
      <c r="L611">
        <f t="shared" si="94"/>
        <v>100645</v>
      </c>
      <c r="M611">
        <f t="shared" si="95"/>
        <v>0</v>
      </c>
      <c r="N611">
        <f t="shared" si="99"/>
        <v>825</v>
      </c>
    </row>
    <row r="612" spans="1:14" x14ac:dyDescent="0.25">
      <c r="A612" s="1">
        <v>45537</v>
      </c>
      <c r="B612" t="s">
        <v>4</v>
      </c>
      <c r="C612">
        <f t="shared" si="96"/>
        <v>100645</v>
      </c>
      <c r="D612">
        <f>IF(B612="zima",20%,IF(B612="wiosna",50%,IF(B612="lato",90%,40%)))</f>
        <v>0.9</v>
      </c>
      <c r="E612">
        <f t="shared" si="97"/>
        <v>55</v>
      </c>
      <c r="F612">
        <f>WEEKDAY(A612,2)</f>
        <v>1</v>
      </c>
      <c r="G612">
        <f t="shared" si="90"/>
        <v>1</v>
      </c>
      <c r="H612">
        <f t="shared" si="91"/>
        <v>1470</v>
      </c>
      <c r="I612">
        <f t="shared" si="92"/>
        <v>0</v>
      </c>
      <c r="J612">
        <f t="shared" si="98"/>
        <v>0</v>
      </c>
      <c r="K612">
        <f t="shared" si="93"/>
        <v>55</v>
      </c>
      <c r="L612">
        <f t="shared" si="94"/>
        <v>102115</v>
      </c>
      <c r="M612">
        <f t="shared" si="95"/>
        <v>1470</v>
      </c>
      <c r="N612">
        <f t="shared" si="99"/>
        <v>0</v>
      </c>
    </row>
    <row r="613" spans="1:14" x14ac:dyDescent="0.25">
      <c r="A613" s="1">
        <v>45538</v>
      </c>
      <c r="B613" t="s">
        <v>4</v>
      </c>
      <c r="C613">
        <f t="shared" si="96"/>
        <v>102115</v>
      </c>
      <c r="D613">
        <f>IF(B613="zima",20%,IF(B613="wiosna",50%,IF(B613="lato",90%,40%)))</f>
        <v>0.9</v>
      </c>
      <c r="E613">
        <f t="shared" si="97"/>
        <v>55</v>
      </c>
      <c r="F613">
        <f>WEEKDAY(A613,2)</f>
        <v>2</v>
      </c>
      <c r="G613">
        <f t="shared" si="90"/>
        <v>1</v>
      </c>
      <c r="H613">
        <f t="shared" si="91"/>
        <v>1470</v>
      </c>
      <c r="I613">
        <f t="shared" si="92"/>
        <v>0</v>
      </c>
      <c r="J613">
        <f t="shared" si="98"/>
        <v>0</v>
      </c>
      <c r="K613">
        <f t="shared" si="93"/>
        <v>55</v>
      </c>
      <c r="L613">
        <f t="shared" si="94"/>
        <v>103585</v>
      </c>
      <c r="M613">
        <f t="shared" si="95"/>
        <v>1470</v>
      </c>
      <c r="N613">
        <f t="shared" si="99"/>
        <v>0</v>
      </c>
    </row>
    <row r="614" spans="1:14" x14ac:dyDescent="0.25">
      <c r="A614" s="1">
        <v>45539</v>
      </c>
      <c r="B614" t="s">
        <v>4</v>
      </c>
      <c r="C614">
        <f t="shared" si="96"/>
        <v>103585</v>
      </c>
      <c r="D614">
        <f>IF(B614="zima",20%,IF(B614="wiosna",50%,IF(B614="lato",90%,40%)))</f>
        <v>0.9</v>
      </c>
      <c r="E614">
        <f t="shared" si="97"/>
        <v>55</v>
      </c>
      <c r="F614">
        <f>WEEKDAY(A614,2)</f>
        <v>3</v>
      </c>
      <c r="G614">
        <f t="shared" si="90"/>
        <v>1</v>
      </c>
      <c r="H614">
        <f t="shared" si="91"/>
        <v>1470</v>
      </c>
      <c r="I614">
        <f t="shared" si="92"/>
        <v>0</v>
      </c>
      <c r="J614">
        <f t="shared" si="98"/>
        <v>0</v>
      </c>
      <c r="K614">
        <f t="shared" si="93"/>
        <v>55</v>
      </c>
      <c r="L614">
        <f t="shared" si="94"/>
        <v>105055</v>
      </c>
      <c r="M614">
        <f t="shared" si="95"/>
        <v>1470</v>
      </c>
      <c r="N614">
        <f t="shared" si="99"/>
        <v>0</v>
      </c>
    </row>
    <row r="615" spans="1:14" x14ac:dyDescent="0.25">
      <c r="A615" s="1">
        <v>45540</v>
      </c>
      <c r="B615" t="s">
        <v>4</v>
      </c>
      <c r="C615">
        <f t="shared" si="96"/>
        <v>105055</v>
      </c>
      <c r="D615">
        <f>IF(B615="zima",20%,IF(B615="wiosna",50%,IF(B615="lato",90%,40%)))</f>
        <v>0.9</v>
      </c>
      <c r="E615">
        <f t="shared" si="97"/>
        <v>55</v>
      </c>
      <c r="F615">
        <f>WEEKDAY(A615,2)</f>
        <v>4</v>
      </c>
      <c r="G615">
        <f t="shared" si="90"/>
        <v>1</v>
      </c>
      <c r="H615">
        <f t="shared" si="91"/>
        <v>1470</v>
      </c>
      <c r="I615">
        <f t="shared" si="92"/>
        <v>0</v>
      </c>
      <c r="J615">
        <f t="shared" si="98"/>
        <v>0</v>
      </c>
      <c r="K615">
        <f t="shared" si="93"/>
        <v>55</v>
      </c>
      <c r="L615">
        <f t="shared" si="94"/>
        <v>106525</v>
      </c>
      <c r="M615">
        <f t="shared" si="95"/>
        <v>1470</v>
      </c>
      <c r="N615">
        <f t="shared" si="99"/>
        <v>0</v>
      </c>
    </row>
    <row r="616" spans="1:14" x14ac:dyDescent="0.25">
      <c r="A616" s="1">
        <v>45541</v>
      </c>
      <c r="B616" t="s">
        <v>4</v>
      </c>
      <c r="C616">
        <f t="shared" si="96"/>
        <v>106525</v>
      </c>
      <c r="D616">
        <f>IF(B616="zima",20%,IF(B616="wiosna",50%,IF(B616="lato",90%,40%)))</f>
        <v>0.9</v>
      </c>
      <c r="E616">
        <f t="shared" si="97"/>
        <v>55</v>
      </c>
      <c r="F616">
        <f>WEEKDAY(A616,2)</f>
        <v>5</v>
      </c>
      <c r="G616">
        <f t="shared" si="90"/>
        <v>1</v>
      </c>
      <c r="H616">
        <f t="shared" si="91"/>
        <v>1470</v>
      </c>
      <c r="I616">
        <f t="shared" si="92"/>
        <v>0</v>
      </c>
      <c r="J616">
        <f t="shared" si="98"/>
        <v>0</v>
      </c>
      <c r="K616">
        <f t="shared" si="93"/>
        <v>55</v>
      </c>
      <c r="L616">
        <f t="shared" si="94"/>
        <v>107995</v>
      </c>
      <c r="M616">
        <f t="shared" si="95"/>
        <v>1470</v>
      </c>
      <c r="N616">
        <f t="shared" si="99"/>
        <v>0</v>
      </c>
    </row>
    <row r="617" spans="1:14" x14ac:dyDescent="0.25">
      <c r="A617" s="1">
        <v>45542</v>
      </c>
      <c r="B617" t="s">
        <v>4</v>
      </c>
      <c r="C617">
        <f t="shared" si="96"/>
        <v>107995</v>
      </c>
      <c r="D617">
        <f>IF(B617="zima",20%,IF(B617="wiosna",50%,IF(B617="lato",90%,40%)))</f>
        <v>0.9</v>
      </c>
      <c r="E617">
        <f t="shared" si="97"/>
        <v>55</v>
      </c>
      <c r="F617">
        <f>WEEKDAY(A617,2)</f>
        <v>6</v>
      </c>
      <c r="G617">
        <f t="shared" si="90"/>
        <v>0</v>
      </c>
      <c r="H617">
        <f t="shared" si="91"/>
        <v>0</v>
      </c>
      <c r="I617">
        <f t="shared" si="92"/>
        <v>0</v>
      </c>
      <c r="J617">
        <f t="shared" si="98"/>
        <v>0</v>
      </c>
      <c r="K617">
        <f t="shared" si="93"/>
        <v>55</v>
      </c>
      <c r="L617">
        <f t="shared" si="94"/>
        <v>107995</v>
      </c>
      <c r="M617">
        <f t="shared" si="95"/>
        <v>0</v>
      </c>
      <c r="N617">
        <f t="shared" si="99"/>
        <v>0</v>
      </c>
    </row>
    <row r="618" spans="1:14" x14ac:dyDescent="0.25">
      <c r="A618" s="1">
        <v>45543</v>
      </c>
      <c r="B618" t="s">
        <v>4</v>
      </c>
      <c r="C618">
        <f t="shared" si="96"/>
        <v>107995</v>
      </c>
      <c r="D618">
        <f>IF(B618="zima",20%,IF(B618="wiosna",50%,IF(B618="lato",90%,40%)))</f>
        <v>0.9</v>
      </c>
      <c r="E618">
        <f t="shared" si="97"/>
        <v>55</v>
      </c>
      <c r="F618">
        <f>WEEKDAY(A618,2)</f>
        <v>7</v>
      </c>
      <c r="G618">
        <f t="shared" si="90"/>
        <v>0</v>
      </c>
      <c r="H618">
        <f t="shared" si="91"/>
        <v>0</v>
      </c>
      <c r="I618">
        <f t="shared" si="92"/>
        <v>825</v>
      </c>
      <c r="J618">
        <f t="shared" si="98"/>
        <v>0</v>
      </c>
      <c r="K618">
        <f t="shared" si="93"/>
        <v>55</v>
      </c>
      <c r="L618">
        <f t="shared" si="94"/>
        <v>107170</v>
      </c>
      <c r="M618">
        <f t="shared" si="95"/>
        <v>0</v>
      </c>
      <c r="N618">
        <f t="shared" si="99"/>
        <v>825</v>
      </c>
    </row>
    <row r="619" spans="1:14" x14ac:dyDescent="0.25">
      <c r="A619" s="1">
        <v>45544</v>
      </c>
      <c r="B619" t="s">
        <v>4</v>
      </c>
      <c r="C619">
        <f t="shared" si="96"/>
        <v>107170</v>
      </c>
      <c r="D619">
        <f>IF(B619="zima",20%,IF(B619="wiosna",50%,IF(B619="lato",90%,40%)))</f>
        <v>0.9</v>
      </c>
      <c r="E619">
        <f t="shared" si="97"/>
        <v>55</v>
      </c>
      <c r="F619">
        <f>WEEKDAY(A619,2)</f>
        <v>1</v>
      </c>
      <c r="G619">
        <f t="shared" si="90"/>
        <v>1</v>
      </c>
      <c r="H619">
        <f t="shared" si="91"/>
        <v>1470</v>
      </c>
      <c r="I619">
        <f t="shared" si="92"/>
        <v>0</v>
      </c>
      <c r="J619">
        <f t="shared" si="98"/>
        <v>0</v>
      </c>
      <c r="K619">
        <f t="shared" si="93"/>
        <v>55</v>
      </c>
      <c r="L619">
        <f t="shared" si="94"/>
        <v>108640</v>
      </c>
      <c r="M619">
        <f t="shared" si="95"/>
        <v>1470</v>
      </c>
      <c r="N619">
        <f t="shared" si="99"/>
        <v>0</v>
      </c>
    </row>
    <row r="620" spans="1:14" x14ac:dyDescent="0.25">
      <c r="A620" s="1">
        <v>45545</v>
      </c>
      <c r="B620" t="s">
        <v>4</v>
      </c>
      <c r="C620">
        <f t="shared" si="96"/>
        <v>108640</v>
      </c>
      <c r="D620">
        <f>IF(B620="zima",20%,IF(B620="wiosna",50%,IF(B620="lato",90%,40%)))</f>
        <v>0.9</v>
      </c>
      <c r="E620">
        <f t="shared" si="97"/>
        <v>55</v>
      </c>
      <c r="F620">
        <f>WEEKDAY(A620,2)</f>
        <v>2</v>
      </c>
      <c r="G620">
        <f t="shared" si="90"/>
        <v>1</v>
      </c>
      <c r="H620">
        <f t="shared" si="91"/>
        <v>1470</v>
      </c>
      <c r="I620">
        <f t="shared" si="92"/>
        <v>0</v>
      </c>
      <c r="J620">
        <f t="shared" si="98"/>
        <v>0</v>
      </c>
      <c r="K620">
        <f t="shared" si="93"/>
        <v>55</v>
      </c>
      <c r="L620">
        <f t="shared" si="94"/>
        <v>110110</v>
      </c>
      <c r="M620">
        <f t="shared" si="95"/>
        <v>1470</v>
      </c>
      <c r="N620">
        <f t="shared" si="99"/>
        <v>0</v>
      </c>
    </row>
    <row r="621" spans="1:14" x14ac:dyDescent="0.25">
      <c r="A621" s="1">
        <v>45546</v>
      </c>
      <c r="B621" t="s">
        <v>4</v>
      </c>
      <c r="C621">
        <f t="shared" si="96"/>
        <v>110110</v>
      </c>
      <c r="D621">
        <f>IF(B621="zima",20%,IF(B621="wiosna",50%,IF(B621="lato",90%,40%)))</f>
        <v>0.9</v>
      </c>
      <c r="E621">
        <f t="shared" si="97"/>
        <v>55</v>
      </c>
      <c r="F621">
        <f>WEEKDAY(A621,2)</f>
        <v>3</v>
      </c>
      <c r="G621">
        <f t="shared" si="90"/>
        <v>1</v>
      </c>
      <c r="H621">
        <f t="shared" si="91"/>
        <v>1470</v>
      </c>
      <c r="I621">
        <f t="shared" si="92"/>
        <v>0</v>
      </c>
      <c r="J621">
        <f t="shared" si="98"/>
        <v>0</v>
      </c>
      <c r="K621">
        <f t="shared" si="93"/>
        <v>55</v>
      </c>
      <c r="L621">
        <f t="shared" si="94"/>
        <v>111580</v>
      </c>
      <c r="M621">
        <f t="shared" si="95"/>
        <v>1470</v>
      </c>
      <c r="N621">
        <f t="shared" si="99"/>
        <v>0</v>
      </c>
    </row>
    <row r="622" spans="1:14" x14ac:dyDescent="0.25">
      <c r="A622" s="1">
        <v>45547</v>
      </c>
      <c r="B622" t="s">
        <v>4</v>
      </c>
      <c r="C622">
        <f t="shared" si="96"/>
        <v>111580</v>
      </c>
      <c r="D622">
        <f>IF(B622="zima",20%,IF(B622="wiosna",50%,IF(B622="lato",90%,40%)))</f>
        <v>0.9</v>
      </c>
      <c r="E622">
        <f t="shared" si="97"/>
        <v>55</v>
      </c>
      <c r="F622">
        <f>WEEKDAY(A622,2)</f>
        <v>4</v>
      </c>
      <c r="G622">
        <f t="shared" si="90"/>
        <v>1</v>
      </c>
      <c r="H622">
        <f t="shared" si="91"/>
        <v>1470</v>
      </c>
      <c r="I622">
        <f t="shared" si="92"/>
        <v>0</v>
      </c>
      <c r="J622">
        <f t="shared" si="98"/>
        <v>0</v>
      </c>
      <c r="K622">
        <f t="shared" si="93"/>
        <v>55</v>
      </c>
      <c r="L622">
        <f t="shared" si="94"/>
        <v>113050</v>
      </c>
      <c r="M622">
        <f t="shared" si="95"/>
        <v>1470</v>
      </c>
      <c r="N622">
        <f t="shared" si="99"/>
        <v>0</v>
      </c>
    </row>
    <row r="623" spans="1:14" x14ac:dyDescent="0.25">
      <c r="A623" s="1">
        <v>45548</v>
      </c>
      <c r="B623" t="s">
        <v>4</v>
      </c>
      <c r="C623">
        <f t="shared" si="96"/>
        <v>113050</v>
      </c>
      <c r="D623">
        <f>IF(B623="zima",20%,IF(B623="wiosna",50%,IF(B623="lato",90%,40%)))</f>
        <v>0.9</v>
      </c>
      <c r="E623">
        <f t="shared" si="97"/>
        <v>55</v>
      </c>
      <c r="F623">
        <f>WEEKDAY(A623,2)</f>
        <v>5</v>
      </c>
      <c r="G623">
        <f t="shared" si="90"/>
        <v>1</v>
      </c>
      <c r="H623">
        <f t="shared" si="91"/>
        <v>1470</v>
      </c>
      <c r="I623">
        <f t="shared" si="92"/>
        <v>0</v>
      </c>
      <c r="J623">
        <f t="shared" si="98"/>
        <v>0</v>
      </c>
      <c r="K623">
        <f t="shared" si="93"/>
        <v>55</v>
      </c>
      <c r="L623">
        <f t="shared" si="94"/>
        <v>114520</v>
      </c>
      <c r="M623">
        <f t="shared" si="95"/>
        <v>1470</v>
      </c>
      <c r="N623">
        <f t="shared" si="99"/>
        <v>0</v>
      </c>
    </row>
    <row r="624" spans="1:14" x14ac:dyDescent="0.25">
      <c r="A624" s="1">
        <v>45549</v>
      </c>
      <c r="B624" t="s">
        <v>4</v>
      </c>
      <c r="C624">
        <f t="shared" si="96"/>
        <v>114520</v>
      </c>
      <c r="D624">
        <f>IF(B624="zima",20%,IF(B624="wiosna",50%,IF(B624="lato",90%,40%)))</f>
        <v>0.9</v>
      </c>
      <c r="E624">
        <f t="shared" si="97"/>
        <v>55</v>
      </c>
      <c r="F624">
        <f>WEEKDAY(A624,2)</f>
        <v>6</v>
      </c>
      <c r="G624">
        <f t="shared" si="90"/>
        <v>0</v>
      </c>
      <c r="H624">
        <f t="shared" si="91"/>
        <v>0</v>
      </c>
      <c r="I624">
        <f t="shared" si="92"/>
        <v>0</v>
      </c>
      <c r="J624">
        <f t="shared" si="98"/>
        <v>0</v>
      </c>
      <c r="K624">
        <f t="shared" si="93"/>
        <v>55</v>
      </c>
      <c r="L624">
        <f t="shared" si="94"/>
        <v>114520</v>
      </c>
      <c r="M624">
        <f t="shared" si="95"/>
        <v>0</v>
      </c>
      <c r="N624">
        <f t="shared" si="99"/>
        <v>0</v>
      </c>
    </row>
    <row r="625" spans="1:14" x14ac:dyDescent="0.25">
      <c r="A625" s="1">
        <v>45550</v>
      </c>
      <c r="B625" t="s">
        <v>4</v>
      </c>
      <c r="C625">
        <f t="shared" si="96"/>
        <v>114520</v>
      </c>
      <c r="D625">
        <f>IF(B625="zima",20%,IF(B625="wiosna",50%,IF(B625="lato",90%,40%)))</f>
        <v>0.9</v>
      </c>
      <c r="E625">
        <f t="shared" si="97"/>
        <v>55</v>
      </c>
      <c r="F625">
        <f>WEEKDAY(A625,2)</f>
        <v>7</v>
      </c>
      <c r="G625">
        <f t="shared" si="90"/>
        <v>0</v>
      </c>
      <c r="H625">
        <f t="shared" si="91"/>
        <v>0</v>
      </c>
      <c r="I625">
        <f t="shared" si="92"/>
        <v>825</v>
      </c>
      <c r="J625">
        <f t="shared" si="98"/>
        <v>0</v>
      </c>
      <c r="K625">
        <f t="shared" si="93"/>
        <v>55</v>
      </c>
      <c r="L625">
        <f t="shared" si="94"/>
        <v>113695</v>
      </c>
      <c r="M625">
        <f t="shared" si="95"/>
        <v>0</v>
      </c>
      <c r="N625">
        <f t="shared" si="99"/>
        <v>825</v>
      </c>
    </row>
    <row r="626" spans="1:14" x14ac:dyDescent="0.25">
      <c r="A626" s="1">
        <v>45551</v>
      </c>
      <c r="B626" t="s">
        <v>4</v>
      </c>
      <c r="C626">
        <f t="shared" si="96"/>
        <v>113695</v>
      </c>
      <c r="D626">
        <f>IF(B626="zima",20%,IF(B626="wiosna",50%,IF(B626="lato",90%,40%)))</f>
        <v>0.9</v>
      </c>
      <c r="E626">
        <f t="shared" si="97"/>
        <v>55</v>
      </c>
      <c r="F626">
        <f>WEEKDAY(A626,2)</f>
        <v>1</v>
      </c>
      <c r="G626">
        <f t="shared" si="90"/>
        <v>1</v>
      </c>
      <c r="H626">
        <f t="shared" si="91"/>
        <v>1470</v>
      </c>
      <c r="I626">
        <f t="shared" si="92"/>
        <v>0</v>
      </c>
      <c r="J626">
        <f t="shared" si="98"/>
        <v>0</v>
      </c>
      <c r="K626">
        <f t="shared" si="93"/>
        <v>55</v>
      </c>
      <c r="L626">
        <f t="shared" si="94"/>
        <v>115165</v>
      </c>
      <c r="M626">
        <f t="shared" si="95"/>
        <v>1470</v>
      </c>
      <c r="N626">
        <f t="shared" si="99"/>
        <v>0</v>
      </c>
    </row>
    <row r="627" spans="1:14" x14ac:dyDescent="0.25">
      <c r="A627" s="1">
        <v>45552</v>
      </c>
      <c r="B627" t="s">
        <v>4</v>
      </c>
      <c r="C627">
        <f t="shared" si="96"/>
        <v>115165</v>
      </c>
      <c r="D627">
        <f>IF(B627="zima",20%,IF(B627="wiosna",50%,IF(B627="lato",90%,40%)))</f>
        <v>0.9</v>
      </c>
      <c r="E627">
        <f t="shared" si="97"/>
        <v>55</v>
      </c>
      <c r="F627">
        <f>WEEKDAY(A627,2)</f>
        <v>2</v>
      </c>
      <c r="G627">
        <f t="shared" si="90"/>
        <v>1</v>
      </c>
      <c r="H627">
        <f t="shared" si="91"/>
        <v>1470</v>
      </c>
      <c r="I627">
        <f t="shared" si="92"/>
        <v>0</v>
      </c>
      <c r="J627">
        <f t="shared" si="98"/>
        <v>0</v>
      </c>
      <c r="K627">
        <f t="shared" si="93"/>
        <v>55</v>
      </c>
      <c r="L627">
        <f t="shared" si="94"/>
        <v>116635</v>
      </c>
      <c r="M627">
        <f t="shared" si="95"/>
        <v>1470</v>
      </c>
      <c r="N627">
        <f t="shared" si="99"/>
        <v>0</v>
      </c>
    </row>
    <row r="628" spans="1:14" x14ac:dyDescent="0.25">
      <c r="A628" s="1">
        <v>45553</v>
      </c>
      <c r="B628" t="s">
        <v>4</v>
      </c>
      <c r="C628">
        <f t="shared" si="96"/>
        <v>116635</v>
      </c>
      <c r="D628">
        <f>IF(B628="zima",20%,IF(B628="wiosna",50%,IF(B628="lato",90%,40%)))</f>
        <v>0.9</v>
      </c>
      <c r="E628">
        <f t="shared" si="97"/>
        <v>55</v>
      </c>
      <c r="F628">
        <f>WEEKDAY(A628,2)</f>
        <v>3</v>
      </c>
      <c r="G628">
        <f t="shared" si="90"/>
        <v>1</v>
      </c>
      <c r="H628">
        <f t="shared" si="91"/>
        <v>1470</v>
      </c>
      <c r="I628">
        <f t="shared" si="92"/>
        <v>0</v>
      </c>
      <c r="J628">
        <f t="shared" si="98"/>
        <v>0</v>
      </c>
      <c r="K628">
        <f t="shared" si="93"/>
        <v>55</v>
      </c>
      <c r="L628">
        <f t="shared" si="94"/>
        <v>118105</v>
      </c>
      <c r="M628">
        <f t="shared" si="95"/>
        <v>1470</v>
      </c>
      <c r="N628">
        <f t="shared" si="99"/>
        <v>0</v>
      </c>
    </row>
    <row r="629" spans="1:14" x14ac:dyDescent="0.25">
      <c r="A629" s="1">
        <v>45554</v>
      </c>
      <c r="B629" t="s">
        <v>4</v>
      </c>
      <c r="C629">
        <f t="shared" si="96"/>
        <v>118105</v>
      </c>
      <c r="D629">
        <f>IF(B629="zima",20%,IF(B629="wiosna",50%,IF(B629="lato",90%,40%)))</f>
        <v>0.9</v>
      </c>
      <c r="E629">
        <f t="shared" si="97"/>
        <v>55</v>
      </c>
      <c r="F629">
        <f>WEEKDAY(A629,2)</f>
        <v>4</v>
      </c>
      <c r="G629">
        <f t="shared" si="90"/>
        <v>1</v>
      </c>
      <c r="H629">
        <f t="shared" si="91"/>
        <v>1470</v>
      </c>
      <c r="I629">
        <f t="shared" si="92"/>
        <v>0</v>
      </c>
      <c r="J629">
        <f t="shared" si="98"/>
        <v>0</v>
      </c>
      <c r="K629">
        <f t="shared" si="93"/>
        <v>55</v>
      </c>
      <c r="L629">
        <f t="shared" si="94"/>
        <v>119575</v>
      </c>
      <c r="M629">
        <f t="shared" si="95"/>
        <v>1470</v>
      </c>
      <c r="N629">
        <f t="shared" si="99"/>
        <v>0</v>
      </c>
    </row>
    <row r="630" spans="1:14" x14ac:dyDescent="0.25">
      <c r="A630" s="1">
        <v>45555</v>
      </c>
      <c r="B630" t="s">
        <v>4</v>
      </c>
      <c r="C630">
        <f t="shared" si="96"/>
        <v>119575</v>
      </c>
      <c r="D630">
        <f>IF(B630="zima",20%,IF(B630="wiosna",50%,IF(B630="lato",90%,40%)))</f>
        <v>0.9</v>
      </c>
      <c r="E630">
        <f t="shared" si="97"/>
        <v>55</v>
      </c>
      <c r="F630">
        <f>WEEKDAY(A630,2)</f>
        <v>5</v>
      </c>
      <c r="G630">
        <f t="shared" si="90"/>
        <v>1</v>
      </c>
      <c r="H630">
        <f t="shared" si="91"/>
        <v>1470</v>
      </c>
      <c r="I630">
        <f t="shared" si="92"/>
        <v>0</v>
      </c>
      <c r="J630">
        <f t="shared" si="98"/>
        <v>0</v>
      </c>
      <c r="K630">
        <f t="shared" si="93"/>
        <v>55</v>
      </c>
      <c r="L630">
        <f t="shared" si="94"/>
        <v>121045</v>
      </c>
      <c r="M630">
        <f t="shared" si="95"/>
        <v>1470</v>
      </c>
      <c r="N630">
        <f t="shared" si="99"/>
        <v>0</v>
      </c>
    </row>
    <row r="631" spans="1:14" x14ac:dyDescent="0.25">
      <c r="A631" s="1">
        <v>45556</v>
      </c>
      <c r="B631" t="s">
        <v>4</v>
      </c>
      <c r="C631">
        <f t="shared" si="96"/>
        <v>121045</v>
      </c>
      <c r="D631">
        <f>IF(B631="zima",20%,IF(B631="wiosna",50%,IF(B631="lato",90%,40%)))</f>
        <v>0.9</v>
      </c>
      <c r="E631">
        <f t="shared" si="97"/>
        <v>55</v>
      </c>
      <c r="F631">
        <f>WEEKDAY(A631,2)</f>
        <v>6</v>
      </c>
      <c r="G631">
        <f t="shared" si="90"/>
        <v>0</v>
      </c>
      <c r="H631">
        <f t="shared" si="91"/>
        <v>0</v>
      </c>
      <c r="I631">
        <f t="shared" si="92"/>
        <v>0</v>
      </c>
      <c r="J631">
        <f t="shared" si="98"/>
        <v>0</v>
      </c>
      <c r="K631">
        <f t="shared" si="93"/>
        <v>55</v>
      </c>
      <c r="L631">
        <f t="shared" si="94"/>
        <v>121045</v>
      </c>
      <c r="M631">
        <f t="shared" si="95"/>
        <v>0</v>
      </c>
      <c r="N631">
        <f t="shared" si="99"/>
        <v>0</v>
      </c>
    </row>
    <row r="632" spans="1:14" x14ac:dyDescent="0.25">
      <c r="A632" s="1">
        <v>45557</v>
      </c>
      <c r="B632" t="s">
        <v>4</v>
      </c>
      <c r="C632">
        <f t="shared" si="96"/>
        <v>121045</v>
      </c>
      <c r="D632">
        <f>IF(B632="zima",20%,IF(B632="wiosna",50%,IF(B632="lato",90%,40%)))</f>
        <v>0.9</v>
      </c>
      <c r="E632">
        <f t="shared" si="97"/>
        <v>55</v>
      </c>
      <c r="F632">
        <f>WEEKDAY(A632,2)</f>
        <v>7</v>
      </c>
      <c r="G632">
        <f t="shared" si="90"/>
        <v>0</v>
      </c>
      <c r="H632">
        <f t="shared" si="91"/>
        <v>0</v>
      </c>
      <c r="I632">
        <f t="shared" si="92"/>
        <v>825</v>
      </c>
      <c r="J632">
        <f t="shared" si="98"/>
        <v>0</v>
      </c>
      <c r="K632">
        <f t="shared" si="93"/>
        <v>55</v>
      </c>
      <c r="L632">
        <f t="shared" si="94"/>
        <v>120220</v>
      </c>
      <c r="M632">
        <f t="shared" si="95"/>
        <v>0</v>
      </c>
      <c r="N632">
        <f t="shared" si="99"/>
        <v>825</v>
      </c>
    </row>
    <row r="633" spans="1:14" x14ac:dyDescent="0.25">
      <c r="A633" s="1">
        <v>45558</v>
      </c>
      <c r="B633" t="s">
        <v>5</v>
      </c>
      <c r="C633">
        <f t="shared" si="96"/>
        <v>120220</v>
      </c>
      <c r="D633">
        <f>IF(B633="zima",20%,IF(B633="wiosna",50%,IF(B633="lato",90%,40%)))</f>
        <v>0.4</v>
      </c>
      <c r="E633">
        <f t="shared" si="97"/>
        <v>55</v>
      </c>
      <c r="F633">
        <f>WEEKDAY(A633,2)</f>
        <v>1</v>
      </c>
      <c r="G633">
        <f t="shared" si="90"/>
        <v>1</v>
      </c>
      <c r="H633">
        <f t="shared" si="91"/>
        <v>660</v>
      </c>
      <c r="I633">
        <f t="shared" si="92"/>
        <v>0</v>
      </c>
      <c r="J633">
        <f t="shared" si="98"/>
        <v>0</v>
      </c>
      <c r="K633">
        <f t="shared" si="93"/>
        <v>55</v>
      </c>
      <c r="L633">
        <f t="shared" si="94"/>
        <v>120880</v>
      </c>
      <c r="M633">
        <f t="shared" si="95"/>
        <v>660</v>
      </c>
      <c r="N633">
        <f t="shared" si="99"/>
        <v>0</v>
      </c>
    </row>
    <row r="634" spans="1:14" x14ac:dyDescent="0.25">
      <c r="A634" s="1">
        <v>45559</v>
      </c>
      <c r="B634" t="s">
        <v>5</v>
      </c>
      <c r="C634">
        <f t="shared" si="96"/>
        <v>120880</v>
      </c>
      <c r="D634">
        <f>IF(B634="zima",20%,IF(B634="wiosna",50%,IF(B634="lato",90%,40%)))</f>
        <v>0.4</v>
      </c>
      <c r="E634">
        <f t="shared" si="97"/>
        <v>55</v>
      </c>
      <c r="F634">
        <f>WEEKDAY(A634,2)</f>
        <v>2</v>
      </c>
      <c r="G634">
        <f t="shared" si="90"/>
        <v>1</v>
      </c>
      <c r="H634">
        <f t="shared" si="91"/>
        <v>660</v>
      </c>
      <c r="I634">
        <f t="shared" si="92"/>
        <v>0</v>
      </c>
      <c r="J634">
        <f t="shared" si="98"/>
        <v>0</v>
      </c>
      <c r="K634">
        <f t="shared" si="93"/>
        <v>55</v>
      </c>
      <c r="L634">
        <f t="shared" si="94"/>
        <v>121540</v>
      </c>
      <c r="M634">
        <f t="shared" si="95"/>
        <v>660</v>
      </c>
      <c r="N634">
        <f t="shared" si="99"/>
        <v>0</v>
      </c>
    </row>
    <row r="635" spans="1:14" x14ac:dyDescent="0.25">
      <c r="A635" s="1">
        <v>45560</v>
      </c>
      <c r="B635" t="s">
        <v>5</v>
      </c>
      <c r="C635">
        <f t="shared" si="96"/>
        <v>121540</v>
      </c>
      <c r="D635">
        <f>IF(B635="zima",20%,IF(B635="wiosna",50%,IF(B635="lato",90%,40%)))</f>
        <v>0.4</v>
      </c>
      <c r="E635">
        <f t="shared" si="97"/>
        <v>55</v>
      </c>
      <c r="F635">
        <f>WEEKDAY(A635,2)</f>
        <v>3</v>
      </c>
      <c r="G635">
        <f t="shared" si="90"/>
        <v>1</v>
      </c>
      <c r="H635">
        <f t="shared" si="91"/>
        <v>660</v>
      </c>
      <c r="I635">
        <f t="shared" si="92"/>
        <v>0</v>
      </c>
      <c r="J635">
        <f t="shared" si="98"/>
        <v>0</v>
      </c>
      <c r="K635">
        <f t="shared" si="93"/>
        <v>55</v>
      </c>
      <c r="L635">
        <f t="shared" si="94"/>
        <v>122200</v>
      </c>
      <c r="M635">
        <f t="shared" si="95"/>
        <v>660</v>
      </c>
      <c r="N635">
        <f t="shared" si="99"/>
        <v>0</v>
      </c>
    </row>
    <row r="636" spans="1:14" x14ac:dyDescent="0.25">
      <c r="A636" s="1">
        <v>45561</v>
      </c>
      <c r="B636" t="s">
        <v>5</v>
      </c>
      <c r="C636">
        <f t="shared" si="96"/>
        <v>122200</v>
      </c>
      <c r="D636">
        <f>IF(B636="zima",20%,IF(B636="wiosna",50%,IF(B636="lato",90%,40%)))</f>
        <v>0.4</v>
      </c>
      <c r="E636">
        <f t="shared" si="97"/>
        <v>55</v>
      </c>
      <c r="F636">
        <f>WEEKDAY(A636,2)</f>
        <v>4</v>
      </c>
      <c r="G636">
        <f t="shared" si="90"/>
        <v>1</v>
      </c>
      <c r="H636">
        <f t="shared" si="91"/>
        <v>660</v>
      </c>
      <c r="I636">
        <f t="shared" si="92"/>
        <v>0</v>
      </c>
      <c r="J636">
        <f t="shared" si="98"/>
        <v>0</v>
      </c>
      <c r="K636">
        <f t="shared" si="93"/>
        <v>55</v>
      </c>
      <c r="L636">
        <f t="shared" si="94"/>
        <v>122860</v>
      </c>
      <c r="M636">
        <f t="shared" si="95"/>
        <v>660</v>
      </c>
      <c r="N636">
        <f t="shared" si="99"/>
        <v>0</v>
      </c>
    </row>
    <row r="637" spans="1:14" x14ac:dyDescent="0.25">
      <c r="A637" s="1">
        <v>45562</v>
      </c>
      <c r="B637" t="s">
        <v>5</v>
      </c>
      <c r="C637">
        <f t="shared" si="96"/>
        <v>122860</v>
      </c>
      <c r="D637">
        <f>IF(B637="zima",20%,IF(B637="wiosna",50%,IF(B637="lato",90%,40%)))</f>
        <v>0.4</v>
      </c>
      <c r="E637">
        <f t="shared" si="97"/>
        <v>55</v>
      </c>
      <c r="F637">
        <f>WEEKDAY(A637,2)</f>
        <v>5</v>
      </c>
      <c r="G637">
        <f t="shared" si="90"/>
        <v>1</v>
      </c>
      <c r="H637">
        <f t="shared" si="91"/>
        <v>660</v>
      </c>
      <c r="I637">
        <f t="shared" si="92"/>
        <v>0</v>
      </c>
      <c r="J637">
        <f t="shared" si="98"/>
        <v>0</v>
      </c>
      <c r="K637">
        <f t="shared" si="93"/>
        <v>55</v>
      </c>
      <c r="L637">
        <f t="shared" si="94"/>
        <v>123520</v>
      </c>
      <c r="M637">
        <f t="shared" si="95"/>
        <v>660</v>
      </c>
      <c r="N637">
        <f t="shared" si="99"/>
        <v>0</v>
      </c>
    </row>
    <row r="638" spans="1:14" x14ac:dyDescent="0.25">
      <c r="A638" s="1">
        <v>45563</v>
      </c>
      <c r="B638" t="s">
        <v>5</v>
      </c>
      <c r="C638">
        <f t="shared" si="96"/>
        <v>123520</v>
      </c>
      <c r="D638">
        <f>IF(B638="zima",20%,IF(B638="wiosna",50%,IF(B638="lato",90%,40%)))</f>
        <v>0.4</v>
      </c>
      <c r="E638">
        <f t="shared" si="97"/>
        <v>55</v>
      </c>
      <c r="F638">
        <f>WEEKDAY(A638,2)</f>
        <v>6</v>
      </c>
      <c r="G638">
        <f t="shared" si="90"/>
        <v>0</v>
      </c>
      <c r="H638">
        <f t="shared" si="91"/>
        <v>0</v>
      </c>
      <c r="I638">
        <f t="shared" si="92"/>
        <v>0</v>
      </c>
      <c r="J638">
        <f t="shared" si="98"/>
        <v>0</v>
      </c>
      <c r="K638">
        <f t="shared" si="93"/>
        <v>55</v>
      </c>
      <c r="L638">
        <f t="shared" si="94"/>
        <v>123520</v>
      </c>
      <c r="M638">
        <f t="shared" si="95"/>
        <v>0</v>
      </c>
      <c r="N638">
        <f t="shared" si="99"/>
        <v>0</v>
      </c>
    </row>
    <row r="639" spans="1:14" x14ac:dyDescent="0.25">
      <c r="A639" s="1">
        <v>45564</v>
      </c>
      <c r="B639" t="s">
        <v>5</v>
      </c>
      <c r="C639">
        <f t="shared" si="96"/>
        <v>123520</v>
      </c>
      <c r="D639">
        <f>IF(B639="zima",20%,IF(B639="wiosna",50%,IF(B639="lato",90%,40%)))</f>
        <v>0.4</v>
      </c>
      <c r="E639">
        <f t="shared" si="97"/>
        <v>55</v>
      </c>
      <c r="F639">
        <f>WEEKDAY(A639,2)</f>
        <v>7</v>
      </c>
      <c r="G639">
        <f t="shared" si="90"/>
        <v>0</v>
      </c>
      <c r="H639">
        <f t="shared" si="91"/>
        <v>0</v>
      </c>
      <c r="I639">
        <f t="shared" si="92"/>
        <v>825</v>
      </c>
      <c r="J639">
        <f t="shared" si="98"/>
        <v>0</v>
      </c>
      <c r="K639">
        <f t="shared" si="93"/>
        <v>55</v>
      </c>
      <c r="L639">
        <f t="shared" si="94"/>
        <v>122695</v>
      </c>
      <c r="M639">
        <f t="shared" si="95"/>
        <v>0</v>
      </c>
      <c r="N639">
        <f t="shared" si="99"/>
        <v>825</v>
      </c>
    </row>
    <row r="640" spans="1:14" x14ac:dyDescent="0.25">
      <c r="A640" s="1">
        <v>45565</v>
      </c>
      <c r="B640" t="s">
        <v>5</v>
      </c>
      <c r="C640">
        <f t="shared" si="96"/>
        <v>122695</v>
      </c>
      <c r="D640">
        <f>IF(B640="zima",20%,IF(B640="wiosna",50%,IF(B640="lato",90%,40%)))</f>
        <v>0.4</v>
      </c>
      <c r="E640">
        <f t="shared" si="97"/>
        <v>55</v>
      </c>
      <c r="F640">
        <f>WEEKDAY(A640,2)</f>
        <v>1</v>
      </c>
      <c r="G640">
        <f t="shared" si="90"/>
        <v>1</v>
      </c>
      <c r="H640">
        <f t="shared" si="91"/>
        <v>660</v>
      </c>
      <c r="I640">
        <f t="shared" si="92"/>
        <v>0</v>
      </c>
      <c r="J640">
        <f t="shared" si="98"/>
        <v>2400</v>
      </c>
      <c r="K640">
        <f t="shared" si="93"/>
        <v>58</v>
      </c>
      <c r="L640">
        <f t="shared" si="94"/>
        <v>120955</v>
      </c>
      <c r="M640">
        <f t="shared" si="95"/>
        <v>660</v>
      </c>
      <c r="N640">
        <f t="shared" si="99"/>
        <v>2400</v>
      </c>
    </row>
    <row r="641" spans="1:14" x14ac:dyDescent="0.25">
      <c r="A641" s="1">
        <v>45566</v>
      </c>
      <c r="B641" t="s">
        <v>5</v>
      </c>
      <c r="C641">
        <f t="shared" si="96"/>
        <v>120955</v>
      </c>
      <c r="D641">
        <f>IF(B641="zima",20%,IF(B641="wiosna",50%,IF(B641="lato",90%,40%)))</f>
        <v>0.4</v>
      </c>
      <c r="E641">
        <f t="shared" si="97"/>
        <v>58</v>
      </c>
      <c r="F641">
        <f>WEEKDAY(A641,2)</f>
        <v>2</v>
      </c>
      <c r="G641">
        <f t="shared" si="90"/>
        <v>1</v>
      </c>
      <c r="H641">
        <f t="shared" si="91"/>
        <v>690</v>
      </c>
      <c r="I641">
        <f t="shared" si="92"/>
        <v>0</v>
      </c>
      <c r="J641">
        <f t="shared" si="98"/>
        <v>0</v>
      </c>
      <c r="K641">
        <f t="shared" si="93"/>
        <v>58</v>
      </c>
      <c r="L641">
        <f t="shared" si="94"/>
        <v>121645</v>
      </c>
      <c r="M641">
        <f t="shared" si="95"/>
        <v>690</v>
      </c>
      <c r="N641">
        <f t="shared" si="99"/>
        <v>0</v>
      </c>
    </row>
    <row r="642" spans="1:14" x14ac:dyDescent="0.25">
      <c r="A642" s="1">
        <v>45567</v>
      </c>
      <c r="B642" t="s">
        <v>5</v>
      </c>
      <c r="C642">
        <f t="shared" si="96"/>
        <v>121645</v>
      </c>
      <c r="D642">
        <f>IF(B642="zima",20%,IF(B642="wiosna",50%,IF(B642="lato",90%,40%)))</f>
        <v>0.4</v>
      </c>
      <c r="E642">
        <f t="shared" si="97"/>
        <v>58</v>
      </c>
      <c r="F642">
        <f>WEEKDAY(A642,2)</f>
        <v>3</v>
      </c>
      <c r="G642">
        <f t="shared" si="90"/>
        <v>1</v>
      </c>
      <c r="H642">
        <f t="shared" si="91"/>
        <v>690</v>
      </c>
      <c r="I642">
        <f t="shared" si="92"/>
        <v>0</v>
      </c>
      <c r="J642">
        <f t="shared" si="98"/>
        <v>0</v>
      </c>
      <c r="K642">
        <f t="shared" si="93"/>
        <v>58</v>
      </c>
      <c r="L642">
        <f t="shared" si="94"/>
        <v>122335</v>
      </c>
      <c r="M642">
        <f t="shared" si="95"/>
        <v>690</v>
      </c>
      <c r="N642">
        <f t="shared" si="99"/>
        <v>0</v>
      </c>
    </row>
    <row r="643" spans="1:14" x14ac:dyDescent="0.25">
      <c r="A643" s="1">
        <v>45568</v>
      </c>
      <c r="B643" t="s">
        <v>5</v>
      </c>
      <c r="C643">
        <f t="shared" si="96"/>
        <v>122335</v>
      </c>
      <c r="D643">
        <f>IF(B643="zima",20%,IF(B643="wiosna",50%,IF(B643="lato",90%,40%)))</f>
        <v>0.4</v>
      </c>
      <c r="E643">
        <f t="shared" si="97"/>
        <v>58</v>
      </c>
      <c r="F643">
        <f>WEEKDAY(A643,2)</f>
        <v>4</v>
      </c>
      <c r="G643">
        <f t="shared" ref="G643:G706" si="100">IF(AND(F643&lt;&gt;6,F643&lt;&gt;7),1,0)</f>
        <v>1</v>
      </c>
      <c r="H643">
        <f t="shared" ref="H643:H706" si="101">ROUNDDOWN(D643*E643,0)*30*G643</f>
        <v>690</v>
      </c>
      <c r="I643">
        <f t="shared" ref="I643:I706" si="102">IF(F643=7,E643*15,0)</f>
        <v>0</v>
      </c>
      <c r="J643">
        <f t="shared" si="98"/>
        <v>0</v>
      </c>
      <c r="K643">
        <f t="shared" ref="K643:K706" si="103">IF(J643&gt;0,E643+3,E643)</f>
        <v>58</v>
      </c>
      <c r="L643">
        <f t="shared" ref="L643:L706" si="104">C643+H643-I643-J643</f>
        <v>123025</v>
      </c>
      <c r="M643">
        <f t="shared" ref="M643:M706" si="105">H643</f>
        <v>690</v>
      </c>
      <c r="N643">
        <f t="shared" si="99"/>
        <v>0</v>
      </c>
    </row>
    <row r="644" spans="1:14" x14ac:dyDescent="0.25">
      <c r="A644" s="1">
        <v>45569</v>
      </c>
      <c r="B644" t="s">
        <v>5</v>
      </c>
      <c r="C644">
        <f t="shared" ref="C644:C707" si="106">L643</f>
        <v>123025</v>
      </c>
      <c r="D644">
        <f>IF(B644="zima",20%,IF(B644="wiosna",50%,IF(B644="lato",90%,40%)))</f>
        <v>0.4</v>
      </c>
      <c r="E644">
        <f t="shared" ref="E644:E707" si="107">K643</f>
        <v>58</v>
      </c>
      <c r="F644">
        <f>WEEKDAY(A644,2)</f>
        <v>5</v>
      </c>
      <c r="G644">
        <f t="shared" si="100"/>
        <v>1</v>
      </c>
      <c r="H644">
        <f t="shared" si="101"/>
        <v>690</v>
      </c>
      <c r="I644">
        <f t="shared" si="102"/>
        <v>0</v>
      </c>
      <c r="J644">
        <f t="shared" ref="J644:J707" si="108">IF(AND(DAY(A645)=1,C644&gt;=2400),2400,0)</f>
        <v>0</v>
      </c>
      <c r="K644">
        <f t="shared" si="103"/>
        <v>58</v>
      </c>
      <c r="L644">
        <f t="shared" si="104"/>
        <v>123715</v>
      </c>
      <c r="M644">
        <f t="shared" si="105"/>
        <v>690</v>
      </c>
      <c r="N644">
        <f t="shared" ref="N644:N707" si="109">J644+I644</f>
        <v>0</v>
      </c>
    </row>
    <row r="645" spans="1:14" x14ac:dyDescent="0.25">
      <c r="A645" s="1">
        <v>45570</v>
      </c>
      <c r="B645" t="s">
        <v>5</v>
      </c>
      <c r="C645">
        <f t="shared" si="106"/>
        <v>123715</v>
      </c>
      <c r="D645">
        <f>IF(B645="zima",20%,IF(B645="wiosna",50%,IF(B645="lato",90%,40%)))</f>
        <v>0.4</v>
      </c>
      <c r="E645">
        <f t="shared" si="107"/>
        <v>58</v>
      </c>
      <c r="F645">
        <f>WEEKDAY(A645,2)</f>
        <v>6</v>
      </c>
      <c r="G645">
        <f t="shared" si="100"/>
        <v>0</v>
      </c>
      <c r="H645">
        <f t="shared" si="101"/>
        <v>0</v>
      </c>
      <c r="I645">
        <f t="shared" si="102"/>
        <v>0</v>
      </c>
      <c r="J645">
        <f t="shared" si="108"/>
        <v>0</v>
      </c>
      <c r="K645">
        <f t="shared" si="103"/>
        <v>58</v>
      </c>
      <c r="L645">
        <f t="shared" si="104"/>
        <v>123715</v>
      </c>
      <c r="M645">
        <f t="shared" si="105"/>
        <v>0</v>
      </c>
      <c r="N645">
        <f t="shared" si="109"/>
        <v>0</v>
      </c>
    </row>
    <row r="646" spans="1:14" x14ac:dyDescent="0.25">
      <c r="A646" s="1">
        <v>45571</v>
      </c>
      <c r="B646" t="s">
        <v>5</v>
      </c>
      <c r="C646">
        <f t="shared" si="106"/>
        <v>123715</v>
      </c>
      <c r="D646">
        <f>IF(B646="zima",20%,IF(B646="wiosna",50%,IF(B646="lato",90%,40%)))</f>
        <v>0.4</v>
      </c>
      <c r="E646">
        <f t="shared" si="107"/>
        <v>58</v>
      </c>
      <c r="F646">
        <f>WEEKDAY(A646,2)</f>
        <v>7</v>
      </c>
      <c r="G646">
        <f t="shared" si="100"/>
        <v>0</v>
      </c>
      <c r="H646">
        <f t="shared" si="101"/>
        <v>0</v>
      </c>
      <c r="I646">
        <f t="shared" si="102"/>
        <v>870</v>
      </c>
      <c r="J646">
        <f t="shared" si="108"/>
        <v>0</v>
      </c>
      <c r="K646">
        <f t="shared" si="103"/>
        <v>58</v>
      </c>
      <c r="L646">
        <f t="shared" si="104"/>
        <v>122845</v>
      </c>
      <c r="M646">
        <f t="shared" si="105"/>
        <v>0</v>
      </c>
      <c r="N646">
        <f t="shared" si="109"/>
        <v>870</v>
      </c>
    </row>
    <row r="647" spans="1:14" x14ac:dyDescent="0.25">
      <c r="A647" s="1">
        <v>45572</v>
      </c>
      <c r="B647" t="s">
        <v>5</v>
      </c>
      <c r="C647">
        <f t="shared" si="106"/>
        <v>122845</v>
      </c>
      <c r="D647">
        <f>IF(B647="zima",20%,IF(B647="wiosna",50%,IF(B647="lato",90%,40%)))</f>
        <v>0.4</v>
      </c>
      <c r="E647">
        <f t="shared" si="107"/>
        <v>58</v>
      </c>
      <c r="F647">
        <f>WEEKDAY(A647,2)</f>
        <v>1</v>
      </c>
      <c r="G647">
        <f t="shared" si="100"/>
        <v>1</v>
      </c>
      <c r="H647">
        <f t="shared" si="101"/>
        <v>690</v>
      </c>
      <c r="I647">
        <f t="shared" si="102"/>
        <v>0</v>
      </c>
      <c r="J647">
        <f t="shared" si="108"/>
        <v>0</v>
      </c>
      <c r="K647">
        <f t="shared" si="103"/>
        <v>58</v>
      </c>
      <c r="L647">
        <f t="shared" si="104"/>
        <v>123535</v>
      </c>
      <c r="M647">
        <f t="shared" si="105"/>
        <v>690</v>
      </c>
      <c r="N647">
        <f t="shared" si="109"/>
        <v>0</v>
      </c>
    </row>
    <row r="648" spans="1:14" x14ac:dyDescent="0.25">
      <c r="A648" s="1">
        <v>45573</v>
      </c>
      <c r="B648" t="s">
        <v>5</v>
      </c>
      <c r="C648">
        <f t="shared" si="106"/>
        <v>123535</v>
      </c>
      <c r="D648">
        <f>IF(B648="zima",20%,IF(B648="wiosna",50%,IF(B648="lato",90%,40%)))</f>
        <v>0.4</v>
      </c>
      <c r="E648">
        <f t="shared" si="107"/>
        <v>58</v>
      </c>
      <c r="F648">
        <f>WEEKDAY(A648,2)</f>
        <v>2</v>
      </c>
      <c r="G648">
        <f t="shared" si="100"/>
        <v>1</v>
      </c>
      <c r="H648">
        <f t="shared" si="101"/>
        <v>690</v>
      </c>
      <c r="I648">
        <f t="shared" si="102"/>
        <v>0</v>
      </c>
      <c r="J648">
        <f t="shared" si="108"/>
        <v>0</v>
      </c>
      <c r="K648">
        <f t="shared" si="103"/>
        <v>58</v>
      </c>
      <c r="L648">
        <f t="shared" si="104"/>
        <v>124225</v>
      </c>
      <c r="M648">
        <f t="shared" si="105"/>
        <v>690</v>
      </c>
      <c r="N648">
        <f t="shared" si="109"/>
        <v>0</v>
      </c>
    </row>
    <row r="649" spans="1:14" x14ac:dyDescent="0.25">
      <c r="A649" s="1">
        <v>45574</v>
      </c>
      <c r="B649" t="s">
        <v>5</v>
      </c>
      <c r="C649">
        <f t="shared" si="106"/>
        <v>124225</v>
      </c>
      <c r="D649">
        <f>IF(B649="zima",20%,IF(B649="wiosna",50%,IF(B649="lato",90%,40%)))</f>
        <v>0.4</v>
      </c>
      <c r="E649">
        <f t="shared" si="107"/>
        <v>58</v>
      </c>
      <c r="F649">
        <f>WEEKDAY(A649,2)</f>
        <v>3</v>
      </c>
      <c r="G649">
        <f t="shared" si="100"/>
        <v>1</v>
      </c>
      <c r="H649">
        <f t="shared" si="101"/>
        <v>690</v>
      </c>
      <c r="I649">
        <f t="shared" si="102"/>
        <v>0</v>
      </c>
      <c r="J649">
        <f t="shared" si="108"/>
        <v>0</v>
      </c>
      <c r="K649">
        <f t="shared" si="103"/>
        <v>58</v>
      </c>
      <c r="L649">
        <f t="shared" si="104"/>
        <v>124915</v>
      </c>
      <c r="M649">
        <f t="shared" si="105"/>
        <v>690</v>
      </c>
      <c r="N649">
        <f t="shared" si="109"/>
        <v>0</v>
      </c>
    </row>
    <row r="650" spans="1:14" x14ac:dyDescent="0.25">
      <c r="A650" s="1">
        <v>45575</v>
      </c>
      <c r="B650" t="s">
        <v>5</v>
      </c>
      <c r="C650">
        <f t="shared" si="106"/>
        <v>124915</v>
      </c>
      <c r="D650">
        <f>IF(B650="zima",20%,IF(B650="wiosna",50%,IF(B650="lato",90%,40%)))</f>
        <v>0.4</v>
      </c>
      <c r="E650">
        <f t="shared" si="107"/>
        <v>58</v>
      </c>
      <c r="F650">
        <f>WEEKDAY(A650,2)</f>
        <v>4</v>
      </c>
      <c r="G650">
        <f t="shared" si="100"/>
        <v>1</v>
      </c>
      <c r="H650">
        <f t="shared" si="101"/>
        <v>690</v>
      </c>
      <c r="I650">
        <f t="shared" si="102"/>
        <v>0</v>
      </c>
      <c r="J650">
        <f t="shared" si="108"/>
        <v>0</v>
      </c>
      <c r="K650">
        <f t="shared" si="103"/>
        <v>58</v>
      </c>
      <c r="L650">
        <f t="shared" si="104"/>
        <v>125605</v>
      </c>
      <c r="M650">
        <f t="shared" si="105"/>
        <v>690</v>
      </c>
      <c r="N650">
        <f t="shared" si="109"/>
        <v>0</v>
      </c>
    </row>
    <row r="651" spans="1:14" x14ac:dyDescent="0.25">
      <c r="A651" s="1">
        <v>45576</v>
      </c>
      <c r="B651" t="s">
        <v>5</v>
      </c>
      <c r="C651">
        <f t="shared" si="106"/>
        <v>125605</v>
      </c>
      <c r="D651">
        <f>IF(B651="zima",20%,IF(B651="wiosna",50%,IF(B651="lato",90%,40%)))</f>
        <v>0.4</v>
      </c>
      <c r="E651">
        <f t="shared" si="107"/>
        <v>58</v>
      </c>
      <c r="F651">
        <f>WEEKDAY(A651,2)</f>
        <v>5</v>
      </c>
      <c r="G651">
        <f t="shared" si="100"/>
        <v>1</v>
      </c>
      <c r="H651">
        <f t="shared" si="101"/>
        <v>690</v>
      </c>
      <c r="I651">
        <f t="shared" si="102"/>
        <v>0</v>
      </c>
      <c r="J651">
        <f t="shared" si="108"/>
        <v>0</v>
      </c>
      <c r="K651">
        <f t="shared" si="103"/>
        <v>58</v>
      </c>
      <c r="L651">
        <f t="shared" si="104"/>
        <v>126295</v>
      </c>
      <c r="M651">
        <f t="shared" si="105"/>
        <v>690</v>
      </c>
      <c r="N651">
        <f t="shared" si="109"/>
        <v>0</v>
      </c>
    </row>
    <row r="652" spans="1:14" x14ac:dyDescent="0.25">
      <c r="A652" s="1">
        <v>45577</v>
      </c>
      <c r="B652" t="s">
        <v>5</v>
      </c>
      <c r="C652">
        <f t="shared" si="106"/>
        <v>126295</v>
      </c>
      <c r="D652">
        <f>IF(B652="zima",20%,IF(B652="wiosna",50%,IF(B652="lato",90%,40%)))</f>
        <v>0.4</v>
      </c>
      <c r="E652">
        <f t="shared" si="107"/>
        <v>58</v>
      </c>
      <c r="F652">
        <f>WEEKDAY(A652,2)</f>
        <v>6</v>
      </c>
      <c r="G652">
        <f t="shared" si="100"/>
        <v>0</v>
      </c>
      <c r="H652">
        <f t="shared" si="101"/>
        <v>0</v>
      </c>
      <c r="I652">
        <f t="shared" si="102"/>
        <v>0</v>
      </c>
      <c r="J652">
        <f t="shared" si="108"/>
        <v>0</v>
      </c>
      <c r="K652">
        <f t="shared" si="103"/>
        <v>58</v>
      </c>
      <c r="L652">
        <f t="shared" si="104"/>
        <v>126295</v>
      </c>
      <c r="M652">
        <f t="shared" si="105"/>
        <v>0</v>
      </c>
      <c r="N652">
        <f t="shared" si="109"/>
        <v>0</v>
      </c>
    </row>
    <row r="653" spans="1:14" x14ac:dyDescent="0.25">
      <c r="A653" s="1">
        <v>45578</v>
      </c>
      <c r="B653" t="s">
        <v>5</v>
      </c>
      <c r="C653">
        <f t="shared" si="106"/>
        <v>126295</v>
      </c>
      <c r="D653">
        <f>IF(B653="zima",20%,IF(B653="wiosna",50%,IF(B653="lato",90%,40%)))</f>
        <v>0.4</v>
      </c>
      <c r="E653">
        <f t="shared" si="107"/>
        <v>58</v>
      </c>
      <c r="F653">
        <f>WEEKDAY(A653,2)</f>
        <v>7</v>
      </c>
      <c r="G653">
        <f t="shared" si="100"/>
        <v>0</v>
      </c>
      <c r="H653">
        <f t="shared" si="101"/>
        <v>0</v>
      </c>
      <c r="I653">
        <f t="shared" si="102"/>
        <v>870</v>
      </c>
      <c r="J653">
        <f t="shared" si="108"/>
        <v>0</v>
      </c>
      <c r="K653">
        <f t="shared" si="103"/>
        <v>58</v>
      </c>
      <c r="L653">
        <f t="shared" si="104"/>
        <v>125425</v>
      </c>
      <c r="M653">
        <f t="shared" si="105"/>
        <v>0</v>
      </c>
      <c r="N653">
        <f t="shared" si="109"/>
        <v>870</v>
      </c>
    </row>
    <row r="654" spans="1:14" x14ac:dyDescent="0.25">
      <c r="A654" s="1">
        <v>45579</v>
      </c>
      <c r="B654" t="s">
        <v>5</v>
      </c>
      <c r="C654">
        <f t="shared" si="106"/>
        <v>125425</v>
      </c>
      <c r="D654">
        <f>IF(B654="zima",20%,IF(B654="wiosna",50%,IF(B654="lato",90%,40%)))</f>
        <v>0.4</v>
      </c>
      <c r="E654">
        <f t="shared" si="107"/>
        <v>58</v>
      </c>
      <c r="F654">
        <f>WEEKDAY(A654,2)</f>
        <v>1</v>
      </c>
      <c r="G654">
        <f t="shared" si="100"/>
        <v>1</v>
      </c>
      <c r="H654">
        <f t="shared" si="101"/>
        <v>690</v>
      </c>
      <c r="I654">
        <f t="shared" si="102"/>
        <v>0</v>
      </c>
      <c r="J654">
        <f t="shared" si="108"/>
        <v>0</v>
      </c>
      <c r="K654">
        <f t="shared" si="103"/>
        <v>58</v>
      </c>
      <c r="L654">
        <f t="shared" si="104"/>
        <v>126115</v>
      </c>
      <c r="M654">
        <f t="shared" si="105"/>
        <v>690</v>
      </c>
      <c r="N654">
        <f t="shared" si="109"/>
        <v>0</v>
      </c>
    </row>
    <row r="655" spans="1:14" x14ac:dyDescent="0.25">
      <c r="A655" s="1">
        <v>45580</v>
      </c>
      <c r="B655" t="s">
        <v>5</v>
      </c>
      <c r="C655">
        <f t="shared" si="106"/>
        <v>126115</v>
      </c>
      <c r="D655">
        <f>IF(B655="zima",20%,IF(B655="wiosna",50%,IF(B655="lato",90%,40%)))</f>
        <v>0.4</v>
      </c>
      <c r="E655">
        <f t="shared" si="107"/>
        <v>58</v>
      </c>
      <c r="F655">
        <f>WEEKDAY(A655,2)</f>
        <v>2</v>
      </c>
      <c r="G655">
        <f t="shared" si="100"/>
        <v>1</v>
      </c>
      <c r="H655">
        <f t="shared" si="101"/>
        <v>690</v>
      </c>
      <c r="I655">
        <f t="shared" si="102"/>
        <v>0</v>
      </c>
      <c r="J655">
        <f t="shared" si="108"/>
        <v>0</v>
      </c>
      <c r="K655">
        <f t="shared" si="103"/>
        <v>58</v>
      </c>
      <c r="L655">
        <f t="shared" si="104"/>
        <v>126805</v>
      </c>
      <c r="M655">
        <f t="shared" si="105"/>
        <v>690</v>
      </c>
      <c r="N655">
        <f t="shared" si="109"/>
        <v>0</v>
      </c>
    </row>
    <row r="656" spans="1:14" x14ac:dyDescent="0.25">
      <c r="A656" s="1">
        <v>45581</v>
      </c>
      <c r="B656" t="s">
        <v>5</v>
      </c>
      <c r="C656">
        <f t="shared" si="106"/>
        <v>126805</v>
      </c>
      <c r="D656">
        <f>IF(B656="zima",20%,IF(B656="wiosna",50%,IF(B656="lato",90%,40%)))</f>
        <v>0.4</v>
      </c>
      <c r="E656">
        <f t="shared" si="107"/>
        <v>58</v>
      </c>
      <c r="F656">
        <f>WEEKDAY(A656,2)</f>
        <v>3</v>
      </c>
      <c r="G656">
        <f t="shared" si="100"/>
        <v>1</v>
      </c>
      <c r="H656">
        <f t="shared" si="101"/>
        <v>690</v>
      </c>
      <c r="I656">
        <f t="shared" si="102"/>
        <v>0</v>
      </c>
      <c r="J656">
        <f t="shared" si="108"/>
        <v>0</v>
      </c>
      <c r="K656">
        <f t="shared" si="103"/>
        <v>58</v>
      </c>
      <c r="L656">
        <f t="shared" si="104"/>
        <v>127495</v>
      </c>
      <c r="M656">
        <f t="shared" si="105"/>
        <v>690</v>
      </c>
      <c r="N656">
        <f t="shared" si="109"/>
        <v>0</v>
      </c>
    </row>
    <row r="657" spans="1:14" x14ac:dyDescent="0.25">
      <c r="A657" s="1">
        <v>45582</v>
      </c>
      <c r="B657" t="s">
        <v>5</v>
      </c>
      <c r="C657">
        <f t="shared" si="106"/>
        <v>127495</v>
      </c>
      <c r="D657">
        <f>IF(B657="zima",20%,IF(B657="wiosna",50%,IF(B657="lato",90%,40%)))</f>
        <v>0.4</v>
      </c>
      <c r="E657">
        <f t="shared" si="107"/>
        <v>58</v>
      </c>
      <c r="F657">
        <f>WEEKDAY(A657,2)</f>
        <v>4</v>
      </c>
      <c r="G657">
        <f t="shared" si="100"/>
        <v>1</v>
      </c>
      <c r="H657">
        <f t="shared" si="101"/>
        <v>690</v>
      </c>
      <c r="I657">
        <f t="shared" si="102"/>
        <v>0</v>
      </c>
      <c r="J657">
        <f t="shared" si="108"/>
        <v>0</v>
      </c>
      <c r="K657">
        <f t="shared" si="103"/>
        <v>58</v>
      </c>
      <c r="L657">
        <f t="shared" si="104"/>
        <v>128185</v>
      </c>
      <c r="M657">
        <f t="shared" si="105"/>
        <v>690</v>
      </c>
      <c r="N657">
        <f t="shared" si="109"/>
        <v>0</v>
      </c>
    </row>
    <row r="658" spans="1:14" x14ac:dyDescent="0.25">
      <c r="A658" s="1">
        <v>45583</v>
      </c>
      <c r="B658" t="s">
        <v>5</v>
      </c>
      <c r="C658">
        <f t="shared" si="106"/>
        <v>128185</v>
      </c>
      <c r="D658">
        <f>IF(B658="zima",20%,IF(B658="wiosna",50%,IF(B658="lato",90%,40%)))</f>
        <v>0.4</v>
      </c>
      <c r="E658">
        <f t="shared" si="107"/>
        <v>58</v>
      </c>
      <c r="F658">
        <f>WEEKDAY(A658,2)</f>
        <v>5</v>
      </c>
      <c r="G658">
        <f t="shared" si="100"/>
        <v>1</v>
      </c>
      <c r="H658">
        <f t="shared" si="101"/>
        <v>690</v>
      </c>
      <c r="I658">
        <f t="shared" si="102"/>
        <v>0</v>
      </c>
      <c r="J658">
        <f t="shared" si="108"/>
        <v>0</v>
      </c>
      <c r="K658">
        <f t="shared" si="103"/>
        <v>58</v>
      </c>
      <c r="L658">
        <f t="shared" si="104"/>
        <v>128875</v>
      </c>
      <c r="M658">
        <f t="shared" si="105"/>
        <v>690</v>
      </c>
      <c r="N658">
        <f t="shared" si="109"/>
        <v>0</v>
      </c>
    </row>
    <row r="659" spans="1:14" x14ac:dyDescent="0.25">
      <c r="A659" s="1">
        <v>45584</v>
      </c>
      <c r="B659" t="s">
        <v>5</v>
      </c>
      <c r="C659">
        <f t="shared" si="106"/>
        <v>128875</v>
      </c>
      <c r="D659">
        <f>IF(B659="zima",20%,IF(B659="wiosna",50%,IF(B659="lato",90%,40%)))</f>
        <v>0.4</v>
      </c>
      <c r="E659">
        <f t="shared" si="107"/>
        <v>58</v>
      </c>
      <c r="F659">
        <f>WEEKDAY(A659,2)</f>
        <v>6</v>
      </c>
      <c r="G659">
        <f t="shared" si="100"/>
        <v>0</v>
      </c>
      <c r="H659">
        <f t="shared" si="101"/>
        <v>0</v>
      </c>
      <c r="I659">
        <f t="shared" si="102"/>
        <v>0</v>
      </c>
      <c r="J659">
        <f t="shared" si="108"/>
        <v>0</v>
      </c>
      <c r="K659">
        <f t="shared" si="103"/>
        <v>58</v>
      </c>
      <c r="L659">
        <f t="shared" si="104"/>
        <v>128875</v>
      </c>
      <c r="M659">
        <f t="shared" si="105"/>
        <v>0</v>
      </c>
      <c r="N659">
        <f t="shared" si="109"/>
        <v>0</v>
      </c>
    </row>
    <row r="660" spans="1:14" x14ac:dyDescent="0.25">
      <c r="A660" s="1">
        <v>45585</v>
      </c>
      <c r="B660" t="s">
        <v>5</v>
      </c>
      <c r="C660">
        <f t="shared" si="106"/>
        <v>128875</v>
      </c>
      <c r="D660">
        <f>IF(B660="zima",20%,IF(B660="wiosna",50%,IF(B660="lato",90%,40%)))</f>
        <v>0.4</v>
      </c>
      <c r="E660">
        <f t="shared" si="107"/>
        <v>58</v>
      </c>
      <c r="F660">
        <f>WEEKDAY(A660,2)</f>
        <v>7</v>
      </c>
      <c r="G660">
        <f t="shared" si="100"/>
        <v>0</v>
      </c>
      <c r="H660">
        <f t="shared" si="101"/>
        <v>0</v>
      </c>
      <c r="I660">
        <f t="shared" si="102"/>
        <v>870</v>
      </c>
      <c r="J660">
        <f t="shared" si="108"/>
        <v>0</v>
      </c>
      <c r="K660">
        <f t="shared" si="103"/>
        <v>58</v>
      </c>
      <c r="L660">
        <f t="shared" si="104"/>
        <v>128005</v>
      </c>
      <c r="M660">
        <f t="shared" si="105"/>
        <v>0</v>
      </c>
      <c r="N660">
        <f t="shared" si="109"/>
        <v>870</v>
      </c>
    </row>
    <row r="661" spans="1:14" x14ac:dyDescent="0.25">
      <c r="A661" s="1">
        <v>45586</v>
      </c>
      <c r="B661" t="s">
        <v>5</v>
      </c>
      <c r="C661">
        <f t="shared" si="106"/>
        <v>128005</v>
      </c>
      <c r="D661">
        <f>IF(B661="zima",20%,IF(B661="wiosna",50%,IF(B661="lato",90%,40%)))</f>
        <v>0.4</v>
      </c>
      <c r="E661">
        <f t="shared" si="107"/>
        <v>58</v>
      </c>
      <c r="F661">
        <f>WEEKDAY(A661,2)</f>
        <v>1</v>
      </c>
      <c r="G661">
        <f t="shared" si="100"/>
        <v>1</v>
      </c>
      <c r="H661">
        <f t="shared" si="101"/>
        <v>690</v>
      </c>
      <c r="I661">
        <f t="shared" si="102"/>
        <v>0</v>
      </c>
      <c r="J661">
        <f t="shared" si="108"/>
        <v>0</v>
      </c>
      <c r="K661">
        <f t="shared" si="103"/>
        <v>58</v>
      </c>
      <c r="L661">
        <f t="shared" si="104"/>
        <v>128695</v>
      </c>
      <c r="M661">
        <f t="shared" si="105"/>
        <v>690</v>
      </c>
      <c r="N661">
        <f t="shared" si="109"/>
        <v>0</v>
      </c>
    </row>
    <row r="662" spans="1:14" x14ac:dyDescent="0.25">
      <c r="A662" s="1">
        <v>45587</v>
      </c>
      <c r="B662" t="s">
        <v>5</v>
      </c>
      <c r="C662">
        <f t="shared" si="106"/>
        <v>128695</v>
      </c>
      <c r="D662">
        <f>IF(B662="zima",20%,IF(B662="wiosna",50%,IF(B662="lato",90%,40%)))</f>
        <v>0.4</v>
      </c>
      <c r="E662">
        <f t="shared" si="107"/>
        <v>58</v>
      </c>
      <c r="F662">
        <f>WEEKDAY(A662,2)</f>
        <v>2</v>
      </c>
      <c r="G662">
        <f t="shared" si="100"/>
        <v>1</v>
      </c>
      <c r="H662">
        <f t="shared" si="101"/>
        <v>690</v>
      </c>
      <c r="I662">
        <f t="shared" si="102"/>
        <v>0</v>
      </c>
      <c r="J662">
        <f t="shared" si="108"/>
        <v>0</v>
      </c>
      <c r="K662">
        <f t="shared" si="103"/>
        <v>58</v>
      </c>
      <c r="L662">
        <f t="shared" si="104"/>
        <v>129385</v>
      </c>
      <c r="M662">
        <f t="shared" si="105"/>
        <v>690</v>
      </c>
      <c r="N662">
        <f t="shared" si="109"/>
        <v>0</v>
      </c>
    </row>
    <row r="663" spans="1:14" x14ac:dyDescent="0.25">
      <c r="A663" s="1">
        <v>45588</v>
      </c>
      <c r="B663" t="s">
        <v>5</v>
      </c>
      <c r="C663">
        <f t="shared" si="106"/>
        <v>129385</v>
      </c>
      <c r="D663">
        <f>IF(B663="zima",20%,IF(B663="wiosna",50%,IF(B663="lato",90%,40%)))</f>
        <v>0.4</v>
      </c>
      <c r="E663">
        <f t="shared" si="107"/>
        <v>58</v>
      </c>
      <c r="F663">
        <f>WEEKDAY(A663,2)</f>
        <v>3</v>
      </c>
      <c r="G663">
        <f t="shared" si="100"/>
        <v>1</v>
      </c>
      <c r="H663">
        <f t="shared" si="101"/>
        <v>690</v>
      </c>
      <c r="I663">
        <f t="shared" si="102"/>
        <v>0</v>
      </c>
      <c r="J663">
        <f t="shared" si="108"/>
        <v>0</v>
      </c>
      <c r="K663">
        <f t="shared" si="103"/>
        <v>58</v>
      </c>
      <c r="L663">
        <f t="shared" si="104"/>
        <v>130075</v>
      </c>
      <c r="M663">
        <f t="shared" si="105"/>
        <v>690</v>
      </c>
      <c r="N663">
        <f t="shared" si="109"/>
        <v>0</v>
      </c>
    </row>
    <row r="664" spans="1:14" x14ac:dyDescent="0.25">
      <c r="A664" s="1">
        <v>45589</v>
      </c>
      <c r="B664" t="s">
        <v>5</v>
      </c>
      <c r="C664">
        <f t="shared" si="106"/>
        <v>130075</v>
      </c>
      <c r="D664">
        <f>IF(B664="zima",20%,IF(B664="wiosna",50%,IF(B664="lato",90%,40%)))</f>
        <v>0.4</v>
      </c>
      <c r="E664">
        <f t="shared" si="107"/>
        <v>58</v>
      </c>
      <c r="F664">
        <f>WEEKDAY(A664,2)</f>
        <v>4</v>
      </c>
      <c r="G664">
        <f t="shared" si="100"/>
        <v>1</v>
      </c>
      <c r="H664">
        <f t="shared" si="101"/>
        <v>690</v>
      </c>
      <c r="I664">
        <f t="shared" si="102"/>
        <v>0</v>
      </c>
      <c r="J664">
        <f t="shared" si="108"/>
        <v>0</v>
      </c>
      <c r="K664">
        <f t="shared" si="103"/>
        <v>58</v>
      </c>
      <c r="L664">
        <f t="shared" si="104"/>
        <v>130765</v>
      </c>
      <c r="M664">
        <f t="shared" si="105"/>
        <v>690</v>
      </c>
      <c r="N664">
        <f t="shared" si="109"/>
        <v>0</v>
      </c>
    </row>
    <row r="665" spans="1:14" x14ac:dyDescent="0.25">
      <c r="A665" s="1">
        <v>45590</v>
      </c>
      <c r="B665" t="s">
        <v>5</v>
      </c>
      <c r="C665">
        <f t="shared" si="106"/>
        <v>130765</v>
      </c>
      <c r="D665">
        <f>IF(B665="zima",20%,IF(B665="wiosna",50%,IF(B665="lato",90%,40%)))</f>
        <v>0.4</v>
      </c>
      <c r="E665">
        <f t="shared" si="107"/>
        <v>58</v>
      </c>
      <c r="F665">
        <f>WEEKDAY(A665,2)</f>
        <v>5</v>
      </c>
      <c r="G665">
        <f t="shared" si="100"/>
        <v>1</v>
      </c>
      <c r="H665">
        <f t="shared" si="101"/>
        <v>690</v>
      </c>
      <c r="I665">
        <f t="shared" si="102"/>
        <v>0</v>
      </c>
      <c r="J665">
        <f t="shared" si="108"/>
        <v>0</v>
      </c>
      <c r="K665">
        <f t="shared" si="103"/>
        <v>58</v>
      </c>
      <c r="L665">
        <f t="shared" si="104"/>
        <v>131455</v>
      </c>
      <c r="M665">
        <f t="shared" si="105"/>
        <v>690</v>
      </c>
      <c r="N665">
        <f t="shared" si="109"/>
        <v>0</v>
      </c>
    </row>
    <row r="666" spans="1:14" x14ac:dyDescent="0.25">
      <c r="A666" s="1">
        <v>45591</v>
      </c>
      <c r="B666" t="s">
        <v>5</v>
      </c>
      <c r="C666">
        <f t="shared" si="106"/>
        <v>131455</v>
      </c>
      <c r="D666">
        <f>IF(B666="zima",20%,IF(B666="wiosna",50%,IF(B666="lato",90%,40%)))</f>
        <v>0.4</v>
      </c>
      <c r="E666">
        <f t="shared" si="107"/>
        <v>58</v>
      </c>
      <c r="F666">
        <f>WEEKDAY(A666,2)</f>
        <v>6</v>
      </c>
      <c r="G666">
        <f t="shared" si="100"/>
        <v>0</v>
      </c>
      <c r="H666">
        <f t="shared" si="101"/>
        <v>0</v>
      </c>
      <c r="I666">
        <f t="shared" si="102"/>
        <v>0</v>
      </c>
      <c r="J666">
        <f t="shared" si="108"/>
        <v>0</v>
      </c>
      <c r="K666">
        <f t="shared" si="103"/>
        <v>58</v>
      </c>
      <c r="L666">
        <f t="shared" si="104"/>
        <v>131455</v>
      </c>
      <c r="M666">
        <f t="shared" si="105"/>
        <v>0</v>
      </c>
      <c r="N666">
        <f t="shared" si="109"/>
        <v>0</v>
      </c>
    </row>
    <row r="667" spans="1:14" x14ac:dyDescent="0.25">
      <c r="A667" s="1">
        <v>45592</v>
      </c>
      <c r="B667" t="s">
        <v>5</v>
      </c>
      <c r="C667">
        <f t="shared" si="106"/>
        <v>131455</v>
      </c>
      <c r="D667">
        <f>IF(B667="zima",20%,IF(B667="wiosna",50%,IF(B667="lato",90%,40%)))</f>
        <v>0.4</v>
      </c>
      <c r="E667">
        <f t="shared" si="107"/>
        <v>58</v>
      </c>
      <c r="F667">
        <f>WEEKDAY(A667,2)</f>
        <v>7</v>
      </c>
      <c r="G667">
        <f t="shared" si="100"/>
        <v>0</v>
      </c>
      <c r="H667">
        <f t="shared" si="101"/>
        <v>0</v>
      </c>
      <c r="I667">
        <f t="shared" si="102"/>
        <v>870</v>
      </c>
      <c r="J667">
        <f t="shared" si="108"/>
        <v>0</v>
      </c>
      <c r="K667">
        <f t="shared" si="103"/>
        <v>58</v>
      </c>
      <c r="L667">
        <f t="shared" si="104"/>
        <v>130585</v>
      </c>
      <c r="M667">
        <f t="shared" si="105"/>
        <v>0</v>
      </c>
      <c r="N667">
        <f t="shared" si="109"/>
        <v>870</v>
      </c>
    </row>
    <row r="668" spans="1:14" x14ac:dyDescent="0.25">
      <c r="A668" s="1">
        <v>45593</v>
      </c>
      <c r="B668" t="s">
        <v>5</v>
      </c>
      <c r="C668">
        <f t="shared" si="106"/>
        <v>130585</v>
      </c>
      <c r="D668">
        <f>IF(B668="zima",20%,IF(B668="wiosna",50%,IF(B668="lato",90%,40%)))</f>
        <v>0.4</v>
      </c>
      <c r="E668">
        <f t="shared" si="107"/>
        <v>58</v>
      </c>
      <c r="F668">
        <f>WEEKDAY(A668,2)</f>
        <v>1</v>
      </c>
      <c r="G668">
        <f t="shared" si="100"/>
        <v>1</v>
      </c>
      <c r="H668">
        <f t="shared" si="101"/>
        <v>690</v>
      </c>
      <c r="I668">
        <f t="shared" si="102"/>
        <v>0</v>
      </c>
      <c r="J668">
        <f t="shared" si="108"/>
        <v>0</v>
      </c>
      <c r="K668">
        <f t="shared" si="103"/>
        <v>58</v>
      </c>
      <c r="L668">
        <f t="shared" si="104"/>
        <v>131275</v>
      </c>
      <c r="M668">
        <f t="shared" si="105"/>
        <v>690</v>
      </c>
      <c r="N668">
        <f t="shared" si="109"/>
        <v>0</v>
      </c>
    </row>
    <row r="669" spans="1:14" x14ac:dyDescent="0.25">
      <c r="A669" s="1">
        <v>45594</v>
      </c>
      <c r="B669" t="s">
        <v>5</v>
      </c>
      <c r="C669">
        <f t="shared" si="106"/>
        <v>131275</v>
      </c>
      <c r="D669">
        <f>IF(B669="zima",20%,IF(B669="wiosna",50%,IF(B669="lato",90%,40%)))</f>
        <v>0.4</v>
      </c>
      <c r="E669">
        <f t="shared" si="107"/>
        <v>58</v>
      </c>
      <c r="F669">
        <f>WEEKDAY(A669,2)</f>
        <v>2</v>
      </c>
      <c r="G669">
        <f t="shared" si="100"/>
        <v>1</v>
      </c>
      <c r="H669">
        <f t="shared" si="101"/>
        <v>690</v>
      </c>
      <c r="I669">
        <f t="shared" si="102"/>
        <v>0</v>
      </c>
      <c r="J669">
        <f t="shared" si="108"/>
        <v>0</v>
      </c>
      <c r="K669">
        <f t="shared" si="103"/>
        <v>58</v>
      </c>
      <c r="L669">
        <f t="shared" si="104"/>
        <v>131965</v>
      </c>
      <c r="M669">
        <f t="shared" si="105"/>
        <v>690</v>
      </c>
      <c r="N669">
        <f t="shared" si="109"/>
        <v>0</v>
      </c>
    </row>
    <row r="670" spans="1:14" x14ac:dyDescent="0.25">
      <c r="A670" s="1">
        <v>45595</v>
      </c>
      <c r="B670" t="s">
        <v>5</v>
      </c>
      <c r="C670">
        <f t="shared" si="106"/>
        <v>131965</v>
      </c>
      <c r="D670">
        <f>IF(B670="zima",20%,IF(B670="wiosna",50%,IF(B670="lato",90%,40%)))</f>
        <v>0.4</v>
      </c>
      <c r="E670">
        <f t="shared" si="107"/>
        <v>58</v>
      </c>
      <c r="F670">
        <f>WEEKDAY(A670,2)</f>
        <v>3</v>
      </c>
      <c r="G670">
        <f t="shared" si="100"/>
        <v>1</v>
      </c>
      <c r="H670">
        <f t="shared" si="101"/>
        <v>690</v>
      </c>
      <c r="I670">
        <f t="shared" si="102"/>
        <v>0</v>
      </c>
      <c r="J670">
        <f t="shared" si="108"/>
        <v>0</v>
      </c>
      <c r="K670">
        <f t="shared" si="103"/>
        <v>58</v>
      </c>
      <c r="L670">
        <f t="shared" si="104"/>
        <v>132655</v>
      </c>
      <c r="M670">
        <f t="shared" si="105"/>
        <v>690</v>
      </c>
      <c r="N670">
        <f t="shared" si="109"/>
        <v>0</v>
      </c>
    </row>
    <row r="671" spans="1:14" x14ac:dyDescent="0.25">
      <c r="A671" s="1">
        <v>45596</v>
      </c>
      <c r="B671" t="s">
        <v>5</v>
      </c>
      <c r="C671">
        <f t="shared" si="106"/>
        <v>132655</v>
      </c>
      <c r="D671">
        <f>IF(B671="zima",20%,IF(B671="wiosna",50%,IF(B671="lato",90%,40%)))</f>
        <v>0.4</v>
      </c>
      <c r="E671">
        <f t="shared" si="107"/>
        <v>58</v>
      </c>
      <c r="F671">
        <f>WEEKDAY(A671,2)</f>
        <v>4</v>
      </c>
      <c r="G671">
        <f t="shared" si="100"/>
        <v>1</v>
      </c>
      <c r="H671">
        <f t="shared" si="101"/>
        <v>690</v>
      </c>
      <c r="I671">
        <f t="shared" si="102"/>
        <v>0</v>
      </c>
      <c r="J671">
        <f t="shared" si="108"/>
        <v>2400</v>
      </c>
      <c r="K671">
        <f t="shared" si="103"/>
        <v>61</v>
      </c>
      <c r="L671">
        <f t="shared" si="104"/>
        <v>130945</v>
      </c>
      <c r="M671">
        <f t="shared" si="105"/>
        <v>690</v>
      </c>
      <c r="N671">
        <f t="shared" si="109"/>
        <v>2400</v>
      </c>
    </row>
    <row r="672" spans="1:14" x14ac:dyDescent="0.25">
      <c r="A672" s="1">
        <v>45597</v>
      </c>
      <c r="B672" t="s">
        <v>5</v>
      </c>
      <c r="C672">
        <f t="shared" si="106"/>
        <v>130945</v>
      </c>
      <c r="D672">
        <f>IF(B672="zima",20%,IF(B672="wiosna",50%,IF(B672="lato",90%,40%)))</f>
        <v>0.4</v>
      </c>
      <c r="E672">
        <f t="shared" si="107"/>
        <v>61</v>
      </c>
      <c r="F672">
        <f>WEEKDAY(A672,2)</f>
        <v>5</v>
      </c>
      <c r="G672">
        <f t="shared" si="100"/>
        <v>1</v>
      </c>
      <c r="H672">
        <f t="shared" si="101"/>
        <v>720</v>
      </c>
      <c r="I672">
        <f t="shared" si="102"/>
        <v>0</v>
      </c>
      <c r="J672">
        <f t="shared" si="108"/>
        <v>0</v>
      </c>
      <c r="K672">
        <f t="shared" si="103"/>
        <v>61</v>
      </c>
      <c r="L672">
        <f t="shared" si="104"/>
        <v>131665</v>
      </c>
      <c r="M672">
        <f t="shared" si="105"/>
        <v>720</v>
      </c>
      <c r="N672">
        <f t="shared" si="109"/>
        <v>0</v>
      </c>
    </row>
    <row r="673" spans="1:14" x14ac:dyDescent="0.25">
      <c r="A673" s="1">
        <v>45598</v>
      </c>
      <c r="B673" t="s">
        <v>5</v>
      </c>
      <c r="C673">
        <f t="shared" si="106"/>
        <v>131665</v>
      </c>
      <c r="D673">
        <f>IF(B673="zima",20%,IF(B673="wiosna",50%,IF(B673="lato",90%,40%)))</f>
        <v>0.4</v>
      </c>
      <c r="E673">
        <f t="shared" si="107"/>
        <v>61</v>
      </c>
      <c r="F673">
        <f>WEEKDAY(A673,2)</f>
        <v>6</v>
      </c>
      <c r="G673">
        <f t="shared" si="100"/>
        <v>0</v>
      </c>
      <c r="H673">
        <f t="shared" si="101"/>
        <v>0</v>
      </c>
      <c r="I673">
        <f t="shared" si="102"/>
        <v>0</v>
      </c>
      <c r="J673">
        <f t="shared" si="108"/>
        <v>0</v>
      </c>
      <c r="K673">
        <f t="shared" si="103"/>
        <v>61</v>
      </c>
      <c r="L673">
        <f t="shared" si="104"/>
        <v>131665</v>
      </c>
      <c r="M673">
        <f t="shared" si="105"/>
        <v>0</v>
      </c>
      <c r="N673">
        <f t="shared" si="109"/>
        <v>0</v>
      </c>
    </row>
    <row r="674" spans="1:14" x14ac:dyDescent="0.25">
      <c r="A674" s="1">
        <v>45599</v>
      </c>
      <c r="B674" t="s">
        <v>5</v>
      </c>
      <c r="C674">
        <f t="shared" si="106"/>
        <v>131665</v>
      </c>
      <c r="D674">
        <f>IF(B674="zima",20%,IF(B674="wiosna",50%,IF(B674="lato",90%,40%)))</f>
        <v>0.4</v>
      </c>
      <c r="E674">
        <f t="shared" si="107"/>
        <v>61</v>
      </c>
      <c r="F674">
        <f>WEEKDAY(A674,2)</f>
        <v>7</v>
      </c>
      <c r="G674">
        <f t="shared" si="100"/>
        <v>0</v>
      </c>
      <c r="H674">
        <f t="shared" si="101"/>
        <v>0</v>
      </c>
      <c r="I674">
        <f t="shared" si="102"/>
        <v>915</v>
      </c>
      <c r="J674">
        <f t="shared" si="108"/>
        <v>0</v>
      </c>
      <c r="K674">
        <f t="shared" si="103"/>
        <v>61</v>
      </c>
      <c r="L674">
        <f t="shared" si="104"/>
        <v>130750</v>
      </c>
      <c r="M674">
        <f t="shared" si="105"/>
        <v>0</v>
      </c>
      <c r="N674">
        <f t="shared" si="109"/>
        <v>915</v>
      </c>
    </row>
    <row r="675" spans="1:14" x14ac:dyDescent="0.25">
      <c r="A675" s="1">
        <v>45600</v>
      </c>
      <c r="B675" t="s">
        <v>5</v>
      </c>
      <c r="C675">
        <f t="shared" si="106"/>
        <v>130750</v>
      </c>
      <c r="D675">
        <f>IF(B675="zima",20%,IF(B675="wiosna",50%,IF(B675="lato",90%,40%)))</f>
        <v>0.4</v>
      </c>
      <c r="E675">
        <f t="shared" si="107"/>
        <v>61</v>
      </c>
      <c r="F675">
        <f>WEEKDAY(A675,2)</f>
        <v>1</v>
      </c>
      <c r="G675">
        <f t="shared" si="100"/>
        <v>1</v>
      </c>
      <c r="H675">
        <f t="shared" si="101"/>
        <v>720</v>
      </c>
      <c r="I675">
        <f t="shared" si="102"/>
        <v>0</v>
      </c>
      <c r="J675">
        <f t="shared" si="108"/>
        <v>0</v>
      </c>
      <c r="K675">
        <f t="shared" si="103"/>
        <v>61</v>
      </c>
      <c r="L675">
        <f t="shared" si="104"/>
        <v>131470</v>
      </c>
      <c r="M675">
        <f t="shared" si="105"/>
        <v>720</v>
      </c>
      <c r="N675">
        <f t="shared" si="109"/>
        <v>0</v>
      </c>
    </row>
    <row r="676" spans="1:14" x14ac:dyDescent="0.25">
      <c r="A676" s="1">
        <v>45601</v>
      </c>
      <c r="B676" t="s">
        <v>5</v>
      </c>
      <c r="C676">
        <f t="shared" si="106"/>
        <v>131470</v>
      </c>
      <c r="D676">
        <f>IF(B676="zima",20%,IF(B676="wiosna",50%,IF(B676="lato",90%,40%)))</f>
        <v>0.4</v>
      </c>
      <c r="E676">
        <f t="shared" si="107"/>
        <v>61</v>
      </c>
      <c r="F676">
        <f>WEEKDAY(A676,2)</f>
        <v>2</v>
      </c>
      <c r="G676">
        <f t="shared" si="100"/>
        <v>1</v>
      </c>
      <c r="H676">
        <f t="shared" si="101"/>
        <v>720</v>
      </c>
      <c r="I676">
        <f t="shared" si="102"/>
        <v>0</v>
      </c>
      <c r="J676">
        <f t="shared" si="108"/>
        <v>0</v>
      </c>
      <c r="K676">
        <f t="shared" si="103"/>
        <v>61</v>
      </c>
      <c r="L676">
        <f t="shared" si="104"/>
        <v>132190</v>
      </c>
      <c r="M676">
        <f t="shared" si="105"/>
        <v>720</v>
      </c>
      <c r="N676">
        <f t="shared" si="109"/>
        <v>0</v>
      </c>
    </row>
    <row r="677" spans="1:14" x14ac:dyDescent="0.25">
      <c r="A677" s="1">
        <v>45602</v>
      </c>
      <c r="B677" t="s">
        <v>5</v>
      </c>
      <c r="C677">
        <f t="shared" si="106"/>
        <v>132190</v>
      </c>
      <c r="D677">
        <f>IF(B677="zima",20%,IF(B677="wiosna",50%,IF(B677="lato",90%,40%)))</f>
        <v>0.4</v>
      </c>
      <c r="E677">
        <f t="shared" si="107"/>
        <v>61</v>
      </c>
      <c r="F677">
        <f>WEEKDAY(A677,2)</f>
        <v>3</v>
      </c>
      <c r="G677">
        <f t="shared" si="100"/>
        <v>1</v>
      </c>
      <c r="H677">
        <f t="shared" si="101"/>
        <v>720</v>
      </c>
      <c r="I677">
        <f t="shared" si="102"/>
        <v>0</v>
      </c>
      <c r="J677">
        <f t="shared" si="108"/>
        <v>0</v>
      </c>
      <c r="K677">
        <f t="shared" si="103"/>
        <v>61</v>
      </c>
      <c r="L677">
        <f t="shared" si="104"/>
        <v>132910</v>
      </c>
      <c r="M677">
        <f t="shared" si="105"/>
        <v>720</v>
      </c>
      <c r="N677">
        <f t="shared" si="109"/>
        <v>0</v>
      </c>
    </row>
    <row r="678" spans="1:14" x14ac:dyDescent="0.25">
      <c r="A678" s="1">
        <v>45603</v>
      </c>
      <c r="B678" t="s">
        <v>5</v>
      </c>
      <c r="C678">
        <f t="shared" si="106"/>
        <v>132910</v>
      </c>
      <c r="D678">
        <f>IF(B678="zima",20%,IF(B678="wiosna",50%,IF(B678="lato",90%,40%)))</f>
        <v>0.4</v>
      </c>
      <c r="E678">
        <f t="shared" si="107"/>
        <v>61</v>
      </c>
      <c r="F678">
        <f>WEEKDAY(A678,2)</f>
        <v>4</v>
      </c>
      <c r="G678">
        <f t="shared" si="100"/>
        <v>1</v>
      </c>
      <c r="H678">
        <f t="shared" si="101"/>
        <v>720</v>
      </c>
      <c r="I678">
        <f t="shared" si="102"/>
        <v>0</v>
      </c>
      <c r="J678">
        <f t="shared" si="108"/>
        <v>0</v>
      </c>
      <c r="K678">
        <f t="shared" si="103"/>
        <v>61</v>
      </c>
      <c r="L678">
        <f t="shared" si="104"/>
        <v>133630</v>
      </c>
      <c r="M678">
        <f t="shared" si="105"/>
        <v>720</v>
      </c>
      <c r="N678">
        <f t="shared" si="109"/>
        <v>0</v>
      </c>
    </row>
    <row r="679" spans="1:14" x14ac:dyDescent="0.25">
      <c r="A679" s="1">
        <v>45604</v>
      </c>
      <c r="B679" t="s">
        <v>5</v>
      </c>
      <c r="C679">
        <f t="shared" si="106"/>
        <v>133630</v>
      </c>
      <c r="D679">
        <f>IF(B679="zima",20%,IF(B679="wiosna",50%,IF(B679="lato",90%,40%)))</f>
        <v>0.4</v>
      </c>
      <c r="E679">
        <f t="shared" si="107"/>
        <v>61</v>
      </c>
      <c r="F679">
        <f>WEEKDAY(A679,2)</f>
        <v>5</v>
      </c>
      <c r="G679">
        <f t="shared" si="100"/>
        <v>1</v>
      </c>
      <c r="H679">
        <f t="shared" si="101"/>
        <v>720</v>
      </c>
      <c r="I679">
        <f t="shared" si="102"/>
        <v>0</v>
      </c>
      <c r="J679">
        <f t="shared" si="108"/>
        <v>0</v>
      </c>
      <c r="K679">
        <f t="shared" si="103"/>
        <v>61</v>
      </c>
      <c r="L679">
        <f t="shared" si="104"/>
        <v>134350</v>
      </c>
      <c r="M679">
        <f t="shared" si="105"/>
        <v>720</v>
      </c>
      <c r="N679">
        <f t="shared" si="109"/>
        <v>0</v>
      </c>
    </row>
    <row r="680" spans="1:14" x14ac:dyDescent="0.25">
      <c r="A680" s="1">
        <v>45605</v>
      </c>
      <c r="B680" t="s">
        <v>5</v>
      </c>
      <c r="C680">
        <f t="shared" si="106"/>
        <v>134350</v>
      </c>
      <c r="D680">
        <f>IF(B680="zima",20%,IF(B680="wiosna",50%,IF(B680="lato",90%,40%)))</f>
        <v>0.4</v>
      </c>
      <c r="E680">
        <f t="shared" si="107"/>
        <v>61</v>
      </c>
      <c r="F680">
        <f>WEEKDAY(A680,2)</f>
        <v>6</v>
      </c>
      <c r="G680">
        <f t="shared" si="100"/>
        <v>0</v>
      </c>
      <c r="H680">
        <f t="shared" si="101"/>
        <v>0</v>
      </c>
      <c r="I680">
        <f t="shared" si="102"/>
        <v>0</v>
      </c>
      <c r="J680">
        <f t="shared" si="108"/>
        <v>0</v>
      </c>
      <c r="K680">
        <f t="shared" si="103"/>
        <v>61</v>
      </c>
      <c r="L680">
        <f t="shared" si="104"/>
        <v>134350</v>
      </c>
      <c r="M680">
        <f t="shared" si="105"/>
        <v>0</v>
      </c>
      <c r="N680">
        <f t="shared" si="109"/>
        <v>0</v>
      </c>
    </row>
    <row r="681" spans="1:14" x14ac:dyDescent="0.25">
      <c r="A681" s="1">
        <v>45606</v>
      </c>
      <c r="B681" t="s">
        <v>5</v>
      </c>
      <c r="C681">
        <f t="shared" si="106"/>
        <v>134350</v>
      </c>
      <c r="D681">
        <f>IF(B681="zima",20%,IF(B681="wiosna",50%,IF(B681="lato",90%,40%)))</f>
        <v>0.4</v>
      </c>
      <c r="E681">
        <f t="shared" si="107"/>
        <v>61</v>
      </c>
      <c r="F681">
        <f>WEEKDAY(A681,2)</f>
        <v>7</v>
      </c>
      <c r="G681">
        <f t="shared" si="100"/>
        <v>0</v>
      </c>
      <c r="H681">
        <f t="shared" si="101"/>
        <v>0</v>
      </c>
      <c r="I681">
        <f t="shared" si="102"/>
        <v>915</v>
      </c>
      <c r="J681">
        <f t="shared" si="108"/>
        <v>0</v>
      </c>
      <c r="K681">
        <f t="shared" si="103"/>
        <v>61</v>
      </c>
      <c r="L681">
        <f t="shared" si="104"/>
        <v>133435</v>
      </c>
      <c r="M681">
        <f t="shared" si="105"/>
        <v>0</v>
      </c>
      <c r="N681">
        <f t="shared" si="109"/>
        <v>915</v>
      </c>
    </row>
    <row r="682" spans="1:14" x14ac:dyDescent="0.25">
      <c r="A682" s="1">
        <v>45607</v>
      </c>
      <c r="B682" t="s">
        <v>5</v>
      </c>
      <c r="C682">
        <f t="shared" si="106"/>
        <v>133435</v>
      </c>
      <c r="D682">
        <f>IF(B682="zima",20%,IF(B682="wiosna",50%,IF(B682="lato",90%,40%)))</f>
        <v>0.4</v>
      </c>
      <c r="E682">
        <f t="shared" si="107"/>
        <v>61</v>
      </c>
      <c r="F682">
        <f>WEEKDAY(A682,2)</f>
        <v>1</v>
      </c>
      <c r="G682">
        <f t="shared" si="100"/>
        <v>1</v>
      </c>
      <c r="H682">
        <f t="shared" si="101"/>
        <v>720</v>
      </c>
      <c r="I682">
        <f t="shared" si="102"/>
        <v>0</v>
      </c>
      <c r="J682">
        <f t="shared" si="108"/>
        <v>0</v>
      </c>
      <c r="K682">
        <f t="shared" si="103"/>
        <v>61</v>
      </c>
      <c r="L682">
        <f t="shared" si="104"/>
        <v>134155</v>
      </c>
      <c r="M682">
        <f t="shared" si="105"/>
        <v>720</v>
      </c>
      <c r="N682">
        <f t="shared" si="109"/>
        <v>0</v>
      </c>
    </row>
    <row r="683" spans="1:14" x14ac:dyDescent="0.25">
      <c r="A683" s="1">
        <v>45608</v>
      </c>
      <c r="B683" t="s">
        <v>5</v>
      </c>
      <c r="C683">
        <f t="shared" si="106"/>
        <v>134155</v>
      </c>
      <c r="D683">
        <f>IF(B683="zima",20%,IF(B683="wiosna",50%,IF(B683="lato",90%,40%)))</f>
        <v>0.4</v>
      </c>
      <c r="E683">
        <f t="shared" si="107"/>
        <v>61</v>
      </c>
      <c r="F683">
        <f>WEEKDAY(A683,2)</f>
        <v>2</v>
      </c>
      <c r="G683">
        <f t="shared" si="100"/>
        <v>1</v>
      </c>
      <c r="H683">
        <f t="shared" si="101"/>
        <v>720</v>
      </c>
      <c r="I683">
        <f t="shared" si="102"/>
        <v>0</v>
      </c>
      <c r="J683">
        <f t="shared" si="108"/>
        <v>0</v>
      </c>
      <c r="K683">
        <f t="shared" si="103"/>
        <v>61</v>
      </c>
      <c r="L683">
        <f t="shared" si="104"/>
        <v>134875</v>
      </c>
      <c r="M683">
        <f t="shared" si="105"/>
        <v>720</v>
      </c>
      <c r="N683">
        <f t="shared" si="109"/>
        <v>0</v>
      </c>
    </row>
    <row r="684" spans="1:14" x14ac:dyDescent="0.25">
      <c r="A684" s="1">
        <v>45609</v>
      </c>
      <c r="B684" t="s">
        <v>5</v>
      </c>
      <c r="C684">
        <f t="shared" si="106"/>
        <v>134875</v>
      </c>
      <c r="D684">
        <f>IF(B684="zima",20%,IF(B684="wiosna",50%,IF(B684="lato",90%,40%)))</f>
        <v>0.4</v>
      </c>
      <c r="E684">
        <f t="shared" si="107"/>
        <v>61</v>
      </c>
      <c r="F684">
        <f>WEEKDAY(A684,2)</f>
        <v>3</v>
      </c>
      <c r="G684">
        <f t="shared" si="100"/>
        <v>1</v>
      </c>
      <c r="H684">
        <f t="shared" si="101"/>
        <v>720</v>
      </c>
      <c r="I684">
        <f t="shared" si="102"/>
        <v>0</v>
      </c>
      <c r="J684">
        <f t="shared" si="108"/>
        <v>0</v>
      </c>
      <c r="K684">
        <f t="shared" si="103"/>
        <v>61</v>
      </c>
      <c r="L684">
        <f t="shared" si="104"/>
        <v>135595</v>
      </c>
      <c r="M684">
        <f t="shared" si="105"/>
        <v>720</v>
      </c>
      <c r="N684">
        <f t="shared" si="109"/>
        <v>0</v>
      </c>
    </row>
    <row r="685" spans="1:14" x14ac:dyDescent="0.25">
      <c r="A685" s="1">
        <v>45610</v>
      </c>
      <c r="B685" t="s">
        <v>5</v>
      </c>
      <c r="C685">
        <f t="shared" si="106"/>
        <v>135595</v>
      </c>
      <c r="D685">
        <f>IF(B685="zima",20%,IF(B685="wiosna",50%,IF(B685="lato",90%,40%)))</f>
        <v>0.4</v>
      </c>
      <c r="E685">
        <f t="shared" si="107"/>
        <v>61</v>
      </c>
      <c r="F685">
        <f>WEEKDAY(A685,2)</f>
        <v>4</v>
      </c>
      <c r="G685">
        <f t="shared" si="100"/>
        <v>1</v>
      </c>
      <c r="H685">
        <f t="shared" si="101"/>
        <v>720</v>
      </c>
      <c r="I685">
        <f t="shared" si="102"/>
        <v>0</v>
      </c>
      <c r="J685">
        <f t="shared" si="108"/>
        <v>0</v>
      </c>
      <c r="K685">
        <f t="shared" si="103"/>
        <v>61</v>
      </c>
      <c r="L685">
        <f t="shared" si="104"/>
        <v>136315</v>
      </c>
      <c r="M685">
        <f t="shared" si="105"/>
        <v>720</v>
      </c>
      <c r="N685">
        <f t="shared" si="109"/>
        <v>0</v>
      </c>
    </row>
    <row r="686" spans="1:14" x14ac:dyDescent="0.25">
      <c r="A686" s="1">
        <v>45611</v>
      </c>
      <c r="B686" t="s">
        <v>5</v>
      </c>
      <c r="C686">
        <f t="shared" si="106"/>
        <v>136315</v>
      </c>
      <c r="D686">
        <f>IF(B686="zima",20%,IF(B686="wiosna",50%,IF(B686="lato",90%,40%)))</f>
        <v>0.4</v>
      </c>
      <c r="E686">
        <f t="shared" si="107"/>
        <v>61</v>
      </c>
      <c r="F686">
        <f>WEEKDAY(A686,2)</f>
        <v>5</v>
      </c>
      <c r="G686">
        <f t="shared" si="100"/>
        <v>1</v>
      </c>
      <c r="H686">
        <f t="shared" si="101"/>
        <v>720</v>
      </c>
      <c r="I686">
        <f t="shared" si="102"/>
        <v>0</v>
      </c>
      <c r="J686">
        <f t="shared" si="108"/>
        <v>0</v>
      </c>
      <c r="K686">
        <f t="shared" si="103"/>
        <v>61</v>
      </c>
      <c r="L686">
        <f t="shared" si="104"/>
        <v>137035</v>
      </c>
      <c r="M686">
        <f t="shared" si="105"/>
        <v>720</v>
      </c>
      <c r="N686">
        <f t="shared" si="109"/>
        <v>0</v>
      </c>
    </row>
    <row r="687" spans="1:14" x14ac:dyDescent="0.25">
      <c r="A687" s="1">
        <v>45612</v>
      </c>
      <c r="B687" t="s">
        <v>5</v>
      </c>
      <c r="C687">
        <f t="shared" si="106"/>
        <v>137035</v>
      </c>
      <c r="D687">
        <f>IF(B687="zima",20%,IF(B687="wiosna",50%,IF(B687="lato",90%,40%)))</f>
        <v>0.4</v>
      </c>
      <c r="E687">
        <f t="shared" si="107"/>
        <v>61</v>
      </c>
      <c r="F687">
        <f>WEEKDAY(A687,2)</f>
        <v>6</v>
      </c>
      <c r="G687">
        <f t="shared" si="100"/>
        <v>0</v>
      </c>
      <c r="H687">
        <f t="shared" si="101"/>
        <v>0</v>
      </c>
      <c r="I687">
        <f t="shared" si="102"/>
        <v>0</v>
      </c>
      <c r="J687">
        <f t="shared" si="108"/>
        <v>0</v>
      </c>
      <c r="K687">
        <f t="shared" si="103"/>
        <v>61</v>
      </c>
      <c r="L687">
        <f t="shared" si="104"/>
        <v>137035</v>
      </c>
      <c r="M687">
        <f t="shared" si="105"/>
        <v>0</v>
      </c>
      <c r="N687">
        <f t="shared" si="109"/>
        <v>0</v>
      </c>
    </row>
    <row r="688" spans="1:14" x14ac:dyDescent="0.25">
      <c r="A688" s="1">
        <v>45613</v>
      </c>
      <c r="B688" t="s">
        <v>5</v>
      </c>
      <c r="C688">
        <f t="shared" si="106"/>
        <v>137035</v>
      </c>
      <c r="D688">
        <f>IF(B688="zima",20%,IF(B688="wiosna",50%,IF(B688="lato",90%,40%)))</f>
        <v>0.4</v>
      </c>
      <c r="E688">
        <f t="shared" si="107"/>
        <v>61</v>
      </c>
      <c r="F688">
        <f>WEEKDAY(A688,2)</f>
        <v>7</v>
      </c>
      <c r="G688">
        <f t="shared" si="100"/>
        <v>0</v>
      </c>
      <c r="H688">
        <f t="shared" si="101"/>
        <v>0</v>
      </c>
      <c r="I688">
        <f t="shared" si="102"/>
        <v>915</v>
      </c>
      <c r="J688">
        <f t="shared" si="108"/>
        <v>0</v>
      </c>
      <c r="K688">
        <f t="shared" si="103"/>
        <v>61</v>
      </c>
      <c r="L688">
        <f t="shared" si="104"/>
        <v>136120</v>
      </c>
      <c r="M688">
        <f t="shared" si="105"/>
        <v>0</v>
      </c>
      <c r="N688">
        <f t="shared" si="109"/>
        <v>915</v>
      </c>
    </row>
    <row r="689" spans="1:14" x14ac:dyDescent="0.25">
      <c r="A689" s="1">
        <v>45614</v>
      </c>
      <c r="B689" t="s">
        <v>5</v>
      </c>
      <c r="C689">
        <f t="shared" si="106"/>
        <v>136120</v>
      </c>
      <c r="D689">
        <f>IF(B689="zima",20%,IF(B689="wiosna",50%,IF(B689="lato",90%,40%)))</f>
        <v>0.4</v>
      </c>
      <c r="E689">
        <f t="shared" si="107"/>
        <v>61</v>
      </c>
      <c r="F689">
        <f>WEEKDAY(A689,2)</f>
        <v>1</v>
      </c>
      <c r="G689">
        <f t="shared" si="100"/>
        <v>1</v>
      </c>
      <c r="H689">
        <f t="shared" si="101"/>
        <v>720</v>
      </c>
      <c r="I689">
        <f t="shared" si="102"/>
        <v>0</v>
      </c>
      <c r="J689">
        <f t="shared" si="108"/>
        <v>0</v>
      </c>
      <c r="K689">
        <f t="shared" si="103"/>
        <v>61</v>
      </c>
      <c r="L689">
        <f t="shared" si="104"/>
        <v>136840</v>
      </c>
      <c r="M689">
        <f t="shared" si="105"/>
        <v>720</v>
      </c>
      <c r="N689">
        <f t="shared" si="109"/>
        <v>0</v>
      </c>
    </row>
    <row r="690" spans="1:14" x14ac:dyDescent="0.25">
      <c r="A690" s="1">
        <v>45615</v>
      </c>
      <c r="B690" t="s">
        <v>5</v>
      </c>
      <c r="C690">
        <f t="shared" si="106"/>
        <v>136840</v>
      </c>
      <c r="D690">
        <f>IF(B690="zima",20%,IF(B690="wiosna",50%,IF(B690="lato",90%,40%)))</f>
        <v>0.4</v>
      </c>
      <c r="E690">
        <f t="shared" si="107"/>
        <v>61</v>
      </c>
      <c r="F690">
        <f>WEEKDAY(A690,2)</f>
        <v>2</v>
      </c>
      <c r="G690">
        <f t="shared" si="100"/>
        <v>1</v>
      </c>
      <c r="H690">
        <f t="shared" si="101"/>
        <v>720</v>
      </c>
      <c r="I690">
        <f t="shared" si="102"/>
        <v>0</v>
      </c>
      <c r="J690">
        <f t="shared" si="108"/>
        <v>0</v>
      </c>
      <c r="K690">
        <f t="shared" si="103"/>
        <v>61</v>
      </c>
      <c r="L690">
        <f t="shared" si="104"/>
        <v>137560</v>
      </c>
      <c r="M690">
        <f t="shared" si="105"/>
        <v>720</v>
      </c>
      <c r="N690">
        <f t="shared" si="109"/>
        <v>0</v>
      </c>
    </row>
    <row r="691" spans="1:14" x14ac:dyDescent="0.25">
      <c r="A691" s="1">
        <v>45616</v>
      </c>
      <c r="B691" t="s">
        <v>5</v>
      </c>
      <c r="C691">
        <f t="shared" si="106"/>
        <v>137560</v>
      </c>
      <c r="D691">
        <f>IF(B691="zima",20%,IF(B691="wiosna",50%,IF(B691="lato",90%,40%)))</f>
        <v>0.4</v>
      </c>
      <c r="E691">
        <f t="shared" si="107"/>
        <v>61</v>
      </c>
      <c r="F691">
        <f>WEEKDAY(A691,2)</f>
        <v>3</v>
      </c>
      <c r="G691">
        <f t="shared" si="100"/>
        <v>1</v>
      </c>
      <c r="H691">
        <f t="shared" si="101"/>
        <v>720</v>
      </c>
      <c r="I691">
        <f t="shared" si="102"/>
        <v>0</v>
      </c>
      <c r="J691">
        <f t="shared" si="108"/>
        <v>0</v>
      </c>
      <c r="K691">
        <f t="shared" si="103"/>
        <v>61</v>
      </c>
      <c r="L691">
        <f t="shared" si="104"/>
        <v>138280</v>
      </c>
      <c r="M691">
        <f t="shared" si="105"/>
        <v>720</v>
      </c>
      <c r="N691">
        <f t="shared" si="109"/>
        <v>0</v>
      </c>
    </row>
    <row r="692" spans="1:14" x14ac:dyDescent="0.25">
      <c r="A692" s="1">
        <v>45617</v>
      </c>
      <c r="B692" t="s">
        <v>5</v>
      </c>
      <c r="C692">
        <f t="shared" si="106"/>
        <v>138280</v>
      </c>
      <c r="D692">
        <f>IF(B692="zima",20%,IF(B692="wiosna",50%,IF(B692="lato",90%,40%)))</f>
        <v>0.4</v>
      </c>
      <c r="E692">
        <f t="shared" si="107"/>
        <v>61</v>
      </c>
      <c r="F692">
        <f>WEEKDAY(A692,2)</f>
        <v>4</v>
      </c>
      <c r="G692">
        <f t="shared" si="100"/>
        <v>1</v>
      </c>
      <c r="H692">
        <f t="shared" si="101"/>
        <v>720</v>
      </c>
      <c r="I692">
        <f t="shared" si="102"/>
        <v>0</v>
      </c>
      <c r="J692">
        <f t="shared" si="108"/>
        <v>0</v>
      </c>
      <c r="K692">
        <f t="shared" si="103"/>
        <v>61</v>
      </c>
      <c r="L692">
        <f t="shared" si="104"/>
        <v>139000</v>
      </c>
      <c r="M692">
        <f t="shared" si="105"/>
        <v>720</v>
      </c>
      <c r="N692">
        <f t="shared" si="109"/>
        <v>0</v>
      </c>
    </row>
    <row r="693" spans="1:14" x14ac:dyDescent="0.25">
      <c r="A693" s="1">
        <v>45618</v>
      </c>
      <c r="B693" t="s">
        <v>5</v>
      </c>
      <c r="C693">
        <f t="shared" si="106"/>
        <v>139000</v>
      </c>
      <c r="D693">
        <f>IF(B693="zima",20%,IF(B693="wiosna",50%,IF(B693="lato",90%,40%)))</f>
        <v>0.4</v>
      </c>
      <c r="E693">
        <f t="shared" si="107"/>
        <v>61</v>
      </c>
      <c r="F693">
        <f>WEEKDAY(A693,2)</f>
        <v>5</v>
      </c>
      <c r="G693">
        <f t="shared" si="100"/>
        <v>1</v>
      </c>
      <c r="H693">
        <f t="shared" si="101"/>
        <v>720</v>
      </c>
      <c r="I693">
        <f t="shared" si="102"/>
        <v>0</v>
      </c>
      <c r="J693">
        <f t="shared" si="108"/>
        <v>0</v>
      </c>
      <c r="K693">
        <f t="shared" si="103"/>
        <v>61</v>
      </c>
      <c r="L693">
        <f t="shared" si="104"/>
        <v>139720</v>
      </c>
      <c r="M693">
        <f t="shared" si="105"/>
        <v>720</v>
      </c>
      <c r="N693">
        <f t="shared" si="109"/>
        <v>0</v>
      </c>
    </row>
    <row r="694" spans="1:14" x14ac:dyDescent="0.25">
      <c r="A694" s="1">
        <v>45619</v>
      </c>
      <c r="B694" t="s">
        <v>5</v>
      </c>
      <c r="C694">
        <f t="shared" si="106"/>
        <v>139720</v>
      </c>
      <c r="D694">
        <f>IF(B694="zima",20%,IF(B694="wiosna",50%,IF(B694="lato",90%,40%)))</f>
        <v>0.4</v>
      </c>
      <c r="E694">
        <f t="shared" si="107"/>
        <v>61</v>
      </c>
      <c r="F694">
        <f>WEEKDAY(A694,2)</f>
        <v>6</v>
      </c>
      <c r="G694">
        <f t="shared" si="100"/>
        <v>0</v>
      </c>
      <c r="H694">
        <f t="shared" si="101"/>
        <v>0</v>
      </c>
      <c r="I694">
        <f t="shared" si="102"/>
        <v>0</v>
      </c>
      <c r="J694">
        <f t="shared" si="108"/>
        <v>0</v>
      </c>
      <c r="K694">
        <f t="shared" si="103"/>
        <v>61</v>
      </c>
      <c r="L694">
        <f t="shared" si="104"/>
        <v>139720</v>
      </c>
      <c r="M694">
        <f t="shared" si="105"/>
        <v>0</v>
      </c>
      <c r="N694">
        <f t="shared" si="109"/>
        <v>0</v>
      </c>
    </row>
    <row r="695" spans="1:14" x14ac:dyDescent="0.25">
      <c r="A695" s="1">
        <v>45620</v>
      </c>
      <c r="B695" t="s">
        <v>5</v>
      </c>
      <c r="C695">
        <f t="shared" si="106"/>
        <v>139720</v>
      </c>
      <c r="D695">
        <f>IF(B695="zima",20%,IF(B695="wiosna",50%,IF(B695="lato",90%,40%)))</f>
        <v>0.4</v>
      </c>
      <c r="E695">
        <f t="shared" si="107"/>
        <v>61</v>
      </c>
      <c r="F695">
        <f>WEEKDAY(A695,2)</f>
        <v>7</v>
      </c>
      <c r="G695">
        <f t="shared" si="100"/>
        <v>0</v>
      </c>
      <c r="H695">
        <f t="shared" si="101"/>
        <v>0</v>
      </c>
      <c r="I695">
        <f t="shared" si="102"/>
        <v>915</v>
      </c>
      <c r="J695">
        <f t="shared" si="108"/>
        <v>0</v>
      </c>
      <c r="K695">
        <f t="shared" si="103"/>
        <v>61</v>
      </c>
      <c r="L695">
        <f t="shared" si="104"/>
        <v>138805</v>
      </c>
      <c r="M695">
        <f t="shared" si="105"/>
        <v>0</v>
      </c>
      <c r="N695">
        <f t="shared" si="109"/>
        <v>915</v>
      </c>
    </row>
    <row r="696" spans="1:14" x14ac:dyDescent="0.25">
      <c r="A696" s="1">
        <v>45621</v>
      </c>
      <c r="B696" t="s">
        <v>5</v>
      </c>
      <c r="C696">
        <f t="shared" si="106"/>
        <v>138805</v>
      </c>
      <c r="D696">
        <f>IF(B696="zima",20%,IF(B696="wiosna",50%,IF(B696="lato",90%,40%)))</f>
        <v>0.4</v>
      </c>
      <c r="E696">
        <f t="shared" si="107"/>
        <v>61</v>
      </c>
      <c r="F696">
        <f>WEEKDAY(A696,2)</f>
        <v>1</v>
      </c>
      <c r="G696">
        <f t="shared" si="100"/>
        <v>1</v>
      </c>
      <c r="H696">
        <f t="shared" si="101"/>
        <v>720</v>
      </c>
      <c r="I696">
        <f t="shared" si="102"/>
        <v>0</v>
      </c>
      <c r="J696">
        <f t="shared" si="108"/>
        <v>0</v>
      </c>
      <c r="K696">
        <f t="shared" si="103"/>
        <v>61</v>
      </c>
      <c r="L696">
        <f t="shared" si="104"/>
        <v>139525</v>
      </c>
      <c r="M696">
        <f t="shared" si="105"/>
        <v>720</v>
      </c>
      <c r="N696">
        <f t="shared" si="109"/>
        <v>0</v>
      </c>
    </row>
    <row r="697" spans="1:14" x14ac:dyDescent="0.25">
      <c r="A697" s="1">
        <v>45622</v>
      </c>
      <c r="B697" t="s">
        <v>5</v>
      </c>
      <c r="C697">
        <f t="shared" si="106"/>
        <v>139525</v>
      </c>
      <c r="D697">
        <f>IF(B697="zima",20%,IF(B697="wiosna",50%,IF(B697="lato",90%,40%)))</f>
        <v>0.4</v>
      </c>
      <c r="E697">
        <f t="shared" si="107"/>
        <v>61</v>
      </c>
      <c r="F697">
        <f>WEEKDAY(A697,2)</f>
        <v>2</v>
      </c>
      <c r="G697">
        <f t="shared" si="100"/>
        <v>1</v>
      </c>
      <c r="H697">
        <f t="shared" si="101"/>
        <v>720</v>
      </c>
      <c r="I697">
        <f t="shared" si="102"/>
        <v>0</v>
      </c>
      <c r="J697">
        <f t="shared" si="108"/>
        <v>0</v>
      </c>
      <c r="K697">
        <f t="shared" si="103"/>
        <v>61</v>
      </c>
      <c r="L697">
        <f t="shared" si="104"/>
        <v>140245</v>
      </c>
      <c r="M697">
        <f t="shared" si="105"/>
        <v>720</v>
      </c>
      <c r="N697">
        <f t="shared" si="109"/>
        <v>0</v>
      </c>
    </row>
    <row r="698" spans="1:14" x14ac:dyDescent="0.25">
      <c r="A698" s="1">
        <v>45623</v>
      </c>
      <c r="B698" t="s">
        <v>5</v>
      </c>
      <c r="C698">
        <f t="shared" si="106"/>
        <v>140245</v>
      </c>
      <c r="D698">
        <f>IF(B698="zima",20%,IF(B698="wiosna",50%,IF(B698="lato",90%,40%)))</f>
        <v>0.4</v>
      </c>
      <c r="E698">
        <f t="shared" si="107"/>
        <v>61</v>
      </c>
      <c r="F698">
        <f>WEEKDAY(A698,2)</f>
        <v>3</v>
      </c>
      <c r="G698">
        <f t="shared" si="100"/>
        <v>1</v>
      </c>
      <c r="H698">
        <f t="shared" si="101"/>
        <v>720</v>
      </c>
      <c r="I698">
        <f t="shared" si="102"/>
        <v>0</v>
      </c>
      <c r="J698">
        <f t="shared" si="108"/>
        <v>0</v>
      </c>
      <c r="K698">
        <f t="shared" si="103"/>
        <v>61</v>
      </c>
      <c r="L698">
        <f t="shared" si="104"/>
        <v>140965</v>
      </c>
      <c r="M698">
        <f t="shared" si="105"/>
        <v>720</v>
      </c>
      <c r="N698">
        <f t="shared" si="109"/>
        <v>0</v>
      </c>
    </row>
    <row r="699" spans="1:14" x14ac:dyDescent="0.25">
      <c r="A699" s="1">
        <v>45624</v>
      </c>
      <c r="B699" t="s">
        <v>5</v>
      </c>
      <c r="C699">
        <f t="shared" si="106"/>
        <v>140965</v>
      </c>
      <c r="D699">
        <f>IF(B699="zima",20%,IF(B699="wiosna",50%,IF(B699="lato",90%,40%)))</f>
        <v>0.4</v>
      </c>
      <c r="E699">
        <f t="shared" si="107"/>
        <v>61</v>
      </c>
      <c r="F699">
        <f>WEEKDAY(A699,2)</f>
        <v>4</v>
      </c>
      <c r="G699">
        <f t="shared" si="100"/>
        <v>1</v>
      </c>
      <c r="H699">
        <f t="shared" si="101"/>
        <v>720</v>
      </c>
      <c r="I699">
        <f t="shared" si="102"/>
        <v>0</v>
      </c>
      <c r="J699">
        <f t="shared" si="108"/>
        <v>0</v>
      </c>
      <c r="K699">
        <f t="shared" si="103"/>
        <v>61</v>
      </c>
      <c r="L699">
        <f t="shared" si="104"/>
        <v>141685</v>
      </c>
      <c r="M699">
        <f t="shared" si="105"/>
        <v>720</v>
      </c>
      <c r="N699">
        <f t="shared" si="109"/>
        <v>0</v>
      </c>
    </row>
    <row r="700" spans="1:14" x14ac:dyDescent="0.25">
      <c r="A700" s="1">
        <v>45625</v>
      </c>
      <c r="B700" t="s">
        <v>5</v>
      </c>
      <c r="C700">
        <f t="shared" si="106"/>
        <v>141685</v>
      </c>
      <c r="D700">
        <f>IF(B700="zima",20%,IF(B700="wiosna",50%,IF(B700="lato",90%,40%)))</f>
        <v>0.4</v>
      </c>
      <c r="E700">
        <f t="shared" si="107"/>
        <v>61</v>
      </c>
      <c r="F700">
        <f>WEEKDAY(A700,2)</f>
        <v>5</v>
      </c>
      <c r="G700">
        <f t="shared" si="100"/>
        <v>1</v>
      </c>
      <c r="H700">
        <f t="shared" si="101"/>
        <v>720</v>
      </c>
      <c r="I700">
        <f t="shared" si="102"/>
        <v>0</v>
      </c>
      <c r="J700">
        <f t="shared" si="108"/>
        <v>0</v>
      </c>
      <c r="K700">
        <f t="shared" si="103"/>
        <v>61</v>
      </c>
      <c r="L700">
        <f t="shared" si="104"/>
        <v>142405</v>
      </c>
      <c r="M700">
        <f t="shared" si="105"/>
        <v>720</v>
      </c>
      <c r="N700">
        <f t="shared" si="109"/>
        <v>0</v>
      </c>
    </row>
    <row r="701" spans="1:14" x14ac:dyDescent="0.25">
      <c r="A701" s="1">
        <v>45626</v>
      </c>
      <c r="B701" t="s">
        <v>5</v>
      </c>
      <c r="C701">
        <f t="shared" si="106"/>
        <v>142405</v>
      </c>
      <c r="D701">
        <f>IF(B701="zima",20%,IF(B701="wiosna",50%,IF(B701="lato",90%,40%)))</f>
        <v>0.4</v>
      </c>
      <c r="E701">
        <f t="shared" si="107"/>
        <v>61</v>
      </c>
      <c r="F701">
        <f>WEEKDAY(A701,2)</f>
        <v>6</v>
      </c>
      <c r="G701">
        <f t="shared" si="100"/>
        <v>0</v>
      </c>
      <c r="H701">
        <f t="shared" si="101"/>
        <v>0</v>
      </c>
      <c r="I701">
        <f t="shared" si="102"/>
        <v>0</v>
      </c>
      <c r="J701">
        <f t="shared" si="108"/>
        <v>2400</v>
      </c>
      <c r="K701">
        <f t="shared" si="103"/>
        <v>64</v>
      </c>
      <c r="L701">
        <f t="shared" si="104"/>
        <v>140005</v>
      </c>
      <c r="M701">
        <f t="shared" si="105"/>
        <v>0</v>
      </c>
      <c r="N701">
        <f t="shared" si="109"/>
        <v>2400</v>
      </c>
    </row>
    <row r="702" spans="1:14" x14ac:dyDescent="0.25">
      <c r="A702" s="1">
        <v>45627</v>
      </c>
      <c r="B702" t="s">
        <v>5</v>
      </c>
      <c r="C702">
        <f t="shared" si="106"/>
        <v>140005</v>
      </c>
      <c r="D702">
        <f>IF(B702="zima",20%,IF(B702="wiosna",50%,IF(B702="lato",90%,40%)))</f>
        <v>0.4</v>
      </c>
      <c r="E702">
        <f t="shared" si="107"/>
        <v>64</v>
      </c>
      <c r="F702">
        <f>WEEKDAY(A702,2)</f>
        <v>7</v>
      </c>
      <c r="G702">
        <f t="shared" si="100"/>
        <v>0</v>
      </c>
      <c r="H702">
        <f t="shared" si="101"/>
        <v>0</v>
      </c>
      <c r="I702">
        <f t="shared" si="102"/>
        <v>960</v>
      </c>
      <c r="J702">
        <f t="shared" si="108"/>
        <v>0</v>
      </c>
      <c r="K702">
        <f t="shared" si="103"/>
        <v>64</v>
      </c>
      <c r="L702">
        <f t="shared" si="104"/>
        <v>139045</v>
      </c>
      <c r="M702">
        <f t="shared" si="105"/>
        <v>0</v>
      </c>
      <c r="N702">
        <f t="shared" si="109"/>
        <v>960</v>
      </c>
    </row>
    <row r="703" spans="1:14" x14ac:dyDescent="0.25">
      <c r="A703" s="1">
        <v>45628</v>
      </c>
      <c r="B703" t="s">
        <v>5</v>
      </c>
      <c r="C703">
        <f t="shared" si="106"/>
        <v>139045</v>
      </c>
      <c r="D703">
        <f>IF(B703="zima",20%,IF(B703="wiosna",50%,IF(B703="lato",90%,40%)))</f>
        <v>0.4</v>
      </c>
      <c r="E703">
        <f t="shared" si="107"/>
        <v>64</v>
      </c>
      <c r="F703">
        <f>WEEKDAY(A703,2)</f>
        <v>1</v>
      </c>
      <c r="G703">
        <f t="shared" si="100"/>
        <v>1</v>
      </c>
      <c r="H703">
        <f t="shared" si="101"/>
        <v>750</v>
      </c>
      <c r="I703">
        <f t="shared" si="102"/>
        <v>0</v>
      </c>
      <c r="J703">
        <f t="shared" si="108"/>
        <v>0</v>
      </c>
      <c r="K703">
        <f t="shared" si="103"/>
        <v>64</v>
      </c>
      <c r="L703">
        <f t="shared" si="104"/>
        <v>139795</v>
      </c>
      <c r="M703">
        <f t="shared" si="105"/>
        <v>750</v>
      </c>
      <c r="N703">
        <f t="shared" si="109"/>
        <v>0</v>
      </c>
    </row>
    <row r="704" spans="1:14" x14ac:dyDescent="0.25">
      <c r="A704" s="1">
        <v>45629</v>
      </c>
      <c r="B704" t="s">
        <v>5</v>
      </c>
      <c r="C704">
        <f t="shared" si="106"/>
        <v>139795</v>
      </c>
      <c r="D704">
        <f>IF(B704="zima",20%,IF(B704="wiosna",50%,IF(B704="lato",90%,40%)))</f>
        <v>0.4</v>
      </c>
      <c r="E704">
        <f t="shared" si="107"/>
        <v>64</v>
      </c>
      <c r="F704">
        <f>WEEKDAY(A704,2)</f>
        <v>2</v>
      </c>
      <c r="G704">
        <f t="shared" si="100"/>
        <v>1</v>
      </c>
      <c r="H704">
        <f t="shared" si="101"/>
        <v>750</v>
      </c>
      <c r="I704">
        <f t="shared" si="102"/>
        <v>0</v>
      </c>
      <c r="J704">
        <f t="shared" si="108"/>
        <v>0</v>
      </c>
      <c r="K704">
        <f t="shared" si="103"/>
        <v>64</v>
      </c>
      <c r="L704">
        <f t="shared" si="104"/>
        <v>140545</v>
      </c>
      <c r="M704">
        <f t="shared" si="105"/>
        <v>750</v>
      </c>
      <c r="N704">
        <f t="shared" si="109"/>
        <v>0</v>
      </c>
    </row>
    <row r="705" spans="1:14" x14ac:dyDescent="0.25">
      <c r="A705" s="1">
        <v>45630</v>
      </c>
      <c r="B705" t="s">
        <v>5</v>
      </c>
      <c r="C705">
        <f t="shared" si="106"/>
        <v>140545</v>
      </c>
      <c r="D705">
        <f>IF(B705="zima",20%,IF(B705="wiosna",50%,IF(B705="lato",90%,40%)))</f>
        <v>0.4</v>
      </c>
      <c r="E705">
        <f t="shared" si="107"/>
        <v>64</v>
      </c>
      <c r="F705">
        <f>WEEKDAY(A705,2)</f>
        <v>3</v>
      </c>
      <c r="G705">
        <f t="shared" si="100"/>
        <v>1</v>
      </c>
      <c r="H705">
        <f t="shared" si="101"/>
        <v>750</v>
      </c>
      <c r="I705">
        <f t="shared" si="102"/>
        <v>0</v>
      </c>
      <c r="J705">
        <f t="shared" si="108"/>
        <v>0</v>
      </c>
      <c r="K705">
        <f t="shared" si="103"/>
        <v>64</v>
      </c>
      <c r="L705">
        <f t="shared" si="104"/>
        <v>141295</v>
      </c>
      <c r="M705">
        <f t="shared" si="105"/>
        <v>750</v>
      </c>
      <c r="N705">
        <f t="shared" si="109"/>
        <v>0</v>
      </c>
    </row>
    <row r="706" spans="1:14" x14ac:dyDescent="0.25">
      <c r="A706" s="1">
        <v>45631</v>
      </c>
      <c r="B706" t="s">
        <v>5</v>
      </c>
      <c r="C706">
        <f t="shared" si="106"/>
        <v>141295</v>
      </c>
      <c r="D706">
        <f>IF(B706="zima",20%,IF(B706="wiosna",50%,IF(B706="lato",90%,40%)))</f>
        <v>0.4</v>
      </c>
      <c r="E706">
        <f t="shared" si="107"/>
        <v>64</v>
      </c>
      <c r="F706">
        <f>WEEKDAY(A706,2)</f>
        <v>4</v>
      </c>
      <c r="G706">
        <f t="shared" si="100"/>
        <v>1</v>
      </c>
      <c r="H706">
        <f t="shared" si="101"/>
        <v>750</v>
      </c>
      <c r="I706">
        <f t="shared" si="102"/>
        <v>0</v>
      </c>
      <c r="J706">
        <f t="shared" si="108"/>
        <v>0</v>
      </c>
      <c r="K706">
        <f t="shared" si="103"/>
        <v>64</v>
      </c>
      <c r="L706">
        <f t="shared" si="104"/>
        <v>142045</v>
      </c>
      <c r="M706">
        <f t="shared" si="105"/>
        <v>750</v>
      </c>
      <c r="N706">
        <f t="shared" si="109"/>
        <v>0</v>
      </c>
    </row>
    <row r="707" spans="1:14" x14ac:dyDescent="0.25">
      <c r="A707" s="1">
        <v>45632</v>
      </c>
      <c r="B707" t="s">
        <v>5</v>
      </c>
      <c r="C707">
        <f t="shared" si="106"/>
        <v>142045</v>
      </c>
      <c r="D707">
        <f>IF(B707="zima",20%,IF(B707="wiosna",50%,IF(B707="lato",90%,40%)))</f>
        <v>0.4</v>
      </c>
      <c r="E707">
        <f t="shared" si="107"/>
        <v>64</v>
      </c>
      <c r="F707">
        <f>WEEKDAY(A707,2)</f>
        <v>5</v>
      </c>
      <c r="G707">
        <f t="shared" ref="G707:G732" si="110">IF(AND(F707&lt;&gt;6,F707&lt;&gt;7),1,0)</f>
        <v>1</v>
      </c>
      <c r="H707">
        <f t="shared" ref="H707:H732" si="111">ROUNDDOWN(D707*E707,0)*30*G707</f>
        <v>750</v>
      </c>
      <c r="I707">
        <f t="shared" ref="I707:I732" si="112">IF(F707=7,E707*15,0)</f>
        <v>0</v>
      </c>
      <c r="J707">
        <f t="shared" si="108"/>
        <v>0</v>
      </c>
      <c r="K707">
        <f t="shared" ref="K707:K732" si="113">IF(J707&gt;0,E707+3,E707)</f>
        <v>64</v>
      </c>
      <c r="L707">
        <f t="shared" ref="L707:L732" si="114">C707+H707-I707-J707</f>
        <v>142795</v>
      </c>
      <c r="M707">
        <f t="shared" ref="M707:M732" si="115">H707</f>
        <v>750</v>
      </c>
      <c r="N707">
        <f t="shared" si="109"/>
        <v>0</v>
      </c>
    </row>
    <row r="708" spans="1:14" x14ac:dyDescent="0.25">
      <c r="A708" s="1">
        <v>45633</v>
      </c>
      <c r="B708" t="s">
        <v>5</v>
      </c>
      <c r="C708">
        <f t="shared" ref="C708:C732" si="116">L707</f>
        <v>142795</v>
      </c>
      <c r="D708">
        <f>IF(B708="zima",20%,IF(B708="wiosna",50%,IF(B708="lato",90%,40%)))</f>
        <v>0.4</v>
      </c>
      <c r="E708">
        <f t="shared" ref="E708:E732" si="117">K707</f>
        <v>64</v>
      </c>
      <c r="F708">
        <f>WEEKDAY(A708,2)</f>
        <v>6</v>
      </c>
      <c r="G708">
        <f t="shared" si="110"/>
        <v>0</v>
      </c>
      <c r="H708">
        <f t="shared" si="111"/>
        <v>0</v>
      </c>
      <c r="I708">
        <f t="shared" si="112"/>
        <v>0</v>
      </c>
      <c r="J708">
        <f t="shared" ref="J708:J732" si="118">IF(AND(DAY(A709)=1,C708&gt;=2400),2400,0)</f>
        <v>0</v>
      </c>
      <c r="K708">
        <f t="shared" si="113"/>
        <v>64</v>
      </c>
      <c r="L708">
        <f t="shared" si="114"/>
        <v>142795</v>
      </c>
      <c r="M708">
        <f t="shared" si="115"/>
        <v>0</v>
      </c>
      <c r="N708">
        <f t="shared" ref="N708:N732" si="119">J708+I708</f>
        <v>0</v>
      </c>
    </row>
    <row r="709" spans="1:14" x14ac:dyDescent="0.25">
      <c r="A709" s="1">
        <v>45634</v>
      </c>
      <c r="B709" t="s">
        <v>5</v>
      </c>
      <c r="C709">
        <f t="shared" si="116"/>
        <v>142795</v>
      </c>
      <c r="D709">
        <f>IF(B709="zima",20%,IF(B709="wiosna",50%,IF(B709="lato",90%,40%)))</f>
        <v>0.4</v>
      </c>
      <c r="E709">
        <f t="shared" si="117"/>
        <v>64</v>
      </c>
      <c r="F709">
        <f>WEEKDAY(A709,2)</f>
        <v>7</v>
      </c>
      <c r="G709">
        <f t="shared" si="110"/>
        <v>0</v>
      </c>
      <c r="H709">
        <f t="shared" si="111"/>
        <v>0</v>
      </c>
      <c r="I709">
        <f t="shared" si="112"/>
        <v>960</v>
      </c>
      <c r="J709">
        <f t="shared" si="118"/>
        <v>0</v>
      </c>
      <c r="K709">
        <f t="shared" si="113"/>
        <v>64</v>
      </c>
      <c r="L709">
        <f t="shared" si="114"/>
        <v>141835</v>
      </c>
      <c r="M709">
        <f t="shared" si="115"/>
        <v>0</v>
      </c>
      <c r="N709">
        <f t="shared" si="119"/>
        <v>960</v>
      </c>
    </row>
    <row r="710" spans="1:14" x14ac:dyDescent="0.25">
      <c r="A710" s="1">
        <v>45635</v>
      </c>
      <c r="B710" t="s">
        <v>5</v>
      </c>
      <c r="C710">
        <f t="shared" si="116"/>
        <v>141835</v>
      </c>
      <c r="D710">
        <f>IF(B710="zima",20%,IF(B710="wiosna",50%,IF(B710="lato",90%,40%)))</f>
        <v>0.4</v>
      </c>
      <c r="E710">
        <f t="shared" si="117"/>
        <v>64</v>
      </c>
      <c r="F710">
        <f>WEEKDAY(A710,2)</f>
        <v>1</v>
      </c>
      <c r="G710">
        <f t="shared" si="110"/>
        <v>1</v>
      </c>
      <c r="H710">
        <f t="shared" si="111"/>
        <v>750</v>
      </c>
      <c r="I710">
        <f t="shared" si="112"/>
        <v>0</v>
      </c>
      <c r="J710">
        <f t="shared" si="118"/>
        <v>0</v>
      </c>
      <c r="K710">
        <f t="shared" si="113"/>
        <v>64</v>
      </c>
      <c r="L710">
        <f t="shared" si="114"/>
        <v>142585</v>
      </c>
      <c r="M710">
        <f t="shared" si="115"/>
        <v>750</v>
      </c>
      <c r="N710">
        <f t="shared" si="119"/>
        <v>0</v>
      </c>
    </row>
    <row r="711" spans="1:14" x14ac:dyDescent="0.25">
      <c r="A711" s="1">
        <v>45636</v>
      </c>
      <c r="B711" t="s">
        <v>5</v>
      </c>
      <c r="C711">
        <f t="shared" si="116"/>
        <v>142585</v>
      </c>
      <c r="D711">
        <f>IF(B711="zima",20%,IF(B711="wiosna",50%,IF(B711="lato",90%,40%)))</f>
        <v>0.4</v>
      </c>
      <c r="E711">
        <f t="shared" si="117"/>
        <v>64</v>
      </c>
      <c r="F711">
        <f>WEEKDAY(A711,2)</f>
        <v>2</v>
      </c>
      <c r="G711">
        <f t="shared" si="110"/>
        <v>1</v>
      </c>
      <c r="H711">
        <f t="shared" si="111"/>
        <v>750</v>
      </c>
      <c r="I711">
        <f t="shared" si="112"/>
        <v>0</v>
      </c>
      <c r="J711">
        <f t="shared" si="118"/>
        <v>0</v>
      </c>
      <c r="K711">
        <f t="shared" si="113"/>
        <v>64</v>
      </c>
      <c r="L711">
        <f t="shared" si="114"/>
        <v>143335</v>
      </c>
      <c r="M711">
        <f t="shared" si="115"/>
        <v>750</v>
      </c>
      <c r="N711">
        <f t="shared" si="119"/>
        <v>0</v>
      </c>
    </row>
    <row r="712" spans="1:14" x14ac:dyDescent="0.25">
      <c r="A712" s="1">
        <v>45637</v>
      </c>
      <c r="B712" t="s">
        <v>5</v>
      </c>
      <c r="C712">
        <f t="shared" si="116"/>
        <v>143335</v>
      </c>
      <c r="D712">
        <f>IF(B712="zima",20%,IF(B712="wiosna",50%,IF(B712="lato",90%,40%)))</f>
        <v>0.4</v>
      </c>
      <c r="E712">
        <f t="shared" si="117"/>
        <v>64</v>
      </c>
      <c r="F712">
        <f>WEEKDAY(A712,2)</f>
        <v>3</v>
      </c>
      <c r="G712">
        <f t="shared" si="110"/>
        <v>1</v>
      </c>
      <c r="H712">
        <f t="shared" si="111"/>
        <v>750</v>
      </c>
      <c r="I712">
        <f t="shared" si="112"/>
        <v>0</v>
      </c>
      <c r="J712">
        <f t="shared" si="118"/>
        <v>0</v>
      </c>
      <c r="K712">
        <f t="shared" si="113"/>
        <v>64</v>
      </c>
      <c r="L712">
        <f t="shared" si="114"/>
        <v>144085</v>
      </c>
      <c r="M712">
        <f t="shared" si="115"/>
        <v>750</v>
      </c>
      <c r="N712">
        <f t="shared" si="119"/>
        <v>0</v>
      </c>
    </row>
    <row r="713" spans="1:14" x14ac:dyDescent="0.25">
      <c r="A713" s="1">
        <v>45638</v>
      </c>
      <c r="B713" t="s">
        <v>5</v>
      </c>
      <c r="C713">
        <f t="shared" si="116"/>
        <v>144085</v>
      </c>
      <c r="D713">
        <f>IF(B713="zima",20%,IF(B713="wiosna",50%,IF(B713="lato",90%,40%)))</f>
        <v>0.4</v>
      </c>
      <c r="E713">
        <f t="shared" si="117"/>
        <v>64</v>
      </c>
      <c r="F713">
        <f>WEEKDAY(A713,2)</f>
        <v>4</v>
      </c>
      <c r="G713">
        <f t="shared" si="110"/>
        <v>1</v>
      </c>
      <c r="H713">
        <f t="shared" si="111"/>
        <v>750</v>
      </c>
      <c r="I713">
        <f t="shared" si="112"/>
        <v>0</v>
      </c>
      <c r="J713">
        <f t="shared" si="118"/>
        <v>0</v>
      </c>
      <c r="K713">
        <f t="shared" si="113"/>
        <v>64</v>
      </c>
      <c r="L713">
        <f t="shared" si="114"/>
        <v>144835</v>
      </c>
      <c r="M713">
        <f t="shared" si="115"/>
        <v>750</v>
      </c>
      <c r="N713">
        <f t="shared" si="119"/>
        <v>0</v>
      </c>
    </row>
    <row r="714" spans="1:14" x14ac:dyDescent="0.25">
      <c r="A714" s="1">
        <v>45639</v>
      </c>
      <c r="B714" t="s">
        <v>5</v>
      </c>
      <c r="C714">
        <f t="shared" si="116"/>
        <v>144835</v>
      </c>
      <c r="D714">
        <f>IF(B714="zima",20%,IF(B714="wiosna",50%,IF(B714="lato",90%,40%)))</f>
        <v>0.4</v>
      </c>
      <c r="E714">
        <f t="shared" si="117"/>
        <v>64</v>
      </c>
      <c r="F714">
        <f>WEEKDAY(A714,2)</f>
        <v>5</v>
      </c>
      <c r="G714">
        <f t="shared" si="110"/>
        <v>1</v>
      </c>
      <c r="H714">
        <f t="shared" si="111"/>
        <v>750</v>
      </c>
      <c r="I714">
        <f t="shared" si="112"/>
        <v>0</v>
      </c>
      <c r="J714">
        <f t="shared" si="118"/>
        <v>0</v>
      </c>
      <c r="K714">
        <f t="shared" si="113"/>
        <v>64</v>
      </c>
      <c r="L714">
        <f t="shared" si="114"/>
        <v>145585</v>
      </c>
      <c r="M714">
        <f t="shared" si="115"/>
        <v>750</v>
      </c>
      <c r="N714">
        <f t="shared" si="119"/>
        <v>0</v>
      </c>
    </row>
    <row r="715" spans="1:14" x14ac:dyDescent="0.25">
      <c r="A715" s="1">
        <v>45640</v>
      </c>
      <c r="B715" t="s">
        <v>5</v>
      </c>
      <c r="C715">
        <f t="shared" si="116"/>
        <v>145585</v>
      </c>
      <c r="D715">
        <f>IF(B715="zima",20%,IF(B715="wiosna",50%,IF(B715="lato",90%,40%)))</f>
        <v>0.4</v>
      </c>
      <c r="E715">
        <f t="shared" si="117"/>
        <v>64</v>
      </c>
      <c r="F715">
        <f>WEEKDAY(A715,2)</f>
        <v>6</v>
      </c>
      <c r="G715">
        <f t="shared" si="110"/>
        <v>0</v>
      </c>
      <c r="H715">
        <f t="shared" si="111"/>
        <v>0</v>
      </c>
      <c r="I715">
        <f t="shared" si="112"/>
        <v>0</v>
      </c>
      <c r="J715">
        <f t="shared" si="118"/>
        <v>0</v>
      </c>
      <c r="K715">
        <f t="shared" si="113"/>
        <v>64</v>
      </c>
      <c r="L715">
        <f t="shared" si="114"/>
        <v>145585</v>
      </c>
      <c r="M715">
        <f t="shared" si="115"/>
        <v>0</v>
      </c>
      <c r="N715">
        <f t="shared" si="119"/>
        <v>0</v>
      </c>
    </row>
    <row r="716" spans="1:14" x14ac:dyDescent="0.25">
      <c r="A716" s="1">
        <v>45641</v>
      </c>
      <c r="B716" t="s">
        <v>5</v>
      </c>
      <c r="C716">
        <f t="shared" si="116"/>
        <v>145585</v>
      </c>
      <c r="D716">
        <f>IF(B716="zima",20%,IF(B716="wiosna",50%,IF(B716="lato",90%,40%)))</f>
        <v>0.4</v>
      </c>
      <c r="E716">
        <f t="shared" si="117"/>
        <v>64</v>
      </c>
      <c r="F716">
        <f>WEEKDAY(A716,2)</f>
        <v>7</v>
      </c>
      <c r="G716">
        <f t="shared" si="110"/>
        <v>0</v>
      </c>
      <c r="H716">
        <f t="shared" si="111"/>
        <v>0</v>
      </c>
      <c r="I716">
        <f t="shared" si="112"/>
        <v>960</v>
      </c>
      <c r="J716">
        <f t="shared" si="118"/>
        <v>0</v>
      </c>
      <c r="K716">
        <f t="shared" si="113"/>
        <v>64</v>
      </c>
      <c r="L716">
        <f t="shared" si="114"/>
        <v>144625</v>
      </c>
      <c r="M716">
        <f t="shared" si="115"/>
        <v>0</v>
      </c>
      <c r="N716">
        <f t="shared" si="119"/>
        <v>960</v>
      </c>
    </row>
    <row r="717" spans="1:14" x14ac:dyDescent="0.25">
      <c r="A717" s="1">
        <v>45642</v>
      </c>
      <c r="B717" t="s">
        <v>5</v>
      </c>
      <c r="C717">
        <f t="shared" si="116"/>
        <v>144625</v>
      </c>
      <c r="D717">
        <f>IF(B717="zima",20%,IF(B717="wiosna",50%,IF(B717="lato",90%,40%)))</f>
        <v>0.4</v>
      </c>
      <c r="E717">
        <f t="shared" si="117"/>
        <v>64</v>
      </c>
      <c r="F717">
        <f>WEEKDAY(A717,2)</f>
        <v>1</v>
      </c>
      <c r="G717">
        <f t="shared" si="110"/>
        <v>1</v>
      </c>
      <c r="H717">
        <f t="shared" si="111"/>
        <v>750</v>
      </c>
      <c r="I717">
        <f t="shared" si="112"/>
        <v>0</v>
      </c>
      <c r="J717">
        <f t="shared" si="118"/>
        <v>0</v>
      </c>
      <c r="K717">
        <f t="shared" si="113"/>
        <v>64</v>
      </c>
      <c r="L717">
        <f t="shared" si="114"/>
        <v>145375</v>
      </c>
      <c r="M717">
        <f t="shared" si="115"/>
        <v>750</v>
      </c>
      <c r="N717">
        <f t="shared" si="119"/>
        <v>0</v>
      </c>
    </row>
    <row r="718" spans="1:14" x14ac:dyDescent="0.25">
      <c r="A718" s="1">
        <v>45643</v>
      </c>
      <c r="B718" t="s">
        <v>5</v>
      </c>
      <c r="C718">
        <f t="shared" si="116"/>
        <v>145375</v>
      </c>
      <c r="D718">
        <f>IF(B718="zima",20%,IF(B718="wiosna",50%,IF(B718="lato",90%,40%)))</f>
        <v>0.4</v>
      </c>
      <c r="E718">
        <f t="shared" si="117"/>
        <v>64</v>
      </c>
      <c r="F718">
        <f>WEEKDAY(A718,2)</f>
        <v>2</v>
      </c>
      <c r="G718">
        <f t="shared" si="110"/>
        <v>1</v>
      </c>
      <c r="H718">
        <f t="shared" si="111"/>
        <v>750</v>
      </c>
      <c r="I718">
        <f t="shared" si="112"/>
        <v>0</v>
      </c>
      <c r="J718">
        <f t="shared" si="118"/>
        <v>0</v>
      </c>
      <c r="K718">
        <f t="shared" si="113"/>
        <v>64</v>
      </c>
      <c r="L718">
        <f t="shared" si="114"/>
        <v>146125</v>
      </c>
      <c r="M718">
        <f t="shared" si="115"/>
        <v>750</v>
      </c>
      <c r="N718">
        <f t="shared" si="119"/>
        <v>0</v>
      </c>
    </row>
    <row r="719" spans="1:14" x14ac:dyDescent="0.25">
      <c r="A719" s="1">
        <v>45644</v>
      </c>
      <c r="B719" t="s">
        <v>5</v>
      </c>
      <c r="C719">
        <f t="shared" si="116"/>
        <v>146125</v>
      </c>
      <c r="D719">
        <f>IF(B719="zima",20%,IF(B719="wiosna",50%,IF(B719="lato",90%,40%)))</f>
        <v>0.4</v>
      </c>
      <c r="E719">
        <f t="shared" si="117"/>
        <v>64</v>
      </c>
      <c r="F719">
        <f>WEEKDAY(A719,2)</f>
        <v>3</v>
      </c>
      <c r="G719">
        <f t="shared" si="110"/>
        <v>1</v>
      </c>
      <c r="H719">
        <f t="shared" si="111"/>
        <v>750</v>
      </c>
      <c r="I719">
        <f t="shared" si="112"/>
        <v>0</v>
      </c>
      <c r="J719">
        <f t="shared" si="118"/>
        <v>0</v>
      </c>
      <c r="K719">
        <f t="shared" si="113"/>
        <v>64</v>
      </c>
      <c r="L719">
        <f t="shared" si="114"/>
        <v>146875</v>
      </c>
      <c r="M719">
        <f t="shared" si="115"/>
        <v>750</v>
      </c>
      <c r="N719">
        <f t="shared" si="119"/>
        <v>0</v>
      </c>
    </row>
    <row r="720" spans="1:14" x14ac:dyDescent="0.25">
      <c r="A720" s="1">
        <v>45645</v>
      </c>
      <c r="B720" t="s">
        <v>5</v>
      </c>
      <c r="C720">
        <f t="shared" si="116"/>
        <v>146875</v>
      </c>
      <c r="D720">
        <f>IF(B720="zima",20%,IF(B720="wiosna",50%,IF(B720="lato",90%,40%)))</f>
        <v>0.4</v>
      </c>
      <c r="E720">
        <f t="shared" si="117"/>
        <v>64</v>
      </c>
      <c r="F720">
        <f>WEEKDAY(A720,2)</f>
        <v>4</v>
      </c>
      <c r="G720">
        <f t="shared" si="110"/>
        <v>1</v>
      </c>
      <c r="H720">
        <f t="shared" si="111"/>
        <v>750</v>
      </c>
      <c r="I720">
        <f t="shared" si="112"/>
        <v>0</v>
      </c>
      <c r="J720">
        <f t="shared" si="118"/>
        <v>0</v>
      </c>
      <c r="K720">
        <f t="shared" si="113"/>
        <v>64</v>
      </c>
      <c r="L720">
        <f t="shared" si="114"/>
        <v>147625</v>
      </c>
      <c r="M720">
        <f t="shared" si="115"/>
        <v>750</v>
      </c>
      <c r="N720">
        <f t="shared" si="119"/>
        <v>0</v>
      </c>
    </row>
    <row r="721" spans="1:14" x14ac:dyDescent="0.25">
      <c r="A721" s="1">
        <v>45646</v>
      </c>
      <c r="B721" t="s">
        <v>5</v>
      </c>
      <c r="C721">
        <f t="shared" si="116"/>
        <v>147625</v>
      </c>
      <c r="D721">
        <f>IF(B721="zima",20%,IF(B721="wiosna",50%,IF(B721="lato",90%,40%)))</f>
        <v>0.4</v>
      </c>
      <c r="E721">
        <f t="shared" si="117"/>
        <v>64</v>
      </c>
      <c r="F721">
        <f>WEEKDAY(A721,2)</f>
        <v>5</v>
      </c>
      <c r="G721">
        <f t="shared" si="110"/>
        <v>1</v>
      </c>
      <c r="H721">
        <f t="shared" si="111"/>
        <v>750</v>
      </c>
      <c r="I721">
        <f t="shared" si="112"/>
        <v>0</v>
      </c>
      <c r="J721">
        <f t="shared" si="118"/>
        <v>0</v>
      </c>
      <c r="K721">
        <f t="shared" si="113"/>
        <v>64</v>
      </c>
      <c r="L721">
        <f t="shared" si="114"/>
        <v>148375</v>
      </c>
      <c r="M721">
        <f t="shared" si="115"/>
        <v>750</v>
      </c>
      <c r="N721">
        <f t="shared" si="119"/>
        <v>0</v>
      </c>
    </row>
    <row r="722" spans="1:14" x14ac:dyDescent="0.25">
      <c r="A722" s="1">
        <v>45647</v>
      </c>
      <c r="B722" t="s">
        <v>2</v>
      </c>
      <c r="C722">
        <f t="shared" si="116"/>
        <v>148375</v>
      </c>
      <c r="D722">
        <f>IF(B722="zima",20%,IF(B722="wiosna",50%,IF(B722="lato",90%,40%)))</f>
        <v>0.2</v>
      </c>
      <c r="E722">
        <f t="shared" si="117"/>
        <v>64</v>
      </c>
      <c r="F722">
        <f>WEEKDAY(A722,2)</f>
        <v>6</v>
      </c>
      <c r="G722">
        <f t="shared" si="110"/>
        <v>0</v>
      </c>
      <c r="H722">
        <f t="shared" si="111"/>
        <v>0</v>
      </c>
      <c r="I722">
        <f t="shared" si="112"/>
        <v>0</v>
      </c>
      <c r="J722">
        <f t="shared" si="118"/>
        <v>0</v>
      </c>
      <c r="K722">
        <f t="shared" si="113"/>
        <v>64</v>
      </c>
      <c r="L722">
        <f t="shared" si="114"/>
        <v>148375</v>
      </c>
      <c r="M722">
        <f t="shared" si="115"/>
        <v>0</v>
      </c>
      <c r="N722">
        <f t="shared" si="119"/>
        <v>0</v>
      </c>
    </row>
    <row r="723" spans="1:14" x14ac:dyDescent="0.25">
      <c r="A723" s="1">
        <v>45648</v>
      </c>
      <c r="B723" t="s">
        <v>2</v>
      </c>
      <c r="C723">
        <f t="shared" si="116"/>
        <v>148375</v>
      </c>
      <c r="D723">
        <f>IF(B723="zima",20%,IF(B723="wiosna",50%,IF(B723="lato",90%,40%)))</f>
        <v>0.2</v>
      </c>
      <c r="E723">
        <f t="shared" si="117"/>
        <v>64</v>
      </c>
      <c r="F723">
        <f>WEEKDAY(A723,2)</f>
        <v>7</v>
      </c>
      <c r="G723">
        <f t="shared" si="110"/>
        <v>0</v>
      </c>
      <c r="H723">
        <f t="shared" si="111"/>
        <v>0</v>
      </c>
      <c r="I723">
        <f t="shared" si="112"/>
        <v>960</v>
      </c>
      <c r="J723">
        <f t="shared" si="118"/>
        <v>0</v>
      </c>
      <c r="K723">
        <f t="shared" si="113"/>
        <v>64</v>
      </c>
      <c r="L723">
        <f t="shared" si="114"/>
        <v>147415</v>
      </c>
      <c r="M723">
        <f t="shared" si="115"/>
        <v>0</v>
      </c>
      <c r="N723">
        <f t="shared" si="119"/>
        <v>960</v>
      </c>
    </row>
    <row r="724" spans="1:14" x14ac:dyDescent="0.25">
      <c r="A724" s="1">
        <v>45649</v>
      </c>
      <c r="B724" t="s">
        <v>2</v>
      </c>
      <c r="C724">
        <f t="shared" si="116"/>
        <v>147415</v>
      </c>
      <c r="D724">
        <f>IF(B724="zima",20%,IF(B724="wiosna",50%,IF(B724="lato",90%,40%)))</f>
        <v>0.2</v>
      </c>
      <c r="E724">
        <f t="shared" si="117"/>
        <v>64</v>
      </c>
      <c r="F724">
        <f>WEEKDAY(A724,2)</f>
        <v>1</v>
      </c>
      <c r="G724">
        <f t="shared" si="110"/>
        <v>1</v>
      </c>
      <c r="H724">
        <f t="shared" si="111"/>
        <v>360</v>
      </c>
      <c r="I724">
        <f t="shared" si="112"/>
        <v>0</v>
      </c>
      <c r="J724">
        <f t="shared" si="118"/>
        <v>0</v>
      </c>
      <c r="K724">
        <f t="shared" si="113"/>
        <v>64</v>
      </c>
      <c r="L724">
        <f t="shared" si="114"/>
        <v>147775</v>
      </c>
      <c r="M724">
        <f t="shared" si="115"/>
        <v>360</v>
      </c>
      <c r="N724">
        <f t="shared" si="119"/>
        <v>0</v>
      </c>
    </row>
    <row r="725" spans="1:14" x14ac:dyDescent="0.25">
      <c r="A725" s="1">
        <v>45650</v>
      </c>
      <c r="B725" t="s">
        <v>2</v>
      </c>
      <c r="C725">
        <f t="shared" si="116"/>
        <v>147775</v>
      </c>
      <c r="D725">
        <f>IF(B725="zima",20%,IF(B725="wiosna",50%,IF(B725="lato",90%,40%)))</f>
        <v>0.2</v>
      </c>
      <c r="E725">
        <f t="shared" si="117"/>
        <v>64</v>
      </c>
      <c r="F725">
        <f>WEEKDAY(A725,2)</f>
        <v>2</v>
      </c>
      <c r="G725">
        <f t="shared" si="110"/>
        <v>1</v>
      </c>
      <c r="H725">
        <f t="shared" si="111"/>
        <v>360</v>
      </c>
      <c r="I725">
        <f t="shared" si="112"/>
        <v>0</v>
      </c>
      <c r="J725">
        <f t="shared" si="118"/>
        <v>0</v>
      </c>
      <c r="K725">
        <f t="shared" si="113"/>
        <v>64</v>
      </c>
      <c r="L725">
        <f t="shared" si="114"/>
        <v>148135</v>
      </c>
      <c r="M725">
        <f t="shared" si="115"/>
        <v>360</v>
      </c>
      <c r="N725">
        <f t="shared" si="119"/>
        <v>0</v>
      </c>
    </row>
    <row r="726" spans="1:14" x14ac:dyDescent="0.25">
      <c r="A726" s="1">
        <v>45651</v>
      </c>
      <c r="B726" t="s">
        <v>2</v>
      </c>
      <c r="C726">
        <f t="shared" si="116"/>
        <v>148135</v>
      </c>
      <c r="D726">
        <f>IF(B726="zima",20%,IF(B726="wiosna",50%,IF(B726="lato",90%,40%)))</f>
        <v>0.2</v>
      </c>
      <c r="E726">
        <f t="shared" si="117"/>
        <v>64</v>
      </c>
      <c r="F726">
        <f>WEEKDAY(A726,2)</f>
        <v>3</v>
      </c>
      <c r="G726">
        <f t="shared" si="110"/>
        <v>1</v>
      </c>
      <c r="H726">
        <f t="shared" si="111"/>
        <v>360</v>
      </c>
      <c r="I726">
        <f t="shared" si="112"/>
        <v>0</v>
      </c>
      <c r="J726">
        <f t="shared" si="118"/>
        <v>0</v>
      </c>
      <c r="K726">
        <f t="shared" si="113"/>
        <v>64</v>
      </c>
      <c r="L726">
        <f t="shared" si="114"/>
        <v>148495</v>
      </c>
      <c r="M726">
        <f t="shared" si="115"/>
        <v>360</v>
      </c>
      <c r="N726">
        <f t="shared" si="119"/>
        <v>0</v>
      </c>
    </row>
    <row r="727" spans="1:14" x14ac:dyDescent="0.25">
      <c r="A727" s="1">
        <v>45652</v>
      </c>
      <c r="B727" t="s">
        <v>2</v>
      </c>
      <c r="C727">
        <f t="shared" si="116"/>
        <v>148495</v>
      </c>
      <c r="D727">
        <f>IF(B727="zima",20%,IF(B727="wiosna",50%,IF(B727="lato",90%,40%)))</f>
        <v>0.2</v>
      </c>
      <c r="E727">
        <f t="shared" si="117"/>
        <v>64</v>
      </c>
      <c r="F727">
        <f>WEEKDAY(A727,2)</f>
        <v>4</v>
      </c>
      <c r="G727">
        <f t="shared" si="110"/>
        <v>1</v>
      </c>
      <c r="H727">
        <f t="shared" si="111"/>
        <v>360</v>
      </c>
      <c r="I727">
        <f t="shared" si="112"/>
        <v>0</v>
      </c>
      <c r="J727">
        <f t="shared" si="118"/>
        <v>0</v>
      </c>
      <c r="K727">
        <f t="shared" si="113"/>
        <v>64</v>
      </c>
      <c r="L727">
        <f t="shared" si="114"/>
        <v>148855</v>
      </c>
      <c r="M727">
        <f t="shared" si="115"/>
        <v>360</v>
      </c>
      <c r="N727">
        <f t="shared" si="119"/>
        <v>0</v>
      </c>
    </row>
    <row r="728" spans="1:14" x14ac:dyDescent="0.25">
      <c r="A728" s="1">
        <v>45653</v>
      </c>
      <c r="B728" t="s">
        <v>2</v>
      </c>
      <c r="C728">
        <f t="shared" si="116"/>
        <v>148855</v>
      </c>
      <c r="D728">
        <f>IF(B728="zima",20%,IF(B728="wiosna",50%,IF(B728="lato",90%,40%)))</f>
        <v>0.2</v>
      </c>
      <c r="E728">
        <f t="shared" si="117"/>
        <v>64</v>
      </c>
      <c r="F728">
        <f>WEEKDAY(A728,2)</f>
        <v>5</v>
      </c>
      <c r="G728">
        <f t="shared" si="110"/>
        <v>1</v>
      </c>
      <c r="H728">
        <f t="shared" si="111"/>
        <v>360</v>
      </c>
      <c r="I728">
        <f t="shared" si="112"/>
        <v>0</v>
      </c>
      <c r="J728">
        <f t="shared" si="118"/>
        <v>0</v>
      </c>
      <c r="K728">
        <f t="shared" si="113"/>
        <v>64</v>
      </c>
      <c r="L728">
        <f t="shared" si="114"/>
        <v>149215</v>
      </c>
      <c r="M728">
        <f t="shared" si="115"/>
        <v>360</v>
      </c>
      <c r="N728">
        <f t="shared" si="119"/>
        <v>0</v>
      </c>
    </row>
    <row r="729" spans="1:14" x14ac:dyDescent="0.25">
      <c r="A729" s="1">
        <v>45654</v>
      </c>
      <c r="B729" t="s">
        <v>2</v>
      </c>
      <c r="C729">
        <f t="shared" si="116"/>
        <v>149215</v>
      </c>
      <c r="D729">
        <f>IF(B729="zima",20%,IF(B729="wiosna",50%,IF(B729="lato",90%,40%)))</f>
        <v>0.2</v>
      </c>
      <c r="E729">
        <f t="shared" si="117"/>
        <v>64</v>
      </c>
      <c r="F729">
        <f>WEEKDAY(A729,2)</f>
        <v>6</v>
      </c>
      <c r="G729">
        <f t="shared" si="110"/>
        <v>0</v>
      </c>
      <c r="H729">
        <f t="shared" si="111"/>
        <v>0</v>
      </c>
      <c r="I729">
        <f t="shared" si="112"/>
        <v>0</v>
      </c>
      <c r="J729">
        <f t="shared" si="118"/>
        <v>0</v>
      </c>
      <c r="K729">
        <f t="shared" si="113"/>
        <v>64</v>
      </c>
      <c r="L729">
        <f t="shared" si="114"/>
        <v>149215</v>
      </c>
      <c r="M729">
        <f t="shared" si="115"/>
        <v>0</v>
      </c>
      <c r="N729">
        <f t="shared" si="119"/>
        <v>0</v>
      </c>
    </row>
    <row r="730" spans="1:14" x14ac:dyDescent="0.25">
      <c r="A730" s="1">
        <v>45655</v>
      </c>
      <c r="B730" t="s">
        <v>2</v>
      </c>
      <c r="C730">
        <f t="shared" si="116"/>
        <v>149215</v>
      </c>
      <c r="D730">
        <f>IF(B730="zima",20%,IF(B730="wiosna",50%,IF(B730="lato",90%,40%)))</f>
        <v>0.2</v>
      </c>
      <c r="E730">
        <f t="shared" si="117"/>
        <v>64</v>
      </c>
      <c r="F730">
        <f>WEEKDAY(A730,2)</f>
        <v>7</v>
      </c>
      <c r="G730">
        <f t="shared" si="110"/>
        <v>0</v>
      </c>
      <c r="H730">
        <f t="shared" si="111"/>
        <v>0</v>
      </c>
      <c r="I730">
        <f t="shared" si="112"/>
        <v>960</v>
      </c>
      <c r="J730">
        <f t="shared" si="118"/>
        <v>0</v>
      </c>
      <c r="K730">
        <f t="shared" si="113"/>
        <v>64</v>
      </c>
      <c r="L730">
        <f t="shared" si="114"/>
        <v>148255</v>
      </c>
      <c r="M730">
        <f t="shared" si="115"/>
        <v>0</v>
      </c>
      <c r="N730">
        <f t="shared" si="119"/>
        <v>960</v>
      </c>
    </row>
    <row r="731" spans="1:14" x14ac:dyDescent="0.25">
      <c r="A731" s="1">
        <v>45656</v>
      </c>
      <c r="B731" t="s">
        <v>2</v>
      </c>
      <c r="C731">
        <f t="shared" si="116"/>
        <v>148255</v>
      </c>
      <c r="D731">
        <f>IF(B731="zima",20%,IF(B731="wiosna",50%,IF(B731="lato",90%,40%)))</f>
        <v>0.2</v>
      </c>
      <c r="E731">
        <f t="shared" si="117"/>
        <v>64</v>
      </c>
      <c r="F731">
        <f>WEEKDAY(A731,2)</f>
        <v>1</v>
      </c>
      <c r="G731">
        <f t="shared" si="110"/>
        <v>1</v>
      </c>
      <c r="H731">
        <f t="shared" si="111"/>
        <v>360</v>
      </c>
      <c r="I731">
        <f t="shared" si="112"/>
        <v>0</v>
      </c>
      <c r="J731">
        <f t="shared" si="118"/>
        <v>0</v>
      </c>
      <c r="K731">
        <f t="shared" si="113"/>
        <v>64</v>
      </c>
      <c r="L731">
        <f t="shared" si="114"/>
        <v>148615</v>
      </c>
      <c r="M731">
        <f t="shared" si="115"/>
        <v>360</v>
      </c>
      <c r="N731">
        <f t="shared" si="119"/>
        <v>0</v>
      </c>
    </row>
    <row r="732" spans="1:14" x14ac:dyDescent="0.25">
      <c r="A732" s="1">
        <v>45657</v>
      </c>
      <c r="B732" t="s">
        <v>2</v>
      </c>
      <c r="C732">
        <f t="shared" si="116"/>
        <v>148615</v>
      </c>
      <c r="D732">
        <f>IF(B732="zima",20%,IF(B732="wiosna",50%,IF(B732="lato",90%,40%)))</f>
        <v>0.2</v>
      </c>
      <c r="E732">
        <f t="shared" si="117"/>
        <v>64</v>
      </c>
      <c r="F732">
        <f>WEEKDAY(A732,2)</f>
        <v>2</v>
      </c>
      <c r="G732">
        <f t="shared" si="110"/>
        <v>1</v>
      </c>
      <c r="H732">
        <f t="shared" si="111"/>
        <v>360</v>
      </c>
      <c r="I732">
        <f t="shared" si="112"/>
        <v>0</v>
      </c>
      <c r="J732">
        <f t="shared" si="118"/>
        <v>0</v>
      </c>
      <c r="K732">
        <f t="shared" si="113"/>
        <v>64</v>
      </c>
      <c r="L732">
        <f t="shared" si="114"/>
        <v>148975</v>
      </c>
      <c r="M732">
        <f t="shared" si="115"/>
        <v>360</v>
      </c>
      <c r="N732">
        <f t="shared" si="11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6.1.2.3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2026-04-20T21:18:49Z</dcterms:created>
  <dcterms:modified xsi:type="dcterms:W3CDTF">2026-04-21T15:41:50Z</dcterms:modified>
</cp:coreProperties>
</file>