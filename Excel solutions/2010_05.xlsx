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ocuments\"/>
    </mc:Choice>
  </mc:AlternateContent>
  <xr:revisionPtr revIDLastSave="0" documentId="8_{610C478E-A7B0-46B3-8AFB-62E167AB9304}" xr6:coauthVersionLast="47" xr6:coauthVersionMax="47" xr10:uidLastSave="{00000000-0000-0000-0000-000000000000}"/>
  <bookViews>
    <workbookView xWindow="-120" yWindow="-120" windowWidth="38640" windowHeight="21120" xr2:uid="{18112966-4F40-4F86-9659-A7D354F945A3}"/>
  </bookViews>
  <sheets>
    <sheet name="Arkusz1" sheetId="1" r:id="rId1"/>
  </sheets>
  <definedNames>
    <definedName name="_xlnm._FilterDatabase" localSheetId="0" hidden="1">Arkusz1!$A$1:$S$151</definedName>
    <definedName name="pesel" localSheetId="0">Arkusz1!$A$2:$A$151</definedName>
    <definedName name="pesel_zamieniene" localSheetId="0">Arkusz1!$B$2:$L$151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54" i="1" l="1"/>
  <c r="S155" i="1"/>
  <c r="S156" i="1"/>
  <c r="S157" i="1"/>
  <c r="S153" i="1"/>
  <c r="U158" i="1"/>
  <c r="U157" i="1"/>
  <c r="U156" i="1"/>
  <c r="U155" i="1"/>
  <c r="U154" i="1"/>
  <c r="U153" i="1"/>
  <c r="Q9" i="1"/>
  <c r="R9" i="1" s="1"/>
  <c r="S9" i="1" s="1"/>
  <c r="Q10" i="1"/>
  <c r="R10" i="1" s="1"/>
  <c r="S10" i="1" s="1"/>
  <c r="Q11" i="1"/>
  <c r="R11" i="1" s="1"/>
  <c r="S11" i="1" s="1"/>
  <c r="Q12" i="1"/>
  <c r="R12" i="1" s="1"/>
  <c r="S12" i="1" s="1"/>
  <c r="Q13" i="1"/>
  <c r="R13" i="1" s="1"/>
  <c r="S13" i="1" s="1"/>
  <c r="Q14" i="1"/>
  <c r="R14" i="1" s="1"/>
  <c r="S14" i="1" s="1"/>
  <c r="Q151" i="1"/>
  <c r="R151" i="1" s="1"/>
  <c r="S151" i="1" s="1"/>
  <c r="Q148" i="1"/>
  <c r="R148" i="1" s="1"/>
  <c r="S148" i="1" s="1"/>
  <c r="Q19" i="1"/>
  <c r="R19" i="1" s="1"/>
  <c r="S19" i="1" s="1"/>
  <c r="Q20" i="1"/>
  <c r="R20" i="1" s="1"/>
  <c r="S20" i="1" s="1"/>
  <c r="Q21" i="1"/>
  <c r="R21" i="1" s="1"/>
  <c r="S21" i="1" s="1"/>
  <c r="Q22" i="1"/>
  <c r="R22" i="1" s="1"/>
  <c r="S22" i="1" s="1"/>
  <c r="Q29" i="1"/>
  <c r="R29" i="1" s="1"/>
  <c r="S29" i="1" s="1"/>
  <c r="Q30" i="1"/>
  <c r="R30" i="1" s="1"/>
  <c r="S30" i="1" s="1"/>
  <c r="Q31" i="1"/>
  <c r="R31" i="1" s="1"/>
  <c r="S31" i="1" s="1"/>
  <c r="Q32" i="1"/>
  <c r="R32" i="1" s="1"/>
  <c r="S32" i="1" s="1"/>
  <c r="Q149" i="1"/>
  <c r="R149" i="1" s="1"/>
  <c r="S149" i="1" s="1"/>
  <c r="Q33" i="1"/>
  <c r="R33" i="1" s="1"/>
  <c r="S33" i="1" s="1"/>
  <c r="Q40" i="1"/>
  <c r="R40" i="1" s="1"/>
  <c r="S40" i="1" s="1"/>
  <c r="Q41" i="1"/>
  <c r="R41" i="1" s="1"/>
  <c r="S41" i="1" s="1"/>
  <c r="Q42" i="1"/>
  <c r="R42" i="1" s="1"/>
  <c r="S42" i="1" s="1"/>
  <c r="Q43" i="1"/>
  <c r="R43" i="1" s="1"/>
  <c r="S43" i="1" s="1"/>
  <c r="Q44" i="1"/>
  <c r="R44" i="1" s="1"/>
  <c r="S44" i="1" s="1"/>
  <c r="Q45" i="1"/>
  <c r="R45" i="1" s="1"/>
  <c r="S45" i="1" s="1"/>
  <c r="Q51" i="1"/>
  <c r="R51" i="1" s="1"/>
  <c r="S51" i="1" s="1"/>
  <c r="Q52" i="1"/>
  <c r="R52" i="1" s="1"/>
  <c r="S52" i="1" s="1"/>
  <c r="Q53" i="1"/>
  <c r="R53" i="1" s="1"/>
  <c r="S53" i="1" s="1"/>
  <c r="Q54" i="1"/>
  <c r="R54" i="1" s="1"/>
  <c r="S54" i="1" s="1"/>
  <c r="Q55" i="1"/>
  <c r="R55" i="1" s="1"/>
  <c r="S55" i="1" s="1"/>
  <c r="Q56" i="1"/>
  <c r="R56" i="1" s="1"/>
  <c r="S56" i="1" s="1"/>
  <c r="Q63" i="1"/>
  <c r="R63" i="1" s="1"/>
  <c r="S63" i="1" s="1"/>
  <c r="Q64" i="1"/>
  <c r="R64" i="1" s="1"/>
  <c r="S64" i="1" s="1"/>
  <c r="Q65" i="1"/>
  <c r="R65" i="1" s="1"/>
  <c r="S65" i="1" s="1"/>
  <c r="Q66" i="1"/>
  <c r="R66" i="1" s="1"/>
  <c r="S66" i="1" s="1"/>
  <c r="Q67" i="1"/>
  <c r="R67" i="1" s="1"/>
  <c r="S67" i="1" s="1"/>
  <c r="Q68" i="1"/>
  <c r="R68" i="1" s="1"/>
  <c r="S68" i="1" s="1"/>
  <c r="Q75" i="1"/>
  <c r="R75" i="1" s="1"/>
  <c r="S75" i="1" s="1"/>
  <c r="Q76" i="1"/>
  <c r="R76" i="1" s="1"/>
  <c r="S76" i="1" s="1"/>
  <c r="Q77" i="1"/>
  <c r="R77" i="1" s="1"/>
  <c r="S77" i="1" s="1"/>
  <c r="Q78" i="1"/>
  <c r="R78" i="1" s="1"/>
  <c r="S78" i="1" s="1"/>
  <c r="Q79" i="1"/>
  <c r="R79" i="1" s="1"/>
  <c r="S79" i="1" s="1"/>
  <c r="Q80" i="1"/>
  <c r="R80" i="1" s="1"/>
  <c r="S80" i="1" s="1"/>
  <c r="Q87" i="1"/>
  <c r="R87" i="1" s="1"/>
  <c r="S87" i="1" s="1"/>
  <c r="Q88" i="1"/>
  <c r="R88" i="1" s="1"/>
  <c r="S88" i="1" s="1"/>
  <c r="Q89" i="1"/>
  <c r="R89" i="1" s="1"/>
  <c r="S89" i="1" s="1"/>
  <c r="Q90" i="1"/>
  <c r="R90" i="1" s="1"/>
  <c r="S90" i="1" s="1"/>
  <c r="Q91" i="1"/>
  <c r="R91" i="1" s="1"/>
  <c r="S91" i="1" s="1"/>
  <c r="Q92" i="1"/>
  <c r="R92" i="1" s="1"/>
  <c r="S92" i="1" s="1"/>
  <c r="Q99" i="1"/>
  <c r="R99" i="1" s="1"/>
  <c r="S99" i="1" s="1"/>
  <c r="Q100" i="1"/>
  <c r="R100" i="1" s="1"/>
  <c r="S100" i="1" s="1"/>
  <c r="Q101" i="1"/>
  <c r="R101" i="1" s="1"/>
  <c r="S101" i="1" s="1"/>
  <c r="Q102" i="1"/>
  <c r="R102" i="1" s="1"/>
  <c r="S102" i="1" s="1"/>
  <c r="Q103" i="1"/>
  <c r="R103" i="1" s="1"/>
  <c r="S103" i="1" s="1"/>
  <c r="Q104" i="1"/>
  <c r="R104" i="1" s="1"/>
  <c r="S104" i="1" s="1"/>
  <c r="Q111" i="1"/>
  <c r="R111" i="1" s="1"/>
  <c r="S111" i="1" s="1"/>
  <c r="Q112" i="1"/>
  <c r="R112" i="1" s="1"/>
  <c r="S112" i="1" s="1"/>
  <c r="Q113" i="1"/>
  <c r="R113" i="1" s="1"/>
  <c r="S113" i="1" s="1"/>
  <c r="Q114" i="1"/>
  <c r="R114" i="1" s="1"/>
  <c r="S114" i="1" s="1"/>
  <c r="Q115" i="1"/>
  <c r="R115" i="1" s="1"/>
  <c r="S115" i="1" s="1"/>
  <c r="Q116" i="1"/>
  <c r="R116" i="1" s="1"/>
  <c r="S116" i="1" s="1"/>
  <c r="Q123" i="1"/>
  <c r="R123" i="1" s="1"/>
  <c r="S123" i="1" s="1"/>
  <c r="Q124" i="1"/>
  <c r="R124" i="1" s="1"/>
  <c r="S124" i="1" s="1"/>
  <c r="Q125" i="1"/>
  <c r="R125" i="1" s="1"/>
  <c r="S125" i="1" s="1"/>
  <c r="Q126" i="1"/>
  <c r="R126" i="1" s="1"/>
  <c r="S126" i="1" s="1"/>
  <c r="Q127" i="1"/>
  <c r="R127" i="1" s="1"/>
  <c r="S127" i="1" s="1"/>
  <c r="Q128" i="1"/>
  <c r="R128" i="1" s="1"/>
  <c r="S128" i="1" s="1"/>
  <c r="Q134" i="1"/>
  <c r="R134" i="1" s="1"/>
  <c r="S134" i="1" s="1"/>
  <c r="Q135" i="1"/>
  <c r="R135" i="1" s="1"/>
  <c r="S135" i="1" s="1"/>
  <c r="Q136" i="1"/>
  <c r="R136" i="1" s="1"/>
  <c r="S136" i="1" s="1"/>
  <c r="Q137" i="1"/>
  <c r="R137" i="1" s="1"/>
  <c r="S137" i="1" s="1"/>
  <c r="Q138" i="1"/>
  <c r="R138" i="1" s="1"/>
  <c r="S138" i="1" s="1"/>
  <c r="Q147" i="1"/>
  <c r="R147" i="1" s="1"/>
  <c r="S147" i="1" s="1"/>
  <c r="P3" i="1"/>
  <c r="Q3" i="1" s="1"/>
  <c r="R3" i="1" s="1"/>
  <c r="S3" i="1" s="1"/>
  <c r="P4" i="1"/>
  <c r="Q4" i="1" s="1"/>
  <c r="R4" i="1" s="1"/>
  <c r="S4" i="1" s="1"/>
  <c r="P5" i="1"/>
  <c r="Q5" i="1" s="1"/>
  <c r="R5" i="1" s="1"/>
  <c r="S5" i="1" s="1"/>
  <c r="P6" i="1"/>
  <c r="Q6" i="1" s="1"/>
  <c r="R6" i="1" s="1"/>
  <c r="S6" i="1" s="1"/>
  <c r="P7" i="1"/>
  <c r="Q7" i="1" s="1"/>
  <c r="R7" i="1" s="1"/>
  <c r="S7" i="1" s="1"/>
  <c r="P8" i="1"/>
  <c r="Q8" i="1" s="1"/>
  <c r="R8" i="1" s="1"/>
  <c r="S8" i="1" s="1"/>
  <c r="P9" i="1"/>
  <c r="P10" i="1"/>
  <c r="P11" i="1"/>
  <c r="P12" i="1"/>
  <c r="P13" i="1"/>
  <c r="P14" i="1"/>
  <c r="P15" i="1"/>
  <c r="Q15" i="1" s="1"/>
  <c r="R15" i="1" s="1"/>
  <c r="S15" i="1" s="1"/>
  <c r="P150" i="1"/>
  <c r="Q150" i="1" s="1"/>
  <c r="R150" i="1" s="1"/>
  <c r="S150" i="1" s="1"/>
  <c r="P16" i="1"/>
  <c r="Q16" i="1" s="1"/>
  <c r="R16" i="1" s="1"/>
  <c r="S16" i="1" s="1"/>
  <c r="P17" i="1"/>
  <c r="Q17" i="1" s="1"/>
  <c r="R17" i="1" s="1"/>
  <c r="S17" i="1" s="1"/>
  <c r="P18" i="1"/>
  <c r="Q18" i="1" s="1"/>
  <c r="R18" i="1" s="1"/>
  <c r="S18" i="1" s="1"/>
  <c r="P146" i="1"/>
  <c r="Q146" i="1" s="1"/>
  <c r="R146" i="1" s="1"/>
  <c r="S146" i="1" s="1"/>
  <c r="P151" i="1"/>
  <c r="P148" i="1"/>
  <c r="P19" i="1"/>
  <c r="P20" i="1"/>
  <c r="P21" i="1"/>
  <c r="P22" i="1"/>
  <c r="P23" i="1"/>
  <c r="Q23" i="1" s="1"/>
  <c r="R23" i="1" s="1"/>
  <c r="S23" i="1" s="1"/>
  <c r="P24" i="1"/>
  <c r="Q24" i="1" s="1"/>
  <c r="R24" i="1" s="1"/>
  <c r="S24" i="1" s="1"/>
  <c r="P25" i="1"/>
  <c r="Q25" i="1" s="1"/>
  <c r="R25" i="1" s="1"/>
  <c r="S25" i="1" s="1"/>
  <c r="P26" i="1"/>
  <c r="Q26" i="1" s="1"/>
  <c r="R26" i="1" s="1"/>
  <c r="S26" i="1" s="1"/>
  <c r="P27" i="1"/>
  <c r="Q27" i="1" s="1"/>
  <c r="R27" i="1" s="1"/>
  <c r="S27" i="1" s="1"/>
  <c r="P28" i="1"/>
  <c r="Q28" i="1" s="1"/>
  <c r="R28" i="1" s="1"/>
  <c r="S28" i="1" s="1"/>
  <c r="P29" i="1"/>
  <c r="P30" i="1"/>
  <c r="P31" i="1"/>
  <c r="P32" i="1"/>
  <c r="P149" i="1"/>
  <c r="P33" i="1"/>
  <c r="P34" i="1"/>
  <c r="Q34" i="1" s="1"/>
  <c r="R34" i="1" s="1"/>
  <c r="S34" i="1" s="1"/>
  <c r="P35" i="1"/>
  <c r="Q35" i="1" s="1"/>
  <c r="R35" i="1" s="1"/>
  <c r="S35" i="1" s="1"/>
  <c r="P36" i="1"/>
  <c r="Q36" i="1" s="1"/>
  <c r="R36" i="1" s="1"/>
  <c r="S36" i="1" s="1"/>
  <c r="P37" i="1"/>
  <c r="Q37" i="1" s="1"/>
  <c r="R37" i="1" s="1"/>
  <c r="S37" i="1" s="1"/>
  <c r="P38" i="1"/>
  <c r="Q38" i="1" s="1"/>
  <c r="R38" i="1" s="1"/>
  <c r="S38" i="1" s="1"/>
  <c r="P39" i="1"/>
  <c r="Q39" i="1" s="1"/>
  <c r="R39" i="1" s="1"/>
  <c r="S39" i="1" s="1"/>
  <c r="P40" i="1"/>
  <c r="P41" i="1"/>
  <c r="P42" i="1"/>
  <c r="P43" i="1"/>
  <c r="P44" i="1"/>
  <c r="P45" i="1"/>
  <c r="P46" i="1"/>
  <c r="Q46" i="1" s="1"/>
  <c r="R46" i="1" s="1"/>
  <c r="S46" i="1" s="1"/>
  <c r="P47" i="1"/>
  <c r="Q47" i="1" s="1"/>
  <c r="R47" i="1" s="1"/>
  <c r="S47" i="1" s="1"/>
  <c r="P48" i="1"/>
  <c r="Q48" i="1" s="1"/>
  <c r="R48" i="1" s="1"/>
  <c r="S48" i="1" s="1"/>
  <c r="P49" i="1"/>
  <c r="Q49" i="1" s="1"/>
  <c r="R49" i="1" s="1"/>
  <c r="S49" i="1" s="1"/>
  <c r="P144" i="1"/>
  <c r="Q144" i="1" s="1"/>
  <c r="R144" i="1" s="1"/>
  <c r="S144" i="1" s="1"/>
  <c r="P50" i="1"/>
  <c r="Q50" i="1" s="1"/>
  <c r="R50" i="1" s="1"/>
  <c r="S50" i="1" s="1"/>
  <c r="P51" i="1"/>
  <c r="P52" i="1"/>
  <c r="P53" i="1"/>
  <c r="P54" i="1"/>
  <c r="P55" i="1"/>
  <c r="P56" i="1"/>
  <c r="P57" i="1"/>
  <c r="Q57" i="1" s="1"/>
  <c r="R57" i="1" s="1"/>
  <c r="S57" i="1" s="1"/>
  <c r="P58" i="1"/>
  <c r="Q58" i="1" s="1"/>
  <c r="R58" i="1" s="1"/>
  <c r="S58" i="1" s="1"/>
  <c r="P59" i="1"/>
  <c r="Q59" i="1" s="1"/>
  <c r="R59" i="1" s="1"/>
  <c r="S59" i="1" s="1"/>
  <c r="P60" i="1"/>
  <c r="Q60" i="1" s="1"/>
  <c r="R60" i="1" s="1"/>
  <c r="S60" i="1" s="1"/>
  <c r="P61" i="1"/>
  <c r="Q61" i="1" s="1"/>
  <c r="R61" i="1" s="1"/>
  <c r="S61" i="1" s="1"/>
  <c r="P62" i="1"/>
  <c r="Q62" i="1" s="1"/>
  <c r="R62" i="1" s="1"/>
  <c r="S62" i="1" s="1"/>
  <c r="P63" i="1"/>
  <c r="P64" i="1"/>
  <c r="P65" i="1"/>
  <c r="P66" i="1"/>
  <c r="P67" i="1"/>
  <c r="P68" i="1"/>
  <c r="P69" i="1"/>
  <c r="Q69" i="1" s="1"/>
  <c r="R69" i="1" s="1"/>
  <c r="S69" i="1" s="1"/>
  <c r="P70" i="1"/>
  <c r="Q70" i="1" s="1"/>
  <c r="R70" i="1" s="1"/>
  <c r="S70" i="1" s="1"/>
  <c r="P71" i="1"/>
  <c r="Q71" i="1" s="1"/>
  <c r="R71" i="1" s="1"/>
  <c r="S71" i="1" s="1"/>
  <c r="P72" i="1"/>
  <c r="Q72" i="1" s="1"/>
  <c r="R72" i="1" s="1"/>
  <c r="S72" i="1" s="1"/>
  <c r="P73" i="1"/>
  <c r="Q73" i="1" s="1"/>
  <c r="R73" i="1" s="1"/>
  <c r="S73" i="1" s="1"/>
  <c r="P74" i="1"/>
  <c r="Q74" i="1" s="1"/>
  <c r="R74" i="1" s="1"/>
  <c r="S74" i="1" s="1"/>
  <c r="P75" i="1"/>
  <c r="P76" i="1"/>
  <c r="P77" i="1"/>
  <c r="P78" i="1"/>
  <c r="P79" i="1"/>
  <c r="P80" i="1"/>
  <c r="P81" i="1"/>
  <c r="Q81" i="1" s="1"/>
  <c r="R81" i="1" s="1"/>
  <c r="S81" i="1" s="1"/>
  <c r="P82" i="1"/>
  <c r="Q82" i="1" s="1"/>
  <c r="R82" i="1" s="1"/>
  <c r="S82" i="1" s="1"/>
  <c r="P83" i="1"/>
  <c r="Q83" i="1" s="1"/>
  <c r="R83" i="1" s="1"/>
  <c r="S83" i="1" s="1"/>
  <c r="P84" i="1"/>
  <c r="Q84" i="1" s="1"/>
  <c r="R84" i="1" s="1"/>
  <c r="S84" i="1" s="1"/>
  <c r="P85" i="1"/>
  <c r="Q85" i="1" s="1"/>
  <c r="R85" i="1" s="1"/>
  <c r="S85" i="1" s="1"/>
  <c r="P86" i="1"/>
  <c r="Q86" i="1" s="1"/>
  <c r="R86" i="1" s="1"/>
  <c r="S86" i="1" s="1"/>
  <c r="P87" i="1"/>
  <c r="P88" i="1"/>
  <c r="P89" i="1"/>
  <c r="P90" i="1"/>
  <c r="P91" i="1"/>
  <c r="P92" i="1"/>
  <c r="P93" i="1"/>
  <c r="Q93" i="1" s="1"/>
  <c r="R93" i="1" s="1"/>
  <c r="S93" i="1" s="1"/>
  <c r="P94" i="1"/>
  <c r="Q94" i="1" s="1"/>
  <c r="R94" i="1" s="1"/>
  <c r="S94" i="1" s="1"/>
  <c r="P95" i="1"/>
  <c r="Q95" i="1" s="1"/>
  <c r="R95" i="1" s="1"/>
  <c r="S95" i="1" s="1"/>
  <c r="P96" i="1"/>
  <c r="Q96" i="1" s="1"/>
  <c r="R96" i="1" s="1"/>
  <c r="S96" i="1" s="1"/>
  <c r="P97" i="1"/>
  <c r="Q97" i="1" s="1"/>
  <c r="R97" i="1" s="1"/>
  <c r="S97" i="1" s="1"/>
  <c r="P98" i="1"/>
  <c r="Q98" i="1" s="1"/>
  <c r="R98" i="1" s="1"/>
  <c r="S98" i="1" s="1"/>
  <c r="P99" i="1"/>
  <c r="P100" i="1"/>
  <c r="P101" i="1"/>
  <c r="P102" i="1"/>
  <c r="P103" i="1"/>
  <c r="P104" i="1"/>
  <c r="P105" i="1"/>
  <c r="Q105" i="1" s="1"/>
  <c r="R105" i="1" s="1"/>
  <c r="S105" i="1" s="1"/>
  <c r="P106" i="1"/>
  <c r="Q106" i="1" s="1"/>
  <c r="R106" i="1" s="1"/>
  <c r="S106" i="1" s="1"/>
  <c r="P107" i="1"/>
  <c r="Q107" i="1" s="1"/>
  <c r="R107" i="1" s="1"/>
  <c r="S107" i="1" s="1"/>
  <c r="P108" i="1"/>
  <c r="Q108" i="1" s="1"/>
  <c r="R108" i="1" s="1"/>
  <c r="S108" i="1" s="1"/>
  <c r="P109" i="1"/>
  <c r="Q109" i="1" s="1"/>
  <c r="R109" i="1" s="1"/>
  <c r="S109" i="1" s="1"/>
  <c r="P110" i="1"/>
  <c r="Q110" i="1" s="1"/>
  <c r="R110" i="1" s="1"/>
  <c r="S110" i="1" s="1"/>
  <c r="P111" i="1"/>
  <c r="P112" i="1"/>
  <c r="P113" i="1"/>
  <c r="P114" i="1"/>
  <c r="P115" i="1"/>
  <c r="P116" i="1"/>
  <c r="P117" i="1"/>
  <c r="Q117" i="1" s="1"/>
  <c r="R117" i="1" s="1"/>
  <c r="S117" i="1" s="1"/>
  <c r="P118" i="1"/>
  <c r="Q118" i="1" s="1"/>
  <c r="R118" i="1" s="1"/>
  <c r="S118" i="1" s="1"/>
  <c r="P119" i="1"/>
  <c r="Q119" i="1" s="1"/>
  <c r="R119" i="1" s="1"/>
  <c r="S119" i="1" s="1"/>
  <c r="P120" i="1"/>
  <c r="Q120" i="1" s="1"/>
  <c r="R120" i="1" s="1"/>
  <c r="S120" i="1" s="1"/>
  <c r="P121" i="1"/>
  <c r="Q121" i="1" s="1"/>
  <c r="R121" i="1" s="1"/>
  <c r="S121" i="1" s="1"/>
  <c r="P122" i="1"/>
  <c r="Q122" i="1" s="1"/>
  <c r="R122" i="1" s="1"/>
  <c r="S122" i="1" s="1"/>
  <c r="P123" i="1"/>
  <c r="P124" i="1"/>
  <c r="P125" i="1"/>
  <c r="P126" i="1"/>
  <c r="P127" i="1"/>
  <c r="P128" i="1"/>
  <c r="P129" i="1"/>
  <c r="Q129" i="1" s="1"/>
  <c r="R129" i="1" s="1"/>
  <c r="S129" i="1" s="1"/>
  <c r="P130" i="1"/>
  <c r="Q130" i="1" s="1"/>
  <c r="R130" i="1" s="1"/>
  <c r="S130" i="1" s="1"/>
  <c r="P131" i="1"/>
  <c r="Q131" i="1" s="1"/>
  <c r="R131" i="1" s="1"/>
  <c r="S131" i="1" s="1"/>
  <c r="P132" i="1"/>
  <c r="Q132" i="1" s="1"/>
  <c r="R132" i="1" s="1"/>
  <c r="S132" i="1" s="1"/>
  <c r="P133" i="1"/>
  <c r="Q133" i="1" s="1"/>
  <c r="R133" i="1" s="1"/>
  <c r="S133" i="1" s="1"/>
  <c r="P145" i="1"/>
  <c r="Q145" i="1" s="1"/>
  <c r="R145" i="1" s="1"/>
  <c r="S145" i="1" s="1"/>
  <c r="P134" i="1"/>
  <c r="P135" i="1"/>
  <c r="P136" i="1"/>
  <c r="P137" i="1"/>
  <c r="P138" i="1"/>
  <c r="P147" i="1"/>
  <c r="P139" i="1"/>
  <c r="Q139" i="1" s="1"/>
  <c r="R139" i="1" s="1"/>
  <c r="S139" i="1" s="1"/>
  <c r="P140" i="1"/>
  <c r="Q140" i="1" s="1"/>
  <c r="R140" i="1" s="1"/>
  <c r="S140" i="1" s="1"/>
  <c r="P141" i="1"/>
  <c r="Q141" i="1" s="1"/>
  <c r="R141" i="1" s="1"/>
  <c r="S141" i="1" s="1"/>
  <c r="P142" i="1"/>
  <c r="Q142" i="1" s="1"/>
  <c r="R142" i="1" s="1"/>
  <c r="S142" i="1" s="1"/>
  <c r="P143" i="1"/>
  <c r="Q143" i="1" s="1"/>
  <c r="R143" i="1" s="1"/>
  <c r="S143" i="1" s="1"/>
  <c r="P2" i="1"/>
  <c r="Q2" i="1" s="1"/>
  <c r="R2" i="1" s="1"/>
  <c r="S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50" i="1"/>
  <c r="O16" i="1"/>
  <c r="O17" i="1"/>
  <c r="O18" i="1"/>
  <c r="O146" i="1"/>
  <c r="O151" i="1"/>
  <c r="O14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149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144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45" i="1"/>
  <c r="O134" i="1"/>
  <c r="O135" i="1"/>
  <c r="O136" i="1"/>
  <c r="O137" i="1"/>
  <c r="O138" i="1"/>
  <c r="O147" i="1"/>
  <c r="O139" i="1"/>
  <c r="O140" i="1"/>
  <c r="O141" i="1"/>
  <c r="O142" i="1"/>
  <c r="O143" i="1"/>
  <c r="O2" i="1"/>
  <c r="O15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50" i="1"/>
  <c r="N16" i="1"/>
  <c r="N17" i="1"/>
  <c r="N18" i="1"/>
  <c r="N146" i="1"/>
  <c r="N151" i="1"/>
  <c r="N14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149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144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45" i="1"/>
  <c r="N134" i="1"/>
  <c r="N135" i="1"/>
  <c r="N136" i="1"/>
  <c r="N137" i="1"/>
  <c r="N138" i="1"/>
  <c r="N147" i="1"/>
  <c r="N139" i="1"/>
  <c r="N140" i="1"/>
  <c r="N141" i="1"/>
  <c r="N142" i="1"/>
  <c r="N14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50" i="1"/>
  <c r="M16" i="1"/>
  <c r="M17" i="1"/>
  <c r="M18" i="1"/>
  <c r="M146" i="1"/>
  <c r="M151" i="1"/>
  <c r="M14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149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144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45" i="1"/>
  <c r="M134" i="1"/>
  <c r="M135" i="1"/>
  <c r="M136" i="1"/>
  <c r="M137" i="1"/>
  <c r="M138" i="1"/>
  <c r="M147" i="1"/>
  <c r="M139" i="1"/>
  <c r="M140" i="1"/>
  <c r="M141" i="1"/>
  <c r="M142" i="1"/>
  <c r="M143" i="1"/>
  <c r="M2" i="1"/>
  <c r="M152" i="1" l="1"/>
  <c r="N15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FA5B6-BCCF-472E-B778-062D733B5018}" name="pesel" type="6" refreshedVersion="8" background="1" saveData="1">
    <textPr codePage="852" sourceFile="C:\Users\oskar\Documents\DANE\pesel.txt" decimal="," thousands=" ">
      <textFields>
        <textField/>
      </textFields>
    </textPr>
  </connection>
  <connection id="2" xr16:uid="{2C773E4B-B60B-4A70-9073-39CAF9E39F97}" name="pesel zamieniene" type="6" refreshedVersion="8" background="1" saveData="1">
    <textPr codePage="852" sourceFile="C:\Users\oskar\Documents\DANE\pesel zamieniene.txt" delimited="0" decimal="," thousands=" ">
      <textFields count="11">
        <textField/>
        <textField position="1"/>
        <textField position="3"/>
        <textField position="5"/>
        <textField position="7"/>
        <textField position="9"/>
        <textField position="11"/>
        <textField position="13"/>
        <textField position="15"/>
        <textField position="17"/>
        <textField position="19"/>
      </textFields>
    </textPr>
  </connection>
</connections>
</file>

<file path=xl/sharedStrings.xml><?xml version="1.0" encoding="utf-8"?>
<sst xmlns="http://schemas.openxmlformats.org/spreadsheetml/2006/main" count="9" uniqueCount="9">
  <si>
    <t>pesel</t>
  </si>
  <si>
    <t>liczba osob urodzonych w grudniu</t>
  </si>
  <si>
    <t>liczba kobiet</t>
  </si>
  <si>
    <t xml:space="preserve"> </t>
  </si>
  <si>
    <t>waga</t>
  </si>
  <si>
    <t>lata</t>
  </si>
  <si>
    <t>reszta</t>
  </si>
  <si>
    <t>c. kontrolna</t>
  </si>
  <si>
    <t>czy cyfra kontrolna jest dobra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</si>
</sst>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Wartość</a:t>
            </a:r>
            <a:r>
              <a:rPr lang="pl-PL" baseline="0"/>
              <a:t> procentowa osób urodzonych w poszczegolnych latach</a:t>
            </a:r>
          </a:p>
        </c:rich>
      </c:tx>
      <c:layout>
        <c:manualLayout>
          <c:xMode val="edge"/>
          <c:yMode val="edge"/>
          <c:x val="0.1555833333333333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Arkusz1!$R$153:$R$157</c:f>
              <c:numCache>
                <c:formatCode>General</c:formatCode>
                <c:ptCount val="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</c:numCache>
            </c:numRef>
          </c:cat>
          <c:val>
            <c:numRef>
              <c:f>Arkusz1!$S$153:$S$157</c:f>
              <c:numCache>
                <c:formatCode>0.00%</c:formatCode>
                <c:ptCount val="5"/>
                <c:pt idx="0">
                  <c:v>0.14666666666666667</c:v>
                </c:pt>
                <c:pt idx="1">
                  <c:v>0.18666666666666668</c:v>
                </c:pt>
                <c:pt idx="2">
                  <c:v>0.24</c:v>
                </c:pt>
                <c:pt idx="3">
                  <c:v>0.38666666666666666</c:v>
                </c:pt>
                <c:pt idx="4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E-4564-AC14-DA71DE99CA8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33439</xdr:colOff>
      <xdr:row>152</xdr:row>
      <xdr:rowOff>44990</xdr:rowOff>
    </xdr:from>
    <xdr:to>
      <xdr:col>15</xdr:col>
      <xdr:colOff>44080</xdr:colOff>
      <xdr:row>166</xdr:row>
      <xdr:rowOff>121190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3EC06AA4-A06F-45C7-A124-4F9AE920F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sel zamieniene" connectionId="2" xr16:uid="{0F426C9E-3274-441C-AA21-CFCD442957CC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sel" connectionId="1" xr16:uid="{48D26D1E-D17F-4226-AF3F-C845B6551FD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9D28-980F-4E83-B700-06A5AF5E1176}">
  <dimension ref="A1:U158"/>
  <sheetViews>
    <sheetView tabSelected="1" topLeftCell="A132" zoomScale="145" zoomScaleNormal="145" workbookViewId="0">
      <selection activeCell="Q159" sqref="Q159"/>
    </sheetView>
  </sheetViews>
  <sheetFormatPr defaultRowHeight="15" x14ac:dyDescent="0.25"/>
  <cols>
    <col min="1" max="1" width="17.42578125" customWidth="1"/>
    <col min="2" max="12" width="2" bestFit="1" customWidth="1"/>
    <col min="13" max="13" width="31.42578125" bestFit="1" customWidth="1"/>
    <col min="14" max="14" width="12.140625" bestFit="1" customWidth="1"/>
    <col min="18" max="18" width="11.42578125" bestFit="1" customWidth="1"/>
    <col min="19" max="19" width="27.28515625" bestFit="1" customWidth="1"/>
  </cols>
  <sheetData>
    <row r="1" spans="1:21" x14ac:dyDescent="0.25">
      <c r="A1" t="s">
        <v>0</v>
      </c>
      <c r="M1" t="s">
        <v>1</v>
      </c>
      <c r="N1" t="s">
        <v>2</v>
      </c>
      <c r="O1" t="s">
        <v>5</v>
      </c>
      <c r="P1" t="s">
        <v>4</v>
      </c>
      <c r="Q1" t="s">
        <v>6</v>
      </c>
      <c r="R1" t="s">
        <v>7</v>
      </c>
      <c r="S1" t="s">
        <v>8</v>
      </c>
    </row>
    <row r="2" spans="1:21" x14ac:dyDescent="0.25">
      <c r="A2">
        <v>53082806059</v>
      </c>
      <c r="B2">
        <v>5</v>
      </c>
      <c r="C2">
        <v>3</v>
      </c>
      <c r="D2">
        <v>0</v>
      </c>
      <c r="E2">
        <v>8</v>
      </c>
      <c r="F2">
        <v>2</v>
      </c>
      <c r="G2">
        <v>8</v>
      </c>
      <c r="H2">
        <v>0</v>
      </c>
      <c r="I2">
        <v>6</v>
      </c>
      <c r="J2">
        <v>0</v>
      </c>
      <c r="K2">
        <v>5</v>
      </c>
      <c r="L2">
        <v>9</v>
      </c>
      <c r="M2">
        <f>IF(AND(D3=1,E3=2),1,0)</f>
        <v>0</v>
      </c>
      <c r="N2">
        <f>IF(ISEVEN(K2),1,0)</f>
        <v>0</v>
      </c>
      <c r="O2">
        <f>19*100+B2*10+C2</f>
        <v>1953</v>
      </c>
      <c r="P2">
        <f>B2*1+C2*3+D2*7+E2*9+F2*1+G2*3+H2*7+I2*9+J2*1+K2*3</f>
        <v>181</v>
      </c>
      <c r="Q2">
        <f>MOD(P2,10)</f>
        <v>1</v>
      </c>
      <c r="R2">
        <f>IF(Q2=0,0,10-Q2)</f>
        <v>9</v>
      </c>
      <c r="S2">
        <f>IF(R2=L2,0,A2)</f>
        <v>0</v>
      </c>
      <c r="U2">
        <v>5</v>
      </c>
    </row>
    <row r="3" spans="1:21" x14ac:dyDescent="0.25">
      <c r="A3">
        <v>89100192752</v>
      </c>
      <c r="B3">
        <v>8</v>
      </c>
      <c r="C3">
        <v>9</v>
      </c>
      <c r="D3">
        <v>1</v>
      </c>
      <c r="E3">
        <v>0</v>
      </c>
      <c r="F3">
        <v>0</v>
      </c>
      <c r="G3">
        <v>1</v>
      </c>
      <c r="H3">
        <v>9</v>
      </c>
      <c r="I3">
        <v>2</v>
      </c>
      <c r="J3">
        <v>7</v>
      </c>
      <c r="K3">
        <v>5</v>
      </c>
      <c r="L3">
        <v>2</v>
      </c>
      <c r="M3">
        <f>IF(AND(D4=1,E4=2),1,0)</f>
        <v>0</v>
      </c>
      <c r="N3">
        <f>IF(ISEVEN(K3),1,0)</f>
        <v>0</v>
      </c>
      <c r="O3">
        <f>19*100+B3*10+C3</f>
        <v>1989</v>
      </c>
      <c r="P3">
        <f>B3*1+C3*3+D3*7+E3*9+F3*1+G3*3+H3*7+I3*9+J3*1+K3*3</f>
        <v>148</v>
      </c>
      <c r="Q3">
        <f>MOD(P3,10)</f>
        <v>8</v>
      </c>
      <c r="R3">
        <f>IF(Q3=0,0,10-Q3)</f>
        <v>2</v>
      </c>
      <c r="S3">
        <f>IF(R3=L3,0,A3)</f>
        <v>0</v>
      </c>
      <c r="U3">
        <v>8</v>
      </c>
    </row>
    <row r="4" spans="1:21" x14ac:dyDescent="0.25">
      <c r="A4">
        <v>85111779283</v>
      </c>
      <c r="B4">
        <v>8</v>
      </c>
      <c r="C4">
        <v>5</v>
      </c>
      <c r="D4">
        <v>1</v>
      </c>
      <c r="E4">
        <v>1</v>
      </c>
      <c r="F4">
        <v>1</v>
      </c>
      <c r="G4">
        <v>7</v>
      </c>
      <c r="H4">
        <v>7</v>
      </c>
      <c r="I4">
        <v>9</v>
      </c>
      <c r="J4">
        <v>2</v>
      </c>
      <c r="K4">
        <v>8</v>
      </c>
      <c r="L4">
        <v>3</v>
      </c>
      <c r="M4">
        <f>IF(AND(D5=1,E5=2),1,0)</f>
        <v>0</v>
      </c>
      <c r="N4">
        <f>IF(ISEVEN(K4),1,0)</f>
        <v>1</v>
      </c>
      <c r="O4">
        <f>19*100+B4*10+C4</f>
        <v>1985</v>
      </c>
      <c r="P4">
        <f>B4*1+C4*3+D4*7+E4*9+F4*1+G4*3+H4*7+I4*9+J4*1+K4*3</f>
        <v>217</v>
      </c>
      <c r="Q4">
        <f>MOD(P4,10)</f>
        <v>7</v>
      </c>
      <c r="R4">
        <f>IF(Q4=0,0,10-Q4)</f>
        <v>3</v>
      </c>
      <c r="S4">
        <f>IF(R4=L4,0,A4)</f>
        <v>0</v>
      </c>
      <c r="U4">
        <v>8</v>
      </c>
    </row>
    <row r="5" spans="1:21" x14ac:dyDescent="0.25">
      <c r="A5">
        <v>86080941169</v>
      </c>
      <c r="B5">
        <v>8</v>
      </c>
      <c r="C5">
        <v>6</v>
      </c>
      <c r="D5">
        <v>0</v>
      </c>
      <c r="E5">
        <v>8</v>
      </c>
      <c r="F5">
        <v>0</v>
      </c>
      <c r="G5">
        <v>9</v>
      </c>
      <c r="H5">
        <v>4</v>
      </c>
      <c r="I5">
        <v>1</v>
      </c>
      <c r="J5">
        <v>1</v>
      </c>
      <c r="K5">
        <v>6</v>
      </c>
      <c r="L5">
        <v>9</v>
      </c>
      <c r="M5">
        <f>IF(AND(D6=1,E6=2),1,0)</f>
        <v>0</v>
      </c>
      <c r="N5">
        <f>IF(ISEVEN(K5),1,0)</f>
        <v>1</v>
      </c>
      <c r="O5">
        <f>19*100+B5*10+C5</f>
        <v>1986</v>
      </c>
      <c r="P5">
        <f>B5*1+C5*3+D5*7+E5*9+F5*1+G5*3+H5*7+I5*9+J5*1+K5*3</f>
        <v>181</v>
      </c>
      <c r="Q5">
        <f>MOD(P5,10)</f>
        <v>1</v>
      </c>
      <c r="R5">
        <f>IF(Q5=0,0,10-Q5)</f>
        <v>9</v>
      </c>
      <c r="S5">
        <f>IF(R5=L5,0,A5)</f>
        <v>0</v>
      </c>
      <c r="U5">
        <v>8</v>
      </c>
    </row>
    <row r="6" spans="1:21" x14ac:dyDescent="0.25">
      <c r="A6">
        <v>89011129700</v>
      </c>
      <c r="B6">
        <v>8</v>
      </c>
      <c r="C6">
        <v>9</v>
      </c>
      <c r="D6">
        <v>0</v>
      </c>
      <c r="E6">
        <v>1</v>
      </c>
      <c r="F6">
        <v>1</v>
      </c>
      <c r="G6">
        <v>1</v>
      </c>
      <c r="H6">
        <v>2</v>
      </c>
      <c r="I6">
        <v>9</v>
      </c>
      <c r="J6">
        <v>7</v>
      </c>
      <c r="K6">
        <v>0</v>
      </c>
      <c r="L6">
        <v>0</v>
      </c>
      <c r="M6">
        <f>IF(AND(D7=1,E7=2),1,0)</f>
        <v>0</v>
      </c>
      <c r="N6">
        <f>IF(ISEVEN(K6),1,0)</f>
        <v>1</v>
      </c>
      <c r="O6">
        <f>19*100+B6*10+C6</f>
        <v>1989</v>
      </c>
      <c r="P6">
        <f>B6*1+C6*3+D6*7+E6*9+F6*1+G6*3+H6*7+I6*9+J6*1+K6*3</f>
        <v>150</v>
      </c>
      <c r="Q6">
        <f>MOD(P6,10)</f>
        <v>0</v>
      </c>
      <c r="R6">
        <f>IF(Q6=0,0,10-Q6)</f>
        <v>0</v>
      </c>
      <c r="S6">
        <f>IF(R6=L6,0,A6)</f>
        <v>0</v>
      </c>
      <c r="U6">
        <v>8</v>
      </c>
    </row>
    <row r="7" spans="1:21" x14ac:dyDescent="0.25">
      <c r="A7">
        <v>62033089803</v>
      </c>
      <c r="B7">
        <v>6</v>
      </c>
      <c r="C7">
        <v>2</v>
      </c>
      <c r="D7">
        <v>0</v>
      </c>
      <c r="E7">
        <v>3</v>
      </c>
      <c r="F7">
        <v>3</v>
      </c>
      <c r="G7">
        <v>0</v>
      </c>
      <c r="H7">
        <v>8</v>
      </c>
      <c r="I7">
        <v>9</v>
      </c>
      <c r="J7">
        <v>8</v>
      </c>
      <c r="K7">
        <v>0</v>
      </c>
      <c r="L7">
        <v>3</v>
      </c>
      <c r="M7">
        <f>IF(AND(D8=1,E8=2),1,0)</f>
        <v>0</v>
      </c>
      <c r="N7">
        <f>IF(ISEVEN(K7),1,0)</f>
        <v>1</v>
      </c>
      <c r="O7">
        <f>19*100+B7*10+C7</f>
        <v>1962</v>
      </c>
      <c r="P7">
        <f>B7*1+C7*3+D7*7+E7*9+F7*1+G7*3+H7*7+I7*9+J7*1+K7*3</f>
        <v>187</v>
      </c>
      <c r="Q7">
        <f>MOD(P7,10)</f>
        <v>7</v>
      </c>
      <c r="R7">
        <f>IF(Q7=0,0,10-Q7)</f>
        <v>3</v>
      </c>
      <c r="S7">
        <f>IF(R7=L7,0,A7)</f>
        <v>0</v>
      </c>
      <c r="U7">
        <v>6</v>
      </c>
    </row>
    <row r="8" spans="1:21" x14ac:dyDescent="0.25">
      <c r="A8">
        <v>62092569090</v>
      </c>
      <c r="B8">
        <v>6</v>
      </c>
      <c r="C8">
        <v>2</v>
      </c>
      <c r="D8">
        <v>0</v>
      </c>
      <c r="E8">
        <v>9</v>
      </c>
      <c r="F8">
        <v>2</v>
      </c>
      <c r="G8">
        <v>5</v>
      </c>
      <c r="H8">
        <v>6</v>
      </c>
      <c r="I8">
        <v>9</v>
      </c>
      <c r="J8">
        <v>0</v>
      </c>
      <c r="K8">
        <v>9</v>
      </c>
      <c r="L8">
        <v>0</v>
      </c>
      <c r="M8">
        <f>IF(AND(D9=1,E9=2),1,0)</f>
        <v>0</v>
      </c>
      <c r="N8">
        <f>IF(ISEVEN(K8),1,0)</f>
        <v>0</v>
      </c>
      <c r="O8">
        <f>19*100+B8*10+C8</f>
        <v>1962</v>
      </c>
      <c r="P8">
        <f>B8*1+C8*3+D8*7+E8*9+F8*1+G8*3+H8*7+I8*9+J8*1+K8*3</f>
        <v>260</v>
      </c>
      <c r="Q8">
        <f>MOD(P8,10)</f>
        <v>0</v>
      </c>
      <c r="R8">
        <f>IF(Q8=0,0,10-Q8)</f>
        <v>0</v>
      </c>
      <c r="S8">
        <f>IF(R8=L8,0,A8)</f>
        <v>0</v>
      </c>
      <c r="U8">
        <v>6</v>
      </c>
    </row>
    <row r="9" spans="1:21" x14ac:dyDescent="0.25">
      <c r="A9">
        <v>64063159211</v>
      </c>
      <c r="B9">
        <v>6</v>
      </c>
      <c r="C9">
        <v>4</v>
      </c>
      <c r="D9">
        <v>0</v>
      </c>
      <c r="E9">
        <v>6</v>
      </c>
      <c r="F9">
        <v>3</v>
      </c>
      <c r="G9">
        <v>1</v>
      </c>
      <c r="H9">
        <v>5</v>
      </c>
      <c r="I9">
        <v>9</v>
      </c>
      <c r="J9">
        <v>2</v>
      </c>
      <c r="K9">
        <v>1</v>
      </c>
      <c r="L9">
        <v>1</v>
      </c>
      <c r="M9">
        <f>IF(AND(D10=1,E10=2),1,0)</f>
        <v>1</v>
      </c>
      <c r="N9">
        <f>IF(ISEVEN(K9),1,0)</f>
        <v>0</v>
      </c>
      <c r="O9">
        <f>19*100+B9*10+C9</f>
        <v>1964</v>
      </c>
      <c r="P9">
        <f>B9*1+C9*3+D9*7+E9*9+F9*1+G9*3+H9*7+I9*9+J9*1+K9*3</f>
        <v>199</v>
      </c>
      <c r="Q9">
        <f>MOD(P9,10)</f>
        <v>9</v>
      </c>
      <c r="R9">
        <f>IF(Q9=0,0,10-Q9)</f>
        <v>1</v>
      </c>
      <c r="S9">
        <f>IF(R9=L9,0,A9)</f>
        <v>0</v>
      </c>
      <c r="U9">
        <v>6</v>
      </c>
    </row>
    <row r="10" spans="1:21" x14ac:dyDescent="0.25">
      <c r="A10">
        <v>88120262427</v>
      </c>
      <c r="B10">
        <v>8</v>
      </c>
      <c r="C10">
        <v>8</v>
      </c>
      <c r="D10">
        <v>1</v>
      </c>
      <c r="E10">
        <v>2</v>
      </c>
      <c r="F10">
        <v>0</v>
      </c>
      <c r="G10">
        <v>2</v>
      </c>
      <c r="H10">
        <v>6</v>
      </c>
      <c r="I10">
        <v>2</v>
      </c>
      <c r="J10">
        <v>4</v>
      </c>
      <c r="K10">
        <v>2</v>
      </c>
      <c r="L10">
        <v>7</v>
      </c>
      <c r="M10">
        <f>IF(AND(D11=1,E11=2),1,0)</f>
        <v>1</v>
      </c>
      <c r="N10">
        <f>IF(ISEVEN(K10),1,0)</f>
        <v>1</v>
      </c>
      <c r="O10">
        <f>19*100+B10*10+C10</f>
        <v>1988</v>
      </c>
      <c r="P10">
        <f>B10*1+C10*3+D10*7+E10*9+F10*1+G10*3+H10*7+I10*9+J10*1+K10*3</f>
        <v>133</v>
      </c>
      <c r="Q10">
        <f>MOD(P10,10)</f>
        <v>3</v>
      </c>
      <c r="R10">
        <f>IF(Q10=0,0,10-Q10)</f>
        <v>7</v>
      </c>
      <c r="S10">
        <f>IF(R10=L10,0,A10)</f>
        <v>0</v>
      </c>
      <c r="U10">
        <v>8</v>
      </c>
    </row>
    <row r="11" spans="1:21" x14ac:dyDescent="0.25">
      <c r="A11">
        <v>75121005045</v>
      </c>
      <c r="B11">
        <v>7</v>
      </c>
      <c r="C11">
        <v>5</v>
      </c>
      <c r="D11">
        <v>1</v>
      </c>
      <c r="E11">
        <v>2</v>
      </c>
      <c r="F11">
        <v>1</v>
      </c>
      <c r="G11">
        <v>0</v>
      </c>
      <c r="H11">
        <v>0</v>
      </c>
      <c r="I11">
        <v>5</v>
      </c>
      <c r="J11">
        <v>0</v>
      </c>
      <c r="K11">
        <v>4</v>
      </c>
      <c r="L11">
        <v>5</v>
      </c>
      <c r="M11">
        <f>IF(AND(D12=1,E12=2),1,0)</f>
        <v>1</v>
      </c>
      <c r="N11">
        <f>IF(ISEVEN(K11),1,0)</f>
        <v>1</v>
      </c>
      <c r="O11">
        <f>19*100+B11*10+C11</f>
        <v>1975</v>
      </c>
      <c r="P11">
        <f>B11*1+C11*3+D11*7+E11*9+F11*1+G11*3+H11*7+I11*9+J11*1+K11*3</f>
        <v>105</v>
      </c>
      <c r="Q11">
        <f>MOD(P11,10)</f>
        <v>5</v>
      </c>
      <c r="R11">
        <f>IF(Q11=0,0,10-Q11)</f>
        <v>5</v>
      </c>
      <c r="S11">
        <f>IF(R11=L11,0,A11)</f>
        <v>0</v>
      </c>
      <c r="U11">
        <v>7</v>
      </c>
    </row>
    <row r="12" spans="1:21" x14ac:dyDescent="0.25">
      <c r="A12">
        <v>74121108598</v>
      </c>
      <c r="B12">
        <v>7</v>
      </c>
      <c r="C12">
        <v>4</v>
      </c>
      <c r="D12">
        <v>1</v>
      </c>
      <c r="E12">
        <v>2</v>
      </c>
      <c r="F12">
        <v>1</v>
      </c>
      <c r="G12">
        <v>1</v>
      </c>
      <c r="H12">
        <v>0</v>
      </c>
      <c r="I12">
        <v>8</v>
      </c>
      <c r="J12">
        <v>5</v>
      </c>
      <c r="K12">
        <v>9</v>
      </c>
      <c r="L12">
        <v>8</v>
      </c>
      <c r="M12">
        <f>IF(AND(D13=1,E13=2),1,0)</f>
        <v>0</v>
      </c>
      <c r="N12">
        <f>IF(ISEVEN(K12),1,0)</f>
        <v>0</v>
      </c>
      <c r="O12">
        <f>19*100+B12*10+C12</f>
        <v>1974</v>
      </c>
      <c r="P12">
        <f>B12*1+C12*3+D12*7+E12*9+F12*1+G12*3+H12*7+I12*9+J12*1+K12*3</f>
        <v>152</v>
      </c>
      <c r="Q12">
        <f>MOD(P12,10)</f>
        <v>2</v>
      </c>
      <c r="R12">
        <f>IF(Q12=0,0,10-Q12)</f>
        <v>8</v>
      </c>
      <c r="S12">
        <f>IF(R12=L12,0,A12)</f>
        <v>0</v>
      </c>
      <c r="U12">
        <v>7</v>
      </c>
    </row>
    <row r="13" spans="1:21" x14ac:dyDescent="0.25">
      <c r="A13">
        <v>67112966668</v>
      </c>
      <c r="B13">
        <v>6</v>
      </c>
      <c r="C13">
        <v>7</v>
      </c>
      <c r="D13">
        <v>1</v>
      </c>
      <c r="E13">
        <v>1</v>
      </c>
      <c r="F13">
        <v>2</v>
      </c>
      <c r="G13">
        <v>9</v>
      </c>
      <c r="H13">
        <v>6</v>
      </c>
      <c r="I13">
        <v>6</v>
      </c>
      <c r="J13">
        <v>6</v>
      </c>
      <c r="K13">
        <v>6</v>
      </c>
      <c r="L13">
        <v>8</v>
      </c>
      <c r="M13">
        <f>IF(AND(D14=1,E14=2),1,0)</f>
        <v>0</v>
      </c>
      <c r="N13">
        <f>IF(ISEVEN(K13),1,0)</f>
        <v>1</v>
      </c>
      <c r="O13">
        <f>19*100+B13*10+C13</f>
        <v>1967</v>
      </c>
      <c r="P13">
        <f>B13*1+C13*3+D13*7+E13*9+F13*1+G13*3+H13*7+I13*9+J13*1+K13*3</f>
        <v>192</v>
      </c>
      <c r="Q13">
        <f>MOD(P13,10)</f>
        <v>2</v>
      </c>
      <c r="R13">
        <f>IF(Q13=0,0,10-Q13)</f>
        <v>8</v>
      </c>
      <c r="S13">
        <f>IF(R13=L13,0,A13)</f>
        <v>0</v>
      </c>
      <c r="U13">
        <v>6</v>
      </c>
    </row>
    <row r="14" spans="1:21" x14ac:dyDescent="0.25">
      <c r="A14">
        <v>89010737704</v>
      </c>
      <c r="B14">
        <v>8</v>
      </c>
      <c r="C14">
        <v>9</v>
      </c>
      <c r="D14">
        <v>0</v>
      </c>
      <c r="E14">
        <v>1</v>
      </c>
      <c r="F14">
        <v>0</v>
      </c>
      <c r="G14">
        <v>7</v>
      </c>
      <c r="H14">
        <v>3</v>
      </c>
      <c r="I14">
        <v>7</v>
      </c>
      <c r="J14">
        <v>7</v>
      </c>
      <c r="K14">
        <v>0</v>
      </c>
      <c r="L14">
        <v>4</v>
      </c>
      <c r="M14">
        <f>IF(AND(D15=1,E15=2),1,0)</f>
        <v>0</v>
      </c>
      <c r="N14">
        <f>IF(ISEVEN(K14),1,0)</f>
        <v>1</v>
      </c>
      <c r="O14">
        <f>19*100+B14*10+C14</f>
        <v>1989</v>
      </c>
      <c r="P14">
        <f>B14*1+C14*3+D14*7+E14*9+F14*1+G14*3+H14*7+I14*9+J14*1+K14*3</f>
        <v>156</v>
      </c>
      <c r="Q14">
        <f>MOD(P14,10)</f>
        <v>6</v>
      </c>
      <c r="R14">
        <f>IF(Q14=0,0,10-Q14)</f>
        <v>4</v>
      </c>
      <c r="S14">
        <f>IF(R14=L14,0,A14)</f>
        <v>0</v>
      </c>
      <c r="U14">
        <v>8</v>
      </c>
    </row>
    <row r="15" spans="1:21" x14ac:dyDescent="0.25">
      <c r="A15">
        <v>52101156863</v>
      </c>
      <c r="B15">
        <v>5</v>
      </c>
      <c r="C15">
        <v>2</v>
      </c>
      <c r="D15">
        <v>1</v>
      </c>
      <c r="E15">
        <v>0</v>
      </c>
      <c r="F15">
        <v>1</v>
      </c>
      <c r="G15">
        <v>1</v>
      </c>
      <c r="H15">
        <v>5</v>
      </c>
      <c r="I15">
        <v>6</v>
      </c>
      <c r="J15">
        <v>8</v>
      </c>
      <c r="K15">
        <v>6</v>
      </c>
      <c r="L15">
        <v>3</v>
      </c>
      <c r="M15">
        <f>IF(AND(D16=1,E16=2),1,0)</f>
        <v>0</v>
      </c>
      <c r="N15">
        <f>IF(ISEVEN(K15),1,0)</f>
        <v>1</v>
      </c>
      <c r="O15">
        <f>19*100+B15*10+C15</f>
        <v>1952</v>
      </c>
      <c r="P15">
        <f>B15*1+C15*3+D15*7+E15*9+F15*1+G15*3+H15*7+I15*9+J15*1+K15*3</f>
        <v>137</v>
      </c>
      <c r="Q15">
        <f>MOD(P15,10)</f>
        <v>7</v>
      </c>
      <c r="R15">
        <f>IF(Q15=0,0,10-Q15)</f>
        <v>3</v>
      </c>
      <c r="S15">
        <f>IF(R15=L15,0,A15)</f>
        <v>0</v>
      </c>
      <c r="U15">
        <v>5</v>
      </c>
    </row>
    <row r="16" spans="1:21" x14ac:dyDescent="0.25">
      <c r="A16">
        <v>75032006098</v>
      </c>
      <c r="B16">
        <v>7</v>
      </c>
      <c r="C16">
        <v>5</v>
      </c>
      <c r="D16">
        <v>0</v>
      </c>
      <c r="E16">
        <v>3</v>
      </c>
      <c r="F16">
        <v>2</v>
      </c>
      <c r="G16">
        <v>0</v>
      </c>
      <c r="H16">
        <v>0</v>
      </c>
      <c r="I16">
        <v>6</v>
      </c>
      <c r="J16">
        <v>0</v>
      </c>
      <c r="K16">
        <v>9</v>
      </c>
      <c r="L16">
        <v>8</v>
      </c>
      <c r="M16">
        <f>IF(AND(D17=1,E17=2),1,0)</f>
        <v>0</v>
      </c>
      <c r="N16">
        <f>IF(ISEVEN(K16),1,0)</f>
        <v>0</v>
      </c>
      <c r="O16">
        <f>19*100+B16*10+C16</f>
        <v>1975</v>
      </c>
      <c r="P16">
        <f>B16*1+C16*3+D16*7+E16*9+F16*1+G16*3+H16*7+I16*9+J16*1+K16*3</f>
        <v>132</v>
      </c>
      <c r="Q16">
        <f>MOD(P16,10)</f>
        <v>2</v>
      </c>
      <c r="R16">
        <f>IF(Q16=0,0,10-Q16)</f>
        <v>8</v>
      </c>
      <c r="S16">
        <f>IF(R16=L16,0,A16)</f>
        <v>0</v>
      </c>
      <c r="U16">
        <v>7</v>
      </c>
    </row>
    <row r="17" spans="1:21" x14ac:dyDescent="0.25">
      <c r="A17">
        <v>55110906690</v>
      </c>
      <c r="B17">
        <v>5</v>
      </c>
      <c r="C17">
        <v>5</v>
      </c>
      <c r="D17">
        <v>1</v>
      </c>
      <c r="E17">
        <v>1</v>
      </c>
      <c r="F17">
        <v>0</v>
      </c>
      <c r="G17">
        <v>9</v>
      </c>
      <c r="H17">
        <v>0</v>
      </c>
      <c r="I17">
        <v>6</v>
      </c>
      <c r="J17">
        <v>6</v>
      </c>
      <c r="K17">
        <v>9</v>
      </c>
      <c r="L17">
        <v>0</v>
      </c>
      <c r="M17">
        <f>IF(AND(D18=1,E18=2),1,0)</f>
        <v>0</v>
      </c>
      <c r="N17">
        <f>IF(ISEVEN(K17),1,0)</f>
        <v>0</v>
      </c>
      <c r="O17">
        <f>19*100+B17*10+C17</f>
        <v>1955</v>
      </c>
      <c r="P17">
        <f>B17*1+C17*3+D17*7+E17*9+F17*1+G17*3+H17*7+I17*9+J17*1+K17*3</f>
        <v>150</v>
      </c>
      <c r="Q17">
        <f>MOD(P17,10)</f>
        <v>0</v>
      </c>
      <c r="R17">
        <f>IF(Q17=0,0,10-Q17)</f>
        <v>0</v>
      </c>
      <c r="S17">
        <f>IF(R17=L17,0,A17)</f>
        <v>0</v>
      </c>
      <c r="U17">
        <v>5</v>
      </c>
    </row>
    <row r="18" spans="1:21" x14ac:dyDescent="0.25">
      <c r="A18">
        <v>67103111042</v>
      </c>
      <c r="B18">
        <v>6</v>
      </c>
      <c r="C18">
        <v>7</v>
      </c>
      <c r="D18">
        <v>1</v>
      </c>
      <c r="E18">
        <v>0</v>
      </c>
      <c r="F18">
        <v>3</v>
      </c>
      <c r="G18">
        <v>1</v>
      </c>
      <c r="H18">
        <v>1</v>
      </c>
      <c r="I18">
        <v>1</v>
      </c>
      <c r="J18">
        <v>0</v>
      </c>
      <c r="K18">
        <v>4</v>
      </c>
      <c r="L18">
        <v>2</v>
      </c>
      <c r="M18">
        <f>IF(AND(D19=1,E19=2),1,0)</f>
        <v>0</v>
      </c>
      <c r="N18">
        <f>IF(ISEVEN(K18),1,0)</f>
        <v>1</v>
      </c>
      <c r="O18">
        <f>19*100+B18*10+C18</f>
        <v>1967</v>
      </c>
      <c r="P18">
        <f>B18*1+C18*3+D18*7+E18*9+F18*1+G18*3+H18*7+I18*9+J18*1+K18*3</f>
        <v>68</v>
      </c>
      <c r="Q18">
        <f>MOD(P18,10)</f>
        <v>8</v>
      </c>
      <c r="R18">
        <f>IF(Q18=0,0,10-Q18)</f>
        <v>2</v>
      </c>
      <c r="S18">
        <f>IF(R18=L18,0,A18)</f>
        <v>0</v>
      </c>
      <c r="U18">
        <v>6</v>
      </c>
    </row>
    <row r="19" spans="1:21" x14ac:dyDescent="0.25">
      <c r="A19">
        <v>86072032543</v>
      </c>
      <c r="B19">
        <v>8</v>
      </c>
      <c r="C19">
        <v>6</v>
      </c>
      <c r="D19">
        <v>0</v>
      </c>
      <c r="E19">
        <v>7</v>
      </c>
      <c r="F19">
        <v>2</v>
      </c>
      <c r="G19">
        <v>0</v>
      </c>
      <c r="H19">
        <v>3</v>
      </c>
      <c r="I19">
        <v>2</v>
      </c>
      <c r="J19">
        <v>5</v>
      </c>
      <c r="K19">
        <v>4</v>
      </c>
      <c r="L19">
        <v>3</v>
      </c>
      <c r="M19">
        <f>IF(AND(D20=1,E20=2),1,0)</f>
        <v>0</v>
      </c>
      <c r="N19">
        <f>IF(ISEVEN(K19),1,0)</f>
        <v>1</v>
      </c>
      <c r="O19">
        <f>19*100+B19*10+C19</f>
        <v>1986</v>
      </c>
      <c r="P19">
        <f>B19*1+C19*3+D19*7+E19*9+F19*1+G19*3+H19*7+I19*9+J19*1+K19*3</f>
        <v>147</v>
      </c>
      <c r="Q19">
        <f>MOD(P19,10)</f>
        <v>7</v>
      </c>
      <c r="R19">
        <f>IF(Q19=0,0,10-Q19)</f>
        <v>3</v>
      </c>
      <c r="S19">
        <f>IF(R19=L19,0,A19)</f>
        <v>0</v>
      </c>
      <c r="U19">
        <v>8</v>
      </c>
    </row>
    <row r="20" spans="1:21" x14ac:dyDescent="0.25">
      <c r="A20">
        <v>71110410883</v>
      </c>
      <c r="B20">
        <v>7</v>
      </c>
      <c r="C20">
        <v>1</v>
      </c>
      <c r="D20">
        <v>1</v>
      </c>
      <c r="E20">
        <v>1</v>
      </c>
      <c r="F20">
        <v>0</v>
      </c>
      <c r="G20">
        <v>4</v>
      </c>
      <c r="H20">
        <v>1</v>
      </c>
      <c r="I20">
        <v>0</v>
      </c>
      <c r="J20">
        <v>8</v>
      </c>
      <c r="K20">
        <v>8</v>
      </c>
      <c r="L20">
        <v>3</v>
      </c>
      <c r="M20">
        <f>IF(AND(D21=1,E21=2),1,0)</f>
        <v>0</v>
      </c>
      <c r="N20">
        <f>IF(ISEVEN(K20),1,0)</f>
        <v>1</v>
      </c>
      <c r="O20">
        <f>19*100+B20*10+C20</f>
        <v>1971</v>
      </c>
      <c r="P20">
        <f>B20*1+C20*3+D20*7+E20*9+F20*1+G20*3+H20*7+I20*9+J20*1+K20*3</f>
        <v>77</v>
      </c>
      <c r="Q20">
        <f>MOD(P20,10)</f>
        <v>7</v>
      </c>
      <c r="R20">
        <f>IF(Q20=0,0,10-Q20)</f>
        <v>3</v>
      </c>
      <c r="S20">
        <f>IF(R20=L20,0,A20)</f>
        <v>0</v>
      </c>
      <c r="U20">
        <v>7</v>
      </c>
    </row>
    <row r="21" spans="1:21" x14ac:dyDescent="0.25">
      <c r="A21">
        <v>73070871368</v>
      </c>
      <c r="B21">
        <v>7</v>
      </c>
      <c r="C21">
        <v>3</v>
      </c>
      <c r="D21">
        <v>0</v>
      </c>
      <c r="E21">
        <v>7</v>
      </c>
      <c r="F21">
        <v>0</v>
      </c>
      <c r="G21">
        <v>8</v>
      </c>
      <c r="H21">
        <v>7</v>
      </c>
      <c r="I21">
        <v>1</v>
      </c>
      <c r="J21">
        <v>3</v>
      </c>
      <c r="K21">
        <v>6</v>
      </c>
      <c r="L21">
        <v>8</v>
      </c>
      <c r="M21">
        <f>IF(AND(D22=1,E22=2),1,0)</f>
        <v>0</v>
      </c>
      <c r="N21">
        <f>IF(ISEVEN(K21),1,0)</f>
        <v>1</v>
      </c>
      <c r="O21">
        <f>19*100+B21*10+C21</f>
        <v>1973</v>
      </c>
      <c r="P21">
        <f>B21*1+C21*3+D21*7+E21*9+F21*1+G21*3+H21*7+I21*9+J21*1+K21*3</f>
        <v>182</v>
      </c>
      <c r="Q21">
        <f>MOD(P21,10)</f>
        <v>2</v>
      </c>
      <c r="R21">
        <f>IF(Q21=0,0,10-Q21)</f>
        <v>8</v>
      </c>
      <c r="S21">
        <f>IF(R21=L21,0,A21)</f>
        <v>0</v>
      </c>
      <c r="U21">
        <v>7</v>
      </c>
    </row>
    <row r="22" spans="1:21" x14ac:dyDescent="0.25">
      <c r="A22">
        <v>74040249598</v>
      </c>
      <c r="B22">
        <v>7</v>
      </c>
      <c r="C22">
        <v>4</v>
      </c>
      <c r="D22">
        <v>0</v>
      </c>
      <c r="E22">
        <v>4</v>
      </c>
      <c r="F22">
        <v>0</v>
      </c>
      <c r="G22">
        <v>2</v>
      </c>
      <c r="H22">
        <v>4</v>
      </c>
      <c r="I22">
        <v>9</v>
      </c>
      <c r="J22">
        <v>5</v>
      </c>
      <c r="K22">
        <v>9</v>
      </c>
      <c r="L22">
        <v>8</v>
      </c>
      <c r="M22">
        <f>IF(AND(D23=1,E23=2),1,0)</f>
        <v>0</v>
      </c>
      <c r="N22">
        <f>IF(ISEVEN(K22),1,0)</f>
        <v>0</v>
      </c>
      <c r="O22">
        <f>19*100+B22*10+C22</f>
        <v>1974</v>
      </c>
      <c r="P22">
        <f>B22*1+C22*3+D22*7+E22*9+F22*1+G22*3+H22*7+I22*9+J22*1+K22*3</f>
        <v>202</v>
      </c>
      <c r="Q22">
        <f>MOD(P22,10)</f>
        <v>2</v>
      </c>
      <c r="R22">
        <f>IF(Q22=0,0,10-Q22)</f>
        <v>8</v>
      </c>
      <c r="S22">
        <f>IF(R22=L22,0,A22)</f>
        <v>0</v>
      </c>
      <c r="U22">
        <v>7</v>
      </c>
    </row>
    <row r="23" spans="1:21" x14ac:dyDescent="0.25">
      <c r="A23">
        <v>85052135674</v>
      </c>
      <c r="B23">
        <v>8</v>
      </c>
      <c r="C23">
        <v>5</v>
      </c>
      <c r="D23">
        <v>0</v>
      </c>
      <c r="E23">
        <v>5</v>
      </c>
      <c r="F23">
        <v>2</v>
      </c>
      <c r="G23">
        <v>1</v>
      </c>
      <c r="H23">
        <v>3</v>
      </c>
      <c r="I23">
        <v>5</v>
      </c>
      <c r="J23">
        <v>6</v>
      </c>
      <c r="K23">
        <v>7</v>
      </c>
      <c r="L23">
        <v>4</v>
      </c>
      <c r="M23">
        <f>IF(AND(D24=1,E24=2),1,0)</f>
        <v>0</v>
      </c>
      <c r="N23">
        <f>IF(ISEVEN(K23),1,0)</f>
        <v>0</v>
      </c>
      <c r="O23">
        <f>19*100+B23*10+C23</f>
        <v>1985</v>
      </c>
      <c r="P23">
        <f>B23*1+C23*3+D23*7+E23*9+F23*1+G23*3+H23*7+I23*9+J23*1+K23*3</f>
        <v>166</v>
      </c>
      <c r="Q23">
        <f>MOD(P23,10)</f>
        <v>6</v>
      </c>
      <c r="R23">
        <f>IF(Q23=0,0,10-Q23)</f>
        <v>4</v>
      </c>
      <c r="S23">
        <f>IF(R23=L23,0,A23)</f>
        <v>0</v>
      </c>
      <c r="U23">
        <v>8</v>
      </c>
    </row>
    <row r="24" spans="1:21" x14ac:dyDescent="0.25">
      <c r="A24">
        <v>70053179170</v>
      </c>
      <c r="B24">
        <v>7</v>
      </c>
      <c r="C24">
        <v>0</v>
      </c>
      <c r="D24">
        <v>0</v>
      </c>
      <c r="E24">
        <v>5</v>
      </c>
      <c r="F24">
        <v>3</v>
      </c>
      <c r="G24">
        <v>1</v>
      </c>
      <c r="H24">
        <v>7</v>
      </c>
      <c r="I24">
        <v>9</v>
      </c>
      <c r="J24">
        <v>1</v>
      </c>
      <c r="K24">
        <v>7</v>
      </c>
      <c r="L24">
        <v>0</v>
      </c>
      <c r="M24">
        <f>IF(AND(D25=1,E25=2),1,0)</f>
        <v>0</v>
      </c>
      <c r="N24">
        <f>IF(ISEVEN(K24),1,0)</f>
        <v>0</v>
      </c>
      <c r="O24">
        <f>19*100+B24*10+C24</f>
        <v>1970</v>
      </c>
      <c r="P24">
        <f>B24*1+C24*3+D24*7+E24*9+F24*1+G24*3+H24*7+I24*9+J24*1+K24*3</f>
        <v>210</v>
      </c>
      <c r="Q24">
        <f>MOD(P24,10)</f>
        <v>0</v>
      </c>
      <c r="R24">
        <f>IF(Q24=0,0,10-Q24)</f>
        <v>0</v>
      </c>
      <c r="S24">
        <f>IF(R24=L24,0,A24)</f>
        <v>0</v>
      </c>
      <c r="U24">
        <v>7</v>
      </c>
    </row>
    <row r="25" spans="1:21" x14ac:dyDescent="0.25">
      <c r="A25">
        <v>89021468413</v>
      </c>
      <c r="B25">
        <v>8</v>
      </c>
      <c r="C25">
        <v>9</v>
      </c>
      <c r="D25">
        <v>0</v>
      </c>
      <c r="E25">
        <v>2</v>
      </c>
      <c r="F25">
        <v>1</v>
      </c>
      <c r="G25">
        <v>4</v>
      </c>
      <c r="H25">
        <v>6</v>
      </c>
      <c r="I25">
        <v>8</v>
      </c>
      <c r="J25">
        <v>4</v>
      </c>
      <c r="K25">
        <v>1</v>
      </c>
      <c r="L25">
        <v>3</v>
      </c>
      <c r="M25">
        <f>IF(AND(D26=1,E26=2),1,0)</f>
        <v>0</v>
      </c>
      <c r="N25">
        <f>IF(ISEVEN(K25),1,0)</f>
        <v>0</v>
      </c>
      <c r="O25">
        <f>19*100+B25*10+C25</f>
        <v>1989</v>
      </c>
      <c r="P25">
        <f>B25*1+C25*3+D25*7+E25*9+F25*1+G25*3+H25*7+I25*9+J25*1+K25*3</f>
        <v>187</v>
      </c>
      <c r="Q25">
        <f>MOD(P25,10)</f>
        <v>7</v>
      </c>
      <c r="R25">
        <f>IF(Q25=0,0,10-Q25)</f>
        <v>3</v>
      </c>
      <c r="S25">
        <f>IF(R25=L25,0,A25)</f>
        <v>0</v>
      </c>
      <c r="U25">
        <v>8</v>
      </c>
    </row>
    <row r="26" spans="1:21" x14ac:dyDescent="0.25">
      <c r="A26">
        <v>64040919575</v>
      </c>
      <c r="B26">
        <v>6</v>
      </c>
      <c r="C26">
        <v>4</v>
      </c>
      <c r="D26">
        <v>0</v>
      </c>
      <c r="E26">
        <v>4</v>
      </c>
      <c r="F26">
        <v>0</v>
      </c>
      <c r="G26">
        <v>9</v>
      </c>
      <c r="H26">
        <v>1</v>
      </c>
      <c r="I26">
        <v>9</v>
      </c>
      <c r="J26">
        <v>5</v>
      </c>
      <c r="K26">
        <v>7</v>
      </c>
      <c r="L26">
        <v>5</v>
      </c>
      <c r="M26">
        <f>IF(AND(D27=1,E27=2),1,0)</f>
        <v>0</v>
      </c>
      <c r="N26">
        <f>IF(ISEVEN(K26),1,0)</f>
        <v>0</v>
      </c>
      <c r="O26">
        <f>19*100+B26*10+C26</f>
        <v>1964</v>
      </c>
      <c r="P26">
        <f>B26*1+C26*3+D26*7+E26*9+F26*1+G26*3+H26*7+I26*9+J26*1+K26*3</f>
        <v>195</v>
      </c>
      <c r="Q26">
        <f>MOD(P26,10)</f>
        <v>5</v>
      </c>
      <c r="R26">
        <f>IF(Q26=0,0,10-Q26)</f>
        <v>5</v>
      </c>
      <c r="S26">
        <f>IF(R26=L26,0,A26)</f>
        <v>0</v>
      </c>
      <c r="U26">
        <v>6</v>
      </c>
    </row>
    <row r="27" spans="1:21" x14ac:dyDescent="0.25">
      <c r="A27">
        <v>66100294134</v>
      </c>
      <c r="B27">
        <v>6</v>
      </c>
      <c r="C27">
        <v>6</v>
      </c>
      <c r="D27">
        <v>1</v>
      </c>
      <c r="E27">
        <v>0</v>
      </c>
      <c r="F27">
        <v>0</v>
      </c>
      <c r="G27">
        <v>2</v>
      </c>
      <c r="H27">
        <v>9</v>
      </c>
      <c r="I27">
        <v>4</v>
      </c>
      <c r="J27">
        <v>1</v>
      </c>
      <c r="K27">
        <v>3</v>
      </c>
      <c r="L27">
        <v>4</v>
      </c>
      <c r="M27">
        <f>IF(AND(D28=1,E28=2),1,0)</f>
        <v>0</v>
      </c>
      <c r="N27">
        <f>IF(ISEVEN(K27),1,0)</f>
        <v>0</v>
      </c>
      <c r="O27">
        <f>19*100+B27*10+C27</f>
        <v>1966</v>
      </c>
      <c r="P27">
        <f>B27*1+C27*3+D27*7+E27*9+F27*1+G27*3+H27*7+I27*9+J27*1+K27*3</f>
        <v>146</v>
      </c>
      <c r="Q27">
        <f>MOD(P27,10)</f>
        <v>6</v>
      </c>
      <c r="R27">
        <f>IF(Q27=0,0,10-Q27)</f>
        <v>4</v>
      </c>
      <c r="S27">
        <f>IF(R27=L27,0,A27)</f>
        <v>0</v>
      </c>
      <c r="U27">
        <v>6</v>
      </c>
    </row>
    <row r="28" spans="1:21" x14ac:dyDescent="0.25">
      <c r="A28">
        <v>63102092944</v>
      </c>
      <c r="B28">
        <v>6</v>
      </c>
      <c r="C28">
        <v>3</v>
      </c>
      <c r="D28">
        <v>1</v>
      </c>
      <c r="E28">
        <v>0</v>
      </c>
      <c r="F28">
        <v>2</v>
      </c>
      <c r="G28">
        <v>0</v>
      </c>
      <c r="H28">
        <v>9</v>
      </c>
      <c r="I28">
        <v>2</v>
      </c>
      <c r="J28">
        <v>9</v>
      </c>
      <c r="K28">
        <v>4</v>
      </c>
      <c r="L28">
        <v>4</v>
      </c>
      <c r="M28">
        <f>IF(AND(D29=1,E29=2),1,0)</f>
        <v>0</v>
      </c>
      <c r="N28">
        <f>IF(ISEVEN(K28),1,0)</f>
        <v>1</v>
      </c>
      <c r="O28">
        <f>19*100+B28*10+C28</f>
        <v>1963</v>
      </c>
      <c r="P28">
        <f>B28*1+C28*3+D28*7+E28*9+F28*1+G28*3+H28*7+I28*9+J28*1+K28*3</f>
        <v>126</v>
      </c>
      <c r="Q28">
        <f>MOD(P28,10)</f>
        <v>6</v>
      </c>
      <c r="R28">
        <f>IF(Q28=0,0,10-Q28)</f>
        <v>4</v>
      </c>
      <c r="S28">
        <f>IF(R28=L28,0,A28)</f>
        <v>0</v>
      </c>
      <c r="U28">
        <v>6</v>
      </c>
    </row>
    <row r="29" spans="1:21" x14ac:dyDescent="0.25">
      <c r="A29">
        <v>89040205480</v>
      </c>
      <c r="B29">
        <v>8</v>
      </c>
      <c r="C29">
        <v>9</v>
      </c>
      <c r="D29">
        <v>0</v>
      </c>
      <c r="E29">
        <v>4</v>
      </c>
      <c r="F29">
        <v>0</v>
      </c>
      <c r="G29">
        <v>2</v>
      </c>
      <c r="H29">
        <v>0</v>
      </c>
      <c r="I29">
        <v>5</v>
      </c>
      <c r="J29">
        <v>4</v>
      </c>
      <c r="K29">
        <v>8</v>
      </c>
      <c r="L29">
        <v>0</v>
      </c>
      <c r="M29">
        <f>IF(AND(D30=1,E30=2),1,0)</f>
        <v>1</v>
      </c>
      <c r="N29">
        <f>IF(ISEVEN(K29),1,0)</f>
        <v>1</v>
      </c>
      <c r="O29">
        <f>19*100+B29*10+C29</f>
        <v>1989</v>
      </c>
      <c r="P29">
        <f>B29*1+C29*3+D29*7+E29*9+F29*1+G29*3+H29*7+I29*9+J29*1+K29*3</f>
        <v>150</v>
      </c>
      <c r="Q29">
        <f>MOD(P29,10)</f>
        <v>0</v>
      </c>
      <c r="R29">
        <f>IF(Q29=0,0,10-Q29)</f>
        <v>0</v>
      </c>
      <c r="S29">
        <f>IF(R29=L29,0,A29)</f>
        <v>0</v>
      </c>
      <c r="U29">
        <v>8</v>
      </c>
    </row>
    <row r="30" spans="1:21" x14ac:dyDescent="0.25">
      <c r="A30">
        <v>74123184206</v>
      </c>
      <c r="B30">
        <v>7</v>
      </c>
      <c r="C30">
        <v>4</v>
      </c>
      <c r="D30">
        <v>1</v>
      </c>
      <c r="E30">
        <v>2</v>
      </c>
      <c r="F30">
        <v>3</v>
      </c>
      <c r="G30">
        <v>1</v>
      </c>
      <c r="H30">
        <v>8</v>
      </c>
      <c r="I30">
        <v>4</v>
      </c>
      <c r="J30">
        <v>2</v>
      </c>
      <c r="K30">
        <v>0</v>
      </c>
      <c r="L30">
        <v>6</v>
      </c>
      <c r="M30">
        <f>IF(AND(D31=1,E31=2),1,0)</f>
        <v>0</v>
      </c>
      <c r="N30">
        <f>IF(ISEVEN(K30),1,0)</f>
        <v>1</v>
      </c>
      <c r="O30">
        <f>19*100+B30*10+C30</f>
        <v>1974</v>
      </c>
      <c r="P30">
        <f>B30*1+C30*3+D30*7+E30*9+F30*1+G30*3+H30*7+I30*9+J30*1+K30*3</f>
        <v>144</v>
      </c>
      <c r="Q30">
        <f>MOD(P30,10)</f>
        <v>4</v>
      </c>
      <c r="R30">
        <f>IF(Q30=0,0,10-Q30)</f>
        <v>6</v>
      </c>
      <c r="S30">
        <f>IF(R30=L30,0,A30)</f>
        <v>0</v>
      </c>
      <c r="U30">
        <v>7</v>
      </c>
    </row>
    <row r="31" spans="1:21" x14ac:dyDescent="0.25">
      <c r="A31">
        <v>88080204509</v>
      </c>
      <c r="B31">
        <v>8</v>
      </c>
      <c r="C31">
        <v>8</v>
      </c>
      <c r="D31">
        <v>0</v>
      </c>
      <c r="E31">
        <v>8</v>
      </c>
      <c r="F31">
        <v>0</v>
      </c>
      <c r="G31">
        <v>2</v>
      </c>
      <c r="H31">
        <v>0</v>
      </c>
      <c r="I31">
        <v>4</v>
      </c>
      <c r="J31">
        <v>5</v>
      </c>
      <c r="K31">
        <v>0</v>
      </c>
      <c r="L31">
        <v>9</v>
      </c>
      <c r="M31">
        <f>IF(AND(D32=1,E32=2),1,0)</f>
        <v>0</v>
      </c>
      <c r="N31">
        <f>IF(ISEVEN(K31),1,0)</f>
        <v>1</v>
      </c>
      <c r="O31">
        <f>19*100+B31*10+C31</f>
        <v>1988</v>
      </c>
      <c r="P31">
        <f>B31*1+C31*3+D31*7+E31*9+F31*1+G31*3+H31*7+I31*9+J31*1+K31*3</f>
        <v>151</v>
      </c>
      <c r="Q31">
        <f>MOD(P31,10)</f>
        <v>1</v>
      </c>
      <c r="R31">
        <f>IF(Q31=0,0,10-Q31)</f>
        <v>9</v>
      </c>
      <c r="S31">
        <f>IF(R31=L31,0,A31)</f>
        <v>0</v>
      </c>
      <c r="U31">
        <v>8</v>
      </c>
    </row>
    <row r="32" spans="1:21" x14ac:dyDescent="0.25">
      <c r="A32">
        <v>70032057433</v>
      </c>
      <c r="B32">
        <v>7</v>
      </c>
      <c r="C32">
        <v>0</v>
      </c>
      <c r="D32">
        <v>0</v>
      </c>
      <c r="E32">
        <v>3</v>
      </c>
      <c r="F32">
        <v>2</v>
      </c>
      <c r="G32">
        <v>0</v>
      </c>
      <c r="H32">
        <v>5</v>
      </c>
      <c r="I32">
        <v>7</v>
      </c>
      <c r="J32">
        <v>4</v>
      </c>
      <c r="K32">
        <v>3</v>
      </c>
      <c r="L32">
        <v>3</v>
      </c>
      <c r="M32">
        <f>IF(AND(D33=1,E33=2),1,0)</f>
        <v>0</v>
      </c>
      <c r="N32">
        <f>IF(ISEVEN(K32),1,0)</f>
        <v>0</v>
      </c>
      <c r="O32">
        <f>19*100+B32*10+C32</f>
        <v>1970</v>
      </c>
      <c r="P32">
        <f>B32*1+C32*3+D32*7+E32*9+F32*1+G32*3+H32*7+I32*9+J32*1+K32*3</f>
        <v>147</v>
      </c>
      <c r="Q32">
        <f>MOD(P32,10)</f>
        <v>7</v>
      </c>
      <c r="R32">
        <f>IF(Q32=0,0,10-Q32)</f>
        <v>3</v>
      </c>
      <c r="S32">
        <f>IF(R32=L32,0,A32)</f>
        <v>0</v>
      </c>
      <c r="U32">
        <v>7</v>
      </c>
    </row>
    <row r="33" spans="1:21" x14ac:dyDescent="0.25">
      <c r="A33">
        <v>66113183995</v>
      </c>
      <c r="B33">
        <v>6</v>
      </c>
      <c r="C33">
        <v>6</v>
      </c>
      <c r="D33">
        <v>1</v>
      </c>
      <c r="E33">
        <v>1</v>
      </c>
      <c r="F33">
        <v>3</v>
      </c>
      <c r="G33">
        <v>1</v>
      </c>
      <c r="H33">
        <v>8</v>
      </c>
      <c r="I33">
        <v>3</v>
      </c>
      <c r="J33">
        <v>9</v>
      </c>
      <c r="K33">
        <v>9</v>
      </c>
      <c r="L33">
        <v>5</v>
      </c>
      <c r="M33">
        <f>IF(AND(D34=1,E34=2),1,0)</f>
        <v>0</v>
      </c>
      <c r="N33">
        <f>IF(ISEVEN(K33),1,0)</f>
        <v>0</v>
      </c>
      <c r="O33">
        <f>19*100+B33*10+C33</f>
        <v>1966</v>
      </c>
      <c r="P33">
        <f>B33*1+C33*3+D33*7+E33*9+F33*1+G33*3+H33*7+I33*9+J33*1+K33*3</f>
        <v>165</v>
      </c>
      <c r="Q33">
        <f>MOD(P33,10)</f>
        <v>5</v>
      </c>
      <c r="R33">
        <f>IF(Q33=0,0,10-Q33)</f>
        <v>5</v>
      </c>
      <c r="S33">
        <f>IF(R33=L33,0,A33)</f>
        <v>0</v>
      </c>
      <c r="U33">
        <v>6</v>
      </c>
    </row>
    <row r="34" spans="1:21" x14ac:dyDescent="0.25">
      <c r="A34">
        <v>56111161549</v>
      </c>
      <c r="B34">
        <v>5</v>
      </c>
      <c r="C34">
        <v>6</v>
      </c>
      <c r="D34">
        <v>1</v>
      </c>
      <c r="E34">
        <v>1</v>
      </c>
      <c r="F34">
        <v>1</v>
      </c>
      <c r="G34">
        <v>1</v>
      </c>
      <c r="H34">
        <v>6</v>
      </c>
      <c r="I34">
        <v>1</v>
      </c>
      <c r="J34">
        <v>5</v>
      </c>
      <c r="K34">
        <v>4</v>
      </c>
      <c r="L34">
        <v>9</v>
      </c>
      <c r="M34">
        <f>IF(AND(D35=1,E35=2),1,0)</f>
        <v>0</v>
      </c>
      <c r="N34">
        <f>IF(ISEVEN(K34),1,0)</f>
        <v>1</v>
      </c>
      <c r="O34">
        <f>19*100+B34*10+C34</f>
        <v>1956</v>
      </c>
      <c r="P34">
        <f>B34*1+C34*3+D34*7+E34*9+F34*1+G34*3+H34*7+I34*9+J34*1+K34*3</f>
        <v>111</v>
      </c>
      <c r="Q34">
        <f>MOD(P34,10)</f>
        <v>1</v>
      </c>
      <c r="R34">
        <f>IF(Q34=0,0,10-Q34)</f>
        <v>9</v>
      </c>
      <c r="S34">
        <f>IF(R34=L34,0,A34)</f>
        <v>0</v>
      </c>
      <c r="U34">
        <v>5</v>
      </c>
    </row>
    <row r="35" spans="1:21" x14ac:dyDescent="0.25">
      <c r="A35">
        <v>78103188695</v>
      </c>
      <c r="B35">
        <v>7</v>
      </c>
      <c r="C35">
        <v>8</v>
      </c>
      <c r="D35">
        <v>1</v>
      </c>
      <c r="E35">
        <v>0</v>
      </c>
      <c r="F35">
        <v>3</v>
      </c>
      <c r="G35">
        <v>1</v>
      </c>
      <c r="H35">
        <v>8</v>
      </c>
      <c r="I35">
        <v>8</v>
      </c>
      <c r="J35">
        <v>6</v>
      </c>
      <c r="K35">
        <v>9</v>
      </c>
      <c r="L35">
        <v>5</v>
      </c>
      <c r="M35">
        <f>IF(AND(D36=1,E36=2),1,0)</f>
        <v>0</v>
      </c>
      <c r="N35">
        <f>IF(ISEVEN(K35),1,0)</f>
        <v>0</v>
      </c>
      <c r="O35">
        <f>19*100+B35*10+C35</f>
        <v>1978</v>
      </c>
      <c r="P35">
        <f>B35*1+C35*3+D35*7+E35*9+F35*1+G35*3+H35*7+I35*9+J35*1+K35*3</f>
        <v>205</v>
      </c>
      <c r="Q35">
        <f>MOD(P35,10)</f>
        <v>5</v>
      </c>
      <c r="R35">
        <f>IF(Q35=0,0,10-Q35)</f>
        <v>5</v>
      </c>
      <c r="S35">
        <f>IF(R35=L35,0,A35)</f>
        <v>0</v>
      </c>
      <c r="U35">
        <v>7</v>
      </c>
    </row>
    <row r="36" spans="1:21" x14ac:dyDescent="0.25">
      <c r="A36">
        <v>88080601948</v>
      </c>
      <c r="B36">
        <v>8</v>
      </c>
      <c r="C36">
        <v>8</v>
      </c>
      <c r="D36">
        <v>0</v>
      </c>
      <c r="E36">
        <v>8</v>
      </c>
      <c r="F36">
        <v>0</v>
      </c>
      <c r="G36">
        <v>6</v>
      </c>
      <c r="H36">
        <v>0</v>
      </c>
      <c r="I36">
        <v>1</v>
      </c>
      <c r="J36">
        <v>9</v>
      </c>
      <c r="K36">
        <v>4</v>
      </c>
      <c r="L36">
        <v>8</v>
      </c>
      <c r="M36">
        <f>IF(AND(D37=1,E37=2),1,0)</f>
        <v>0</v>
      </c>
      <c r="N36">
        <f>IF(ISEVEN(K36),1,0)</f>
        <v>1</v>
      </c>
      <c r="O36">
        <f>19*100+B36*10+C36</f>
        <v>1988</v>
      </c>
      <c r="P36">
        <f>B36*1+C36*3+D36*7+E36*9+F36*1+G36*3+H36*7+I36*9+J36*1+K36*3</f>
        <v>152</v>
      </c>
      <c r="Q36">
        <f>MOD(P36,10)</f>
        <v>2</v>
      </c>
      <c r="R36">
        <f>IF(Q36=0,0,10-Q36)</f>
        <v>8</v>
      </c>
      <c r="S36">
        <f>IF(R36=L36,0,A36)</f>
        <v>0</v>
      </c>
      <c r="U36">
        <v>8</v>
      </c>
    </row>
    <row r="37" spans="1:21" x14ac:dyDescent="0.25">
      <c r="A37">
        <v>71093058856</v>
      </c>
      <c r="B37">
        <v>7</v>
      </c>
      <c r="C37">
        <v>1</v>
      </c>
      <c r="D37">
        <v>0</v>
      </c>
      <c r="E37">
        <v>9</v>
      </c>
      <c r="F37">
        <v>3</v>
      </c>
      <c r="G37">
        <v>0</v>
      </c>
      <c r="H37">
        <v>5</v>
      </c>
      <c r="I37">
        <v>8</v>
      </c>
      <c r="J37">
        <v>8</v>
      </c>
      <c r="K37">
        <v>5</v>
      </c>
      <c r="L37">
        <v>6</v>
      </c>
      <c r="M37">
        <f>IF(AND(D38=1,E38=2),1,0)</f>
        <v>0</v>
      </c>
      <c r="N37">
        <f>IF(ISEVEN(K37),1,0)</f>
        <v>0</v>
      </c>
      <c r="O37">
        <f>19*100+B37*10+C37</f>
        <v>1971</v>
      </c>
      <c r="P37">
        <f>B37*1+C37*3+D37*7+E37*9+F37*1+G37*3+H37*7+I37*9+J37*1+K37*3</f>
        <v>224</v>
      </c>
      <c r="Q37">
        <f>MOD(P37,10)</f>
        <v>4</v>
      </c>
      <c r="R37">
        <f>IF(Q37=0,0,10-Q37)</f>
        <v>6</v>
      </c>
      <c r="S37">
        <f>IF(R37=L37,0,A37)</f>
        <v>0</v>
      </c>
      <c r="U37">
        <v>7</v>
      </c>
    </row>
    <row r="38" spans="1:21" x14ac:dyDescent="0.25">
      <c r="A38">
        <v>64022301455</v>
      </c>
      <c r="B38">
        <v>6</v>
      </c>
      <c r="C38">
        <v>4</v>
      </c>
      <c r="D38">
        <v>0</v>
      </c>
      <c r="E38">
        <v>2</v>
      </c>
      <c r="F38">
        <v>2</v>
      </c>
      <c r="G38">
        <v>3</v>
      </c>
      <c r="H38">
        <v>0</v>
      </c>
      <c r="I38">
        <v>1</v>
      </c>
      <c r="J38">
        <v>4</v>
      </c>
      <c r="K38">
        <v>5</v>
      </c>
      <c r="L38">
        <v>5</v>
      </c>
      <c r="M38">
        <f>IF(AND(D39=1,E39=2),1,0)</f>
        <v>0</v>
      </c>
      <c r="N38">
        <f>IF(ISEVEN(K38),1,0)</f>
        <v>0</v>
      </c>
      <c r="O38">
        <f>19*100+B38*10+C38</f>
        <v>1964</v>
      </c>
      <c r="P38">
        <f>B38*1+C38*3+D38*7+E38*9+F38*1+G38*3+H38*7+I38*9+J38*1+K38*3</f>
        <v>75</v>
      </c>
      <c r="Q38">
        <f>MOD(P38,10)</f>
        <v>5</v>
      </c>
      <c r="R38">
        <f>IF(Q38=0,0,10-Q38)</f>
        <v>5</v>
      </c>
      <c r="S38">
        <f>IF(R38=L38,0,A38)</f>
        <v>0</v>
      </c>
      <c r="U38">
        <v>6</v>
      </c>
    </row>
    <row r="39" spans="1:21" x14ac:dyDescent="0.25">
      <c r="A39">
        <v>65102086116</v>
      </c>
      <c r="B39">
        <v>6</v>
      </c>
      <c r="C39">
        <v>5</v>
      </c>
      <c r="D39">
        <v>1</v>
      </c>
      <c r="E39">
        <v>0</v>
      </c>
      <c r="F39">
        <v>2</v>
      </c>
      <c r="G39">
        <v>0</v>
      </c>
      <c r="H39">
        <v>8</v>
      </c>
      <c r="I39">
        <v>6</v>
      </c>
      <c r="J39">
        <v>1</v>
      </c>
      <c r="K39">
        <v>1</v>
      </c>
      <c r="L39">
        <v>6</v>
      </c>
      <c r="M39">
        <f>IF(AND(D40=1,E40=2),1,0)</f>
        <v>0</v>
      </c>
      <c r="N39">
        <f>IF(ISEVEN(K39),1,0)</f>
        <v>0</v>
      </c>
      <c r="O39">
        <f>19*100+B39*10+C39</f>
        <v>1965</v>
      </c>
      <c r="P39">
        <f>B39*1+C39*3+D39*7+E39*9+F39*1+G39*3+H39*7+I39*9+J39*1+K39*3</f>
        <v>144</v>
      </c>
      <c r="Q39">
        <f>MOD(P39,10)</f>
        <v>4</v>
      </c>
      <c r="R39">
        <f>IF(Q39=0,0,10-Q39)</f>
        <v>6</v>
      </c>
      <c r="S39">
        <f>IF(R39=L39,0,A39)</f>
        <v>0</v>
      </c>
      <c r="U39">
        <v>6</v>
      </c>
    </row>
    <row r="40" spans="1:21" x14ac:dyDescent="0.25">
      <c r="A40">
        <v>68112117597</v>
      </c>
      <c r="B40">
        <v>6</v>
      </c>
      <c r="C40">
        <v>8</v>
      </c>
      <c r="D40">
        <v>1</v>
      </c>
      <c r="E40">
        <v>1</v>
      </c>
      <c r="F40">
        <v>2</v>
      </c>
      <c r="G40">
        <v>1</v>
      </c>
      <c r="H40">
        <v>1</v>
      </c>
      <c r="I40">
        <v>7</v>
      </c>
      <c r="J40">
        <v>5</v>
      </c>
      <c r="K40">
        <v>9</v>
      </c>
      <c r="L40">
        <v>7</v>
      </c>
      <c r="M40">
        <f>IF(AND(D41=1,E41=2),1,0)</f>
        <v>0</v>
      </c>
      <c r="N40">
        <f>IF(ISEVEN(K40),1,0)</f>
        <v>0</v>
      </c>
      <c r="O40">
        <f>19*100+B40*10+C40</f>
        <v>1968</v>
      </c>
      <c r="P40">
        <f>B40*1+C40*3+D40*7+E40*9+F40*1+G40*3+H40*7+I40*9+J40*1+K40*3</f>
        <v>153</v>
      </c>
      <c r="Q40">
        <f>MOD(P40,10)</f>
        <v>3</v>
      </c>
      <c r="R40">
        <f>IF(Q40=0,0,10-Q40)</f>
        <v>7</v>
      </c>
      <c r="S40">
        <f>IF(R40=L40,0,A40)</f>
        <v>0</v>
      </c>
      <c r="U40">
        <v>6</v>
      </c>
    </row>
    <row r="41" spans="1:21" x14ac:dyDescent="0.25">
      <c r="A41">
        <v>70101195486</v>
      </c>
      <c r="B41">
        <v>7</v>
      </c>
      <c r="C41">
        <v>0</v>
      </c>
      <c r="D41">
        <v>1</v>
      </c>
      <c r="E41">
        <v>0</v>
      </c>
      <c r="F41">
        <v>1</v>
      </c>
      <c r="G41">
        <v>1</v>
      </c>
      <c r="H41">
        <v>9</v>
      </c>
      <c r="I41">
        <v>5</v>
      </c>
      <c r="J41">
        <v>4</v>
      </c>
      <c r="K41">
        <v>8</v>
      </c>
      <c r="L41">
        <v>6</v>
      </c>
      <c r="M41">
        <f>IF(AND(D42=1,E42=2),1,0)</f>
        <v>0</v>
      </c>
      <c r="N41">
        <f>IF(ISEVEN(K41),1,0)</f>
        <v>1</v>
      </c>
      <c r="O41">
        <f>19*100+B41*10+C41</f>
        <v>1970</v>
      </c>
      <c r="P41">
        <f>B41*1+C41*3+D41*7+E41*9+F41*1+G41*3+H41*7+I41*9+J41*1+K41*3</f>
        <v>154</v>
      </c>
      <c r="Q41">
        <f>MOD(P41,10)</f>
        <v>4</v>
      </c>
      <c r="R41">
        <f>IF(Q41=0,0,10-Q41)</f>
        <v>6</v>
      </c>
      <c r="S41">
        <f>IF(R41=L41,0,A41)</f>
        <v>0</v>
      </c>
      <c r="U41">
        <v>7</v>
      </c>
    </row>
    <row r="42" spans="1:21" x14ac:dyDescent="0.25">
      <c r="A42">
        <v>77111084850</v>
      </c>
      <c r="B42">
        <v>7</v>
      </c>
      <c r="C42">
        <v>7</v>
      </c>
      <c r="D42">
        <v>1</v>
      </c>
      <c r="E42">
        <v>1</v>
      </c>
      <c r="F42">
        <v>1</v>
      </c>
      <c r="G42">
        <v>0</v>
      </c>
      <c r="H42">
        <v>8</v>
      </c>
      <c r="I42">
        <v>4</v>
      </c>
      <c r="J42">
        <v>8</v>
      </c>
      <c r="K42">
        <v>5</v>
      </c>
      <c r="L42">
        <v>0</v>
      </c>
      <c r="M42">
        <f>IF(AND(D43=1,E43=2),1,0)</f>
        <v>1</v>
      </c>
      <c r="N42">
        <f>IF(ISEVEN(K42),1,0)</f>
        <v>0</v>
      </c>
      <c r="O42">
        <f>19*100+B42*10+C42</f>
        <v>1977</v>
      </c>
      <c r="P42">
        <f>B42*1+C42*3+D42*7+E42*9+F42*1+G42*3+H42*7+I42*9+J42*1+K42*3</f>
        <v>160</v>
      </c>
      <c r="Q42">
        <f>MOD(P42,10)</f>
        <v>0</v>
      </c>
      <c r="R42">
        <f>IF(Q42=0,0,10-Q42)</f>
        <v>0</v>
      </c>
      <c r="S42">
        <f>IF(R42=L42,0,A42)</f>
        <v>0</v>
      </c>
      <c r="U42">
        <v>7</v>
      </c>
    </row>
    <row r="43" spans="1:21" x14ac:dyDescent="0.25">
      <c r="A43">
        <v>78123189018</v>
      </c>
      <c r="B43">
        <v>7</v>
      </c>
      <c r="C43">
        <v>8</v>
      </c>
      <c r="D43">
        <v>1</v>
      </c>
      <c r="E43">
        <v>2</v>
      </c>
      <c r="F43">
        <v>3</v>
      </c>
      <c r="G43">
        <v>1</v>
      </c>
      <c r="H43">
        <v>8</v>
      </c>
      <c r="I43">
        <v>9</v>
      </c>
      <c r="J43">
        <v>0</v>
      </c>
      <c r="K43">
        <v>1</v>
      </c>
      <c r="L43">
        <v>8</v>
      </c>
      <c r="M43">
        <f>IF(AND(D44=1,E44=2),1,0)</f>
        <v>0</v>
      </c>
      <c r="N43">
        <f>IF(ISEVEN(K43),1,0)</f>
        <v>0</v>
      </c>
      <c r="O43">
        <f>19*100+B43*10+C43</f>
        <v>1978</v>
      </c>
      <c r="P43">
        <f>B43*1+C43*3+D43*7+E43*9+F43*1+G43*3+H43*7+I43*9+J43*1+K43*3</f>
        <v>202</v>
      </c>
      <c r="Q43">
        <f>MOD(P43,10)</f>
        <v>2</v>
      </c>
      <c r="R43">
        <f>IF(Q43=0,0,10-Q43)</f>
        <v>8</v>
      </c>
      <c r="S43">
        <f>IF(R43=L43,0,A43)</f>
        <v>0</v>
      </c>
      <c r="U43">
        <v>7</v>
      </c>
    </row>
    <row r="44" spans="1:21" x14ac:dyDescent="0.25">
      <c r="A44">
        <v>79110673709</v>
      </c>
      <c r="B44">
        <v>7</v>
      </c>
      <c r="C44">
        <v>9</v>
      </c>
      <c r="D44">
        <v>1</v>
      </c>
      <c r="E44">
        <v>1</v>
      </c>
      <c r="F44">
        <v>0</v>
      </c>
      <c r="G44">
        <v>6</v>
      </c>
      <c r="H44">
        <v>7</v>
      </c>
      <c r="I44">
        <v>3</v>
      </c>
      <c r="J44">
        <v>7</v>
      </c>
      <c r="K44">
        <v>0</v>
      </c>
      <c r="L44">
        <v>9</v>
      </c>
      <c r="M44">
        <f>IF(AND(D45=1,E45=2),1,0)</f>
        <v>1</v>
      </c>
      <c r="N44">
        <f>IF(ISEVEN(K44),1,0)</f>
        <v>1</v>
      </c>
      <c r="O44">
        <f>19*100+B44*10+C44</f>
        <v>1979</v>
      </c>
      <c r="P44">
        <f>B44*1+C44*3+D44*7+E44*9+F44*1+G44*3+H44*7+I44*9+J44*1+K44*3</f>
        <v>151</v>
      </c>
      <c r="Q44">
        <f>MOD(P44,10)</f>
        <v>1</v>
      </c>
      <c r="R44">
        <f>IF(Q44=0,0,10-Q44)</f>
        <v>9</v>
      </c>
      <c r="S44">
        <f>IF(R44=L44,0,A44)</f>
        <v>0</v>
      </c>
      <c r="U44">
        <v>7</v>
      </c>
    </row>
    <row r="45" spans="1:21" x14ac:dyDescent="0.25">
      <c r="A45">
        <v>74120284541</v>
      </c>
      <c r="B45">
        <v>7</v>
      </c>
      <c r="C45">
        <v>4</v>
      </c>
      <c r="D45">
        <v>1</v>
      </c>
      <c r="E45">
        <v>2</v>
      </c>
      <c r="F45">
        <v>0</v>
      </c>
      <c r="G45">
        <v>2</v>
      </c>
      <c r="H45">
        <v>8</v>
      </c>
      <c r="I45">
        <v>4</v>
      </c>
      <c r="J45">
        <v>5</v>
      </c>
      <c r="K45">
        <v>4</v>
      </c>
      <c r="L45">
        <v>1</v>
      </c>
      <c r="M45">
        <f>IF(AND(D46=1,E46=2),1,0)</f>
        <v>0</v>
      </c>
      <c r="N45">
        <f>IF(ISEVEN(K45),1,0)</f>
        <v>1</v>
      </c>
      <c r="O45">
        <f>19*100+B45*10+C45</f>
        <v>1974</v>
      </c>
      <c r="P45">
        <f>B45*1+C45*3+D45*7+E45*9+F45*1+G45*3+H45*7+I45*9+J45*1+K45*3</f>
        <v>159</v>
      </c>
      <c r="Q45">
        <f>MOD(P45,10)</f>
        <v>9</v>
      </c>
      <c r="R45">
        <f>IF(Q45=0,0,10-Q45)</f>
        <v>1</v>
      </c>
      <c r="S45">
        <f>IF(R45=L45,0,A45)</f>
        <v>0</v>
      </c>
      <c r="U45">
        <v>7</v>
      </c>
    </row>
    <row r="46" spans="1:21" x14ac:dyDescent="0.25">
      <c r="A46">
        <v>89082179879</v>
      </c>
      <c r="B46">
        <v>8</v>
      </c>
      <c r="C46">
        <v>9</v>
      </c>
      <c r="D46">
        <v>0</v>
      </c>
      <c r="E46">
        <v>8</v>
      </c>
      <c r="F46">
        <v>2</v>
      </c>
      <c r="G46">
        <v>1</v>
      </c>
      <c r="H46">
        <v>7</v>
      </c>
      <c r="I46">
        <v>9</v>
      </c>
      <c r="J46">
        <v>8</v>
      </c>
      <c r="K46">
        <v>7</v>
      </c>
      <c r="L46">
        <v>9</v>
      </c>
      <c r="M46">
        <f>IF(AND(D47=1,E47=2),1,0)</f>
        <v>0</v>
      </c>
      <c r="N46">
        <f>IF(ISEVEN(K46),1,0)</f>
        <v>0</v>
      </c>
      <c r="O46">
        <f>19*100+B46*10+C46</f>
        <v>1989</v>
      </c>
      <c r="P46">
        <f>B46*1+C46*3+D46*7+E46*9+F46*1+G46*3+H46*7+I46*9+J46*1+K46*3</f>
        <v>271</v>
      </c>
      <c r="Q46">
        <f>MOD(P46,10)</f>
        <v>1</v>
      </c>
      <c r="R46">
        <f>IF(Q46=0,0,10-Q46)</f>
        <v>9</v>
      </c>
      <c r="S46">
        <f>IF(R46=L46,0,A46)</f>
        <v>0</v>
      </c>
      <c r="U46">
        <v>8</v>
      </c>
    </row>
    <row r="47" spans="1:21" x14ac:dyDescent="0.25">
      <c r="A47">
        <v>86070630583</v>
      </c>
      <c r="B47">
        <v>8</v>
      </c>
      <c r="C47">
        <v>6</v>
      </c>
      <c r="D47">
        <v>0</v>
      </c>
      <c r="E47">
        <v>7</v>
      </c>
      <c r="F47">
        <v>0</v>
      </c>
      <c r="G47">
        <v>6</v>
      </c>
      <c r="H47">
        <v>3</v>
      </c>
      <c r="I47">
        <v>0</v>
      </c>
      <c r="J47">
        <v>5</v>
      </c>
      <c r="K47">
        <v>8</v>
      </c>
      <c r="L47">
        <v>3</v>
      </c>
      <c r="M47">
        <f>IF(AND(D48=1,E48=2),1,0)</f>
        <v>1</v>
      </c>
      <c r="N47">
        <f>IF(ISEVEN(K47),1,0)</f>
        <v>1</v>
      </c>
      <c r="O47">
        <f>19*100+B47*10+C47</f>
        <v>1986</v>
      </c>
      <c r="P47">
        <f>B47*1+C47*3+D47*7+E47*9+F47*1+G47*3+H47*7+I47*9+J47*1+K47*3</f>
        <v>157</v>
      </c>
      <c r="Q47">
        <f>MOD(P47,10)</f>
        <v>7</v>
      </c>
      <c r="R47">
        <f>IF(Q47=0,0,10-Q47)</f>
        <v>3</v>
      </c>
      <c r="S47">
        <f>IF(R47=L47,0,A47)</f>
        <v>0</v>
      </c>
      <c r="U47">
        <v>8</v>
      </c>
    </row>
    <row r="48" spans="1:21" x14ac:dyDescent="0.25">
      <c r="A48">
        <v>63122755182</v>
      </c>
      <c r="B48">
        <v>6</v>
      </c>
      <c r="C48">
        <v>3</v>
      </c>
      <c r="D48">
        <v>1</v>
      </c>
      <c r="E48">
        <v>2</v>
      </c>
      <c r="F48">
        <v>2</v>
      </c>
      <c r="G48">
        <v>7</v>
      </c>
      <c r="H48">
        <v>5</v>
      </c>
      <c r="I48">
        <v>5</v>
      </c>
      <c r="J48">
        <v>1</v>
      </c>
      <c r="K48">
        <v>8</v>
      </c>
      <c r="L48">
        <v>2</v>
      </c>
      <c r="M48">
        <f>IF(AND(D49=1,E49=2),1,0)</f>
        <v>0</v>
      </c>
      <c r="N48">
        <f>IF(ISEVEN(K48),1,0)</f>
        <v>1</v>
      </c>
      <c r="O48">
        <f>19*100+B48*10+C48</f>
        <v>1963</v>
      </c>
      <c r="P48">
        <f>B48*1+C48*3+D48*7+E48*9+F48*1+G48*3+H48*7+I48*9+J48*1+K48*3</f>
        <v>168</v>
      </c>
      <c r="Q48">
        <f>MOD(P48,10)</f>
        <v>8</v>
      </c>
      <c r="R48">
        <f>IF(Q48=0,0,10-Q48)</f>
        <v>2</v>
      </c>
      <c r="S48">
        <f>IF(R48=L48,0,A48)</f>
        <v>0</v>
      </c>
      <c r="U48">
        <v>6</v>
      </c>
    </row>
    <row r="49" spans="1:21" x14ac:dyDescent="0.25">
      <c r="A49">
        <v>90112004373</v>
      </c>
      <c r="B49">
        <v>9</v>
      </c>
      <c r="C49">
        <v>0</v>
      </c>
      <c r="D49">
        <v>1</v>
      </c>
      <c r="E49">
        <v>1</v>
      </c>
      <c r="F49">
        <v>2</v>
      </c>
      <c r="G49">
        <v>0</v>
      </c>
      <c r="H49">
        <v>0</v>
      </c>
      <c r="I49">
        <v>4</v>
      </c>
      <c r="J49">
        <v>3</v>
      </c>
      <c r="K49">
        <v>7</v>
      </c>
      <c r="L49">
        <v>3</v>
      </c>
      <c r="M49">
        <f>IF(AND(D50=1,E50=2),1,0)</f>
        <v>1</v>
      </c>
      <c r="N49">
        <f>IF(ISEVEN(K49),1,0)</f>
        <v>0</v>
      </c>
      <c r="O49">
        <f>19*100+B49*10+C49</f>
        <v>1990</v>
      </c>
      <c r="P49">
        <f>B49*1+C49*3+D49*7+E49*9+F49*1+G49*3+H49*7+I49*9+J49*1+K49*3</f>
        <v>87</v>
      </c>
      <c r="Q49">
        <f>MOD(P49,10)</f>
        <v>7</v>
      </c>
      <c r="R49">
        <f>IF(Q49=0,0,10-Q49)</f>
        <v>3</v>
      </c>
      <c r="S49">
        <f>IF(R49=L49,0,A49)</f>
        <v>0</v>
      </c>
      <c r="U49">
        <v>9</v>
      </c>
    </row>
    <row r="50" spans="1:21" x14ac:dyDescent="0.25">
      <c r="A50">
        <v>69122174118</v>
      </c>
      <c r="B50">
        <v>6</v>
      </c>
      <c r="C50">
        <v>9</v>
      </c>
      <c r="D50">
        <v>1</v>
      </c>
      <c r="E50">
        <v>2</v>
      </c>
      <c r="F50">
        <v>2</v>
      </c>
      <c r="G50">
        <v>1</v>
      </c>
      <c r="H50">
        <v>7</v>
      </c>
      <c r="I50">
        <v>4</v>
      </c>
      <c r="J50">
        <v>1</v>
      </c>
      <c r="K50">
        <v>1</v>
      </c>
      <c r="L50">
        <v>8</v>
      </c>
      <c r="M50">
        <f>IF(AND(D51=1,E51=2),1,0)</f>
        <v>0</v>
      </c>
      <c r="N50">
        <f>IF(ISEVEN(K50),1,0)</f>
        <v>0</v>
      </c>
      <c r="O50">
        <f>19*100+B50*10+C50</f>
        <v>1969</v>
      </c>
      <c r="P50">
        <f>B50*1+C50*3+D50*7+E50*9+F50*1+G50*3+H50*7+I50*9+J50*1+K50*3</f>
        <v>152</v>
      </c>
      <c r="Q50">
        <f>MOD(P50,10)</f>
        <v>2</v>
      </c>
      <c r="R50">
        <f>IF(Q50=0,0,10-Q50)</f>
        <v>8</v>
      </c>
      <c r="S50">
        <f>IF(R50=L50,0,A50)</f>
        <v>0</v>
      </c>
      <c r="U50">
        <v>6</v>
      </c>
    </row>
    <row r="51" spans="1:21" x14ac:dyDescent="0.25">
      <c r="A51">
        <v>84051294894</v>
      </c>
      <c r="B51">
        <v>8</v>
      </c>
      <c r="C51">
        <v>4</v>
      </c>
      <c r="D51">
        <v>0</v>
      </c>
      <c r="E51">
        <v>5</v>
      </c>
      <c r="F51">
        <v>1</v>
      </c>
      <c r="G51">
        <v>2</v>
      </c>
      <c r="H51">
        <v>9</v>
      </c>
      <c r="I51">
        <v>4</v>
      </c>
      <c r="J51">
        <v>8</v>
      </c>
      <c r="K51">
        <v>9</v>
      </c>
      <c r="L51">
        <v>4</v>
      </c>
      <c r="M51">
        <f>IF(AND(D52=1,E52=2),1,0)</f>
        <v>0</v>
      </c>
      <c r="N51">
        <f>IF(ISEVEN(K51),1,0)</f>
        <v>0</v>
      </c>
      <c r="O51">
        <f>19*100+B51*10+C51</f>
        <v>1984</v>
      </c>
      <c r="P51">
        <f>B51*1+C51*3+D51*7+E51*9+F51*1+G51*3+H51*7+I51*9+J51*1+K51*3</f>
        <v>206</v>
      </c>
      <c r="Q51">
        <f>MOD(P51,10)</f>
        <v>6</v>
      </c>
      <c r="R51">
        <f>IF(Q51=0,0,10-Q51)</f>
        <v>4</v>
      </c>
      <c r="S51">
        <f>IF(R51=L51,0,A51)</f>
        <v>0</v>
      </c>
      <c r="U51">
        <v>8</v>
      </c>
    </row>
    <row r="52" spans="1:21" x14ac:dyDescent="0.25">
      <c r="A52">
        <v>66111176164</v>
      </c>
      <c r="B52">
        <v>6</v>
      </c>
      <c r="C52">
        <v>6</v>
      </c>
      <c r="D52">
        <v>1</v>
      </c>
      <c r="E52">
        <v>1</v>
      </c>
      <c r="F52">
        <v>1</v>
      </c>
      <c r="G52">
        <v>1</v>
      </c>
      <c r="H52">
        <v>7</v>
      </c>
      <c r="I52">
        <v>6</v>
      </c>
      <c r="J52">
        <v>1</v>
      </c>
      <c r="K52">
        <v>6</v>
      </c>
      <c r="L52">
        <v>4</v>
      </c>
      <c r="M52">
        <f>IF(AND(D53=1,E53=2),1,0)</f>
        <v>0</v>
      </c>
      <c r="N52">
        <f>IF(ISEVEN(K52),1,0)</f>
        <v>1</v>
      </c>
      <c r="O52">
        <f>19*100+B52*10+C52</f>
        <v>1966</v>
      </c>
      <c r="P52">
        <f>B52*1+C52*3+D52*7+E52*9+F52*1+G52*3+H52*7+I52*9+J52*1+K52*3</f>
        <v>166</v>
      </c>
      <c r="Q52">
        <f>MOD(P52,10)</f>
        <v>6</v>
      </c>
      <c r="R52">
        <f>IF(Q52=0,0,10-Q52)</f>
        <v>4</v>
      </c>
      <c r="S52">
        <f>IF(R52=L52,0,A52)</f>
        <v>0</v>
      </c>
      <c r="U52">
        <v>6</v>
      </c>
    </row>
    <row r="53" spans="1:21" x14ac:dyDescent="0.25">
      <c r="A53">
        <v>71112677514</v>
      </c>
      <c r="B53">
        <v>7</v>
      </c>
      <c r="C53">
        <v>1</v>
      </c>
      <c r="D53">
        <v>1</v>
      </c>
      <c r="E53">
        <v>1</v>
      </c>
      <c r="F53">
        <v>2</v>
      </c>
      <c r="G53">
        <v>6</v>
      </c>
      <c r="H53">
        <v>7</v>
      </c>
      <c r="I53">
        <v>7</v>
      </c>
      <c r="J53">
        <v>5</v>
      </c>
      <c r="K53">
        <v>1</v>
      </c>
      <c r="L53">
        <v>4</v>
      </c>
      <c r="M53">
        <f>IF(AND(D54=1,E54=2),1,0)</f>
        <v>0</v>
      </c>
      <c r="N53">
        <f>IF(ISEVEN(K53),1,0)</f>
        <v>0</v>
      </c>
      <c r="O53">
        <f>19*100+B53*10+C53</f>
        <v>1971</v>
      </c>
      <c r="P53">
        <f>B53*1+C53*3+D53*7+E53*9+F53*1+G53*3+H53*7+I53*9+J53*1+K53*3</f>
        <v>166</v>
      </c>
      <c r="Q53">
        <f>MOD(P53,10)</f>
        <v>6</v>
      </c>
      <c r="R53">
        <f>IF(Q53=0,0,10-Q53)</f>
        <v>4</v>
      </c>
      <c r="S53">
        <f>IF(R53=L53,0,A53)</f>
        <v>0</v>
      </c>
      <c r="U53">
        <v>7</v>
      </c>
    </row>
    <row r="54" spans="1:21" x14ac:dyDescent="0.25">
      <c r="A54">
        <v>89040633348</v>
      </c>
      <c r="B54">
        <v>8</v>
      </c>
      <c r="C54">
        <v>9</v>
      </c>
      <c r="D54">
        <v>0</v>
      </c>
      <c r="E54">
        <v>4</v>
      </c>
      <c r="F54">
        <v>0</v>
      </c>
      <c r="G54">
        <v>6</v>
      </c>
      <c r="H54">
        <v>3</v>
      </c>
      <c r="I54">
        <v>3</v>
      </c>
      <c r="J54">
        <v>3</v>
      </c>
      <c r="K54">
        <v>4</v>
      </c>
      <c r="L54">
        <v>8</v>
      </c>
      <c r="M54">
        <f>IF(AND(D55=1,E55=2),1,0)</f>
        <v>0</v>
      </c>
      <c r="N54">
        <f>IF(ISEVEN(K54),1,0)</f>
        <v>1</v>
      </c>
      <c r="O54">
        <f>19*100+B54*10+C54</f>
        <v>1989</v>
      </c>
      <c r="P54">
        <f>B54*1+C54*3+D54*7+E54*9+F54*1+G54*3+H54*7+I54*9+J54*1+K54*3</f>
        <v>152</v>
      </c>
      <c r="Q54">
        <f>MOD(P54,10)</f>
        <v>2</v>
      </c>
      <c r="R54">
        <f>IF(Q54=0,0,10-Q54)</f>
        <v>8</v>
      </c>
      <c r="S54">
        <f>IF(R54=L54,0,A54)</f>
        <v>0</v>
      </c>
      <c r="U54">
        <v>8</v>
      </c>
    </row>
    <row r="55" spans="1:21" x14ac:dyDescent="0.25">
      <c r="A55">
        <v>90053120136</v>
      </c>
      <c r="B55">
        <v>9</v>
      </c>
      <c r="C55">
        <v>0</v>
      </c>
      <c r="D55">
        <v>0</v>
      </c>
      <c r="E55">
        <v>5</v>
      </c>
      <c r="F55">
        <v>3</v>
      </c>
      <c r="G55">
        <v>1</v>
      </c>
      <c r="H55">
        <v>2</v>
      </c>
      <c r="I55">
        <v>0</v>
      </c>
      <c r="J55">
        <v>1</v>
      </c>
      <c r="K55">
        <v>3</v>
      </c>
      <c r="L55">
        <v>6</v>
      </c>
      <c r="M55">
        <f>IF(AND(D56=1,E56=2),1,0)</f>
        <v>1</v>
      </c>
      <c r="N55">
        <f>IF(ISEVEN(K55),1,0)</f>
        <v>0</v>
      </c>
      <c r="O55">
        <f>19*100+B55*10+C55</f>
        <v>1990</v>
      </c>
      <c r="P55">
        <f>B55*1+C55*3+D55*7+E55*9+F55*1+G55*3+H55*7+I55*9+J55*1+K55*3</f>
        <v>84</v>
      </c>
      <c r="Q55">
        <f>MOD(P55,10)</f>
        <v>4</v>
      </c>
      <c r="R55">
        <f>IF(Q55=0,0,10-Q55)</f>
        <v>6</v>
      </c>
      <c r="S55">
        <f>IF(R55=L55,0,A55)</f>
        <v>0</v>
      </c>
      <c r="U55">
        <v>9</v>
      </c>
    </row>
    <row r="56" spans="1:21" x14ac:dyDescent="0.25">
      <c r="A56">
        <v>75123199317</v>
      </c>
      <c r="B56">
        <v>7</v>
      </c>
      <c r="C56">
        <v>5</v>
      </c>
      <c r="D56">
        <v>1</v>
      </c>
      <c r="E56">
        <v>2</v>
      </c>
      <c r="F56">
        <v>3</v>
      </c>
      <c r="G56">
        <v>1</v>
      </c>
      <c r="H56">
        <v>9</v>
      </c>
      <c r="I56">
        <v>9</v>
      </c>
      <c r="J56">
        <v>3</v>
      </c>
      <c r="K56">
        <v>1</v>
      </c>
      <c r="L56">
        <v>7</v>
      </c>
      <c r="M56">
        <f>IF(AND(D57=1,E57=2),1,0)</f>
        <v>0</v>
      </c>
      <c r="N56">
        <f>IF(ISEVEN(K56),1,0)</f>
        <v>0</v>
      </c>
      <c r="O56">
        <f>19*100+B56*10+C56</f>
        <v>1975</v>
      </c>
      <c r="P56">
        <f>B56*1+C56*3+D56*7+E56*9+F56*1+G56*3+H56*7+I56*9+J56*1+K56*3</f>
        <v>203</v>
      </c>
      <c r="Q56">
        <f>MOD(P56,10)</f>
        <v>3</v>
      </c>
      <c r="R56">
        <f>IF(Q56=0,0,10-Q56)</f>
        <v>7</v>
      </c>
      <c r="S56">
        <f>IF(R56=L56,0,A56)</f>
        <v>0</v>
      </c>
      <c r="U56">
        <v>7</v>
      </c>
    </row>
    <row r="57" spans="1:21" x14ac:dyDescent="0.25">
      <c r="A57">
        <v>73112328551</v>
      </c>
      <c r="B57">
        <v>7</v>
      </c>
      <c r="C57">
        <v>3</v>
      </c>
      <c r="D57">
        <v>1</v>
      </c>
      <c r="E57">
        <v>1</v>
      </c>
      <c r="F57">
        <v>2</v>
      </c>
      <c r="G57">
        <v>3</v>
      </c>
      <c r="H57">
        <v>2</v>
      </c>
      <c r="I57">
        <v>8</v>
      </c>
      <c r="J57">
        <v>5</v>
      </c>
      <c r="K57">
        <v>5</v>
      </c>
      <c r="L57">
        <v>1</v>
      </c>
      <c r="M57">
        <f>IF(AND(D58=1,E58=2),1,0)</f>
        <v>0</v>
      </c>
      <c r="N57">
        <f>IF(ISEVEN(K57),1,0)</f>
        <v>0</v>
      </c>
      <c r="O57">
        <f>19*100+B57*10+C57</f>
        <v>1973</v>
      </c>
      <c r="P57">
        <f>B57*1+C57*3+D57*7+E57*9+F57*1+G57*3+H57*7+I57*9+J57*1+K57*3</f>
        <v>149</v>
      </c>
      <c r="Q57">
        <f>MOD(P57,10)</f>
        <v>9</v>
      </c>
      <c r="R57">
        <f>IF(Q57=0,0,10-Q57)</f>
        <v>1</v>
      </c>
      <c r="S57">
        <f>IF(R57=L57,0,A57)</f>
        <v>0</v>
      </c>
      <c r="U57">
        <v>7</v>
      </c>
    </row>
    <row r="58" spans="1:21" x14ac:dyDescent="0.25">
      <c r="A58">
        <v>85031079443</v>
      </c>
      <c r="B58">
        <v>8</v>
      </c>
      <c r="C58">
        <v>5</v>
      </c>
      <c r="D58">
        <v>0</v>
      </c>
      <c r="E58">
        <v>3</v>
      </c>
      <c r="F58">
        <v>1</v>
      </c>
      <c r="G58">
        <v>0</v>
      </c>
      <c r="H58">
        <v>7</v>
      </c>
      <c r="I58">
        <v>9</v>
      </c>
      <c r="J58">
        <v>4</v>
      </c>
      <c r="K58">
        <v>4</v>
      </c>
      <c r="L58">
        <v>3</v>
      </c>
      <c r="M58">
        <f>IF(AND(D59=1,E59=2),1,0)</f>
        <v>0</v>
      </c>
      <c r="N58">
        <f>IF(ISEVEN(K58),1,0)</f>
        <v>1</v>
      </c>
      <c r="O58">
        <f>19*100+B58*10+C58</f>
        <v>1985</v>
      </c>
      <c r="P58">
        <f>B58*1+C58*3+D58*7+E58*9+F58*1+G58*3+H58*7+I58*9+J58*1+K58*3</f>
        <v>197</v>
      </c>
      <c r="Q58">
        <f>MOD(P58,10)</f>
        <v>7</v>
      </c>
      <c r="R58">
        <f>IF(Q58=0,0,10-Q58)</f>
        <v>3</v>
      </c>
      <c r="S58">
        <f>IF(R58=L58,0,A58)</f>
        <v>0</v>
      </c>
      <c r="U58">
        <v>8</v>
      </c>
    </row>
    <row r="59" spans="1:21" x14ac:dyDescent="0.25">
      <c r="A59">
        <v>85052568643</v>
      </c>
      <c r="B59">
        <v>8</v>
      </c>
      <c r="C59">
        <v>5</v>
      </c>
      <c r="D59">
        <v>0</v>
      </c>
      <c r="E59">
        <v>5</v>
      </c>
      <c r="F59">
        <v>2</v>
      </c>
      <c r="G59">
        <v>5</v>
      </c>
      <c r="H59">
        <v>6</v>
      </c>
      <c r="I59">
        <v>8</v>
      </c>
      <c r="J59">
        <v>6</v>
      </c>
      <c r="K59">
        <v>4</v>
      </c>
      <c r="L59">
        <v>3</v>
      </c>
      <c r="M59">
        <f>IF(AND(D60=1,E60=2),1,0)</f>
        <v>0</v>
      </c>
      <c r="N59">
        <f>IF(ISEVEN(K59),1,0)</f>
        <v>1</v>
      </c>
      <c r="O59">
        <f>19*100+B59*10+C59</f>
        <v>1985</v>
      </c>
      <c r="P59">
        <f>B59*1+C59*3+D59*7+E59*9+F59*1+G59*3+H59*7+I59*9+J59*1+K59*3</f>
        <v>217</v>
      </c>
      <c r="Q59">
        <f>MOD(P59,10)</f>
        <v>7</v>
      </c>
      <c r="R59">
        <f>IF(Q59=0,0,10-Q59)</f>
        <v>3</v>
      </c>
      <c r="S59">
        <f>IF(R59=L59,0,A59)</f>
        <v>0</v>
      </c>
      <c r="U59">
        <v>8</v>
      </c>
    </row>
    <row r="60" spans="1:21" x14ac:dyDescent="0.25">
      <c r="A60">
        <v>55022153432</v>
      </c>
      <c r="B60">
        <v>5</v>
      </c>
      <c r="C60">
        <v>5</v>
      </c>
      <c r="D60">
        <v>0</v>
      </c>
      <c r="E60">
        <v>2</v>
      </c>
      <c r="F60">
        <v>2</v>
      </c>
      <c r="G60">
        <v>1</v>
      </c>
      <c r="H60">
        <v>5</v>
      </c>
      <c r="I60">
        <v>3</v>
      </c>
      <c r="J60">
        <v>4</v>
      </c>
      <c r="K60">
        <v>3</v>
      </c>
      <c r="L60">
        <v>2</v>
      </c>
      <c r="M60">
        <f>IF(AND(D61=1,E61=2),1,0)</f>
        <v>0</v>
      </c>
      <c r="N60">
        <f>IF(ISEVEN(K60),1,0)</f>
        <v>0</v>
      </c>
      <c r="O60">
        <f>19*100+B60*10+C60</f>
        <v>1955</v>
      </c>
      <c r="P60">
        <f>B60*1+C60*3+D60*7+E60*9+F60*1+G60*3+H60*7+I60*9+J60*1+K60*3</f>
        <v>118</v>
      </c>
      <c r="Q60">
        <f>MOD(P60,10)</f>
        <v>8</v>
      </c>
      <c r="R60">
        <f>IF(Q60=0,0,10-Q60)</f>
        <v>2</v>
      </c>
      <c r="S60">
        <f>IF(R60=L60,0,A60)</f>
        <v>0</v>
      </c>
      <c r="U60">
        <v>5</v>
      </c>
    </row>
    <row r="61" spans="1:21" x14ac:dyDescent="0.25">
      <c r="A61">
        <v>83041947282</v>
      </c>
      <c r="B61">
        <v>8</v>
      </c>
      <c r="C61">
        <v>3</v>
      </c>
      <c r="D61">
        <v>0</v>
      </c>
      <c r="E61">
        <v>4</v>
      </c>
      <c r="F61">
        <v>1</v>
      </c>
      <c r="G61">
        <v>9</v>
      </c>
      <c r="H61">
        <v>4</v>
      </c>
      <c r="I61">
        <v>7</v>
      </c>
      <c r="J61">
        <v>2</v>
      </c>
      <c r="K61">
        <v>8</v>
      </c>
      <c r="L61">
        <v>2</v>
      </c>
      <c r="M61">
        <f>IF(AND(D62=1,E62=2),1,0)</f>
        <v>0</v>
      </c>
      <c r="N61">
        <f>IF(ISEVEN(K61),1,0)</f>
        <v>1</v>
      </c>
      <c r="O61">
        <f>19*100+B61*10+C61</f>
        <v>1983</v>
      </c>
      <c r="P61">
        <f>B61*1+C61*3+D61*7+E61*9+F61*1+G61*3+H61*7+I61*9+J61*1+K61*3</f>
        <v>198</v>
      </c>
      <c r="Q61">
        <f>MOD(P61,10)</f>
        <v>8</v>
      </c>
      <c r="R61">
        <f>IF(Q61=0,0,10-Q61)</f>
        <v>2</v>
      </c>
      <c r="S61">
        <f>IF(R61=L61,0,A61)</f>
        <v>0</v>
      </c>
      <c r="U61">
        <v>8</v>
      </c>
    </row>
    <row r="62" spans="1:21" x14ac:dyDescent="0.25">
      <c r="A62">
        <v>86081443325</v>
      </c>
      <c r="B62">
        <v>8</v>
      </c>
      <c r="C62">
        <v>6</v>
      </c>
      <c r="D62">
        <v>0</v>
      </c>
      <c r="E62">
        <v>8</v>
      </c>
      <c r="F62">
        <v>1</v>
      </c>
      <c r="G62">
        <v>4</v>
      </c>
      <c r="H62">
        <v>4</v>
      </c>
      <c r="I62">
        <v>3</v>
      </c>
      <c r="J62">
        <v>3</v>
      </c>
      <c r="K62">
        <v>2</v>
      </c>
      <c r="L62">
        <v>5</v>
      </c>
      <c r="M62">
        <f>IF(AND(D63=1,E63=2),1,0)</f>
        <v>0</v>
      </c>
      <c r="N62">
        <f>IF(ISEVEN(K62),1,0)</f>
        <v>1</v>
      </c>
      <c r="O62">
        <f>19*100+B62*10+C62</f>
        <v>1986</v>
      </c>
      <c r="P62">
        <f>B62*1+C62*3+D62*7+E62*9+F62*1+G62*3+H62*7+I62*9+J62*1+K62*3</f>
        <v>175</v>
      </c>
      <c r="Q62">
        <f>MOD(P62,10)</f>
        <v>5</v>
      </c>
      <c r="R62">
        <f>IF(Q62=0,0,10-Q62)</f>
        <v>5</v>
      </c>
      <c r="S62">
        <f>IF(R62=L62,0,A62)</f>
        <v>0</v>
      </c>
      <c r="U62">
        <v>8</v>
      </c>
    </row>
    <row r="63" spans="1:21" x14ac:dyDescent="0.25">
      <c r="A63">
        <v>59110570565</v>
      </c>
      <c r="B63">
        <v>5</v>
      </c>
      <c r="C63">
        <v>9</v>
      </c>
      <c r="D63">
        <v>1</v>
      </c>
      <c r="E63">
        <v>1</v>
      </c>
      <c r="F63">
        <v>0</v>
      </c>
      <c r="G63">
        <v>5</v>
      </c>
      <c r="H63">
        <v>7</v>
      </c>
      <c r="I63">
        <v>0</v>
      </c>
      <c r="J63">
        <v>5</v>
      </c>
      <c r="K63">
        <v>6</v>
      </c>
      <c r="L63">
        <v>5</v>
      </c>
      <c r="M63">
        <f>IF(AND(D64=1,E64=2),1,0)</f>
        <v>0</v>
      </c>
      <c r="N63">
        <f>IF(ISEVEN(K63),1,0)</f>
        <v>1</v>
      </c>
      <c r="O63">
        <f>19*100+B63*10+C63</f>
        <v>1959</v>
      </c>
      <c r="P63">
        <f>B63*1+C63*3+D63*7+E63*9+F63*1+G63*3+H63*7+I63*9+J63*1+K63*3</f>
        <v>135</v>
      </c>
      <c r="Q63">
        <f>MOD(P63,10)</f>
        <v>5</v>
      </c>
      <c r="R63">
        <f>IF(Q63=0,0,10-Q63)</f>
        <v>5</v>
      </c>
      <c r="S63">
        <f>IF(R63=L63,0,A63)</f>
        <v>0</v>
      </c>
      <c r="U63">
        <v>5</v>
      </c>
    </row>
    <row r="64" spans="1:21" x14ac:dyDescent="0.25">
      <c r="A64">
        <v>66063014631</v>
      </c>
      <c r="B64">
        <v>6</v>
      </c>
      <c r="C64">
        <v>6</v>
      </c>
      <c r="D64">
        <v>0</v>
      </c>
      <c r="E64">
        <v>6</v>
      </c>
      <c r="F64">
        <v>3</v>
      </c>
      <c r="G64">
        <v>0</v>
      </c>
      <c r="H64">
        <v>1</v>
      </c>
      <c r="I64">
        <v>4</v>
      </c>
      <c r="J64">
        <v>6</v>
      </c>
      <c r="K64">
        <v>3</v>
      </c>
      <c r="L64">
        <v>1</v>
      </c>
      <c r="M64">
        <f>IF(AND(D65=1,E65=2),1,0)</f>
        <v>1</v>
      </c>
      <c r="N64">
        <f>IF(ISEVEN(K64),1,0)</f>
        <v>0</v>
      </c>
      <c r="O64">
        <f>19*100+B64*10+C64</f>
        <v>1966</v>
      </c>
      <c r="P64">
        <f>B64*1+C64*3+D64*7+E64*9+F64*1+G64*3+H64*7+I64*9+J64*1+K64*3</f>
        <v>139</v>
      </c>
      <c r="Q64">
        <f>MOD(P64,10)</f>
        <v>9</v>
      </c>
      <c r="R64">
        <f>IF(Q64=0,0,10-Q64)</f>
        <v>1</v>
      </c>
      <c r="S64">
        <f>IF(R64=L64,0,A64)</f>
        <v>0</v>
      </c>
      <c r="U64">
        <v>6</v>
      </c>
    </row>
    <row r="65" spans="1:21" x14ac:dyDescent="0.25">
      <c r="A65">
        <v>67120749923</v>
      </c>
      <c r="B65">
        <v>6</v>
      </c>
      <c r="C65">
        <v>7</v>
      </c>
      <c r="D65">
        <v>1</v>
      </c>
      <c r="E65">
        <v>2</v>
      </c>
      <c r="F65">
        <v>0</v>
      </c>
      <c r="G65">
        <v>7</v>
      </c>
      <c r="H65">
        <v>4</v>
      </c>
      <c r="I65">
        <v>9</v>
      </c>
      <c r="J65">
        <v>9</v>
      </c>
      <c r="K65">
        <v>2</v>
      </c>
      <c r="L65">
        <v>3</v>
      </c>
      <c r="M65">
        <f>IF(AND(D66=1,E66=2),1,0)</f>
        <v>0</v>
      </c>
      <c r="N65">
        <f>IF(ISEVEN(K65),1,0)</f>
        <v>1</v>
      </c>
      <c r="O65">
        <f>19*100+B65*10+C65</f>
        <v>1967</v>
      </c>
      <c r="P65">
        <f>B65*1+C65*3+D65*7+E65*9+F65*1+G65*3+H65*7+I65*9+J65*1+K65*3</f>
        <v>197</v>
      </c>
      <c r="Q65">
        <f>MOD(P65,10)</f>
        <v>7</v>
      </c>
      <c r="R65">
        <f>IF(Q65=0,0,10-Q65)</f>
        <v>3</v>
      </c>
      <c r="S65">
        <f>IF(R65=L65,0,A65)</f>
        <v>0</v>
      </c>
      <c r="U65">
        <v>6</v>
      </c>
    </row>
    <row r="66" spans="1:21" x14ac:dyDescent="0.25">
      <c r="A66">
        <v>89081519801</v>
      </c>
      <c r="B66">
        <v>8</v>
      </c>
      <c r="C66">
        <v>9</v>
      </c>
      <c r="D66">
        <v>0</v>
      </c>
      <c r="E66">
        <v>8</v>
      </c>
      <c r="F66">
        <v>1</v>
      </c>
      <c r="G66">
        <v>5</v>
      </c>
      <c r="H66">
        <v>1</v>
      </c>
      <c r="I66">
        <v>9</v>
      </c>
      <c r="J66">
        <v>8</v>
      </c>
      <c r="K66">
        <v>0</v>
      </c>
      <c r="L66">
        <v>1</v>
      </c>
      <c r="M66">
        <f>IF(AND(D67=1,E67=2),1,0)</f>
        <v>1</v>
      </c>
      <c r="N66">
        <f>IF(ISEVEN(K66),1,0)</f>
        <v>1</v>
      </c>
      <c r="O66">
        <f>19*100+B66*10+C66</f>
        <v>1989</v>
      </c>
      <c r="P66">
        <f>B66*1+C66*3+D66*7+E66*9+F66*1+G66*3+H66*7+I66*9+J66*1+K66*3</f>
        <v>219</v>
      </c>
      <c r="Q66">
        <f>MOD(P66,10)</f>
        <v>9</v>
      </c>
      <c r="R66">
        <f>IF(Q66=0,0,10-Q66)</f>
        <v>1</v>
      </c>
      <c r="S66">
        <f>IF(R66=L66,0,A66)</f>
        <v>0</v>
      </c>
      <c r="U66">
        <v>8</v>
      </c>
    </row>
    <row r="67" spans="1:21" x14ac:dyDescent="0.25">
      <c r="A67">
        <v>70120794633</v>
      </c>
      <c r="B67">
        <v>7</v>
      </c>
      <c r="C67">
        <v>0</v>
      </c>
      <c r="D67">
        <v>1</v>
      </c>
      <c r="E67">
        <v>2</v>
      </c>
      <c r="F67">
        <v>0</v>
      </c>
      <c r="G67">
        <v>7</v>
      </c>
      <c r="H67">
        <v>9</v>
      </c>
      <c r="I67">
        <v>4</v>
      </c>
      <c r="J67">
        <v>6</v>
      </c>
      <c r="K67">
        <v>3</v>
      </c>
      <c r="L67">
        <v>3</v>
      </c>
      <c r="M67">
        <f>IF(AND(D68=1,E68=2),1,0)</f>
        <v>1</v>
      </c>
      <c r="N67">
        <f>IF(ISEVEN(K67),1,0)</f>
        <v>0</v>
      </c>
      <c r="O67">
        <f>19*100+B67*10+C67</f>
        <v>1970</v>
      </c>
      <c r="P67">
        <f>B67*1+C67*3+D67*7+E67*9+F67*1+G67*3+H67*7+I67*9+J67*1+K67*3</f>
        <v>167</v>
      </c>
      <c r="Q67">
        <f>MOD(P67,10)</f>
        <v>7</v>
      </c>
      <c r="R67">
        <f>IF(Q67=0,0,10-Q67)</f>
        <v>3</v>
      </c>
      <c r="S67">
        <f>IF(R67=L67,0,A67)</f>
        <v>0</v>
      </c>
      <c r="U67">
        <v>7</v>
      </c>
    </row>
    <row r="68" spans="1:21" x14ac:dyDescent="0.25">
      <c r="A68">
        <v>76121186303</v>
      </c>
      <c r="B68">
        <v>7</v>
      </c>
      <c r="C68">
        <v>6</v>
      </c>
      <c r="D68">
        <v>1</v>
      </c>
      <c r="E68">
        <v>2</v>
      </c>
      <c r="F68">
        <v>1</v>
      </c>
      <c r="G68">
        <v>1</v>
      </c>
      <c r="H68">
        <v>8</v>
      </c>
      <c r="I68">
        <v>6</v>
      </c>
      <c r="J68">
        <v>3</v>
      </c>
      <c r="K68">
        <v>0</v>
      </c>
      <c r="L68">
        <v>3</v>
      </c>
      <c r="M68">
        <f>IF(AND(D69=1,E69=2),1,0)</f>
        <v>0</v>
      </c>
      <c r="N68">
        <f>IF(ISEVEN(K68),1,0)</f>
        <v>1</v>
      </c>
      <c r="O68">
        <f>19*100+B68*10+C68</f>
        <v>1976</v>
      </c>
      <c r="P68">
        <f>B68*1+C68*3+D68*7+E68*9+F68*1+G68*3+H68*7+I68*9+J68*1+K68*3</f>
        <v>167</v>
      </c>
      <c r="Q68">
        <f>MOD(P68,10)</f>
        <v>7</v>
      </c>
      <c r="R68">
        <f>IF(Q68=0,0,10-Q68)</f>
        <v>3</v>
      </c>
      <c r="S68">
        <f>IF(R68=L68,0,A68)</f>
        <v>0</v>
      </c>
      <c r="U68">
        <v>7</v>
      </c>
    </row>
    <row r="69" spans="1:21" x14ac:dyDescent="0.25">
      <c r="A69">
        <v>72031096705</v>
      </c>
      <c r="B69">
        <v>7</v>
      </c>
      <c r="C69">
        <v>2</v>
      </c>
      <c r="D69">
        <v>0</v>
      </c>
      <c r="E69">
        <v>3</v>
      </c>
      <c r="F69">
        <v>1</v>
      </c>
      <c r="G69">
        <v>0</v>
      </c>
      <c r="H69">
        <v>9</v>
      </c>
      <c r="I69">
        <v>6</v>
      </c>
      <c r="J69">
        <v>7</v>
      </c>
      <c r="K69">
        <v>0</v>
      </c>
      <c r="L69">
        <v>5</v>
      </c>
      <c r="M69">
        <f>IF(AND(D70=1,E70=2),1,0)</f>
        <v>0</v>
      </c>
      <c r="N69">
        <f>IF(ISEVEN(K69),1,0)</f>
        <v>1</v>
      </c>
      <c r="O69">
        <f>19*100+B69*10+C69</f>
        <v>1972</v>
      </c>
      <c r="P69">
        <f>B69*1+C69*3+D69*7+E69*9+F69*1+G69*3+H69*7+I69*9+J69*1+K69*3</f>
        <v>165</v>
      </c>
      <c r="Q69">
        <f>MOD(P69,10)</f>
        <v>5</v>
      </c>
      <c r="R69">
        <f>IF(Q69=0,0,10-Q69)</f>
        <v>5</v>
      </c>
      <c r="S69">
        <f>IF(R69=L69,0,A69)</f>
        <v>0</v>
      </c>
      <c r="U69">
        <v>7</v>
      </c>
    </row>
    <row r="70" spans="1:21" x14ac:dyDescent="0.25">
      <c r="A70">
        <v>61100157652</v>
      </c>
      <c r="B70">
        <v>6</v>
      </c>
      <c r="C70">
        <v>1</v>
      </c>
      <c r="D70">
        <v>1</v>
      </c>
      <c r="E70">
        <v>0</v>
      </c>
      <c r="F70">
        <v>0</v>
      </c>
      <c r="G70">
        <v>1</v>
      </c>
      <c r="H70">
        <v>5</v>
      </c>
      <c r="I70">
        <v>7</v>
      </c>
      <c r="J70">
        <v>6</v>
      </c>
      <c r="K70">
        <v>5</v>
      </c>
      <c r="L70">
        <v>2</v>
      </c>
      <c r="M70">
        <f>IF(AND(D71=1,E71=2),1,0)</f>
        <v>0</v>
      </c>
      <c r="N70">
        <f>IF(ISEVEN(K70),1,0)</f>
        <v>0</v>
      </c>
      <c r="O70">
        <f>19*100+B70*10+C70</f>
        <v>1961</v>
      </c>
      <c r="P70">
        <f>B70*1+C70*3+D70*7+E70*9+F70*1+G70*3+H70*7+I70*9+J70*1+K70*3</f>
        <v>138</v>
      </c>
      <c r="Q70">
        <f>MOD(P70,10)</f>
        <v>8</v>
      </c>
      <c r="R70">
        <f>IF(Q70=0,0,10-Q70)</f>
        <v>2</v>
      </c>
      <c r="S70">
        <f>IF(R70=L70,0,A70)</f>
        <v>0</v>
      </c>
      <c r="U70">
        <v>6</v>
      </c>
    </row>
    <row r="71" spans="1:21" x14ac:dyDescent="0.25">
      <c r="A71">
        <v>79012564484</v>
      </c>
      <c r="B71">
        <v>7</v>
      </c>
      <c r="C71">
        <v>9</v>
      </c>
      <c r="D71">
        <v>0</v>
      </c>
      <c r="E71">
        <v>1</v>
      </c>
      <c r="F71">
        <v>2</v>
      </c>
      <c r="G71">
        <v>5</v>
      </c>
      <c r="H71">
        <v>6</v>
      </c>
      <c r="I71">
        <v>4</v>
      </c>
      <c r="J71">
        <v>4</v>
      </c>
      <c r="K71">
        <v>8</v>
      </c>
      <c r="L71">
        <v>4</v>
      </c>
      <c r="M71">
        <f>IF(AND(D72=1,E72=2),1,0)</f>
        <v>0</v>
      </c>
      <c r="N71">
        <f>IF(ISEVEN(K71),1,0)</f>
        <v>1</v>
      </c>
      <c r="O71">
        <f>19*100+B71*10+C71</f>
        <v>1979</v>
      </c>
      <c r="P71">
        <f>B71*1+C71*3+D71*7+E71*9+F71*1+G71*3+H71*7+I71*9+J71*1+K71*3</f>
        <v>166</v>
      </c>
      <c r="Q71">
        <f>MOD(P71,10)</f>
        <v>6</v>
      </c>
      <c r="R71">
        <f>IF(Q71=0,0,10-Q71)</f>
        <v>4</v>
      </c>
      <c r="S71">
        <f>IF(R71=L71,0,A71)</f>
        <v>0</v>
      </c>
      <c r="U71">
        <v>7</v>
      </c>
    </row>
    <row r="72" spans="1:21" x14ac:dyDescent="0.25">
      <c r="A72">
        <v>88111094545</v>
      </c>
      <c r="B72">
        <v>8</v>
      </c>
      <c r="C72">
        <v>8</v>
      </c>
      <c r="D72">
        <v>1</v>
      </c>
      <c r="E72">
        <v>1</v>
      </c>
      <c r="F72">
        <v>1</v>
      </c>
      <c r="G72">
        <v>0</v>
      </c>
      <c r="H72">
        <v>9</v>
      </c>
      <c r="I72">
        <v>4</v>
      </c>
      <c r="J72">
        <v>5</v>
      </c>
      <c r="K72">
        <v>4</v>
      </c>
      <c r="L72">
        <v>5</v>
      </c>
      <c r="M72">
        <f>IF(AND(D73=1,E73=2),1,0)</f>
        <v>0</v>
      </c>
      <c r="N72">
        <f>IF(ISEVEN(K72),1,0)</f>
        <v>1</v>
      </c>
      <c r="O72">
        <f>19*100+B72*10+C72</f>
        <v>1988</v>
      </c>
      <c r="P72">
        <f>B72*1+C72*3+D72*7+E72*9+F72*1+G72*3+H72*7+I72*9+J72*1+K72*3</f>
        <v>165</v>
      </c>
      <c r="Q72">
        <f>MOD(P72,10)</f>
        <v>5</v>
      </c>
      <c r="R72">
        <f>IF(Q72=0,0,10-Q72)</f>
        <v>5</v>
      </c>
      <c r="S72">
        <f>IF(R72=L72,0,A72)</f>
        <v>0</v>
      </c>
      <c r="U72">
        <v>8</v>
      </c>
    </row>
    <row r="73" spans="1:21" x14ac:dyDescent="0.25">
      <c r="A73">
        <v>89040876453</v>
      </c>
      <c r="B73">
        <v>8</v>
      </c>
      <c r="C73">
        <v>9</v>
      </c>
      <c r="D73">
        <v>0</v>
      </c>
      <c r="E73">
        <v>4</v>
      </c>
      <c r="F73">
        <v>0</v>
      </c>
      <c r="G73">
        <v>8</v>
      </c>
      <c r="H73">
        <v>7</v>
      </c>
      <c r="I73">
        <v>6</v>
      </c>
      <c r="J73">
        <v>4</v>
      </c>
      <c r="K73">
        <v>5</v>
      </c>
      <c r="L73">
        <v>3</v>
      </c>
      <c r="M73">
        <f>IF(AND(D74=1,E74=2),1,0)</f>
        <v>1</v>
      </c>
      <c r="N73">
        <f>IF(ISEVEN(K73),1,0)</f>
        <v>0</v>
      </c>
      <c r="O73">
        <f>19*100+B73*10+C73</f>
        <v>1989</v>
      </c>
      <c r="P73">
        <f>B73*1+C73*3+D73*7+E73*9+F73*1+G73*3+H73*7+I73*9+J73*1+K73*3</f>
        <v>217</v>
      </c>
      <c r="Q73">
        <f>MOD(P73,10)</f>
        <v>7</v>
      </c>
      <c r="R73">
        <f>IF(Q73=0,0,10-Q73)</f>
        <v>3</v>
      </c>
      <c r="S73">
        <f>IF(R73=L73,0,A73)</f>
        <v>0</v>
      </c>
      <c r="U73">
        <v>8</v>
      </c>
    </row>
    <row r="74" spans="1:21" x14ac:dyDescent="0.25">
      <c r="A74">
        <v>89120952161</v>
      </c>
      <c r="B74">
        <v>8</v>
      </c>
      <c r="C74">
        <v>9</v>
      </c>
      <c r="D74">
        <v>1</v>
      </c>
      <c r="E74">
        <v>2</v>
      </c>
      <c r="F74">
        <v>0</v>
      </c>
      <c r="G74">
        <v>9</v>
      </c>
      <c r="H74">
        <v>5</v>
      </c>
      <c r="I74">
        <v>2</v>
      </c>
      <c r="J74">
        <v>1</v>
      </c>
      <c r="K74">
        <v>6</v>
      </c>
      <c r="L74">
        <v>1</v>
      </c>
      <c r="M74">
        <f>IF(AND(D75=1,E75=2),1,0)</f>
        <v>0</v>
      </c>
      <c r="N74">
        <f>IF(ISEVEN(K74),1,0)</f>
        <v>1</v>
      </c>
      <c r="O74">
        <f>19*100+B74*10+C74</f>
        <v>1989</v>
      </c>
      <c r="P74">
        <f>B74*1+C74*3+D74*7+E74*9+F74*1+G74*3+H74*7+I74*9+J74*1+K74*3</f>
        <v>159</v>
      </c>
      <c r="Q74">
        <f>MOD(P74,10)</f>
        <v>9</v>
      </c>
      <c r="R74">
        <f>IF(Q74=0,0,10-Q74)</f>
        <v>1</v>
      </c>
      <c r="S74">
        <f>IF(R74=L74,0,A74)</f>
        <v>0</v>
      </c>
      <c r="U74">
        <v>8</v>
      </c>
    </row>
    <row r="75" spans="1:21" x14ac:dyDescent="0.25">
      <c r="A75">
        <v>59083036077</v>
      </c>
      <c r="B75">
        <v>5</v>
      </c>
      <c r="C75">
        <v>9</v>
      </c>
      <c r="D75">
        <v>0</v>
      </c>
      <c r="E75">
        <v>8</v>
      </c>
      <c r="F75">
        <v>3</v>
      </c>
      <c r="G75">
        <v>0</v>
      </c>
      <c r="H75">
        <v>3</v>
      </c>
      <c r="I75">
        <v>6</v>
      </c>
      <c r="J75">
        <v>0</v>
      </c>
      <c r="K75">
        <v>7</v>
      </c>
      <c r="L75">
        <v>7</v>
      </c>
      <c r="M75">
        <f>IF(AND(D76=1,E76=2),1,0)</f>
        <v>1</v>
      </c>
      <c r="N75">
        <f>IF(ISEVEN(K75),1,0)</f>
        <v>0</v>
      </c>
      <c r="O75">
        <f>19*100+B75*10+C75</f>
        <v>1959</v>
      </c>
      <c r="P75">
        <f>B75*1+C75*3+D75*7+E75*9+F75*1+G75*3+H75*7+I75*9+J75*1+K75*3</f>
        <v>203</v>
      </c>
      <c r="Q75">
        <f>MOD(P75,10)</f>
        <v>3</v>
      </c>
      <c r="R75">
        <f>IF(Q75=0,0,10-Q75)</f>
        <v>7</v>
      </c>
      <c r="S75">
        <f>IF(R75=L75,0,A75)</f>
        <v>0</v>
      </c>
      <c r="U75">
        <v>5</v>
      </c>
    </row>
    <row r="76" spans="1:21" x14ac:dyDescent="0.25">
      <c r="A76">
        <v>61121020469</v>
      </c>
      <c r="B76">
        <v>6</v>
      </c>
      <c r="C76">
        <v>1</v>
      </c>
      <c r="D76">
        <v>1</v>
      </c>
      <c r="E76">
        <v>2</v>
      </c>
      <c r="F76">
        <v>1</v>
      </c>
      <c r="G76">
        <v>0</v>
      </c>
      <c r="H76">
        <v>2</v>
      </c>
      <c r="I76">
        <v>0</v>
      </c>
      <c r="J76">
        <v>4</v>
      </c>
      <c r="K76">
        <v>6</v>
      </c>
      <c r="L76">
        <v>9</v>
      </c>
      <c r="M76">
        <f>IF(AND(D77=1,E77=2),1,0)</f>
        <v>0</v>
      </c>
      <c r="N76">
        <f>IF(ISEVEN(K76),1,0)</f>
        <v>1</v>
      </c>
      <c r="O76">
        <f>19*100+B76*10+C76</f>
        <v>1961</v>
      </c>
      <c r="P76">
        <f>B76*1+C76*3+D76*7+E76*9+F76*1+G76*3+H76*7+I76*9+J76*1+K76*3</f>
        <v>71</v>
      </c>
      <c r="Q76">
        <f>MOD(P76,10)</f>
        <v>1</v>
      </c>
      <c r="R76">
        <f>IF(Q76=0,0,10-Q76)</f>
        <v>9</v>
      </c>
      <c r="S76">
        <f>IF(R76=L76,0,A76)</f>
        <v>0</v>
      </c>
      <c r="U76">
        <v>6</v>
      </c>
    </row>
    <row r="77" spans="1:21" x14ac:dyDescent="0.25">
      <c r="A77">
        <v>89040185241</v>
      </c>
      <c r="B77">
        <v>8</v>
      </c>
      <c r="C77">
        <v>9</v>
      </c>
      <c r="D77">
        <v>0</v>
      </c>
      <c r="E77">
        <v>4</v>
      </c>
      <c r="F77">
        <v>0</v>
      </c>
      <c r="G77">
        <v>1</v>
      </c>
      <c r="H77">
        <v>8</v>
      </c>
      <c r="I77">
        <v>5</v>
      </c>
      <c r="J77">
        <v>2</v>
      </c>
      <c r="K77">
        <v>4</v>
      </c>
      <c r="L77">
        <v>1</v>
      </c>
      <c r="M77">
        <f>IF(AND(D78=1,E78=2),1,0)</f>
        <v>0</v>
      </c>
      <c r="N77">
        <f>IF(ISEVEN(K77),1,0)</f>
        <v>1</v>
      </c>
      <c r="O77">
        <f>19*100+B77*10+C77</f>
        <v>1989</v>
      </c>
      <c r="P77">
        <f>B77*1+C77*3+D77*7+E77*9+F77*1+G77*3+H77*7+I77*9+J77*1+K77*3</f>
        <v>189</v>
      </c>
      <c r="Q77">
        <f>MOD(P77,10)</f>
        <v>9</v>
      </c>
      <c r="R77">
        <f>IF(Q77=0,0,10-Q77)</f>
        <v>1</v>
      </c>
      <c r="S77">
        <f>IF(R77=L77,0,A77)</f>
        <v>0</v>
      </c>
      <c r="U77">
        <v>8</v>
      </c>
    </row>
    <row r="78" spans="1:21" x14ac:dyDescent="0.25">
      <c r="A78">
        <v>88080416256</v>
      </c>
      <c r="B78">
        <v>8</v>
      </c>
      <c r="C78">
        <v>8</v>
      </c>
      <c r="D78">
        <v>0</v>
      </c>
      <c r="E78">
        <v>8</v>
      </c>
      <c r="F78">
        <v>0</v>
      </c>
      <c r="G78">
        <v>4</v>
      </c>
      <c r="H78">
        <v>1</v>
      </c>
      <c r="I78">
        <v>6</v>
      </c>
      <c r="J78">
        <v>2</v>
      </c>
      <c r="K78">
        <v>5</v>
      </c>
      <c r="L78">
        <v>6</v>
      </c>
      <c r="M78">
        <f>IF(AND(D79=1,E79=2),1,0)</f>
        <v>0</v>
      </c>
      <c r="N78">
        <f>IF(ISEVEN(K78),1,0)</f>
        <v>0</v>
      </c>
      <c r="O78">
        <f>19*100+B78*10+C78</f>
        <v>1988</v>
      </c>
      <c r="P78">
        <f>B78*1+C78*3+D78*7+E78*9+F78*1+G78*3+H78*7+I78*9+J78*1+K78*3</f>
        <v>194</v>
      </c>
      <c r="Q78">
        <f>MOD(P78,10)</f>
        <v>4</v>
      </c>
      <c r="R78">
        <f>IF(Q78=0,0,10-Q78)</f>
        <v>6</v>
      </c>
      <c r="S78">
        <f>IF(R78=L78,0,A78)</f>
        <v>0</v>
      </c>
      <c r="U78">
        <v>8</v>
      </c>
    </row>
    <row r="79" spans="1:21" x14ac:dyDescent="0.25">
      <c r="A79">
        <v>61032479116</v>
      </c>
      <c r="B79">
        <v>6</v>
      </c>
      <c r="C79">
        <v>1</v>
      </c>
      <c r="D79">
        <v>0</v>
      </c>
      <c r="E79">
        <v>3</v>
      </c>
      <c r="F79">
        <v>2</v>
      </c>
      <c r="G79">
        <v>4</v>
      </c>
      <c r="H79">
        <v>7</v>
      </c>
      <c r="I79">
        <v>9</v>
      </c>
      <c r="J79">
        <v>1</v>
      </c>
      <c r="K79">
        <v>1</v>
      </c>
      <c r="L79">
        <v>6</v>
      </c>
      <c r="M79">
        <f>IF(AND(D80=1,E80=2),1,0)</f>
        <v>0</v>
      </c>
      <c r="N79">
        <f>IF(ISEVEN(K79),1,0)</f>
        <v>0</v>
      </c>
      <c r="O79">
        <f>19*100+B79*10+C79</f>
        <v>1961</v>
      </c>
      <c r="P79">
        <f>B79*1+C79*3+D79*7+E79*9+F79*1+G79*3+H79*7+I79*9+J79*1+K79*3</f>
        <v>184</v>
      </c>
      <c r="Q79">
        <f>MOD(P79,10)</f>
        <v>4</v>
      </c>
      <c r="R79">
        <f>IF(Q79=0,0,10-Q79)</f>
        <v>6</v>
      </c>
      <c r="S79">
        <f>IF(R79=L79,0,A79)</f>
        <v>0</v>
      </c>
      <c r="U79">
        <v>6</v>
      </c>
    </row>
    <row r="80" spans="1:21" x14ac:dyDescent="0.25">
      <c r="A80">
        <v>54020837137</v>
      </c>
      <c r="B80">
        <v>5</v>
      </c>
      <c r="C80">
        <v>4</v>
      </c>
      <c r="D80">
        <v>0</v>
      </c>
      <c r="E80">
        <v>2</v>
      </c>
      <c r="F80">
        <v>0</v>
      </c>
      <c r="G80">
        <v>8</v>
      </c>
      <c r="H80">
        <v>3</v>
      </c>
      <c r="I80">
        <v>7</v>
      </c>
      <c r="J80">
        <v>1</v>
      </c>
      <c r="K80">
        <v>3</v>
      </c>
      <c r="L80">
        <v>7</v>
      </c>
      <c r="M80">
        <f>IF(AND(D81=1,E81=2),1,0)</f>
        <v>0</v>
      </c>
      <c r="N80">
        <f>IF(ISEVEN(K80),1,0)</f>
        <v>0</v>
      </c>
      <c r="O80">
        <f>19*100+B80*10+C80</f>
        <v>1954</v>
      </c>
      <c r="P80">
        <f>B80*1+C80*3+D80*7+E80*9+F80*1+G80*3+H80*7+I80*9+J80*1+K80*3</f>
        <v>153</v>
      </c>
      <c r="Q80">
        <f>MOD(P80,10)</f>
        <v>3</v>
      </c>
      <c r="R80">
        <f>IF(Q80=0,0,10-Q80)</f>
        <v>7</v>
      </c>
      <c r="S80">
        <f>IF(R80=L80,0,A80)</f>
        <v>0</v>
      </c>
      <c r="U80">
        <v>5</v>
      </c>
    </row>
    <row r="81" spans="1:21" x14ac:dyDescent="0.25">
      <c r="A81">
        <v>87072724289</v>
      </c>
      <c r="B81">
        <v>8</v>
      </c>
      <c r="C81">
        <v>7</v>
      </c>
      <c r="D81">
        <v>0</v>
      </c>
      <c r="E81">
        <v>7</v>
      </c>
      <c r="F81">
        <v>2</v>
      </c>
      <c r="G81">
        <v>7</v>
      </c>
      <c r="H81">
        <v>2</v>
      </c>
      <c r="I81">
        <v>4</v>
      </c>
      <c r="J81">
        <v>2</v>
      </c>
      <c r="K81">
        <v>8</v>
      </c>
      <c r="L81">
        <v>9</v>
      </c>
      <c r="M81">
        <f>IF(AND(D82=1,E82=2),1,0)</f>
        <v>0</v>
      </c>
      <c r="N81">
        <f>IF(ISEVEN(K81),1,0)</f>
        <v>1</v>
      </c>
      <c r="O81">
        <f>19*100+B81*10+C81</f>
        <v>1987</v>
      </c>
      <c r="P81">
        <f>B81*1+C81*3+D81*7+E81*9+F81*1+G81*3+H81*7+I81*9+J81*1+K81*3</f>
        <v>191</v>
      </c>
      <c r="Q81">
        <f>MOD(P81,10)</f>
        <v>1</v>
      </c>
      <c r="R81">
        <f>IF(Q81=0,0,10-Q81)</f>
        <v>9</v>
      </c>
      <c r="S81">
        <f>IF(R81=L81,0,A81)</f>
        <v>0</v>
      </c>
      <c r="U81">
        <v>8</v>
      </c>
    </row>
    <row r="82" spans="1:21" x14ac:dyDescent="0.25">
      <c r="A82">
        <v>88103032931</v>
      </c>
      <c r="B82">
        <v>8</v>
      </c>
      <c r="C82">
        <v>8</v>
      </c>
      <c r="D82">
        <v>1</v>
      </c>
      <c r="E82">
        <v>0</v>
      </c>
      <c r="F82">
        <v>3</v>
      </c>
      <c r="G82">
        <v>0</v>
      </c>
      <c r="H82">
        <v>3</v>
      </c>
      <c r="I82">
        <v>2</v>
      </c>
      <c r="J82">
        <v>9</v>
      </c>
      <c r="K82">
        <v>3</v>
      </c>
      <c r="L82">
        <v>1</v>
      </c>
      <c r="M82">
        <f>IF(AND(D83=1,E83=2),1,0)</f>
        <v>0</v>
      </c>
      <c r="N82">
        <f>IF(ISEVEN(K82),1,0)</f>
        <v>0</v>
      </c>
      <c r="O82">
        <f>19*100+B82*10+C82</f>
        <v>1988</v>
      </c>
      <c r="P82">
        <f>B82*1+C82*3+D82*7+E82*9+F82*1+G82*3+H82*7+I82*9+J82*1+K82*3</f>
        <v>99</v>
      </c>
      <c r="Q82">
        <f>MOD(P82,10)</f>
        <v>9</v>
      </c>
      <c r="R82">
        <f>IF(Q82=0,0,10-Q82)</f>
        <v>1</v>
      </c>
      <c r="S82">
        <f>IF(R82=L82,0,A82)</f>
        <v>0</v>
      </c>
      <c r="U82">
        <v>8</v>
      </c>
    </row>
    <row r="83" spans="1:21" x14ac:dyDescent="0.25">
      <c r="A83">
        <v>59042989686</v>
      </c>
      <c r="B83">
        <v>5</v>
      </c>
      <c r="C83">
        <v>9</v>
      </c>
      <c r="D83">
        <v>0</v>
      </c>
      <c r="E83">
        <v>4</v>
      </c>
      <c r="F83">
        <v>2</v>
      </c>
      <c r="G83">
        <v>9</v>
      </c>
      <c r="H83">
        <v>8</v>
      </c>
      <c r="I83">
        <v>9</v>
      </c>
      <c r="J83">
        <v>6</v>
      </c>
      <c r="K83">
        <v>8</v>
      </c>
      <c r="L83">
        <v>6</v>
      </c>
      <c r="M83">
        <f>IF(AND(D84=1,E84=2),1,0)</f>
        <v>0</v>
      </c>
      <c r="N83">
        <f>IF(ISEVEN(K83),1,0)</f>
        <v>1</v>
      </c>
      <c r="O83">
        <f>19*100+B83*10+C83</f>
        <v>1959</v>
      </c>
      <c r="P83">
        <f>B83*1+C83*3+D83*7+E83*9+F83*1+G83*3+H83*7+I83*9+J83*1+K83*3</f>
        <v>264</v>
      </c>
      <c r="Q83">
        <f>MOD(P83,10)</f>
        <v>4</v>
      </c>
      <c r="R83">
        <f>IF(Q83=0,0,10-Q83)</f>
        <v>6</v>
      </c>
      <c r="S83">
        <f>IF(R83=L83,0,A83)</f>
        <v>0</v>
      </c>
      <c r="U83">
        <v>5</v>
      </c>
    </row>
    <row r="84" spans="1:21" x14ac:dyDescent="0.25">
      <c r="A84">
        <v>91023191330</v>
      </c>
      <c r="B84">
        <v>9</v>
      </c>
      <c r="C84">
        <v>1</v>
      </c>
      <c r="D84">
        <v>0</v>
      </c>
      <c r="E84">
        <v>2</v>
      </c>
      <c r="F84">
        <v>3</v>
      </c>
      <c r="G84">
        <v>1</v>
      </c>
      <c r="H84">
        <v>9</v>
      </c>
      <c r="I84">
        <v>1</v>
      </c>
      <c r="J84">
        <v>3</v>
      </c>
      <c r="K84">
        <v>3</v>
      </c>
      <c r="L84">
        <v>0</v>
      </c>
      <c r="M84">
        <f>IF(AND(D85=1,E85=2),1,0)</f>
        <v>0</v>
      </c>
      <c r="N84">
        <f>IF(ISEVEN(K84),1,0)</f>
        <v>0</v>
      </c>
      <c r="O84">
        <f>19*100+B84*10+C84</f>
        <v>1991</v>
      </c>
      <c r="P84">
        <f>B84*1+C84*3+D84*7+E84*9+F84*1+G84*3+H84*7+I84*9+J84*1+K84*3</f>
        <v>120</v>
      </c>
      <c r="Q84">
        <f>MOD(P84,10)</f>
        <v>0</v>
      </c>
      <c r="R84">
        <f>IF(Q84=0,0,10-Q84)</f>
        <v>0</v>
      </c>
      <c r="S84">
        <f>IF(R84=L84,0,A84)</f>
        <v>0</v>
      </c>
      <c r="U84">
        <v>9</v>
      </c>
    </row>
    <row r="85" spans="1:21" x14ac:dyDescent="0.25">
      <c r="A85">
        <v>59031152059</v>
      </c>
      <c r="B85">
        <v>5</v>
      </c>
      <c r="C85">
        <v>9</v>
      </c>
      <c r="D85">
        <v>0</v>
      </c>
      <c r="E85">
        <v>3</v>
      </c>
      <c r="F85">
        <v>1</v>
      </c>
      <c r="G85">
        <v>1</v>
      </c>
      <c r="H85">
        <v>5</v>
      </c>
      <c r="I85">
        <v>2</v>
      </c>
      <c r="J85">
        <v>0</v>
      </c>
      <c r="K85">
        <v>5</v>
      </c>
      <c r="L85">
        <v>9</v>
      </c>
      <c r="M85">
        <f>IF(AND(D86=1,E86=2),1,0)</f>
        <v>0</v>
      </c>
      <c r="N85">
        <f>IF(ISEVEN(K85),1,0)</f>
        <v>0</v>
      </c>
      <c r="O85">
        <f>19*100+B85*10+C85</f>
        <v>1959</v>
      </c>
      <c r="P85">
        <f>B85*1+C85*3+D85*7+E85*9+F85*1+G85*3+H85*7+I85*9+J85*1+K85*3</f>
        <v>131</v>
      </c>
      <c r="Q85">
        <f>MOD(P85,10)</f>
        <v>1</v>
      </c>
      <c r="R85">
        <f>IF(Q85=0,0,10-Q85)</f>
        <v>9</v>
      </c>
      <c r="S85">
        <f>IF(R85=L85,0,A85)</f>
        <v>0</v>
      </c>
      <c r="U85">
        <v>5</v>
      </c>
    </row>
    <row r="86" spans="1:21" x14ac:dyDescent="0.25">
      <c r="A86">
        <v>84112185145</v>
      </c>
      <c r="B86">
        <v>8</v>
      </c>
      <c r="C86">
        <v>4</v>
      </c>
      <c r="D86">
        <v>1</v>
      </c>
      <c r="E86">
        <v>1</v>
      </c>
      <c r="F86">
        <v>2</v>
      </c>
      <c r="G86">
        <v>1</v>
      </c>
      <c r="H86">
        <v>8</v>
      </c>
      <c r="I86">
        <v>5</v>
      </c>
      <c r="J86">
        <v>1</v>
      </c>
      <c r="K86">
        <v>4</v>
      </c>
      <c r="L86">
        <v>5</v>
      </c>
      <c r="M86">
        <f>IF(AND(D87=1,E87=2),1,0)</f>
        <v>0</v>
      </c>
      <c r="N86">
        <f>IF(ISEVEN(K86),1,0)</f>
        <v>1</v>
      </c>
      <c r="O86">
        <f>19*100+B86*10+C86</f>
        <v>1984</v>
      </c>
      <c r="P86">
        <f>B86*1+C86*3+D86*7+E86*9+F86*1+G86*3+H86*7+I86*9+J86*1+K86*3</f>
        <v>155</v>
      </c>
      <c r="Q86">
        <f>MOD(P86,10)</f>
        <v>5</v>
      </c>
      <c r="R86">
        <f>IF(Q86=0,0,10-Q86)</f>
        <v>5</v>
      </c>
      <c r="S86">
        <f>IF(R86=L86,0,A86)</f>
        <v>0</v>
      </c>
      <c r="U86">
        <v>8</v>
      </c>
    </row>
    <row r="87" spans="1:21" x14ac:dyDescent="0.25">
      <c r="A87">
        <v>60102890107</v>
      </c>
      <c r="B87">
        <v>6</v>
      </c>
      <c r="C87">
        <v>0</v>
      </c>
      <c r="D87">
        <v>1</v>
      </c>
      <c r="E87">
        <v>0</v>
      </c>
      <c r="F87">
        <v>2</v>
      </c>
      <c r="G87">
        <v>8</v>
      </c>
      <c r="H87">
        <v>9</v>
      </c>
      <c r="I87">
        <v>0</v>
      </c>
      <c r="J87">
        <v>1</v>
      </c>
      <c r="K87">
        <v>0</v>
      </c>
      <c r="L87">
        <v>7</v>
      </c>
      <c r="M87">
        <f>IF(AND(D88=1,E88=2),1,0)</f>
        <v>0</v>
      </c>
      <c r="N87">
        <f>IF(ISEVEN(K87),1,0)</f>
        <v>1</v>
      </c>
      <c r="O87">
        <f>19*100+B87*10+C87</f>
        <v>1960</v>
      </c>
      <c r="P87">
        <f>B87*1+C87*3+D87*7+E87*9+F87*1+G87*3+H87*7+I87*9+J87*1+K87*3</f>
        <v>103</v>
      </c>
      <c r="Q87">
        <f>MOD(P87,10)</f>
        <v>3</v>
      </c>
      <c r="R87">
        <f>IF(Q87=0,0,10-Q87)</f>
        <v>7</v>
      </c>
      <c r="S87">
        <f>IF(R87=L87,0,A87)</f>
        <v>0</v>
      </c>
      <c r="U87">
        <v>6</v>
      </c>
    </row>
    <row r="88" spans="1:21" x14ac:dyDescent="0.25">
      <c r="A88">
        <v>84050694367</v>
      </c>
      <c r="B88">
        <v>8</v>
      </c>
      <c r="C88">
        <v>4</v>
      </c>
      <c r="D88">
        <v>0</v>
      </c>
      <c r="E88">
        <v>5</v>
      </c>
      <c r="F88">
        <v>0</v>
      </c>
      <c r="G88">
        <v>6</v>
      </c>
      <c r="H88">
        <v>9</v>
      </c>
      <c r="I88">
        <v>4</v>
      </c>
      <c r="J88">
        <v>3</v>
      </c>
      <c r="K88">
        <v>6</v>
      </c>
      <c r="L88">
        <v>7</v>
      </c>
      <c r="M88">
        <f>IF(AND(D89=1,E89=2),1,0)</f>
        <v>0</v>
      </c>
      <c r="N88">
        <f>IF(ISEVEN(K88),1,0)</f>
        <v>1</v>
      </c>
      <c r="O88">
        <f>19*100+B88*10+C88</f>
        <v>1984</v>
      </c>
      <c r="P88">
        <f>B88*1+C88*3+D88*7+E88*9+F88*1+G88*3+H88*7+I88*9+J88*1+K88*3</f>
        <v>203</v>
      </c>
      <c r="Q88">
        <f>MOD(P88,10)</f>
        <v>3</v>
      </c>
      <c r="R88">
        <f>IF(Q88=0,0,10-Q88)</f>
        <v>7</v>
      </c>
      <c r="S88">
        <f>IF(R88=L88,0,A88)</f>
        <v>0</v>
      </c>
      <c r="U88">
        <v>8</v>
      </c>
    </row>
    <row r="89" spans="1:21" x14ac:dyDescent="0.25">
      <c r="A89">
        <v>89041133472</v>
      </c>
      <c r="B89">
        <v>8</v>
      </c>
      <c r="C89">
        <v>9</v>
      </c>
      <c r="D89">
        <v>0</v>
      </c>
      <c r="E89">
        <v>4</v>
      </c>
      <c r="F89">
        <v>1</v>
      </c>
      <c r="G89">
        <v>1</v>
      </c>
      <c r="H89">
        <v>3</v>
      </c>
      <c r="I89">
        <v>3</v>
      </c>
      <c r="J89">
        <v>4</v>
      </c>
      <c r="K89">
        <v>7</v>
      </c>
      <c r="L89">
        <v>2</v>
      </c>
      <c r="M89">
        <f>IF(AND(D90=1,E90=2),1,0)</f>
        <v>0</v>
      </c>
      <c r="N89">
        <f>IF(ISEVEN(K89),1,0)</f>
        <v>0</v>
      </c>
      <c r="O89">
        <f>19*100+B89*10+C89</f>
        <v>1989</v>
      </c>
      <c r="P89">
        <f>B89*1+C89*3+D89*7+E89*9+F89*1+G89*3+H89*7+I89*9+J89*1+K89*3</f>
        <v>148</v>
      </c>
      <c r="Q89">
        <f>MOD(P89,10)</f>
        <v>8</v>
      </c>
      <c r="R89">
        <f>IF(Q89=0,0,10-Q89)</f>
        <v>2</v>
      </c>
      <c r="S89">
        <f>IF(R89=L89,0,A89)</f>
        <v>0</v>
      </c>
      <c r="U89">
        <v>8</v>
      </c>
    </row>
    <row r="90" spans="1:21" x14ac:dyDescent="0.25">
      <c r="A90">
        <v>82072219267</v>
      </c>
      <c r="B90">
        <v>8</v>
      </c>
      <c r="C90">
        <v>2</v>
      </c>
      <c r="D90">
        <v>0</v>
      </c>
      <c r="E90">
        <v>7</v>
      </c>
      <c r="F90">
        <v>2</v>
      </c>
      <c r="G90">
        <v>2</v>
      </c>
      <c r="H90">
        <v>1</v>
      </c>
      <c r="I90">
        <v>9</v>
      </c>
      <c r="J90">
        <v>2</v>
      </c>
      <c r="K90">
        <v>6</v>
      </c>
      <c r="L90">
        <v>7</v>
      </c>
      <c r="M90">
        <f>IF(AND(D91=1,E91=2),1,0)</f>
        <v>0</v>
      </c>
      <c r="N90">
        <f>IF(ISEVEN(K90),1,0)</f>
        <v>1</v>
      </c>
      <c r="O90">
        <f>19*100+B90*10+C90</f>
        <v>1982</v>
      </c>
      <c r="P90">
        <f>B90*1+C90*3+D90*7+E90*9+F90*1+G90*3+H90*7+I90*9+J90*1+K90*3</f>
        <v>193</v>
      </c>
      <c r="Q90">
        <f>MOD(P90,10)</f>
        <v>3</v>
      </c>
      <c r="R90">
        <f>IF(Q90=0,0,10-Q90)</f>
        <v>7</v>
      </c>
      <c r="S90">
        <f>IF(R90=L90,0,A90)</f>
        <v>0</v>
      </c>
      <c r="U90">
        <v>8</v>
      </c>
    </row>
    <row r="91" spans="1:21" x14ac:dyDescent="0.25">
      <c r="A91">
        <v>57102202414</v>
      </c>
      <c r="B91">
        <v>5</v>
      </c>
      <c r="C91">
        <v>7</v>
      </c>
      <c r="D91">
        <v>1</v>
      </c>
      <c r="E91">
        <v>0</v>
      </c>
      <c r="F91">
        <v>2</v>
      </c>
      <c r="G91">
        <v>2</v>
      </c>
      <c r="H91">
        <v>0</v>
      </c>
      <c r="I91">
        <v>2</v>
      </c>
      <c r="J91">
        <v>4</v>
      </c>
      <c r="K91">
        <v>1</v>
      </c>
      <c r="L91">
        <v>4</v>
      </c>
      <c r="M91">
        <f>IF(AND(D92=1,E92=2),1,0)</f>
        <v>1</v>
      </c>
      <c r="N91">
        <f>IF(ISEVEN(K91),1,0)</f>
        <v>0</v>
      </c>
      <c r="O91">
        <f>19*100+B91*10+C91</f>
        <v>1957</v>
      </c>
      <c r="P91">
        <f>B91*1+C91*3+D91*7+E91*9+F91*1+G91*3+H91*7+I91*9+J91*1+K91*3</f>
        <v>66</v>
      </c>
      <c r="Q91">
        <f>MOD(P91,10)</f>
        <v>6</v>
      </c>
      <c r="R91">
        <f>IF(Q91=0,0,10-Q91)</f>
        <v>4</v>
      </c>
      <c r="S91">
        <f>IF(R91=L91,0,A91)</f>
        <v>0</v>
      </c>
      <c r="U91">
        <v>5</v>
      </c>
    </row>
    <row r="92" spans="1:21" x14ac:dyDescent="0.25">
      <c r="A92">
        <v>55123128973</v>
      </c>
      <c r="B92">
        <v>5</v>
      </c>
      <c r="C92">
        <v>5</v>
      </c>
      <c r="D92">
        <v>1</v>
      </c>
      <c r="E92">
        <v>2</v>
      </c>
      <c r="F92">
        <v>3</v>
      </c>
      <c r="G92">
        <v>1</v>
      </c>
      <c r="H92">
        <v>2</v>
      </c>
      <c r="I92">
        <v>8</v>
      </c>
      <c r="J92">
        <v>9</v>
      </c>
      <c r="K92">
        <v>7</v>
      </c>
      <c r="L92">
        <v>3</v>
      </c>
      <c r="M92">
        <f>IF(AND(D93=1,E93=2),1,0)</f>
        <v>0</v>
      </c>
      <c r="N92">
        <f>IF(ISEVEN(K92),1,0)</f>
        <v>0</v>
      </c>
      <c r="O92">
        <f>19*100+B92*10+C92</f>
        <v>1955</v>
      </c>
      <c r="P92">
        <f>B92*1+C92*3+D92*7+E92*9+F92*1+G92*3+H92*7+I92*9+J92*1+K92*3</f>
        <v>167</v>
      </c>
      <c r="Q92">
        <f>MOD(P92,10)</f>
        <v>7</v>
      </c>
      <c r="R92">
        <f>IF(Q92=0,0,10-Q92)</f>
        <v>3</v>
      </c>
      <c r="S92">
        <f>IF(R92=L92,0,A92)</f>
        <v>0</v>
      </c>
      <c r="U92">
        <v>5</v>
      </c>
    </row>
    <row r="93" spans="1:21" x14ac:dyDescent="0.25">
      <c r="A93">
        <v>86070511185</v>
      </c>
      <c r="B93">
        <v>8</v>
      </c>
      <c r="C93">
        <v>6</v>
      </c>
      <c r="D93">
        <v>0</v>
      </c>
      <c r="E93">
        <v>7</v>
      </c>
      <c r="F93">
        <v>0</v>
      </c>
      <c r="G93">
        <v>5</v>
      </c>
      <c r="H93">
        <v>1</v>
      </c>
      <c r="I93">
        <v>1</v>
      </c>
      <c r="J93">
        <v>1</v>
      </c>
      <c r="K93">
        <v>8</v>
      </c>
      <c r="L93">
        <v>5</v>
      </c>
      <c r="M93">
        <f>IF(AND(D94=1,E94=2),1,0)</f>
        <v>0</v>
      </c>
      <c r="N93">
        <f>IF(ISEVEN(K93),1,0)</f>
        <v>1</v>
      </c>
      <c r="O93">
        <f>19*100+B93*10+C93</f>
        <v>1986</v>
      </c>
      <c r="P93">
        <f>B93*1+C93*3+D93*7+E93*9+F93*1+G93*3+H93*7+I93*9+J93*1+K93*3</f>
        <v>145</v>
      </c>
      <c r="Q93">
        <f>MOD(P93,10)</f>
        <v>5</v>
      </c>
      <c r="R93">
        <f>IF(Q93=0,0,10-Q93)</f>
        <v>5</v>
      </c>
      <c r="S93">
        <f>IF(R93=L93,0,A93)</f>
        <v>0</v>
      </c>
      <c r="U93">
        <v>8</v>
      </c>
    </row>
    <row r="94" spans="1:21" x14ac:dyDescent="0.25">
      <c r="A94">
        <v>81101148770</v>
      </c>
      <c r="B94">
        <v>8</v>
      </c>
      <c r="C94">
        <v>1</v>
      </c>
      <c r="D94">
        <v>1</v>
      </c>
      <c r="E94">
        <v>0</v>
      </c>
      <c r="F94">
        <v>1</v>
      </c>
      <c r="G94">
        <v>1</v>
      </c>
      <c r="H94">
        <v>4</v>
      </c>
      <c r="I94">
        <v>8</v>
      </c>
      <c r="J94">
        <v>7</v>
      </c>
      <c r="K94">
        <v>7</v>
      </c>
      <c r="L94">
        <v>0</v>
      </c>
      <c r="M94">
        <f>IF(AND(D95=1,E95=2),1,0)</f>
        <v>0</v>
      </c>
      <c r="N94">
        <f>IF(ISEVEN(K94),1,0)</f>
        <v>0</v>
      </c>
      <c r="O94">
        <f>19*100+B94*10+C94</f>
        <v>1981</v>
      </c>
      <c r="P94">
        <f>B94*1+C94*3+D94*7+E94*9+F94*1+G94*3+H94*7+I94*9+J94*1+K94*3</f>
        <v>150</v>
      </c>
      <c r="Q94">
        <f>MOD(P94,10)</f>
        <v>0</v>
      </c>
      <c r="R94">
        <f>IF(Q94=0,0,10-Q94)</f>
        <v>0</v>
      </c>
      <c r="S94">
        <f>IF(R94=L94,0,A94)</f>
        <v>0</v>
      </c>
      <c r="U94">
        <v>8</v>
      </c>
    </row>
    <row r="95" spans="1:21" x14ac:dyDescent="0.25">
      <c r="A95">
        <v>87071164662</v>
      </c>
      <c r="B95">
        <v>8</v>
      </c>
      <c r="C95">
        <v>7</v>
      </c>
      <c r="D95">
        <v>0</v>
      </c>
      <c r="E95">
        <v>7</v>
      </c>
      <c r="F95">
        <v>1</v>
      </c>
      <c r="G95">
        <v>1</v>
      </c>
      <c r="H95">
        <v>6</v>
      </c>
      <c r="I95">
        <v>4</v>
      </c>
      <c r="J95">
        <v>6</v>
      </c>
      <c r="K95">
        <v>6</v>
      </c>
      <c r="L95">
        <v>2</v>
      </c>
      <c r="M95">
        <f>IF(AND(D96=1,E96=2),1,0)</f>
        <v>0</v>
      </c>
      <c r="N95">
        <f>IF(ISEVEN(K95),1,0)</f>
        <v>1</v>
      </c>
      <c r="O95">
        <f>19*100+B95*10+C95</f>
        <v>1987</v>
      </c>
      <c r="P95">
        <f>B95*1+C95*3+D95*7+E95*9+F95*1+G95*3+H95*7+I95*9+J95*1+K95*3</f>
        <v>198</v>
      </c>
      <c r="Q95">
        <f>MOD(P95,10)</f>
        <v>8</v>
      </c>
      <c r="R95">
        <f>IF(Q95=0,0,10-Q95)</f>
        <v>2</v>
      </c>
      <c r="S95">
        <f>IF(R95=L95,0,A95)</f>
        <v>0</v>
      </c>
      <c r="U95">
        <v>8</v>
      </c>
    </row>
    <row r="96" spans="1:21" x14ac:dyDescent="0.25">
      <c r="A96">
        <v>51011153311</v>
      </c>
      <c r="B96">
        <v>5</v>
      </c>
      <c r="C96">
        <v>1</v>
      </c>
      <c r="D96">
        <v>0</v>
      </c>
      <c r="E96">
        <v>1</v>
      </c>
      <c r="F96">
        <v>1</v>
      </c>
      <c r="G96">
        <v>1</v>
      </c>
      <c r="H96">
        <v>5</v>
      </c>
      <c r="I96">
        <v>3</v>
      </c>
      <c r="J96">
        <v>3</v>
      </c>
      <c r="K96">
        <v>1</v>
      </c>
      <c r="L96">
        <v>1</v>
      </c>
      <c r="M96">
        <f>IF(AND(D97=1,E97=2),1,0)</f>
        <v>0</v>
      </c>
      <c r="N96">
        <f>IF(ISEVEN(K96),1,0)</f>
        <v>0</v>
      </c>
      <c r="O96">
        <f>19*100+B96*10+C96</f>
        <v>1951</v>
      </c>
      <c r="P96">
        <f>B96*1+C96*3+D96*7+E96*9+F96*1+G96*3+H96*7+I96*9+J96*1+K96*3</f>
        <v>89</v>
      </c>
      <c r="Q96">
        <f>MOD(P96,10)</f>
        <v>9</v>
      </c>
      <c r="R96">
        <f>IF(Q96=0,0,10-Q96)</f>
        <v>1</v>
      </c>
      <c r="S96">
        <f>IF(R96=L96,0,A96)</f>
        <v>0</v>
      </c>
      <c r="U96">
        <v>5</v>
      </c>
    </row>
    <row r="97" spans="1:21" x14ac:dyDescent="0.25">
      <c r="A97">
        <v>89052085069</v>
      </c>
      <c r="B97">
        <v>8</v>
      </c>
      <c r="C97">
        <v>9</v>
      </c>
      <c r="D97">
        <v>0</v>
      </c>
      <c r="E97">
        <v>5</v>
      </c>
      <c r="F97">
        <v>2</v>
      </c>
      <c r="G97">
        <v>0</v>
      </c>
      <c r="H97">
        <v>8</v>
      </c>
      <c r="I97">
        <v>5</v>
      </c>
      <c r="J97">
        <v>0</v>
      </c>
      <c r="K97">
        <v>6</v>
      </c>
      <c r="L97">
        <v>9</v>
      </c>
      <c r="M97">
        <f>IF(AND(D98=1,E98=2),1,0)</f>
        <v>0</v>
      </c>
      <c r="N97">
        <f>IF(ISEVEN(K97),1,0)</f>
        <v>1</v>
      </c>
      <c r="O97">
        <f>19*100+B97*10+C97</f>
        <v>1989</v>
      </c>
      <c r="P97">
        <f>B97*1+C97*3+D97*7+E97*9+F97*1+G97*3+H97*7+I97*9+J97*1+K97*3</f>
        <v>201</v>
      </c>
      <c r="Q97">
        <f>MOD(P97,10)</f>
        <v>1</v>
      </c>
      <c r="R97">
        <f>IF(Q97=0,0,10-Q97)</f>
        <v>9</v>
      </c>
      <c r="S97">
        <f>IF(R97=L97,0,A97)</f>
        <v>0</v>
      </c>
      <c r="U97">
        <v>8</v>
      </c>
    </row>
    <row r="98" spans="1:21" x14ac:dyDescent="0.25">
      <c r="A98">
        <v>50102636355</v>
      </c>
      <c r="B98">
        <v>5</v>
      </c>
      <c r="C98">
        <v>0</v>
      </c>
      <c r="D98">
        <v>1</v>
      </c>
      <c r="E98">
        <v>0</v>
      </c>
      <c r="F98">
        <v>2</v>
      </c>
      <c r="G98">
        <v>6</v>
      </c>
      <c r="H98">
        <v>3</v>
      </c>
      <c r="I98">
        <v>6</v>
      </c>
      <c r="J98">
        <v>3</v>
      </c>
      <c r="K98">
        <v>5</v>
      </c>
      <c r="L98">
        <v>5</v>
      </c>
      <c r="M98">
        <f>IF(AND(D99=1,E99=2),1,0)</f>
        <v>0</v>
      </c>
      <c r="N98">
        <f>IF(ISEVEN(K98),1,0)</f>
        <v>0</v>
      </c>
      <c r="O98">
        <f>19*100+B98*10+C98</f>
        <v>1950</v>
      </c>
      <c r="P98">
        <f>B98*1+C98*3+D98*7+E98*9+F98*1+G98*3+H98*7+I98*9+J98*1+K98*3</f>
        <v>125</v>
      </c>
      <c r="Q98">
        <f>MOD(P98,10)</f>
        <v>5</v>
      </c>
      <c r="R98">
        <f>IF(Q98=0,0,10-Q98)</f>
        <v>5</v>
      </c>
      <c r="S98">
        <f>IF(R98=L98,0,A98)</f>
        <v>0</v>
      </c>
      <c r="U98">
        <v>5</v>
      </c>
    </row>
    <row r="99" spans="1:21" x14ac:dyDescent="0.25">
      <c r="A99">
        <v>89011581319</v>
      </c>
      <c r="B99">
        <v>8</v>
      </c>
      <c r="C99">
        <v>9</v>
      </c>
      <c r="D99">
        <v>0</v>
      </c>
      <c r="E99">
        <v>1</v>
      </c>
      <c r="F99">
        <v>1</v>
      </c>
      <c r="G99">
        <v>5</v>
      </c>
      <c r="H99">
        <v>8</v>
      </c>
      <c r="I99">
        <v>1</v>
      </c>
      <c r="J99">
        <v>3</v>
      </c>
      <c r="K99">
        <v>1</v>
      </c>
      <c r="L99">
        <v>9</v>
      </c>
      <c r="M99">
        <f>IF(AND(D100=1,E100=2),1,0)</f>
        <v>1</v>
      </c>
      <c r="N99">
        <f>IF(ISEVEN(K99),1,0)</f>
        <v>0</v>
      </c>
      <c r="O99">
        <f>19*100+B99*10+C99</f>
        <v>1989</v>
      </c>
      <c r="P99">
        <f>B99*1+C99*3+D99*7+E99*9+F99*1+G99*3+H99*7+I99*9+J99*1+K99*3</f>
        <v>131</v>
      </c>
      <c r="Q99">
        <f>MOD(P99,10)</f>
        <v>1</v>
      </c>
      <c r="R99">
        <f>IF(Q99=0,0,10-Q99)</f>
        <v>9</v>
      </c>
      <c r="S99">
        <f>IF(R99=L99,0,A99)</f>
        <v>0</v>
      </c>
      <c r="U99">
        <v>8</v>
      </c>
    </row>
    <row r="100" spans="1:21" x14ac:dyDescent="0.25">
      <c r="A100">
        <v>53122299122</v>
      </c>
      <c r="B100">
        <v>5</v>
      </c>
      <c r="C100">
        <v>3</v>
      </c>
      <c r="D100">
        <v>1</v>
      </c>
      <c r="E100">
        <v>2</v>
      </c>
      <c r="F100">
        <v>2</v>
      </c>
      <c r="G100">
        <v>2</v>
      </c>
      <c r="H100">
        <v>9</v>
      </c>
      <c r="I100">
        <v>9</v>
      </c>
      <c r="J100">
        <v>1</v>
      </c>
      <c r="K100">
        <v>2</v>
      </c>
      <c r="L100">
        <v>2</v>
      </c>
      <c r="M100">
        <f>IF(AND(D101=1,E101=2),1,0)</f>
        <v>0</v>
      </c>
      <c r="N100">
        <f>IF(ISEVEN(K100),1,0)</f>
        <v>1</v>
      </c>
      <c r="O100">
        <f>19*100+B100*10+C100</f>
        <v>1953</v>
      </c>
      <c r="P100">
        <f>B100*1+C100*3+D100*7+E100*9+F100*1+G100*3+H100*7+I100*9+J100*1+K100*3</f>
        <v>198</v>
      </c>
      <c r="Q100">
        <f>MOD(P100,10)</f>
        <v>8</v>
      </c>
      <c r="R100">
        <f>IF(Q100=0,0,10-Q100)</f>
        <v>2</v>
      </c>
      <c r="S100">
        <f>IF(R100=L100,0,A100)</f>
        <v>0</v>
      </c>
      <c r="U100">
        <v>5</v>
      </c>
    </row>
    <row r="101" spans="1:21" x14ac:dyDescent="0.25">
      <c r="A101">
        <v>75113162747</v>
      </c>
      <c r="B101">
        <v>7</v>
      </c>
      <c r="C101">
        <v>5</v>
      </c>
      <c r="D101">
        <v>1</v>
      </c>
      <c r="E101">
        <v>1</v>
      </c>
      <c r="F101">
        <v>3</v>
      </c>
      <c r="G101">
        <v>1</v>
      </c>
      <c r="H101">
        <v>6</v>
      </c>
      <c r="I101">
        <v>2</v>
      </c>
      <c r="J101">
        <v>7</v>
      </c>
      <c r="K101">
        <v>4</v>
      </c>
      <c r="L101">
        <v>7</v>
      </c>
      <c r="M101">
        <f>IF(AND(D102=1,E102=2),1,0)</f>
        <v>0</v>
      </c>
      <c r="N101">
        <f>IF(ISEVEN(K101),1,0)</f>
        <v>1</v>
      </c>
      <c r="O101">
        <f>19*100+B101*10+C101</f>
        <v>1975</v>
      </c>
      <c r="P101">
        <f>B101*1+C101*3+D101*7+E101*9+F101*1+G101*3+H101*7+I101*9+J101*1+K101*3</f>
        <v>123</v>
      </c>
      <c r="Q101">
        <f>MOD(P101,10)</f>
        <v>3</v>
      </c>
      <c r="R101">
        <f>IF(Q101=0,0,10-Q101)</f>
        <v>7</v>
      </c>
      <c r="S101">
        <f>IF(R101=L101,0,A101)</f>
        <v>0</v>
      </c>
      <c r="U101">
        <v>7</v>
      </c>
    </row>
    <row r="102" spans="1:21" x14ac:dyDescent="0.25">
      <c r="A102">
        <v>89102588171</v>
      </c>
      <c r="B102">
        <v>8</v>
      </c>
      <c r="C102">
        <v>9</v>
      </c>
      <c r="D102">
        <v>1</v>
      </c>
      <c r="E102">
        <v>0</v>
      </c>
      <c r="F102">
        <v>2</v>
      </c>
      <c r="G102">
        <v>5</v>
      </c>
      <c r="H102">
        <v>8</v>
      </c>
      <c r="I102">
        <v>8</v>
      </c>
      <c r="J102">
        <v>1</v>
      </c>
      <c r="K102">
        <v>7</v>
      </c>
      <c r="L102">
        <v>1</v>
      </c>
      <c r="M102">
        <f>IF(AND(D103=1,E103=2),1,0)</f>
        <v>0</v>
      </c>
      <c r="N102">
        <f>IF(ISEVEN(K102),1,0)</f>
        <v>0</v>
      </c>
      <c r="O102">
        <f>19*100+B102*10+C102</f>
        <v>1989</v>
      </c>
      <c r="P102">
        <f>B102*1+C102*3+D102*7+E102*9+F102*1+G102*3+H102*7+I102*9+J102*1+K102*3</f>
        <v>209</v>
      </c>
      <c r="Q102">
        <f>MOD(P102,10)</f>
        <v>9</v>
      </c>
      <c r="R102">
        <f>IF(Q102=0,0,10-Q102)</f>
        <v>1</v>
      </c>
      <c r="S102">
        <f>IF(R102=L102,0,A102)</f>
        <v>0</v>
      </c>
      <c r="U102">
        <v>8</v>
      </c>
    </row>
    <row r="103" spans="1:21" x14ac:dyDescent="0.25">
      <c r="A103">
        <v>89022379914</v>
      </c>
      <c r="B103">
        <v>8</v>
      </c>
      <c r="C103">
        <v>9</v>
      </c>
      <c r="D103">
        <v>0</v>
      </c>
      <c r="E103">
        <v>2</v>
      </c>
      <c r="F103">
        <v>2</v>
      </c>
      <c r="G103">
        <v>3</v>
      </c>
      <c r="H103">
        <v>7</v>
      </c>
      <c r="I103">
        <v>9</v>
      </c>
      <c r="J103">
        <v>9</v>
      </c>
      <c r="K103">
        <v>1</v>
      </c>
      <c r="L103">
        <v>4</v>
      </c>
      <c r="M103">
        <f>IF(AND(D104=1,E104=2),1,0)</f>
        <v>0</v>
      </c>
      <c r="N103">
        <f>IF(ISEVEN(K103),1,0)</f>
        <v>0</v>
      </c>
      <c r="O103">
        <f>19*100+B103*10+C103</f>
        <v>1989</v>
      </c>
      <c r="P103">
        <f>B103*1+C103*3+D103*7+E103*9+F103*1+G103*3+H103*7+I103*9+J103*1+K103*3</f>
        <v>206</v>
      </c>
      <c r="Q103">
        <f>MOD(P103,10)</f>
        <v>6</v>
      </c>
      <c r="R103">
        <f>IF(Q103=0,0,10-Q103)</f>
        <v>4</v>
      </c>
      <c r="S103">
        <f>IF(R103=L103,0,A103)</f>
        <v>0</v>
      </c>
      <c r="U103">
        <v>8</v>
      </c>
    </row>
    <row r="104" spans="1:21" x14ac:dyDescent="0.25">
      <c r="A104">
        <v>92080709353</v>
      </c>
      <c r="B104">
        <v>9</v>
      </c>
      <c r="C104">
        <v>2</v>
      </c>
      <c r="D104">
        <v>0</v>
      </c>
      <c r="E104">
        <v>8</v>
      </c>
      <c r="F104">
        <v>0</v>
      </c>
      <c r="G104">
        <v>7</v>
      </c>
      <c r="H104">
        <v>0</v>
      </c>
      <c r="I104">
        <v>9</v>
      </c>
      <c r="J104">
        <v>3</v>
      </c>
      <c r="K104">
        <v>5</v>
      </c>
      <c r="L104">
        <v>3</v>
      </c>
      <c r="M104">
        <f>IF(AND(D105=1,E105=2),1,0)</f>
        <v>0</v>
      </c>
      <c r="N104">
        <f>IF(ISEVEN(K104),1,0)</f>
        <v>0</v>
      </c>
      <c r="O104">
        <f>19*100+B104*10+C104</f>
        <v>1992</v>
      </c>
      <c r="P104">
        <f>B104*1+C104*3+D104*7+E104*9+F104*1+G104*3+H104*7+I104*9+J104*1+K104*3</f>
        <v>207</v>
      </c>
      <c r="Q104">
        <f>MOD(P104,10)</f>
        <v>7</v>
      </c>
      <c r="R104">
        <f>IF(Q104=0,0,10-Q104)</f>
        <v>3</v>
      </c>
      <c r="S104">
        <f>IF(R104=L104,0,A104)</f>
        <v>0</v>
      </c>
      <c r="U104">
        <v>9</v>
      </c>
    </row>
    <row r="105" spans="1:21" x14ac:dyDescent="0.25">
      <c r="A105">
        <v>50101111305</v>
      </c>
      <c r="B105">
        <v>5</v>
      </c>
      <c r="C105">
        <v>0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3</v>
      </c>
      <c r="K105">
        <v>0</v>
      </c>
      <c r="L105">
        <v>5</v>
      </c>
      <c r="M105">
        <f>IF(AND(D106=1,E106=2),1,0)</f>
        <v>0</v>
      </c>
      <c r="N105">
        <f>IF(ISEVEN(K105),1,0)</f>
        <v>1</v>
      </c>
      <c r="O105">
        <f>19*100+B105*10+C105</f>
        <v>1950</v>
      </c>
      <c r="P105">
        <f>B105*1+C105*3+D105*7+E105*9+F105*1+G105*3+H105*7+I105*9+J105*1+K105*3</f>
        <v>35</v>
      </c>
      <c r="Q105">
        <f>MOD(P105,10)</f>
        <v>5</v>
      </c>
      <c r="R105">
        <f>IF(Q105=0,0,10-Q105)</f>
        <v>5</v>
      </c>
      <c r="S105">
        <f>IF(R105=L105,0,A105)</f>
        <v>0</v>
      </c>
      <c r="U105">
        <v>5</v>
      </c>
    </row>
    <row r="106" spans="1:21" x14ac:dyDescent="0.25">
      <c r="A106">
        <v>89042620494</v>
      </c>
      <c r="B106">
        <v>8</v>
      </c>
      <c r="C106">
        <v>9</v>
      </c>
      <c r="D106">
        <v>0</v>
      </c>
      <c r="E106">
        <v>4</v>
      </c>
      <c r="F106">
        <v>2</v>
      </c>
      <c r="G106">
        <v>6</v>
      </c>
      <c r="H106">
        <v>2</v>
      </c>
      <c r="I106">
        <v>0</v>
      </c>
      <c r="J106">
        <v>4</v>
      </c>
      <c r="K106">
        <v>9</v>
      </c>
      <c r="L106">
        <v>4</v>
      </c>
      <c r="M106">
        <f>IF(AND(D107=1,E107=2),1,0)</f>
        <v>0</v>
      </c>
      <c r="N106">
        <f>IF(ISEVEN(K106),1,0)</f>
        <v>0</v>
      </c>
      <c r="O106">
        <f>19*100+B106*10+C106</f>
        <v>1989</v>
      </c>
      <c r="P106">
        <f>B106*1+C106*3+D106*7+E106*9+F106*1+G106*3+H106*7+I106*9+J106*1+K106*3</f>
        <v>136</v>
      </c>
      <c r="Q106">
        <f>MOD(P106,10)</f>
        <v>6</v>
      </c>
      <c r="R106">
        <f>IF(Q106=0,0,10-Q106)</f>
        <v>4</v>
      </c>
      <c r="S106">
        <f>IF(R106=L106,0,A106)</f>
        <v>0</v>
      </c>
      <c r="U106">
        <v>8</v>
      </c>
    </row>
    <row r="107" spans="1:21" x14ac:dyDescent="0.25">
      <c r="A107">
        <v>51102573842</v>
      </c>
      <c r="B107">
        <v>5</v>
      </c>
      <c r="C107">
        <v>1</v>
      </c>
      <c r="D107">
        <v>1</v>
      </c>
      <c r="E107">
        <v>0</v>
      </c>
      <c r="F107">
        <v>2</v>
      </c>
      <c r="G107">
        <v>5</v>
      </c>
      <c r="H107">
        <v>7</v>
      </c>
      <c r="I107">
        <v>3</v>
      </c>
      <c r="J107">
        <v>8</v>
      </c>
      <c r="K107">
        <v>4</v>
      </c>
      <c r="L107">
        <v>2</v>
      </c>
      <c r="M107">
        <f>IF(AND(D108=1,E108=2),1,0)</f>
        <v>0</v>
      </c>
      <c r="N107">
        <f>IF(ISEVEN(K107),1,0)</f>
        <v>1</v>
      </c>
      <c r="O107">
        <f>19*100+B107*10+C107</f>
        <v>1951</v>
      </c>
      <c r="P107">
        <f>B107*1+C107*3+D107*7+E107*9+F107*1+G107*3+H107*7+I107*9+J107*1+K107*3</f>
        <v>128</v>
      </c>
      <c r="Q107">
        <f>MOD(P107,10)</f>
        <v>8</v>
      </c>
      <c r="R107">
        <f>IF(Q107=0,0,10-Q107)</f>
        <v>2</v>
      </c>
      <c r="S107">
        <f>IF(R107=L107,0,A107)</f>
        <v>0</v>
      </c>
      <c r="U107">
        <v>5</v>
      </c>
    </row>
    <row r="108" spans="1:21" x14ac:dyDescent="0.25">
      <c r="A108">
        <v>89021697637</v>
      </c>
      <c r="B108">
        <v>8</v>
      </c>
      <c r="C108">
        <v>9</v>
      </c>
      <c r="D108">
        <v>0</v>
      </c>
      <c r="E108">
        <v>2</v>
      </c>
      <c r="F108">
        <v>1</v>
      </c>
      <c r="G108">
        <v>6</v>
      </c>
      <c r="H108">
        <v>9</v>
      </c>
      <c r="I108">
        <v>7</v>
      </c>
      <c r="J108">
        <v>6</v>
      </c>
      <c r="K108">
        <v>3</v>
      </c>
      <c r="L108">
        <v>7</v>
      </c>
      <c r="M108">
        <f>IF(AND(D109=1,E109=2),1,0)</f>
        <v>0</v>
      </c>
      <c r="N108">
        <f>IF(ISEVEN(K108),1,0)</f>
        <v>0</v>
      </c>
      <c r="O108">
        <f>19*100+B108*10+C108</f>
        <v>1989</v>
      </c>
      <c r="P108">
        <f>B108*1+C108*3+D108*7+E108*9+F108*1+G108*3+H108*7+I108*9+J108*1+K108*3</f>
        <v>213</v>
      </c>
      <c r="Q108">
        <f>MOD(P108,10)</f>
        <v>3</v>
      </c>
      <c r="R108">
        <f>IF(Q108=0,0,10-Q108)</f>
        <v>7</v>
      </c>
      <c r="S108">
        <f>IF(R108=L108,0,A108)</f>
        <v>0</v>
      </c>
      <c r="U108">
        <v>8</v>
      </c>
    </row>
    <row r="109" spans="1:21" x14ac:dyDescent="0.25">
      <c r="A109">
        <v>63092608644</v>
      </c>
      <c r="B109">
        <v>6</v>
      </c>
      <c r="C109">
        <v>3</v>
      </c>
      <c r="D109">
        <v>0</v>
      </c>
      <c r="E109">
        <v>9</v>
      </c>
      <c r="F109">
        <v>2</v>
      </c>
      <c r="G109">
        <v>6</v>
      </c>
      <c r="H109">
        <v>0</v>
      </c>
      <c r="I109">
        <v>8</v>
      </c>
      <c r="J109">
        <v>6</v>
      </c>
      <c r="K109">
        <v>4</v>
      </c>
      <c r="L109">
        <v>4</v>
      </c>
      <c r="M109">
        <f>IF(AND(D110=1,E110=2),1,0)</f>
        <v>0</v>
      </c>
      <c r="N109">
        <f>IF(ISEVEN(K109),1,0)</f>
        <v>1</v>
      </c>
      <c r="O109">
        <f>19*100+B109*10+C109</f>
        <v>1963</v>
      </c>
      <c r="P109">
        <f>B109*1+C109*3+D109*7+E109*9+F109*1+G109*3+H109*7+I109*9+J109*1+K109*3</f>
        <v>206</v>
      </c>
      <c r="Q109">
        <f>MOD(P109,10)</f>
        <v>6</v>
      </c>
      <c r="R109">
        <f>IF(Q109=0,0,10-Q109)</f>
        <v>4</v>
      </c>
      <c r="S109">
        <f>IF(R109=L109,0,A109)</f>
        <v>0</v>
      </c>
      <c r="U109">
        <v>6</v>
      </c>
    </row>
    <row r="110" spans="1:21" x14ac:dyDescent="0.25">
      <c r="A110">
        <v>78102945963</v>
      </c>
      <c r="B110">
        <v>7</v>
      </c>
      <c r="C110">
        <v>8</v>
      </c>
      <c r="D110">
        <v>1</v>
      </c>
      <c r="E110">
        <v>0</v>
      </c>
      <c r="F110">
        <v>2</v>
      </c>
      <c r="G110">
        <v>9</v>
      </c>
      <c r="H110">
        <v>4</v>
      </c>
      <c r="I110">
        <v>5</v>
      </c>
      <c r="J110">
        <v>9</v>
      </c>
      <c r="K110">
        <v>6</v>
      </c>
      <c r="L110">
        <v>3</v>
      </c>
      <c r="M110">
        <f>IF(AND(D111=1,E111=2),1,0)</f>
        <v>0</v>
      </c>
      <c r="N110">
        <f>IF(ISEVEN(K110),1,0)</f>
        <v>1</v>
      </c>
      <c r="O110">
        <f>19*100+B110*10+C110</f>
        <v>1978</v>
      </c>
      <c r="P110">
        <f>B110*1+C110*3+D110*7+E110*9+F110*1+G110*3+H110*7+I110*9+J110*1+K110*3</f>
        <v>167</v>
      </c>
      <c r="Q110">
        <f>MOD(P110,10)</f>
        <v>7</v>
      </c>
      <c r="R110">
        <f>IF(Q110=0,0,10-Q110)</f>
        <v>3</v>
      </c>
      <c r="S110">
        <f>IF(R110=L110,0,A110)</f>
        <v>0</v>
      </c>
      <c r="U110">
        <v>7</v>
      </c>
    </row>
    <row r="111" spans="1:21" x14ac:dyDescent="0.25">
      <c r="A111">
        <v>86061995325</v>
      </c>
      <c r="B111">
        <v>8</v>
      </c>
      <c r="C111">
        <v>6</v>
      </c>
      <c r="D111">
        <v>0</v>
      </c>
      <c r="E111">
        <v>6</v>
      </c>
      <c r="F111">
        <v>1</v>
      </c>
      <c r="G111">
        <v>9</v>
      </c>
      <c r="H111">
        <v>9</v>
      </c>
      <c r="I111">
        <v>5</v>
      </c>
      <c r="J111">
        <v>3</v>
      </c>
      <c r="K111">
        <v>2</v>
      </c>
      <c r="L111">
        <v>5</v>
      </c>
      <c r="M111">
        <f>IF(AND(D112=1,E112=2),1,0)</f>
        <v>0</v>
      </c>
      <c r="N111">
        <f>IF(ISEVEN(K111),1,0)</f>
        <v>1</v>
      </c>
      <c r="O111">
        <f>19*100+B111*10+C111</f>
        <v>1986</v>
      </c>
      <c r="P111">
        <f>B111*1+C111*3+D111*7+E111*9+F111*1+G111*3+H111*7+I111*9+J111*1+K111*3</f>
        <v>225</v>
      </c>
      <c r="Q111">
        <f>MOD(P111,10)</f>
        <v>5</v>
      </c>
      <c r="R111">
        <f>IF(Q111=0,0,10-Q111)</f>
        <v>5</v>
      </c>
      <c r="S111">
        <f>IF(R111=L111,0,A111)</f>
        <v>0</v>
      </c>
      <c r="U111">
        <v>8</v>
      </c>
    </row>
    <row r="112" spans="1:21" x14ac:dyDescent="0.25">
      <c r="A112">
        <v>78011115028</v>
      </c>
      <c r="B112">
        <v>7</v>
      </c>
      <c r="C112">
        <v>8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5</v>
      </c>
      <c r="J112">
        <v>0</v>
      </c>
      <c r="K112">
        <v>2</v>
      </c>
      <c r="L112">
        <v>8</v>
      </c>
      <c r="M112">
        <f>IF(AND(D113=1,E113=2),1,0)</f>
        <v>0</v>
      </c>
      <c r="N112">
        <f>IF(ISEVEN(K112),1,0)</f>
        <v>1</v>
      </c>
      <c r="O112">
        <f>19*100+B112*10+C112</f>
        <v>1978</v>
      </c>
      <c r="P112">
        <f>B112*1+C112*3+D112*7+E112*9+F112*1+G112*3+H112*7+I112*9+J112*1+K112*3</f>
        <v>102</v>
      </c>
      <c r="Q112">
        <f>MOD(P112,10)</f>
        <v>2</v>
      </c>
      <c r="R112">
        <f>IF(Q112=0,0,10-Q112)</f>
        <v>8</v>
      </c>
      <c r="S112">
        <f>IF(R112=L112,0,A112)</f>
        <v>0</v>
      </c>
      <c r="U112">
        <v>7</v>
      </c>
    </row>
    <row r="113" spans="1:21" x14ac:dyDescent="0.25">
      <c r="A113">
        <v>89042750933</v>
      </c>
      <c r="B113">
        <v>8</v>
      </c>
      <c r="C113">
        <v>9</v>
      </c>
      <c r="D113">
        <v>0</v>
      </c>
      <c r="E113">
        <v>4</v>
      </c>
      <c r="F113">
        <v>2</v>
      </c>
      <c r="G113">
        <v>7</v>
      </c>
      <c r="H113">
        <v>5</v>
      </c>
      <c r="I113">
        <v>0</v>
      </c>
      <c r="J113">
        <v>9</v>
      </c>
      <c r="K113">
        <v>3</v>
      </c>
      <c r="L113">
        <v>3</v>
      </c>
      <c r="M113">
        <f>IF(AND(D114=1,E114=2),1,0)</f>
        <v>0</v>
      </c>
      <c r="N113">
        <f>IF(ISEVEN(K113),1,0)</f>
        <v>0</v>
      </c>
      <c r="O113">
        <f>19*100+B113*10+C113</f>
        <v>1989</v>
      </c>
      <c r="P113">
        <f>B113*1+C113*3+D113*7+E113*9+F113*1+G113*3+H113*7+I113*9+J113*1+K113*3</f>
        <v>147</v>
      </c>
      <c r="Q113">
        <f>MOD(P113,10)</f>
        <v>7</v>
      </c>
      <c r="R113">
        <f>IF(Q113=0,0,10-Q113)</f>
        <v>3</v>
      </c>
      <c r="S113">
        <f>IF(R113=L113,0,A113)</f>
        <v>0</v>
      </c>
      <c r="U113">
        <v>8</v>
      </c>
    </row>
    <row r="114" spans="1:21" x14ac:dyDescent="0.25">
      <c r="A114">
        <v>89112466825</v>
      </c>
      <c r="B114">
        <v>8</v>
      </c>
      <c r="C114">
        <v>9</v>
      </c>
      <c r="D114">
        <v>1</v>
      </c>
      <c r="E114">
        <v>1</v>
      </c>
      <c r="F114">
        <v>2</v>
      </c>
      <c r="G114">
        <v>4</v>
      </c>
      <c r="H114">
        <v>6</v>
      </c>
      <c r="I114">
        <v>6</v>
      </c>
      <c r="J114">
        <v>8</v>
      </c>
      <c r="K114">
        <v>2</v>
      </c>
      <c r="L114">
        <v>5</v>
      </c>
      <c r="M114">
        <f>IF(AND(D115=1,E115=2),1,0)</f>
        <v>0</v>
      </c>
      <c r="N114">
        <f>IF(ISEVEN(K114),1,0)</f>
        <v>1</v>
      </c>
      <c r="O114">
        <f>19*100+B114*10+C114</f>
        <v>1989</v>
      </c>
      <c r="P114">
        <f>B114*1+C114*3+D114*7+E114*9+F114*1+G114*3+H114*7+I114*9+J114*1+K114*3</f>
        <v>175</v>
      </c>
      <c r="Q114">
        <f>MOD(P114,10)</f>
        <v>5</v>
      </c>
      <c r="R114">
        <f>IF(Q114=0,0,10-Q114)</f>
        <v>5</v>
      </c>
      <c r="S114">
        <f>IF(R114=L114,0,A114)</f>
        <v>0</v>
      </c>
      <c r="U114">
        <v>8</v>
      </c>
    </row>
    <row r="115" spans="1:21" x14ac:dyDescent="0.25">
      <c r="A115">
        <v>89020265394</v>
      </c>
      <c r="B115">
        <v>8</v>
      </c>
      <c r="C115">
        <v>9</v>
      </c>
      <c r="D115">
        <v>0</v>
      </c>
      <c r="E115">
        <v>2</v>
      </c>
      <c r="F115">
        <v>0</v>
      </c>
      <c r="G115">
        <v>2</v>
      </c>
      <c r="H115">
        <v>6</v>
      </c>
      <c r="I115">
        <v>5</v>
      </c>
      <c r="J115">
        <v>3</v>
      </c>
      <c r="K115">
        <v>9</v>
      </c>
      <c r="L115">
        <v>4</v>
      </c>
      <c r="M115">
        <f>IF(AND(D116=1,E116=2),1,0)</f>
        <v>0</v>
      </c>
      <c r="N115">
        <f>IF(ISEVEN(K115),1,0)</f>
        <v>0</v>
      </c>
      <c r="O115">
        <f>19*100+B115*10+C115</f>
        <v>1989</v>
      </c>
      <c r="P115">
        <f>B115*1+C115*3+D115*7+E115*9+F115*1+G115*3+H115*7+I115*9+J115*1+K115*3</f>
        <v>176</v>
      </c>
      <c r="Q115">
        <f>MOD(P115,10)</f>
        <v>6</v>
      </c>
      <c r="R115">
        <f>IF(Q115=0,0,10-Q115)</f>
        <v>4</v>
      </c>
      <c r="S115">
        <f>IF(R115=L115,0,A115)</f>
        <v>0</v>
      </c>
      <c r="U115">
        <v>8</v>
      </c>
    </row>
    <row r="116" spans="1:21" x14ac:dyDescent="0.25">
      <c r="A116">
        <v>66100651663</v>
      </c>
      <c r="B116">
        <v>6</v>
      </c>
      <c r="C116">
        <v>6</v>
      </c>
      <c r="D116">
        <v>1</v>
      </c>
      <c r="E116">
        <v>0</v>
      </c>
      <c r="F116">
        <v>0</v>
      </c>
      <c r="G116">
        <v>6</v>
      </c>
      <c r="H116">
        <v>5</v>
      </c>
      <c r="I116">
        <v>1</v>
      </c>
      <c r="J116">
        <v>6</v>
      </c>
      <c r="K116">
        <v>6</v>
      </c>
      <c r="L116">
        <v>3</v>
      </c>
      <c r="M116">
        <f>IF(AND(D117=1,E117=2),1,0)</f>
        <v>0</v>
      </c>
      <c r="N116">
        <f>IF(ISEVEN(K116),1,0)</f>
        <v>1</v>
      </c>
      <c r="O116">
        <f>19*100+B116*10+C116</f>
        <v>1966</v>
      </c>
      <c r="P116">
        <f>B116*1+C116*3+D116*7+E116*9+F116*1+G116*3+H116*7+I116*9+J116*1+K116*3</f>
        <v>117</v>
      </c>
      <c r="Q116">
        <f>MOD(P116,10)</f>
        <v>7</v>
      </c>
      <c r="R116">
        <f>IF(Q116=0,0,10-Q116)</f>
        <v>3</v>
      </c>
      <c r="S116">
        <f>IF(R116=L116,0,A116)</f>
        <v>0</v>
      </c>
      <c r="U116">
        <v>6</v>
      </c>
    </row>
    <row r="117" spans="1:21" x14ac:dyDescent="0.25">
      <c r="A117">
        <v>65062892381</v>
      </c>
      <c r="B117">
        <v>6</v>
      </c>
      <c r="C117">
        <v>5</v>
      </c>
      <c r="D117">
        <v>0</v>
      </c>
      <c r="E117">
        <v>6</v>
      </c>
      <c r="F117">
        <v>2</v>
      </c>
      <c r="G117">
        <v>8</v>
      </c>
      <c r="H117">
        <v>9</v>
      </c>
      <c r="I117">
        <v>2</v>
      </c>
      <c r="J117">
        <v>3</v>
      </c>
      <c r="K117">
        <v>8</v>
      </c>
      <c r="L117">
        <v>1</v>
      </c>
      <c r="M117">
        <f>IF(AND(D118=1,E118=2),1,0)</f>
        <v>0</v>
      </c>
      <c r="N117">
        <f>IF(ISEVEN(K117),1,0)</f>
        <v>1</v>
      </c>
      <c r="O117">
        <f>19*100+B117*10+C117</f>
        <v>1965</v>
      </c>
      <c r="P117">
        <f>B117*1+C117*3+D117*7+E117*9+F117*1+G117*3+H117*7+I117*9+J117*1+K117*3</f>
        <v>209</v>
      </c>
      <c r="Q117">
        <f>MOD(P117,10)</f>
        <v>9</v>
      </c>
      <c r="R117">
        <f>IF(Q117=0,0,10-Q117)</f>
        <v>1</v>
      </c>
      <c r="S117">
        <f>IF(R117=L117,0,A117)</f>
        <v>0</v>
      </c>
      <c r="U117">
        <v>6</v>
      </c>
    </row>
    <row r="118" spans="1:21" x14ac:dyDescent="0.25">
      <c r="A118">
        <v>69030626134</v>
      </c>
      <c r="B118">
        <v>6</v>
      </c>
      <c r="C118">
        <v>9</v>
      </c>
      <c r="D118">
        <v>0</v>
      </c>
      <c r="E118">
        <v>3</v>
      </c>
      <c r="F118">
        <v>0</v>
      </c>
      <c r="G118">
        <v>6</v>
      </c>
      <c r="H118">
        <v>2</v>
      </c>
      <c r="I118">
        <v>6</v>
      </c>
      <c r="J118">
        <v>1</v>
      </c>
      <c r="K118">
        <v>3</v>
      </c>
      <c r="L118">
        <v>4</v>
      </c>
      <c r="M118">
        <f>IF(AND(D119=1,E119=2),1,0)</f>
        <v>0</v>
      </c>
      <c r="N118">
        <f>IF(ISEVEN(K118),1,0)</f>
        <v>0</v>
      </c>
      <c r="O118">
        <f>19*100+B118*10+C118</f>
        <v>1969</v>
      </c>
      <c r="P118">
        <f>B118*1+C118*3+D118*7+E118*9+F118*1+G118*3+H118*7+I118*9+J118*1+K118*3</f>
        <v>156</v>
      </c>
      <c r="Q118">
        <f>MOD(P118,10)</f>
        <v>6</v>
      </c>
      <c r="R118">
        <f>IF(Q118=0,0,10-Q118)</f>
        <v>4</v>
      </c>
      <c r="S118">
        <f>IF(R118=L118,0,A118)</f>
        <v>0</v>
      </c>
      <c r="U118">
        <v>6</v>
      </c>
    </row>
    <row r="119" spans="1:21" x14ac:dyDescent="0.25">
      <c r="A119">
        <v>67113048790</v>
      </c>
      <c r="B119">
        <v>6</v>
      </c>
      <c r="C119">
        <v>7</v>
      </c>
      <c r="D119">
        <v>1</v>
      </c>
      <c r="E119">
        <v>1</v>
      </c>
      <c r="F119">
        <v>3</v>
      </c>
      <c r="G119">
        <v>0</v>
      </c>
      <c r="H119">
        <v>4</v>
      </c>
      <c r="I119">
        <v>8</v>
      </c>
      <c r="J119">
        <v>7</v>
      </c>
      <c r="K119">
        <v>9</v>
      </c>
      <c r="L119">
        <v>0</v>
      </c>
      <c r="M119">
        <f>IF(AND(D120=1,E120=2),1,0)</f>
        <v>0</v>
      </c>
      <c r="N119">
        <f>IF(ISEVEN(K119),1,0)</f>
        <v>0</v>
      </c>
      <c r="O119">
        <f>19*100+B119*10+C119</f>
        <v>1967</v>
      </c>
      <c r="P119">
        <f>B119*1+C119*3+D119*7+E119*9+F119*1+G119*3+H119*7+I119*9+J119*1+K119*3</f>
        <v>180</v>
      </c>
      <c r="Q119">
        <f>MOD(P119,10)</f>
        <v>0</v>
      </c>
      <c r="R119">
        <f>IF(Q119=0,0,10-Q119)</f>
        <v>0</v>
      </c>
      <c r="S119">
        <f>IF(R119=L119,0,A119)</f>
        <v>0</v>
      </c>
      <c r="U119">
        <v>6</v>
      </c>
    </row>
    <row r="120" spans="1:21" x14ac:dyDescent="0.25">
      <c r="A120">
        <v>84051840149</v>
      </c>
      <c r="B120">
        <v>8</v>
      </c>
      <c r="C120">
        <v>4</v>
      </c>
      <c r="D120">
        <v>0</v>
      </c>
      <c r="E120">
        <v>5</v>
      </c>
      <c r="F120">
        <v>1</v>
      </c>
      <c r="G120">
        <v>8</v>
      </c>
      <c r="H120">
        <v>4</v>
      </c>
      <c r="I120">
        <v>0</v>
      </c>
      <c r="J120">
        <v>1</v>
      </c>
      <c r="K120">
        <v>4</v>
      </c>
      <c r="L120">
        <v>9</v>
      </c>
      <c r="M120">
        <f>IF(AND(D121=1,E121=2),1,0)</f>
        <v>0</v>
      </c>
      <c r="N120">
        <f>IF(ISEVEN(K120),1,0)</f>
        <v>1</v>
      </c>
      <c r="O120">
        <f>19*100+B120*10+C120</f>
        <v>1984</v>
      </c>
      <c r="P120">
        <f>B120*1+C120*3+D120*7+E120*9+F120*1+G120*3+H120*7+I120*9+J120*1+K120*3</f>
        <v>131</v>
      </c>
      <c r="Q120">
        <f>MOD(P120,10)</f>
        <v>1</v>
      </c>
      <c r="R120">
        <f>IF(Q120=0,0,10-Q120)</f>
        <v>9</v>
      </c>
      <c r="S120">
        <f>IF(R120=L120,0,A120)</f>
        <v>0</v>
      </c>
      <c r="U120">
        <v>8</v>
      </c>
    </row>
    <row r="121" spans="1:21" x14ac:dyDescent="0.25">
      <c r="A121">
        <v>57073163051</v>
      </c>
      <c r="B121">
        <v>5</v>
      </c>
      <c r="C121">
        <v>7</v>
      </c>
      <c r="D121">
        <v>0</v>
      </c>
      <c r="E121">
        <v>7</v>
      </c>
      <c r="F121">
        <v>3</v>
      </c>
      <c r="G121">
        <v>1</v>
      </c>
      <c r="H121">
        <v>6</v>
      </c>
      <c r="I121">
        <v>3</v>
      </c>
      <c r="J121">
        <v>0</v>
      </c>
      <c r="K121">
        <v>5</v>
      </c>
      <c r="L121">
        <v>1</v>
      </c>
      <c r="M121">
        <f>IF(AND(D122=1,E122=2),1,0)</f>
        <v>0</v>
      </c>
      <c r="N121">
        <f>IF(ISEVEN(K121),1,0)</f>
        <v>0</v>
      </c>
      <c r="O121">
        <f>19*100+B121*10+C121</f>
        <v>1957</v>
      </c>
      <c r="P121">
        <f>B121*1+C121*3+D121*7+E121*9+F121*1+G121*3+H121*7+I121*9+J121*1+K121*3</f>
        <v>179</v>
      </c>
      <c r="Q121">
        <f>MOD(P121,10)</f>
        <v>9</v>
      </c>
      <c r="R121">
        <f>IF(Q121=0,0,10-Q121)</f>
        <v>1</v>
      </c>
      <c r="S121">
        <f>IF(R121=L121,0,A121)</f>
        <v>0</v>
      </c>
      <c r="U121">
        <v>5</v>
      </c>
    </row>
    <row r="122" spans="1:21" x14ac:dyDescent="0.25">
      <c r="A122">
        <v>81081010863</v>
      </c>
      <c r="B122">
        <v>8</v>
      </c>
      <c r="C122">
        <v>1</v>
      </c>
      <c r="D122">
        <v>0</v>
      </c>
      <c r="E122">
        <v>8</v>
      </c>
      <c r="F122">
        <v>1</v>
      </c>
      <c r="G122">
        <v>0</v>
      </c>
      <c r="H122">
        <v>1</v>
      </c>
      <c r="I122">
        <v>0</v>
      </c>
      <c r="J122">
        <v>8</v>
      </c>
      <c r="K122">
        <v>6</v>
      </c>
      <c r="L122">
        <v>3</v>
      </c>
      <c r="M122">
        <f>IF(AND(D123=1,E123=2),1,0)</f>
        <v>0</v>
      </c>
      <c r="N122">
        <f>IF(ISEVEN(K122),1,0)</f>
        <v>1</v>
      </c>
      <c r="O122">
        <f>19*100+B122*10+C122</f>
        <v>1981</v>
      </c>
      <c r="P122">
        <f>B122*1+C122*3+D122*7+E122*9+F122*1+G122*3+H122*7+I122*9+J122*1+K122*3</f>
        <v>117</v>
      </c>
      <c r="Q122">
        <f>MOD(P122,10)</f>
        <v>7</v>
      </c>
      <c r="R122">
        <f>IF(Q122=0,0,10-Q122)</f>
        <v>3</v>
      </c>
      <c r="S122">
        <f>IF(R122=L122,0,A122)</f>
        <v>0</v>
      </c>
      <c r="U122">
        <v>8</v>
      </c>
    </row>
    <row r="123" spans="1:21" x14ac:dyDescent="0.25">
      <c r="A123">
        <v>89062644823</v>
      </c>
      <c r="B123">
        <v>8</v>
      </c>
      <c r="C123">
        <v>9</v>
      </c>
      <c r="D123">
        <v>0</v>
      </c>
      <c r="E123">
        <v>6</v>
      </c>
      <c r="F123">
        <v>2</v>
      </c>
      <c r="G123">
        <v>6</v>
      </c>
      <c r="H123">
        <v>4</v>
      </c>
      <c r="I123">
        <v>4</v>
      </c>
      <c r="J123">
        <v>8</v>
      </c>
      <c r="K123">
        <v>2</v>
      </c>
      <c r="L123">
        <v>3</v>
      </c>
      <c r="M123">
        <f>IF(AND(D124=1,E124=2),1,0)</f>
        <v>0</v>
      </c>
      <c r="N123">
        <f>IF(ISEVEN(K123),1,0)</f>
        <v>1</v>
      </c>
      <c r="O123">
        <f>19*100+B123*10+C123</f>
        <v>1989</v>
      </c>
      <c r="P123">
        <f>B123*1+C123*3+D123*7+E123*9+F123*1+G123*3+H123*7+I123*9+J123*1+K123*3</f>
        <v>187</v>
      </c>
      <c r="Q123">
        <f>MOD(P123,10)</f>
        <v>7</v>
      </c>
      <c r="R123">
        <f>IF(Q123=0,0,10-Q123)</f>
        <v>3</v>
      </c>
      <c r="S123">
        <f>IF(R123=L123,0,A123)</f>
        <v>0</v>
      </c>
      <c r="U123">
        <v>8</v>
      </c>
    </row>
    <row r="124" spans="1:21" x14ac:dyDescent="0.25">
      <c r="A124">
        <v>52110446139</v>
      </c>
      <c r="B124">
        <v>5</v>
      </c>
      <c r="C124">
        <v>2</v>
      </c>
      <c r="D124">
        <v>1</v>
      </c>
      <c r="E124">
        <v>1</v>
      </c>
      <c r="F124">
        <v>0</v>
      </c>
      <c r="G124">
        <v>4</v>
      </c>
      <c r="H124">
        <v>4</v>
      </c>
      <c r="I124">
        <v>6</v>
      </c>
      <c r="J124">
        <v>1</v>
      </c>
      <c r="K124">
        <v>3</v>
      </c>
      <c r="L124">
        <v>9</v>
      </c>
      <c r="M124">
        <f>IF(AND(D125=1,E125=2),1,0)</f>
        <v>0</v>
      </c>
      <c r="N124">
        <f>IF(ISEVEN(K124),1,0)</f>
        <v>0</v>
      </c>
      <c r="O124">
        <f>19*100+B124*10+C124</f>
        <v>1952</v>
      </c>
      <c r="P124">
        <f>B124*1+C124*3+D124*7+E124*9+F124*1+G124*3+H124*7+I124*9+J124*1+K124*3</f>
        <v>131</v>
      </c>
      <c r="Q124">
        <f>MOD(P124,10)</f>
        <v>1</v>
      </c>
      <c r="R124">
        <f>IF(Q124=0,0,10-Q124)</f>
        <v>9</v>
      </c>
      <c r="S124">
        <f>IF(R124=L124,0,A124)</f>
        <v>0</v>
      </c>
      <c r="U124">
        <v>5</v>
      </c>
    </row>
    <row r="125" spans="1:21" x14ac:dyDescent="0.25">
      <c r="A125">
        <v>50021011352</v>
      </c>
      <c r="B125">
        <v>5</v>
      </c>
      <c r="C125">
        <v>0</v>
      </c>
      <c r="D125">
        <v>0</v>
      </c>
      <c r="E125">
        <v>2</v>
      </c>
      <c r="F125">
        <v>1</v>
      </c>
      <c r="G125">
        <v>0</v>
      </c>
      <c r="H125">
        <v>1</v>
      </c>
      <c r="I125">
        <v>1</v>
      </c>
      <c r="J125">
        <v>3</v>
      </c>
      <c r="K125">
        <v>5</v>
      </c>
      <c r="L125">
        <v>2</v>
      </c>
      <c r="M125">
        <f>IF(AND(D126=1,E126=2),1,0)</f>
        <v>0</v>
      </c>
      <c r="N125">
        <f>IF(ISEVEN(K125),1,0)</f>
        <v>0</v>
      </c>
      <c r="O125">
        <f>19*100+B125*10+C125</f>
        <v>1950</v>
      </c>
      <c r="P125">
        <f>B125*1+C125*3+D125*7+E125*9+F125*1+G125*3+H125*7+I125*9+J125*1+K125*3</f>
        <v>58</v>
      </c>
      <c r="Q125">
        <f>MOD(P125,10)</f>
        <v>8</v>
      </c>
      <c r="R125">
        <f>IF(Q125=0,0,10-Q125)</f>
        <v>2</v>
      </c>
      <c r="S125">
        <f>IF(R125=L125,0,A125)</f>
        <v>0</v>
      </c>
      <c r="U125">
        <v>5</v>
      </c>
    </row>
    <row r="126" spans="1:21" x14ac:dyDescent="0.25">
      <c r="A126">
        <v>65092056892</v>
      </c>
      <c r="B126">
        <v>6</v>
      </c>
      <c r="C126">
        <v>5</v>
      </c>
      <c r="D126">
        <v>0</v>
      </c>
      <c r="E126">
        <v>9</v>
      </c>
      <c r="F126">
        <v>2</v>
      </c>
      <c r="G126">
        <v>0</v>
      </c>
      <c r="H126">
        <v>5</v>
      </c>
      <c r="I126">
        <v>6</v>
      </c>
      <c r="J126">
        <v>8</v>
      </c>
      <c r="K126">
        <v>9</v>
      </c>
      <c r="L126">
        <v>2</v>
      </c>
      <c r="M126">
        <f>IF(AND(D127=1,E127=2),1,0)</f>
        <v>0</v>
      </c>
      <c r="N126">
        <f>IF(ISEVEN(K126),1,0)</f>
        <v>0</v>
      </c>
      <c r="O126">
        <f>19*100+B126*10+C126</f>
        <v>1965</v>
      </c>
      <c r="P126">
        <f>B126*1+C126*3+D126*7+E126*9+F126*1+G126*3+H126*7+I126*9+J126*1+K126*3</f>
        <v>228</v>
      </c>
      <c r="Q126">
        <f>MOD(P126,10)</f>
        <v>8</v>
      </c>
      <c r="R126">
        <f>IF(Q126=0,0,10-Q126)</f>
        <v>2</v>
      </c>
      <c r="S126">
        <f>IF(R126=L126,0,A126)</f>
        <v>0</v>
      </c>
      <c r="U126">
        <v>6</v>
      </c>
    </row>
    <row r="127" spans="1:21" x14ac:dyDescent="0.25">
      <c r="A127">
        <v>85052605175</v>
      </c>
      <c r="B127">
        <v>8</v>
      </c>
      <c r="C127">
        <v>5</v>
      </c>
      <c r="D127">
        <v>0</v>
      </c>
      <c r="E127">
        <v>5</v>
      </c>
      <c r="F127">
        <v>2</v>
      </c>
      <c r="G127">
        <v>6</v>
      </c>
      <c r="H127">
        <v>0</v>
      </c>
      <c r="I127">
        <v>5</v>
      </c>
      <c r="J127">
        <v>1</v>
      </c>
      <c r="K127">
        <v>7</v>
      </c>
      <c r="L127">
        <v>5</v>
      </c>
      <c r="M127">
        <f>IF(AND(D128=1,E128=2),1,0)</f>
        <v>0</v>
      </c>
      <c r="N127">
        <f>IF(ISEVEN(K127),1,0)</f>
        <v>0</v>
      </c>
      <c r="O127">
        <f>19*100+B127*10+C127</f>
        <v>1985</v>
      </c>
      <c r="P127">
        <f>B127*1+C127*3+D127*7+E127*9+F127*1+G127*3+H127*7+I127*9+J127*1+K127*3</f>
        <v>155</v>
      </c>
      <c r="Q127">
        <f>MOD(P127,10)</f>
        <v>5</v>
      </c>
      <c r="R127">
        <f>IF(Q127=0,0,10-Q127)</f>
        <v>5</v>
      </c>
      <c r="S127">
        <f>IF(R127=L127,0,A127)</f>
        <v>0</v>
      </c>
      <c r="U127">
        <v>8</v>
      </c>
    </row>
    <row r="128" spans="1:21" x14ac:dyDescent="0.25">
      <c r="A128">
        <v>89032143350</v>
      </c>
      <c r="B128">
        <v>8</v>
      </c>
      <c r="C128">
        <v>9</v>
      </c>
      <c r="D128">
        <v>0</v>
      </c>
      <c r="E128">
        <v>3</v>
      </c>
      <c r="F128">
        <v>2</v>
      </c>
      <c r="G128">
        <v>1</v>
      </c>
      <c r="H128">
        <v>4</v>
      </c>
      <c r="I128">
        <v>3</v>
      </c>
      <c r="J128">
        <v>3</v>
      </c>
      <c r="K128">
        <v>5</v>
      </c>
      <c r="L128">
        <v>0</v>
      </c>
      <c r="M128">
        <f>IF(AND(D129=1,E129=2),1,0)</f>
        <v>1</v>
      </c>
      <c r="N128">
        <f>IF(ISEVEN(K128),1,0)</f>
        <v>0</v>
      </c>
      <c r="O128">
        <f>19*100+B128*10+C128</f>
        <v>1989</v>
      </c>
      <c r="P128">
        <f>B128*1+C128*3+D128*7+E128*9+F128*1+G128*3+H128*7+I128*9+J128*1+K128*3</f>
        <v>140</v>
      </c>
      <c r="Q128">
        <f>MOD(P128,10)</f>
        <v>0</v>
      </c>
      <c r="R128">
        <f>IF(Q128=0,0,10-Q128)</f>
        <v>0</v>
      </c>
      <c r="S128">
        <f>IF(R128=L128,0,A128)</f>
        <v>0</v>
      </c>
      <c r="U128">
        <v>8</v>
      </c>
    </row>
    <row r="129" spans="1:21" x14ac:dyDescent="0.25">
      <c r="A129">
        <v>71123061643</v>
      </c>
      <c r="B129">
        <v>7</v>
      </c>
      <c r="C129">
        <v>1</v>
      </c>
      <c r="D129">
        <v>1</v>
      </c>
      <c r="E129">
        <v>2</v>
      </c>
      <c r="F129">
        <v>3</v>
      </c>
      <c r="G129">
        <v>0</v>
      </c>
      <c r="H129">
        <v>6</v>
      </c>
      <c r="I129">
        <v>1</v>
      </c>
      <c r="J129">
        <v>6</v>
      </c>
      <c r="K129">
        <v>4</v>
      </c>
      <c r="L129">
        <v>3</v>
      </c>
      <c r="M129">
        <f>IF(AND(D130=1,E130=2),1,0)</f>
        <v>0</v>
      </c>
      <c r="N129">
        <f>IF(ISEVEN(K129),1,0)</f>
        <v>1</v>
      </c>
      <c r="O129">
        <f>19*100+B129*10+C129</f>
        <v>1971</v>
      </c>
      <c r="P129">
        <f>B129*1+C129*3+D129*7+E129*9+F129*1+G129*3+H129*7+I129*9+J129*1+K129*3</f>
        <v>107</v>
      </c>
      <c r="Q129">
        <f>MOD(P129,10)</f>
        <v>7</v>
      </c>
      <c r="R129">
        <f>IF(Q129=0,0,10-Q129)</f>
        <v>3</v>
      </c>
      <c r="S129">
        <f>IF(R129=L129,0,A129)</f>
        <v>0</v>
      </c>
      <c r="U129">
        <v>7</v>
      </c>
    </row>
    <row r="130" spans="1:21" x14ac:dyDescent="0.25">
      <c r="A130">
        <v>73103000844</v>
      </c>
      <c r="B130">
        <v>7</v>
      </c>
      <c r="C130">
        <v>3</v>
      </c>
      <c r="D130">
        <v>1</v>
      </c>
      <c r="E130">
        <v>0</v>
      </c>
      <c r="F130">
        <v>3</v>
      </c>
      <c r="G130">
        <v>0</v>
      </c>
      <c r="H130">
        <v>0</v>
      </c>
      <c r="I130">
        <v>0</v>
      </c>
      <c r="J130">
        <v>8</v>
      </c>
      <c r="K130">
        <v>4</v>
      </c>
      <c r="L130">
        <v>4</v>
      </c>
      <c r="M130">
        <f>IF(AND(D131=1,E131=2),1,0)</f>
        <v>0</v>
      </c>
      <c r="N130">
        <f>IF(ISEVEN(K130),1,0)</f>
        <v>1</v>
      </c>
      <c r="O130">
        <f>19*100+B130*10+C130</f>
        <v>1973</v>
      </c>
      <c r="P130">
        <f>B130*1+C130*3+D130*7+E130*9+F130*1+G130*3+H130*7+I130*9+J130*1+K130*3</f>
        <v>46</v>
      </c>
      <c r="Q130">
        <f>MOD(P130,10)</f>
        <v>6</v>
      </c>
      <c r="R130">
        <f>IF(Q130=0,0,10-Q130)</f>
        <v>4</v>
      </c>
      <c r="S130">
        <f>IF(R130=L130,0,A130)</f>
        <v>0</v>
      </c>
      <c r="U130">
        <v>7</v>
      </c>
    </row>
    <row r="131" spans="1:21" x14ac:dyDescent="0.25">
      <c r="A131">
        <v>89012630357</v>
      </c>
      <c r="B131">
        <v>8</v>
      </c>
      <c r="C131">
        <v>9</v>
      </c>
      <c r="D131">
        <v>0</v>
      </c>
      <c r="E131">
        <v>1</v>
      </c>
      <c r="F131">
        <v>2</v>
      </c>
      <c r="G131">
        <v>6</v>
      </c>
      <c r="H131">
        <v>3</v>
      </c>
      <c r="I131">
        <v>0</v>
      </c>
      <c r="J131">
        <v>3</v>
      </c>
      <c r="K131">
        <v>5</v>
      </c>
      <c r="L131">
        <v>7</v>
      </c>
      <c r="M131">
        <f>IF(AND(D132=1,E132=2),1,0)</f>
        <v>0</v>
      </c>
      <c r="N131">
        <f>IF(ISEVEN(K131),1,0)</f>
        <v>0</v>
      </c>
      <c r="O131">
        <f>19*100+B131*10+C131</f>
        <v>1989</v>
      </c>
      <c r="P131">
        <f>B131*1+C131*3+D131*7+E131*9+F131*1+G131*3+H131*7+I131*9+J131*1+K131*3</f>
        <v>103</v>
      </c>
      <c r="Q131">
        <f>MOD(P131,10)</f>
        <v>3</v>
      </c>
      <c r="R131">
        <f>IF(Q131=0,0,10-Q131)</f>
        <v>7</v>
      </c>
      <c r="S131">
        <f>IF(R131=L131,0,A131)</f>
        <v>0</v>
      </c>
      <c r="U131">
        <v>8</v>
      </c>
    </row>
    <row r="132" spans="1:21" x14ac:dyDescent="0.25">
      <c r="A132">
        <v>73010399576</v>
      </c>
      <c r="B132">
        <v>7</v>
      </c>
      <c r="C132">
        <v>3</v>
      </c>
      <c r="D132">
        <v>0</v>
      </c>
      <c r="E132">
        <v>1</v>
      </c>
      <c r="F132">
        <v>0</v>
      </c>
      <c r="G132">
        <v>3</v>
      </c>
      <c r="H132">
        <v>9</v>
      </c>
      <c r="I132">
        <v>9</v>
      </c>
      <c r="J132">
        <v>5</v>
      </c>
      <c r="K132">
        <v>7</v>
      </c>
      <c r="L132">
        <v>6</v>
      </c>
      <c r="M132">
        <f>IF(AND(D133=1,E133=2),1,0)</f>
        <v>0</v>
      </c>
      <c r="N132">
        <f>IF(ISEVEN(K132),1,0)</f>
        <v>0</v>
      </c>
      <c r="O132">
        <f>19*100+B132*10+C132</f>
        <v>1973</v>
      </c>
      <c r="P132">
        <f>B132*1+C132*3+D132*7+E132*9+F132*1+G132*3+H132*7+I132*9+J132*1+K132*3</f>
        <v>204</v>
      </c>
      <c r="Q132">
        <f>MOD(P132,10)</f>
        <v>4</v>
      </c>
      <c r="R132">
        <f>IF(Q132=0,0,10-Q132)</f>
        <v>6</v>
      </c>
      <c r="S132">
        <f>IF(R132=L132,0,A132)</f>
        <v>0</v>
      </c>
      <c r="U132">
        <v>7</v>
      </c>
    </row>
    <row r="133" spans="1:21" x14ac:dyDescent="0.25">
      <c r="A133">
        <v>87070895372</v>
      </c>
      <c r="B133">
        <v>8</v>
      </c>
      <c r="C133">
        <v>7</v>
      </c>
      <c r="D133">
        <v>0</v>
      </c>
      <c r="E133">
        <v>7</v>
      </c>
      <c r="F133">
        <v>0</v>
      </c>
      <c r="G133">
        <v>8</v>
      </c>
      <c r="H133">
        <v>9</v>
      </c>
      <c r="I133">
        <v>5</v>
      </c>
      <c r="J133">
        <v>3</v>
      </c>
      <c r="K133">
        <v>7</v>
      </c>
      <c r="L133">
        <v>2</v>
      </c>
      <c r="M133">
        <f>IF(AND(D134=1,E134=2),1,0)</f>
        <v>0</v>
      </c>
      <c r="N133">
        <f>IF(ISEVEN(K133),1,0)</f>
        <v>0</v>
      </c>
      <c r="O133">
        <f>19*100+B133*10+C133</f>
        <v>1987</v>
      </c>
      <c r="P133">
        <f>B133*1+C133*3+D133*7+E133*9+F133*1+G133*3+H133*7+I133*9+J133*1+K133*3</f>
        <v>248</v>
      </c>
      <c r="Q133">
        <f>MOD(P133,10)</f>
        <v>8</v>
      </c>
      <c r="R133">
        <f>IF(Q133=0,0,10-Q133)</f>
        <v>2</v>
      </c>
      <c r="S133">
        <f>IF(R133=L133,0,A133)</f>
        <v>0</v>
      </c>
      <c r="U133">
        <v>8</v>
      </c>
    </row>
    <row r="134" spans="1:21" x14ac:dyDescent="0.25">
      <c r="A134">
        <v>76043169949</v>
      </c>
      <c r="B134">
        <v>7</v>
      </c>
      <c r="C134">
        <v>6</v>
      </c>
      <c r="D134">
        <v>0</v>
      </c>
      <c r="E134">
        <v>4</v>
      </c>
      <c r="F134">
        <v>3</v>
      </c>
      <c r="G134">
        <v>1</v>
      </c>
      <c r="H134">
        <v>6</v>
      </c>
      <c r="I134">
        <v>9</v>
      </c>
      <c r="J134">
        <v>9</v>
      </c>
      <c r="K134">
        <v>4</v>
      </c>
      <c r="L134">
        <v>9</v>
      </c>
      <c r="M134">
        <f>IF(AND(D135=1,E135=2),1,0)</f>
        <v>0</v>
      </c>
      <c r="N134">
        <f>IF(ISEVEN(K134),1,0)</f>
        <v>1</v>
      </c>
      <c r="O134">
        <f>19*100+B134*10+C134</f>
        <v>1976</v>
      </c>
      <c r="P134">
        <f>B134*1+C134*3+D134*7+E134*9+F134*1+G134*3+H134*7+I134*9+J134*1+K134*3</f>
        <v>211</v>
      </c>
      <c r="Q134">
        <f>MOD(P134,10)</f>
        <v>1</v>
      </c>
      <c r="R134">
        <f>IF(Q134=0,0,10-Q134)</f>
        <v>9</v>
      </c>
      <c r="S134">
        <f>IF(R134=L134,0,A134)</f>
        <v>0</v>
      </c>
      <c r="U134">
        <v>7</v>
      </c>
    </row>
    <row r="135" spans="1:21" x14ac:dyDescent="0.25">
      <c r="A135">
        <v>79101146737</v>
      </c>
      <c r="B135">
        <v>7</v>
      </c>
      <c r="C135">
        <v>9</v>
      </c>
      <c r="D135">
        <v>1</v>
      </c>
      <c r="E135">
        <v>0</v>
      </c>
      <c r="F135">
        <v>1</v>
      </c>
      <c r="G135">
        <v>1</v>
      </c>
      <c r="H135">
        <v>4</v>
      </c>
      <c r="I135">
        <v>6</v>
      </c>
      <c r="J135">
        <v>7</v>
      </c>
      <c r="K135">
        <v>3</v>
      </c>
      <c r="L135">
        <v>7</v>
      </c>
      <c r="M135">
        <f>IF(AND(D136=1,E136=2),1,0)</f>
        <v>0</v>
      </c>
      <c r="N135">
        <f>IF(ISEVEN(K135),1,0)</f>
        <v>0</v>
      </c>
      <c r="O135">
        <f>19*100+B135*10+C135</f>
        <v>1979</v>
      </c>
      <c r="P135">
        <f>B135*1+C135*3+D135*7+E135*9+F135*1+G135*3+H135*7+I135*9+J135*1+K135*3</f>
        <v>143</v>
      </c>
      <c r="Q135">
        <f>MOD(P135,10)</f>
        <v>3</v>
      </c>
      <c r="R135">
        <f>IF(Q135=0,0,10-Q135)</f>
        <v>7</v>
      </c>
      <c r="S135">
        <f>IF(R135=L135,0,A135)</f>
        <v>0</v>
      </c>
      <c r="U135">
        <v>7</v>
      </c>
    </row>
    <row r="136" spans="1:21" x14ac:dyDescent="0.25">
      <c r="A136">
        <v>76043054555</v>
      </c>
      <c r="B136">
        <v>7</v>
      </c>
      <c r="C136">
        <v>6</v>
      </c>
      <c r="D136">
        <v>0</v>
      </c>
      <c r="E136">
        <v>4</v>
      </c>
      <c r="F136">
        <v>3</v>
      </c>
      <c r="G136">
        <v>0</v>
      </c>
      <c r="H136">
        <v>5</v>
      </c>
      <c r="I136">
        <v>4</v>
      </c>
      <c r="J136">
        <v>5</v>
      </c>
      <c r="K136">
        <v>5</v>
      </c>
      <c r="L136">
        <v>5</v>
      </c>
      <c r="M136">
        <f>IF(AND(D137=1,E137=2),1,0)</f>
        <v>0</v>
      </c>
      <c r="N136">
        <f>IF(ISEVEN(K136),1,0)</f>
        <v>0</v>
      </c>
      <c r="O136">
        <f>19*100+B136*10+C136</f>
        <v>1976</v>
      </c>
      <c r="P136">
        <f>B136*1+C136*3+D136*7+E136*9+F136*1+G136*3+H136*7+I136*9+J136*1+K136*3</f>
        <v>155</v>
      </c>
      <c r="Q136">
        <f>MOD(P136,10)</f>
        <v>5</v>
      </c>
      <c r="R136">
        <f>IF(Q136=0,0,10-Q136)</f>
        <v>5</v>
      </c>
      <c r="S136">
        <f>IF(R136=L136,0,A136)</f>
        <v>0</v>
      </c>
      <c r="U136">
        <v>7</v>
      </c>
    </row>
    <row r="137" spans="1:21" x14ac:dyDescent="0.25">
      <c r="A137">
        <v>89082608599</v>
      </c>
      <c r="B137">
        <v>8</v>
      </c>
      <c r="C137">
        <v>9</v>
      </c>
      <c r="D137">
        <v>0</v>
      </c>
      <c r="E137">
        <v>8</v>
      </c>
      <c r="F137">
        <v>2</v>
      </c>
      <c r="G137">
        <v>6</v>
      </c>
      <c r="H137">
        <v>0</v>
      </c>
      <c r="I137">
        <v>8</v>
      </c>
      <c r="J137">
        <v>5</v>
      </c>
      <c r="K137">
        <v>9</v>
      </c>
      <c r="L137">
        <v>9</v>
      </c>
      <c r="M137">
        <f>IF(AND(D138=1,E138=2),1,0)</f>
        <v>1</v>
      </c>
      <c r="N137">
        <f>IF(ISEVEN(K137),1,0)</f>
        <v>0</v>
      </c>
      <c r="O137">
        <f>19*100+B137*10+C137</f>
        <v>1989</v>
      </c>
      <c r="P137">
        <f>B137*1+C137*3+D137*7+E137*9+F137*1+G137*3+H137*7+I137*9+J137*1+K137*3</f>
        <v>231</v>
      </c>
      <c r="Q137">
        <f>MOD(P137,10)</f>
        <v>1</v>
      </c>
      <c r="R137">
        <f>IF(Q137=0,0,10-Q137)</f>
        <v>9</v>
      </c>
      <c r="S137">
        <f>IF(R137=L137,0,A137)</f>
        <v>0</v>
      </c>
      <c r="U137">
        <v>8</v>
      </c>
    </row>
    <row r="138" spans="1:21" x14ac:dyDescent="0.25">
      <c r="A138">
        <v>76122752028</v>
      </c>
      <c r="B138">
        <v>7</v>
      </c>
      <c r="C138">
        <v>6</v>
      </c>
      <c r="D138">
        <v>1</v>
      </c>
      <c r="E138">
        <v>2</v>
      </c>
      <c r="F138">
        <v>2</v>
      </c>
      <c r="G138">
        <v>7</v>
      </c>
      <c r="H138">
        <v>5</v>
      </c>
      <c r="I138">
        <v>2</v>
      </c>
      <c r="J138">
        <v>0</v>
      </c>
      <c r="K138">
        <v>2</v>
      </c>
      <c r="L138">
        <v>8</v>
      </c>
      <c r="M138">
        <f>IF(AND(D139=1,E139=2),1,0)</f>
        <v>0</v>
      </c>
      <c r="N138">
        <f>IF(ISEVEN(K138),1,0)</f>
        <v>1</v>
      </c>
      <c r="O138">
        <f>19*100+B138*10+C138</f>
        <v>1976</v>
      </c>
      <c r="P138">
        <f>B138*1+C138*3+D138*7+E138*9+F138*1+G138*3+H138*7+I138*9+J138*1+K138*3</f>
        <v>132</v>
      </c>
      <c r="Q138">
        <f>MOD(P138,10)</f>
        <v>2</v>
      </c>
      <c r="R138">
        <f>IF(Q138=0,0,10-Q138)</f>
        <v>8</v>
      </c>
      <c r="S138">
        <f>IF(R138=L138,0,A138)</f>
        <v>0</v>
      </c>
      <c r="U138">
        <v>7</v>
      </c>
    </row>
    <row r="139" spans="1:21" x14ac:dyDescent="0.25">
      <c r="A139">
        <v>89010293604</v>
      </c>
      <c r="B139">
        <v>8</v>
      </c>
      <c r="C139">
        <v>9</v>
      </c>
      <c r="D139">
        <v>0</v>
      </c>
      <c r="E139">
        <v>1</v>
      </c>
      <c r="F139">
        <v>0</v>
      </c>
      <c r="G139">
        <v>2</v>
      </c>
      <c r="H139">
        <v>9</v>
      </c>
      <c r="I139">
        <v>3</v>
      </c>
      <c r="J139">
        <v>6</v>
      </c>
      <c r="K139">
        <v>0</v>
      </c>
      <c r="L139">
        <v>4</v>
      </c>
      <c r="M139">
        <f>IF(AND(D140=1,E140=2),1,0)</f>
        <v>0</v>
      </c>
      <c r="N139">
        <f>IF(ISEVEN(K139),1,0)</f>
        <v>1</v>
      </c>
      <c r="O139">
        <f>19*100+B139*10+C139</f>
        <v>1989</v>
      </c>
      <c r="P139">
        <f>B139*1+C139*3+D139*7+E139*9+F139*1+G139*3+H139*7+I139*9+J139*1+K139*3</f>
        <v>146</v>
      </c>
      <c r="Q139">
        <f>MOD(P139,10)</f>
        <v>6</v>
      </c>
      <c r="R139">
        <f>IF(Q139=0,0,10-Q139)</f>
        <v>4</v>
      </c>
      <c r="S139">
        <f>IF(R139=L139,0,A139)</f>
        <v>0</v>
      </c>
      <c r="U139">
        <v>8</v>
      </c>
    </row>
    <row r="140" spans="1:21" x14ac:dyDescent="0.25">
      <c r="A140">
        <v>89091482250</v>
      </c>
      <c r="B140">
        <v>8</v>
      </c>
      <c r="C140">
        <v>9</v>
      </c>
      <c r="D140">
        <v>0</v>
      </c>
      <c r="E140">
        <v>9</v>
      </c>
      <c r="F140">
        <v>1</v>
      </c>
      <c r="G140">
        <v>4</v>
      </c>
      <c r="H140">
        <v>8</v>
      </c>
      <c r="I140">
        <v>2</v>
      </c>
      <c r="J140">
        <v>2</v>
      </c>
      <c r="K140">
        <v>5</v>
      </c>
      <c r="L140">
        <v>0</v>
      </c>
      <c r="M140">
        <f>IF(AND(D141=1,E141=2),1,0)</f>
        <v>1</v>
      </c>
      <c r="N140">
        <f>IF(ISEVEN(K140),1,0)</f>
        <v>0</v>
      </c>
      <c r="O140">
        <f>19*100+B140*10+C140</f>
        <v>1989</v>
      </c>
      <c r="P140">
        <f>B140*1+C140*3+D140*7+E140*9+F140*1+G140*3+H140*7+I140*9+J140*1+K140*3</f>
        <v>220</v>
      </c>
      <c r="Q140">
        <f>MOD(P140,10)</f>
        <v>0</v>
      </c>
      <c r="R140">
        <f>IF(Q140=0,0,10-Q140)</f>
        <v>0</v>
      </c>
      <c r="S140">
        <f>IF(R140=L140,0,A140)</f>
        <v>0</v>
      </c>
      <c r="U140">
        <v>8</v>
      </c>
    </row>
    <row r="141" spans="1:21" x14ac:dyDescent="0.25">
      <c r="A141">
        <v>58122188027</v>
      </c>
      <c r="B141">
        <v>5</v>
      </c>
      <c r="C141">
        <v>8</v>
      </c>
      <c r="D141">
        <v>1</v>
      </c>
      <c r="E141">
        <v>2</v>
      </c>
      <c r="F141">
        <v>2</v>
      </c>
      <c r="G141">
        <v>1</v>
      </c>
      <c r="H141">
        <v>8</v>
      </c>
      <c r="I141">
        <v>8</v>
      </c>
      <c r="J141">
        <v>0</v>
      </c>
      <c r="K141">
        <v>2</v>
      </c>
      <c r="L141">
        <v>7</v>
      </c>
      <c r="M141">
        <f>IF(AND(D142=1,E142=2),1,0)</f>
        <v>0</v>
      </c>
      <c r="N141">
        <f>IF(ISEVEN(K141),1,0)</f>
        <v>1</v>
      </c>
      <c r="O141">
        <f>19*100+B141*10+C141</f>
        <v>1958</v>
      </c>
      <c r="P141">
        <f>B141*1+C141*3+D141*7+E141*9+F141*1+G141*3+H141*7+I141*9+J141*1+K141*3</f>
        <v>193</v>
      </c>
      <c r="Q141">
        <f>MOD(P141,10)</f>
        <v>3</v>
      </c>
      <c r="R141">
        <f>IF(Q141=0,0,10-Q141)</f>
        <v>7</v>
      </c>
      <c r="S141">
        <f>IF(R141=L141,0,A141)</f>
        <v>0</v>
      </c>
      <c r="U141">
        <v>5</v>
      </c>
    </row>
    <row r="142" spans="1:21" x14ac:dyDescent="0.25">
      <c r="A142">
        <v>89052295172</v>
      </c>
      <c r="B142">
        <v>8</v>
      </c>
      <c r="C142">
        <v>9</v>
      </c>
      <c r="D142">
        <v>0</v>
      </c>
      <c r="E142">
        <v>5</v>
      </c>
      <c r="F142">
        <v>2</v>
      </c>
      <c r="G142">
        <v>2</v>
      </c>
      <c r="H142">
        <v>9</v>
      </c>
      <c r="I142">
        <v>5</v>
      </c>
      <c r="J142">
        <v>1</v>
      </c>
      <c r="K142">
        <v>7</v>
      </c>
      <c r="L142">
        <v>2</v>
      </c>
      <c r="M142">
        <f>IF(AND(D143=1,E143=2),1,0)</f>
        <v>0</v>
      </c>
      <c r="N142">
        <f>IF(ISEVEN(K142),1,0)</f>
        <v>0</v>
      </c>
      <c r="O142">
        <f>19*100+B142*10+C142</f>
        <v>1989</v>
      </c>
      <c r="P142">
        <f>B142*1+C142*3+D142*7+E142*9+F142*1+G142*3+H142*7+I142*9+J142*1+K142*3</f>
        <v>218</v>
      </c>
      <c r="Q142">
        <f>MOD(P142,10)</f>
        <v>8</v>
      </c>
      <c r="R142">
        <f>IF(Q142=0,0,10-Q142)</f>
        <v>2</v>
      </c>
      <c r="S142">
        <f>IF(R142=L142,0,A142)</f>
        <v>0</v>
      </c>
      <c r="U142">
        <v>8</v>
      </c>
    </row>
    <row r="143" spans="1:21" x14ac:dyDescent="0.25">
      <c r="A143">
        <v>79070627831</v>
      </c>
      <c r="B143">
        <v>7</v>
      </c>
      <c r="C143">
        <v>9</v>
      </c>
      <c r="D143">
        <v>0</v>
      </c>
      <c r="E143">
        <v>7</v>
      </c>
      <c r="F143">
        <v>0</v>
      </c>
      <c r="G143">
        <v>6</v>
      </c>
      <c r="H143">
        <v>2</v>
      </c>
      <c r="I143">
        <v>7</v>
      </c>
      <c r="J143">
        <v>8</v>
      </c>
      <c r="K143">
        <v>3</v>
      </c>
      <c r="L143">
        <v>1</v>
      </c>
      <c r="M143">
        <f>IF(AND(D144=1,E144=2),1,0)</f>
        <v>0</v>
      </c>
      <c r="N143">
        <f>IF(ISEVEN(K143),1,0)</f>
        <v>0</v>
      </c>
      <c r="O143">
        <f>19*100+B143*10+C143</f>
        <v>1979</v>
      </c>
      <c r="P143">
        <f>B143*1+C143*3+D143*7+E143*9+F143*1+G143*3+H143*7+I143*9+J143*1+K143*3</f>
        <v>209</v>
      </c>
      <c r="Q143">
        <f>MOD(P143,10)</f>
        <v>9</v>
      </c>
      <c r="R143">
        <f>IF(Q143=0,0,10-Q143)</f>
        <v>1</v>
      </c>
      <c r="S143">
        <f>IF(R143=L143,0,A143)</f>
        <v>0</v>
      </c>
      <c r="U143">
        <v>7</v>
      </c>
    </row>
    <row r="144" spans="1:21" x14ac:dyDescent="0.25">
      <c r="A144">
        <v>54043010088</v>
      </c>
      <c r="B144">
        <v>5</v>
      </c>
      <c r="C144">
        <v>4</v>
      </c>
      <c r="D144">
        <v>0</v>
      </c>
      <c r="E144">
        <v>4</v>
      </c>
      <c r="F144">
        <v>3</v>
      </c>
      <c r="G144">
        <v>0</v>
      </c>
      <c r="H144">
        <v>1</v>
      </c>
      <c r="I144">
        <v>0</v>
      </c>
      <c r="J144">
        <v>0</v>
      </c>
      <c r="K144">
        <v>8</v>
      </c>
      <c r="L144">
        <v>8</v>
      </c>
      <c r="M144">
        <f>IF(AND(D145=1,E145=2),1,0)</f>
        <v>0</v>
      </c>
      <c r="N144">
        <f>IF(ISEVEN(K144),1,0)</f>
        <v>1</v>
      </c>
      <c r="O144">
        <f>19*100+B144*10+C144</f>
        <v>1954</v>
      </c>
      <c r="P144">
        <f>B144*1+C144*3+D144*7+E144*9+F144*1+G144*3+H144*7+I144*9+J144*1+K144*3</f>
        <v>87</v>
      </c>
      <c r="Q144">
        <f>MOD(P144,10)</f>
        <v>7</v>
      </c>
      <c r="R144">
        <f>IF(Q144=0,0,10-Q144)</f>
        <v>3</v>
      </c>
      <c r="S144" s="1">
        <f>IF(R144=L144,0,A144)</f>
        <v>54043010088</v>
      </c>
      <c r="U144">
        <v>5</v>
      </c>
    </row>
    <row r="145" spans="1:21" x14ac:dyDescent="0.25">
      <c r="A145">
        <v>60061144469</v>
      </c>
      <c r="B145">
        <v>6</v>
      </c>
      <c r="C145">
        <v>0</v>
      </c>
      <c r="D145">
        <v>0</v>
      </c>
      <c r="E145">
        <v>6</v>
      </c>
      <c r="F145">
        <v>1</v>
      </c>
      <c r="G145">
        <v>1</v>
      </c>
      <c r="H145">
        <v>4</v>
      </c>
      <c r="I145">
        <v>4</v>
      </c>
      <c r="J145">
        <v>4</v>
      </c>
      <c r="K145">
        <v>6</v>
      </c>
      <c r="L145">
        <v>9</v>
      </c>
      <c r="M145">
        <f>IF(AND(D146=1,E146=2),1,0)</f>
        <v>0</v>
      </c>
      <c r="N145">
        <f>IF(ISEVEN(K145),1,0)</f>
        <v>1</v>
      </c>
      <c r="O145">
        <f>19*100+B145*10+C145</f>
        <v>1960</v>
      </c>
      <c r="P145">
        <f>B145*1+C145*3+D145*7+E145*9+F145*1+G145*3+H145*7+I145*9+J145*1+K145*3</f>
        <v>150</v>
      </c>
      <c r="Q145">
        <f>MOD(P145,10)</f>
        <v>0</v>
      </c>
      <c r="R145">
        <f>IF(Q145=0,0,10-Q145)</f>
        <v>0</v>
      </c>
      <c r="S145" s="1">
        <f>IF(R145=L145,0,A145)</f>
        <v>60061144469</v>
      </c>
      <c r="U145">
        <v>6</v>
      </c>
    </row>
    <row r="146" spans="1:21" x14ac:dyDescent="0.25">
      <c r="A146">
        <v>77072919805</v>
      </c>
      <c r="B146">
        <v>7</v>
      </c>
      <c r="C146">
        <v>7</v>
      </c>
      <c r="D146">
        <v>0</v>
      </c>
      <c r="E146">
        <v>7</v>
      </c>
      <c r="F146">
        <v>2</v>
      </c>
      <c r="G146">
        <v>9</v>
      </c>
      <c r="H146">
        <v>1</v>
      </c>
      <c r="I146">
        <v>9</v>
      </c>
      <c r="J146">
        <v>8</v>
      </c>
      <c r="K146">
        <v>0</v>
      </c>
      <c r="L146">
        <v>5</v>
      </c>
      <c r="M146">
        <f>IF(AND(D147=1,E147=2),1,0)</f>
        <v>1</v>
      </c>
      <c r="N146">
        <f>IF(ISEVEN(K146),1,0)</f>
        <v>1</v>
      </c>
      <c r="O146">
        <f>19*100+B146*10+C146</f>
        <v>1977</v>
      </c>
      <c r="P146">
        <f>B146*1+C146*3+D146*7+E146*9+F146*1+G146*3+H146*7+I146*9+J146*1+K146*3</f>
        <v>216</v>
      </c>
      <c r="Q146">
        <f>MOD(P146,10)</f>
        <v>6</v>
      </c>
      <c r="R146">
        <f>IF(Q146=0,0,10-Q146)</f>
        <v>4</v>
      </c>
      <c r="S146" s="1">
        <f>IF(R146=L146,0,A146)</f>
        <v>77072919805</v>
      </c>
      <c r="U146">
        <v>7</v>
      </c>
    </row>
    <row r="147" spans="1:21" x14ac:dyDescent="0.25">
      <c r="A147">
        <v>77120835871</v>
      </c>
      <c r="B147">
        <v>7</v>
      </c>
      <c r="C147">
        <v>7</v>
      </c>
      <c r="D147">
        <v>1</v>
      </c>
      <c r="E147">
        <v>2</v>
      </c>
      <c r="F147">
        <v>0</v>
      </c>
      <c r="G147">
        <v>8</v>
      </c>
      <c r="H147">
        <v>3</v>
      </c>
      <c r="I147">
        <v>5</v>
      </c>
      <c r="J147">
        <v>8</v>
      </c>
      <c r="K147">
        <v>7</v>
      </c>
      <c r="L147">
        <v>1</v>
      </c>
      <c r="M147">
        <f>IF(AND(D148=1,E148=2),1,0)</f>
        <v>0</v>
      </c>
      <c r="N147">
        <f>IF(ISEVEN(K147),1,0)</f>
        <v>0</v>
      </c>
      <c r="O147">
        <f>19*100+B147*10+C147</f>
        <v>1977</v>
      </c>
      <c r="P147">
        <f>B147*1+C147*3+D147*7+E147*9+F147*1+G147*3+H147*7+I147*9+J147*1+K147*3</f>
        <v>172</v>
      </c>
      <c r="Q147">
        <f>MOD(P147,10)</f>
        <v>2</v>
      </c>
      <c r="R147">
        <f>IF(Q147=0,0,10-Q147)</f>
        <v>8</v>
      </c>
      <c r="S147" s="1">
        <f>IF(R147=L147,0,A147)</f>
        <v>77120835871</v>
      </c>
      <c r="U147">
        <v>7</v>
      </c>
    </row>
    <row r="148" spans="1:21" x14ac:dyDescent="0.25">
      <c r="A148">
        <v>83041812338</v>
      </c>
      <c r="B148">
        <v>8</v>
      </c>
      <c r="C148">
        <v>3</v>
      </c>
      <c r="D148">
        <v>0</v>
      </c>
      <c r="E148">
        <v>4</v>
      </c>
      <c r="F148">
        <v>1</v>
      </c>
      <c r="G148">
        <v>8</v>
      </c>
      <c r="H148">
        <v>1</v>
      </c>
      <c r="I148">
        <v>2</v>
      </c>
      <c r="J148">
        <v>3</v>
      </c>
      <c r="K148">
        <v>3</v>
      </c>
      <c r="L148">
        <v>8</v>
      </c>
      <c r="M148">
        <f>IF(AND(D149=1,E149=2),1,0)</f>
        <v>0</v>
      </c>
      <c r="N148">
        <f>IF(ISEVEN(K148),1,0)</f>
        <v>0</v>
      </c>
      <c r="O148">
        <f>19*100+B148*10+C148</f>
        <v>1983</v>
      </c>
      <c r="P148">
        <f>B148*1+C148*3+D148*7+E148*9+F148*1+G148*3+H148*7+I148*9+J148*1+K148*3</f>
        <v>115</v>
      </c>
      <c r="Q148">
        <f>MOD(P148,10)</f>
        <v>5</v>
      </c>
      <c r="R148">
        <f>IF(Q148=0,0,10-Q148)</f>
        <v>5</v>
      </c>
      <c r="S148" s="1">
        <f>IF(R148=L148,0,A148)</f>
        <v>83041812338</v>
      </c>
      <c r="U148">
        <v>8</v>
      </c>
    </row>
    <row r="149" spans="1:21" x14ac:dyDescent="0.25">
      <c r="A149">
        <v>89081421445</v>
      </c>
      <c r="B149">
        <v>8</v>
      </c>
      <c r="C149">
        <v>9</v>
      </c>
      <c r="D149">
        <v>0</v>
      </c>
      <c r="E149">
        <v>8</v>
      </c>
      <c r="F149">
        <v>1</v>
      </c>
      <c r="G149">
        <v>4</v>
      </c>
      <c r="H149">
        <v>2</v>
      </c>
      <c r="I149">
        <v>1</v>
      </c>
      <c r="J149">
        <v>4</v>
      </c>
      <c r="K149">
        <v>4</v>
      </c>
      <c r="L149">
        <v>5</v>
      </c>
      <c r="M149">
        <f>IF(AND(D150=1,E150=2),1,0)</f>
        <v>0</v>
      </c>
      <c r="N149">
        <f>IF(ISEVEN(K149),1,0)</f>
        <v>1</v>
      </c>
      <c r="O149">
        <f>19*100+B149*10+C149</f>
        <v>1989</v>
      </c>
      <c r="P149">
        <f>B149*1+C149*3+D149*7+E149*9+F149*1+G149*3+H149*7+I149*9+J149*1+K149*3</f>
        <v>159</v>
      </c>
      <c r="Q149">
        <f>MOD(P149,10)</f>
        <v>9</v>
      </c>
      <c r="R149">
        <f>IF(Q149=0,0,10-Q149)</f>
        <v>1</v>
      </c>
      <c r="S149" s="1">
        <f>IF(R149=L149,0,A149)</f>
        <v>89081421445</v>
      </c>
      <c r="U149">
        <v>8</v>
      </c>
    </row>
    <row r="150" spans="1:21" x14ac:dyDescent="0.25">
      <c r="A150">
        <v>91032272651</v>
      </c>
      <c r="B150">
        <v>9</v>
      </c>
      <c r="C150">
        <v>1</v>
      </c>
      <c r="D150">
        <v>0</v>
      </c>
      <c r="E150">
        <v>3</v>
      </c>
      <c r="F150">
        <v>2</v>
      </c>
      <c r="G150">
        <v>2</v>
      </c>
      <c r="H150">
        <v>7</v>
      </c>
      <c r="I150">
        <v>2</v>
      </c>
      <c r="J150">
        <v>6</v>
      </c>
      <c r="K150">
        <v>5</v>
      </c>
      <c r="L150">
        <v>1</v>
      </c>
      <c r="M150">
        <f>IF(AND(D151=1,E151=2),1,0)</f>
        <v>0</v>
      </c>
      <c r="N150">
        <f>IF(ISEVEN(K150),1,0)</f>
        <v>0</v>
      </c>
      <c r="O150">
        <f>19*100+B150*10+C150</f>
        <v>1991</v>
      </c>
      <c r="P150">
        <f>B150*1+C150*3+D150*7+E150*9+F150*1+G150*3+H150*7+I150*9+J150*1+K150*3</f>
        <v>135</v>
      </c>
      <c r="Q150">
        <f>MOD(P150,10)</f>
        <v>5</v>
      </c>
      <c r="R150">
        <f>IF(Q150=0,0,10-Q150)</f>
        <v>5</v>
      </c>
      <c r="S150" s="1">
        <f>IF(R150=L150,0,A150)</f>
        <v>91032272651</v>
      </c>
      <c r="U150">
        <v>9</v>
      </c>
    </row>
    <row r="151" spans="1:21" x14ac:dyDescent="0.25">
      <c r="A151">
        <v>92022716243</v>
      </c>
      <c r="B151">
        <v>9</v>
      </c>
      <c r="C151">
        <v>2</v>
      </c>
      <c r="D151">
        <v>0</v>
      </c>
      <c r="E151">
        <v>2</v>
      </c>
      <c r="F151">
        <v>2</v>
      </c>
      <c r="G151">
        <v>7</v>
      </c>
      <c r="H151">
        <v>1</v>
      </c>
      <c r="I151">
        <v>6</v>
      </c>
      <c r="J151">
        <v>2</v>
      </c>
      <c r="K151">
        <v>4</v>
      </c>
      <c r="L151">
        <v>3</v>
      </c>
      <c r="M151">
        <f>IF(AND(D152=1,E152=2),1,0)</f>
        <v>0</v>
      </c>
      <c r="N151">
        <f>IF(ISEVEN(K151),1,0)</f>
        <v>1</v>
      </c>
      <c r="O151">
        <f>19*100+B151*10+C151</f>
        <v>1992</v>
      </c>
      <c r="P151">
        <f>B151*1+C151*3+D151*7+E151*9+F151*1+G151*3+H151*7+I151*9+J151*1+K151*3</f>
        <v>131</v>
      </c>
      <c r="Q151">
        <f>MOD(P151,10)</f>
        <v>1</v>
      </c>
      <c r="R151">
        <f>IF(Q151=0,0,10-Q151)</f>
        <v>9</v>
      </c>
      <c r="S151" s="1">
        <f>IF(R151=L151,0,A151)</f>
        <v>92022716243</v>
      </c>
      <c r="U151">
        <v>9</v>
      </c>
    </row>
    <row r="152" spans="1:21" x14ac:dyDescent="0.25">
      <c r="M152" s="1">
        <f>SUM(M2:M151)</f>
        <v>20</v>
      </c>
      <c r="N152" s="1">
        <f>SUM(N2:N151)</f>
        <v>74</v>
      </c>
      <c r="O152" s="2">
        <f>_xlfn.MODE.SNGL(O2:O151)</f>
        <v>1989</v>
      </c>
    </row>
    <row r="153" spans="1:21" x14ac:dyDescent="0.25">
      <c r="R153">
        <v>50</v>
      </c>
      <c r="S153" s="3">
        <f>U153/$U$158</f>
        <v>0.14666666666666667</v>
      </c>
      <c r="T153" s="1">
        <v>50</v>
      </c>
      <c r="U153" s="1">
        <f>COUNTIF(U2:U151,5)</f>
        <v>22</v>
      </c>
    </row>
    <row r="154" spans="1:21" x14ac:dyDescent="0.25">
      <c r="N154" t="s">
        <v>3</v>
      </c>
      <c r="R154">
        <v>60</v>
      </c>
      <c r="S154" s="3">
        <f>U154/$U$158</f>
        <v>0.18666666666666668</v>
      </c>
      <c r="T154" s="1">
        <v>60</v>
      </c>
      <c r="U154" s="1">
        <f>COUNTIF(U2:U151,6)</f>
        <v>28</v>
      </c>
    </row>
    <row r="155" spans="1:21" x14ac:dyDescent="0.25">
      <c r="R155">
        <v>70</v>
      </c>
      <c r="S155" s="3">
        <f>U155/$U$158</f>
        <v>0.24</v>
      </c>
      <c r="T155" s="1">
        <v>70</v>
      </c>
      <c r="U155" s="1">
        <f>COUNTIF(U2:U151,7)</f>
        <v>36</v>
      </c>
    </row>
    <row r="156" spans="1:21" x14ac:dyDescent="0.25">
      <c r="R156">
        <v>80</v>
      </c>
      <c r="S156" s="3">
        <f>U156/$U$158</f>
        <v>0.38666666666666666</v>
      </c>
      <c r="T156" s="1">
        <v>80</v>
      </c>
      <c r="U156" s="1">
        <f>COUNTIF(U2:U151,8)</f>
        <v>58</v>
      </c>
    </row>
    <row r="157" spans="1:21" x14ac:dyDescent="0.25">
      <c r="R157">
        <v>90</v>
      </c>
      <c r="S157" s="3">
        <f>U157/$U$158</f>
        <v>0.04</v>
      </c>
      <c r="T157" s="1">
        <v>90</v>
      </c>
      <c r="U157" s="1">
        <f>COUNTIF(U2:U151,9)</f>
        <v>6</v>
      </c>
    </row>
    <row r="158" spans="1:21" x14ac:dyDescent="0.25">
      <c r="U158">
        <f>SUM(U153:U157)</f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Arkusz1</vt:lpstr>
      <vt:lpstr>Arkusz1!pesel</vt:lpstr>
      <vt:lpstr>Arkusz1!pesel_zamieniene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2026-01-13T21:58:12Z</dcterms:created>
  <dcterms:modified xsi:type="dcterms:W3CDTF">2026-01-13T22:56:57Z</dcterms:modified>
</cp:coreProperties>
</file>