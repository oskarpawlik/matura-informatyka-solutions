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B2FC6E87-7E34-4853-97FC-2C837EC201CE}" xr6:coauthVersionLast="47" xr6:coauthVersionMax="47" xr10:uidLastSave="{00000000-0000-0000-0000-000000000000}"/>
  <bookViews>
    <workbookView xWindow="-120" yWindow="-120" windowWidth="29040" windowHeight="15720" activeTab="4" xr2:uid="{10317AB3-0DCF-48C3-AF3F-CD274DDC29E7}"/>
  </bookViews>
  <sheets>
    <sheet name="6.1" sheetId="1" r:id="rId1"/>
    <sheet name="6.2" sheetId="3" r:id="rId2"/>
    <sheet name="6.3" sheetId="4" r:id="rId3"/>
    <sheet name="6.4" sheetId="5" r:id="rId4"/>
    <sheet name="6.5" sheetId="6" r:id="rId5"/>
  </sheets>
  <definedNames>
    <definedName name="pomiary" localSheetId="0">'6.1'!$A$1:$M$201</definedName>
    <definedName name="pomiary" localSheetId="1">'6.2'!$A$1:$L$201</definedName>
    <definedName name="pomiary" localSheetId="2">'6.3'!$A$1:$L$201</definedName>
    <definedName name="pomiary" localSheetId="4">'6.5'!$A$1:$M$201</definedName>
  </definedName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6" l="1"/>
  <c r="N3" i="6"/>
  <c r="O3" i="6"/>
  <c r="P3" i="6"/>
  <c r="M4" i="6"/>
  <c r="N4" i="6"/>
  <c r="O4" i="6"/>
  <c r="P4" i="6"/>
  <c r="M5" i="6"/>
  <c r="N5" i="6"/>
  <c r="O5" i="6"/>
  <c r="P5" i="6"/>
  <c r="M6" i="6"/>
  <c r="N6" i="6"/>
  <c r="O6" i="6"/>
  <c r="P6" i="6"/>
  <c r="M7" i="6"/>
  <c r="N7" i="6"/>
  <c r="O7" i="6"/>
  <c r="P7" i="6"/>
  <c r="M8" i="6"/>
  <c r="N8" i="6"/>
  <c r="O8" i="6"/>
  <c r="P8" i="6"/>
  <c r="M9" i="6"/>
  <c r="N9" i="6"/>
  <c r="O9" i="6"/>
  <c r="P9" i="6"/>
  <c r="M10" i="6"/>
  <c r="N10" i="6"/>
  <c r="O10" i="6"/>
  <c r="P10" i="6"/>
  <c r="M11" i="6"/>
  <c r="N11" i="6"/>
  <c r="O11" i="6"/>
  <c r="P11" i="6"/>
  <c r="M12" i="6"/>
  <c r="N12" i="6"/>
  <c r="O12" i="6"/>
  <c r="P12" i="6"/>
  <c r="M13" i="6"/>
  <c r="N13" i="6"/>
  <c r="O13" i="6"/>
  <c r="P13" i="6"/>
  <c r="M14" i="6"/>
  <c r="N14" i="6"/>
  <c r="O14" i="6"/>
  <c r="P14" i="6"/>
  <c r="M15" i="6"/>
  <c r="N15" i="6"/>
  <c r="O15" i="6"/>
  <c r="P15" i="6"/>
  <c r="M16" i="6"/>
  <c r="N16" i="6"/>
  <c r="O16" i="6"/>
  <c r="P16" i="6"/>
  <c r="M17" i="6"/>
  <c r="N17" i="6"/>
  <c r="O17" i="6"/>
  <c r="P17" i="6"/>
  <c r="M18" i="6"/>
  <c r="N18" i="6"/>
  <c r="O18" i="6"/>
  <c r="P18" i="6"/>
  <c r="M19" i="6"/>
  <c r="N19" i="6"/>
  <c r="O19" i="6"/>
  <c r="P19" i="6"/>
  <c r="M20" i="6"/>
  <c r="N20" i="6"/>
  <c r="O20" i="6"/>
  <c r="P20" i="6"/>
  <c r="M21" i="6"/>
  <c r="N21" i="6"/>
  <c r="O21" i="6"/>
  <c r="P21" i="6"/>
  <c r="M22" i="6"/>
  <c r="N22" i="6"/>
  <c r="O22" i="6"/>
  <c r="P22" i="6"/>
  <c r="M23" i="6"/>
  <c r="N23" i="6"/>
  <c r="O23" i="6"/>
  <c r="P23" i="6"/>
  <c r="M24" i="6"/>
  <c r="N24" i="6"/>
  <c r="O24" i="6"/>
  <c r="P24" i="6"/>
  <c r="M25" i="6"/>
  <c r="N25" i="6"/>
  <c r="O25" i="6"/>
  <c r="P25" i="6"/>
  <c r="M26" i="6"/>
  <c r="N26" i="6"/>
  <c r="O26" i="6"/>
  <c r="P26" i="6"/>
  <c r="M27" i="6"/>
  <c r="N27" i="6"/>
  <c r="O27" i="6"/>
  <c r="P27" i="6"/>
  <c r="M28" i="6"/>
  <c r="N28" i="6"/>
  <c r="O28" i="6"/>
  <c r="P28" i="6"/>
  <c r="M29" i="6"/>
  <c r="N29" i="6"/>
  <c r="O29" i="6"/>
  <c r="P29" i="6"/>
  <c r="M30" i="6"/>
  <c r="N30" i="6"/>
  <c r="O30" i="6"/>
  <c r="P30" i="6"/>
  <c r="M31" i="6"/>
  <c r="N31" i="6"/>
  <c r="O31" i="6"/>
  <c r="P31" i="6"/>
  <c r="M32" i="6"/>
  <c r="N32" i="6"/>
  <c r="O32" i="6"/>
  <c r="P32" i="6"/>
  <c r="M33" i="6"/>
  <c r="N33" i="6"/>
  <c r="O33" i="6"/>
  <c r="P33" i="6"/>
  <c r="M34" i="6"/>
  <c r="N34" i="6"/>
  <c r="O34" i="6"/>
  <c r="P34" i="6"/>
  <c r="M35" i="6"/>
  <c r="N35" i="6"/>
  <c r="O35" i="6"/>
  <c r="P35" i="6"/>
  <c r="M36" i="6"/>
  <c r="N36" i="6"/>
  <c r="O36" i="6"/>
  <c r="P36" i="6"/>
  <c r="M37" i="6"/>
  <c r="N37" i="6"/>
  <c r="O37" i="6"/>
  <c r="P37" i="6"/>
  <c r="M38" i="6"/>
  <c r="N38" i="6"/>
  <c r="O38" i="6"/>
  <c r="P38" i="6"/>
  <c r="M39" i="6"/>
  <c r="N39" i="6"/>
  <c r="O39" i="6"/>
  <c r="P39" i="6"/>
  <c r="M40" i="6"/>
  <c r="N40" i="6"/>
  <c r="O40" i="6"/>
  <c r="P40" i="6"/>
  <c r="M41" i="6"/>
  <c r="N41" i="6"/>
  <c r="O41" i="6"/>
  <c r="P41" i="6"/>
  <c r="M42" i="6"/>
  <c r="N42" i="6"/>
  <c r="O42" i="6"/>
  <c r="P42" i="6"/>
  <c r="M43" i="6"/>
  <c r="N43" i="6"/>
  <c r="O43" i="6"/>
  <c r="P43" i="6"/>
  <c r="M44" i="6"/>
  <c r="N44" i="6"/>
  <c r="O44" i="6"/>
  <c r="P44" i="6"/>
  <c r="M45" i="6"/>
  <c r="N45" i="6"/>
  <c r="O45" i="6"/>
  <c r="P45" i="6"/>
  <c r="M46" i="6"/>
  <c r="N46" i="6"/>
  <c r="O46" i="6"/>
  <c r="P46" i="6"/>
  <c r="M47" i="6"/>
  <c r="N47" i="6"/>
  <c r="O47" i="6"/>
  <c r="P47" i="6"/>
  <c r="M48" i="6"/>
  <c r="N48" i="6"/>
  <c r="O48" i="6"/>
  <c r="P48" i="6"/>
  <c r="M49" i="6"/>
  <c r="N49" i="6"/>
  <c r="O49" i="6"/>
  <c r="P49" i="6"/>
  <c r="M50" i="6"/>
  <c r="N50" i="6"/>
  <c r="O50" i="6"/>
  <c r="P50" i="6"/>
  <c r="M51" i="6"/>
  <c r="N51" i="6"/>
  <c r="O51" i="6"/>
  <c r="P51" i="6"/>
  <c r="M52" i="6"/>
  <c r="N52" i="6"/>
  <c r="O52" i="6"/>
  <c r="P52" i="6"/>
  <c r="M53" i="6"/>
  <c r="N53" i="6"/>
  <c r="O53" i="6"/>
  <c r="P53" i="6"/>
  <c r="M54" i="6"/>
  <c r="N54" i="6"/>
  <c r="O54" i="6"/>
  <c r="P54" i="6"/>
  <c r="M55" i="6"/>
  <c r="N55" i="6"/>
  <c r="O55" i="6"/>
  <c r="P55" i="6"/>
  <c r="M56" i="6"/>
  <c r="N56" i="6"/>
  <c r="O56" i="6"/>
  <c r="P56" i="6"/>
  <c r="M57" i="6"/>
  <c r="N57" i="6"/>
  <c r="O57" i="6"/>
  <c r="P57" i="6"/>
  <c r="M58" i="6"/>
  <c r="N58" i="6"/>
  <c r="O58" i="6"/>
  <c r="P58" i="6"/>
  <c r="M59" i="6"/>
  <c r="N59" i="6"/>
  <c r="O59" i="6"/>
  <c r="P59" i="6"/>
  <c r="M60" i="6"/>
  <c r="N60" i="6"/>
  <c r="O60" i="6"/>
  <c r="P60" i="6"/>
  <c r="M61" i="6"/>
  <c r="N61" i="6"/>
  <c r="O61" i="6"/>
  <c r="P61" i="6"/>
  <c r="M62" i="6"/>
  <c r="N62" i="6"/>
  <c r="O62" i="6"/>
  <c r="P62" i="6"/>
  <c r="M63" i="6"/>
  <c r="N63" i="6"/>
  <c r="O63" i="6"/>
  <c r="P63" i="6"/>
  <c r="M64" i="6"/>
  <c r="N64" i="6"/>
  <c r="O64" i="6"/>
  <c r="P64" i="6"/>
  <c r="M65" i="6"/>
  <c r="N65" i="6"/>
  <c r="O65" i="6"/>
  <c r="P65" i="6"/>
  <c r="M66" i="6"/>
  <c r="N66" i="6"/>
  <c r="O66" i="6"/>
  <c r="P66" i="6"/>
  <c r="M67" i="6"/>
  <c r="N67" i="6"/>
  <c r="O67" i="6"/>
  <c r="P67" i="6"/>
  <c r="M68" i="6"/>
  <c r="N68" i="6"/>
  <c r="O68" i="6"/>
  <c r="P68" i="6"/>
  <c r="M69" i="6"/>
  <c r="N69" i="6"/>
  <c r="O69" i="6"/>
  <c r="P69" i="6"/>
  <c r="M70" i="6"/>
  <c r="N70" i="6"/>
  <c r="O70" i="6"/>
  <c r="P70" i="6"/>
  <c r="M71" i="6"/>
  <c r="N71" i="6"/>
  <c r="O71" i="6"/>
  <c r="P71" i="6"/>
  <c r="M72" i="6"/>
  <c r="N72" i="6"/>
  <c r="O72" i="6"/>
  <c r="P72" i="6"/>
  <c r="M73" i="6"/>
  <c r="N73" i="6"/>
  <c r="O73" i="6"/>
  <c r="P73" i="6"/>
  <c r="M74" i="6"/>
  <c r="N74" i="6"/>
  <c r="O74" i="6"/>
  <c r="P74" i="6"/>
  <c r="M75" i="6"/>
  <c r="N75" i="6"/>
  <c r="O75" i="6"/>
  <c r="P75" i="6"/>
  <c r="M76" i="6"/>
  <c r="N76" i="6"/>
  <c r="O76" i="6"/>
  <c r="P76" i="6"/>
  <c r="M77" i="6"/>
  <c r="N77" i="6"/>
  <c r="O77" i="6"/>
  <c r="P77" i="6"/>
  <c r="M78" i="6"/>
  <c r="N78" i="6"/>
  <c r="O78" i="6"/>
  <c r="P78" i="6"/>
  <c r="M79" i="6"/>
  <c r="N79" i="6"/>
  <c r="O79" i="6"/>
  <c r="P79" i="6"/>
  <c r="M80" i="6"/>
  <c r="N80" i="6"/>
  <c r="O80" i="6"/>
  <c r="P80" i="6"/>
  <c r="M81" i="6"/>
  <c r="N81" i="6"/>
  <c r="O81" i="6"/>
  <c r="P81" i="6"/>
  <c r="M82" i="6"/>
  <c r="N82" i="6"/>
  <c r="O82" i="6"/>
  <c r="P82" i="6"/>
  <c r="M83" i="6"/>
  <c r="N83" i="6"/>
  <c r="O83" i="6"/>
  <c r="P83" i="6"/>
  <c r="M84" i="6"/>
  <c r="N84" i="6"/>
  <c r="O84" i="6"/>
  <c r="P84" i="6"/>
  <c r="M85" i="6"/>
  <c r="N85" i="6"/>
  <c r="O85" i="6"/>
  <c r="P85" i="6"/>
  <c r="M86" i="6"/>
  <c r="N86" i="6"/>
  <c r="O86" i="6"/>
  <c r="P86" i="6"/>
  <c r="M87" i="6"/>
  <c r="N87" i="6"/>
  <c r="O87" i="6"/>
  <c r="P87" i="6"/>
  <c r="M88" i="6"/>
  <c r="N88" i="6"/>
  <c r="O88" i="6"/>
  <c r="P88" i="6"/>
  <c r="M89" i="6"/>
  <c r="N89" i="6"/>
  <c r="O89" i="6"/>
  <c r="P89" i="6"/>
  <c r="M90" i="6"/>
  <c r="N90" i="6"/>
  <c r="O90" i="6"/>
  <c r="P90" i="6"/>
  <c r="M91" i="6"/>
  <c r="N91" i="6"/>
  <c r="O91" i="6"/>
  <c r="P91" i="6"/>
  <c r="M92" i="6"/>
  <c r="N92" i="6"/>
  <c r="O92" i="6"/>
  <c r="P92" i="6"/>
  <c r="M93" i="6"/>
  <c r="N93" i="6"/>
  <c r="O93" i="6"/>
  <c r="P93" i="6"/>
  <c r="M94" i="6"/>
  <c r="N94" i="6"/>
  <c r="O94" i="6"/>
  <c r="P94" i="6"/>
  <c r="M95" i="6"/>
  <c r="N95" i="6"/>
  <c r="O95" i="6"/>
  <c r="P95" i="6"/>
  <c r="M96" i="6"/>
  <c r="N96" i="6"/>
  <c r="O96" i="6"/>
  <c r="P96" i="6"/>
  <c r="M97" i="6"/>
  <c r="N97" i="6"/>
  <c r="O97" i="6"/>
  <c r="P97" i="6"/>
  <c r="M98" i="6"/>
  <c r="N98" i="6"/>
  <c r="O98" i="6"/>
  <c r="P98" i="6"/>
  <c r="M99" i="6"/>
  <c r="N99" i="6"/>
  <c r="O99" i="6"/>
  <c r="P99" i="6"/>
  <c r="M100" i="6"/>
  <c r="N100" i="6"/>
  <c r="O100" i="6"/>
  <c r="P100" i="6"/>
  <c r="M101" i="6"/>
  <c r="N101" i="6"/>
  <c r="O101" i="6"/>
  <c r="P101" i="6"/>
  <c r="M102" i="6"/>
  <c r="N102" i="6"/>
  <c r="O102" i="6"/>
  <c r="P102" i="6"/>
  <c r="M103" i="6"/>
  <c r="N103" i="6"/>
  <c r="O103" i="6"/>
  <c r="P103" i="6"/>
  <c r="M104" i="6"/>
  <c r="N104" i="6"/>
  <c r="O104" i="6"/>
  <c r="P104" i="6"/>
  <c r="M105" i="6"/>
  <c r="N105" i="6"/>
  <c r="O105" i="6"/>
  <c r="P105" i="6"/>
  <c r="M106" i="6"/>
  <c r="N106" i="6"/>
  <c r="O106" i="6"/>
  <c r="P106" i="6"/>
  <c r="M107" i="6"/>
  <c r="N107" i="6"/>
  <c r="O107" i="6"/>
  <c r="P107" i="6"/>
  <c r="M108" i="6"/>
  <c r="N108" i="6"/>
  <c r="O108" i="6"/>
  <c r="P108" i="6"/>
  <c r="M109" i="6"/>
  <c r="N109" i="6"/>
  <c r="O109" i="6"/>
  <c r="P109" i="6"/>
  <c r="M110" i="6"/>
  <c r="N110" i="6"/>
  <c r="O110" i="6"/>
  <c r="P110" i="6"/>
  <c r="M111" i="6"/>
  <c r="N111" i="6"/>
  <c r="O111" i="6"/>
  <c r="P111" i="6"/>
  <c r="M112" i="6"/>
  <c r="N112" i="6"/>
  <c r="O112" i="6"/>
  <c r="P112" i="6"/>
  <c r="M113" i="6"/>
  <c r="N113" i="6"/>
  <c r="O113" i="6"/>
  <c r="P113" i="6"/>
  <c r="M114" i="6"/>
  <c r="N114" i="6"/>
  <c r="O114" i="6"/>
  <c r="P114" i="6"/>
  <c r="M115" i="6"/>
  <c r="N115" i="6"/>
  <c r="O115" i="6"/>
  <c r="P115" i="6"/>
  <c r="M116" i="6"/>
  <c r="N116" i="6"/>
  <c r="O116" i="6"/>
  <c r="P116" i="6"/>
  <c r="M117" i="6"/>
  <c r="N117" i="6"/>
  <c r="O117" i="6"/>
  <c r="P117" i="6"/>
  <c r="M118" i="6"/>
  <c r="N118" i="6"/>
  <c r="O118" i="6"/>
  <c r="P118" i="6"/>
  <c r="M119" i="6"/>
  <c r="N119" i="6"/>
  <c r="O119" i="6"/>
  <c r="P119" i="6"/>
  <c r="M120" i="6"/>
  <c r="N120" i="6"/>
  <c r="O120" i="6"/>
  <c r="P120" i="6"/>
  <c r="M121" i="6"/>
  <c r="N121" i="6"/>
  <c r="O121" i="6"/>
  <c r="P121" i="6"/>
  <c r="M122" i="6"/>
  <c r="N122" i="6"/>
  <c r="O122" i="6"/>
  <c r="P122" i="6"/>
  <c r="M123" i="6"/>
  <c r="N123" i="6"/>
  <c r="O123" i="6"/>
  <c r="P123" i="6"/>
  <c r="M124" i="6"/>
  <c r="N124" i="6"/>
  <c r="O124" i="6"/>
  <c r="P124" i="6"/>
  <c r="M125" i="6"/>
  <c r="N125" i="6"/>
  <c r="O125" i="6"/>
  <c r="P125" i="6"/>
  <c r="M126" i="6"/>
  <c r="N126" i="6"/>
  <c r="O126" i="6"/>
  <c r="P126" i="6"/>
  <c r="M127" i="6"/>
  <c r="N127" i="6"/>
  <c r="O127" i="6"/>
  <c r="P127" i="6"/>
  <c r="M128" i="6"/>
  <c r="N128" i="6"/>
  <c r="O128" i="6"/>
  <c r="P128" i="6"/>
  <c r="M129" i="6"/>
  <c r="N129" i="6"/>
  <c r="O129" i="6"/>
  <c r="P129" i="6"/>
  <c r="M130" i="6"/>
  <c r="N130" i="6"/>
  <c r="O130" i="6"/>
  <c r="P130" i="6"/>
  <c r="M131" i="6"/>
  <c r="N131" i="6"/>
  <c r="O131" i="6"/>
  <c r="P131" i="6"/>
  <c r="M132" i="6"/>
  <c r="N132" i="6"/>
  <c r="O132" i="6"/>
  <c r="P132" i="6"/>
  <c r="M133" i="6"/>
  <c r="N133" i="6"/>
  <c r="O133" i="6"/>
  <c r="P133" i="6"/>
  <c r="M134" i="6"/>
  <c r="N134" i="6"/>
  <c r="O134" i="6"/>
  <c r="P134" i="6"/>
  <c r="M135" i="6"/>
  <c r="N135" i="6"/>
  <c r="O135" i="6"/>
  <c r="P135" i="6"/>
  <c r="M136" i="6"/>
  <c r="N136" i="6"/>
  <c r="O136" i="6"/>
  <c r="P136" i="6"/>
  <c r="M137" i="6"/>
  <c r="N137" i="6"/>
  <c r="O137" i="6"/>
  <c r="P137" i="6"/>
  <c r="M138" i="6"/>
  <c r="N138" i="6"/>
  <c r="O138" i="6"/>
  <c r="P138" i="6"/>
  <c r="M139" i="6"/>
  <c r="N139" i="6"/>
  <c r="O139" i="6"/>
  <c r="P139" i="6"/>
  <c r="M140" i="6"/>
  <c r="N140" i="6"/>
  <c r="O140" i="6"/>
  <c r="P140" i="6"/>
  <c r="M141" i="6"/>
  <c r="N141" i="6"/>
  <c r="O141" i="6"/>
  <c r="P141" i="6"/>
  <c r="M142" i="6"/>
  <c r="N142" i="6"/>
  <c r="O142" i="6"/>
  <c r="P142" i="6"/>
  <c r="M143" i="6"/>
  <c r="N143" i="6"/>
  <c r="O143" i="6"/>
  <c r="P143" i="6"/>
  <c r="M144" i="6"/>
  <c r="N144" i="6"/>
  <c r="O144" i="6"/>
  <c r="P144" i="6"/>
  <c r="M145" i="6"/>
  <c r="N145" i="6"/>
  <c r="O145" i="6"/>
  <c r="P145" i="6"/>
  <c r="M146" i="6"/>
  <c r="N146" i="6"/>
  <c r="O146" i="6"/>
  <c r="P146" i="6"/>
  <c r="M147" i="6"/>
  <c r="N147" i="6"/>
  <c r="O147" i="6"/>
  <c r="P147" i="6"/>
  <c r="M148" i="6"/>
  <c r="N148" i="6"/>
  <c r="O148" i="6"/>
  <c r="P148" i="6"/>
  <c r="M149" i="6"/>
  <c r="N149" i="6"/>
  <c r="O149" i="6"/>
  <c r="P149" i="6"/>
  <c r="M150" i="6"/>
  <c r="N150" i="6"/>
  <c r="O150" i="6"/>
  <c r="P150" i="6"/>
  <c r="M151" i="6"/>
  <c r="N151" i="6"/>
  <c r="O151" i="6"/>
  <c r="P151" i="6"/>
  <c r="M152" i="6"/>
  <c r="N152" i="6"/>
  <c r="O152" i="6"/>
  <c r="P152" i="6"/>
  <c r="M153" i="6"/>
  <c r="N153" i="6"/>
  <c r="O153" i="6"/>
  <c r="P153" i="6"/>
  <c r="M154" i="6"/>
  <c r="N154" i="6"/>
  <c r="O154" i="6"/>
  <c r="P154" i="6"/>
  <c r="M155" i="6"/>
  <c r="N155" i="6"/>
  <c r="O155" i="6"/>
  <c r="P155" i="6"/>
  <c r="M156" i="6"/>
  <c r="N156" i="6"/>
  <c r="O156" i="6"/>
  <c r="P156" i="6"/>
  <c r="M157" i="6"/>
  <c r="N157" i="6"/>
  <c r="O157" i="6"/>
  <c r="P157" i="6"/>
  <c r="M158" i="6"/>
  <c r="N158" i="6"/>
  <c r="O158" i="6"/>
  <c r="P158" i="6"/>
  <c r="M159" i="6"/>
  <c r="N159" i="6"/>
  <c r="O159" i="6"/>
  <c r="P159" i="6"/>
  <c r="M160" i="6"/>
  <c r="N160" i="6"/>
  <c r="O160" i="6"/>
  <c r="P160" i="6"/>
  <c r="M161" i="6"/>
  <c r="N161" i="6"/>
  <c r="O161" i="6"/>
  <c r="P161" i="6"/>
  <c r="M162" i="6"/>
  <c r="N162" i="6"/>
  <c r="O162" i="6"/>
  <c r="P162" i="6"/>
  <c r="M163" i="6"/>
  <c r="N163" i="6"/>
  <c r="O163" i="6"/>
  <c r="P163" i="6"/>
  <c r="M164" i="6"/>
  <c r="N164" i="6"/>
  <c r="O164" i="6"/>
  <c r="P164" i="6"/>
  <c r="M165" i="6"/>
  <c r="N165" i="6"/>
  <c r="O165" i="6"/>
  <c r="P165" i="6"/>
  <c r="M166" i="6"/>
  <c r="N166" i="6"/>
  <c r="O166" i="6"/>
  <c r="P166" i="6"/>
  <c r="M167" i="6"/>
  <c r="N167" i="6"/>
  <c r="O167" i="6"/>
  <c r="P167" i="6"/>
  <c r="M168" i="6"/>
  <c r="N168" i="6"/>
  <c r="O168" i="6"/>
  <c r="P168" i="6"/>
  <c r="M169" i="6"/>
  <c r="N169" i="6"/>
  <c r="O169" i="6"/>
  <c r="P169" i="6"/>
  <c r="M170" i="6"/>
  <c r="N170" i="6"/>
  <c r="O170" i="6"/>
  <c r="P170" i="6"/>
  <c r="M171" i="6"/>
  <c r="N171" i="6"/>
  <c r="O171" i="6"/>
  <c r="P171" i="6"/>
  <c r="M172" i="6"/>
  <c r="N172" i="6"/>
  <c r="O172" i="6"/>
  <c r="P172" i="6"/>
  <c r="M173" i="6"/>
  <c r="N173" i="6"/>
  <c r="O173" i="6"/>
  <c r="P173" i="6"/>
  <c r="M174" i="6"/>
  <c r="N174" i="6"/>
  <c r="O174" i="6"/>
  <c r="P174" i="6"/>
  <c r="M175" i="6"/>
  <c r="N175" i="6"/>
  <c r="O175" i="6"/>
  <c r="P175" i="6"/>
  <c r="M176" i="6"/>
  <c r="N176" i="6"/>
  <c r="O176" i="6"/>
  <c r="P176" i="6"/>
  <c r="M177" i="6"/>
  <c r="N177" i="6"/>
  <c r="O177" i="6"/>
  <c r="P177" i="6"/>
  <c r="M178" i="6"/>
  <c r="N178" i="6"/>
  <c r="O178" i="6"/>
  <c r="P178" i="6"/>
  <c r="M179" i="6"/>
  <c r="N179" i="6"/>
  <c r="O179" i="6"/>
  <c r="P179" i="6"/>
  <c r="M180" i="6"/>
  <c r="N180" i="6"/>
  <c r="O180" i="6"/>
  <c r="P180" i="6"/>
  <c r="M181" i="6"/>
  <c r="N181" i="6"/>
  <c r="O181" i="6"/>
  <c r="P181" i="6"/>
  <c r="M182" i="6"/>
  <c r="N182" i="6"/>
  <c r="O182" i="6"/>
  <c r="P182" i="6"/>
  <c r="M183" i="6"/>
  <c r="N183" i="6"/>
  <c r="O183" i="6"/>
  <c r="P183" i="6"/>
  <c r="M184" i="6"/>
  <c r="N184" i="6"/>
  <c r="O184" i="6"/>
  <c r="P184" i="6"/>
  <c r="M185" i="6"/>
  <c r="N185" i="6"/>
  <c r="O185" i="6"/>
  <c r="P185" i="6"/>
  <c r="M186" i="6"/>
  <c r="N186" i="6"/>
  <c r="O186" i="6"/>
  <c r="P186" i="6"/>
  <c r="M187" i="6"/>
  <c r="N187" i="6"/>
  <c r="O187" i="6"/>
  <c r="P187" i="6"/>
  <c r="M188" i="6"/>
  <c r="N188" i="6"/>
  <c r="O188" i="6"/>
  <c r="P188" i="6"/>
  <c r="M189" i="6"/>
  <c r="N189" i="6"/>
  <c r="O189" i="6"/>
  <c r="P189" i="6"/>
  <c r="M190" i="6"/>
  <c r="N190" i="6"/>
  <c r="O190" i="6"/>
  <c r="P190" i="6"/>
  <c r="M191" i="6"/>
  <c r="N191" i="6"/>
  <c r="O191" i="6"/>
  <c r="P191" i="6"/>
  <c r="M192" i="6"/>
  <c r="N192" i="6"/>
  <c r="O192" i="6"/>
  <c r="P192" i="6"/>
  <c r="M193" i="6"/>
  <c r="N193" i="6"/>
  <c r="O193" i="6"/>
  <c r="P193" i="6"/>
  <c r="M194" i="6"/>
  <c r="N194" i="6"/>
  <c r="O194" i="6"/>
  <c r="P194" i="6"/>
  <c r="M195" i="6"/>
  <c r="N195" i="6"/>
  <c r="O195" i="6"/>
  <c r="P195" i="6"/>
  <c r="M196" i="6"/>
  <c r="N196" i="6"/>
  <c r="O196" i="6"/>
  <c r="P196" i="6"/>
  <c r="M197" i="6"/>
  <c r="N197" i="6"/>
  <c r="O197" i="6"/>
  <c r="P197" i="6"/>
  <c r="M198" i="6"/>
  <c r="N198" i="6"/>
  <c r="O198" i="6"/>
  <c r="P198" i="6"/>
  <c r="M199" i="6"/>
  <c r="N199" i="6"/>
  <c r="O199" i="6"/>
  <c r="P199" i="6"/>
  <c r="M200" i="6"/>
  <c r="N200" i="6"/>
  <c r="O200" i="6"/>
  <c r="P200" i="6"/>
  <c r="M201" i="6"/>
  <c r="N201" i="6"/>
  <c r="O201" i="6"/>
  <c r="P201" i="6"/>
  <c r="N2" i="6"/>
  <c r="O2" i="6"/>
  <c r="P2" i="6"/>
  <c r="M2" i="6"/>
  <c r="I42" i="6"/>
  <c r="J46" i="6"/>
  <c r="I138" i="6"/>
  <c r="I156" i="6"/>
  <c r="H3" i="6"/>
  <c r="I3" i="6" s="1"/>
  <c r="H4" i="6"/>
  <c r="I4" i="6" s="1"/>
  <c r="H5" i="6"/>
  <c r="I5" i="6" s="1"/>
  <c r="H6" i="6"/>
  <c r="L6" i="6" s="1"/>
  <c r="H7" i="6"/>
  <c r="L7" i="6" s="1"/>
  <c r="H8" i="6"/>
  <c r="L8" i="6" s="1"/>
  <c r="H9" i="6"/>
  <c r="L9" i="6" s="1"/>
  <c r="H10" i="6"/>
  <c r="L10" i="6" s="1"/>
  <c r="H11" i="6"/>
  <c r="L11" i="6" s="1"/>
  <c r="H12" i="6"/>
  <c r="L12" i="6" s="1"/>
  <c r="H13" i="6"/>
  <c r="I13" i="6" s="1"/>
  <c r="H14" i="6"/>
  <c r="I14" i="6" s="1"/>
  <c r="H15" i="6"/>
  <c r="I15" i="6" s="1"/>
  <c r="H16" i="6"/>
  <c r="I16" i="6" s="1"/>
  <c r="H17" i="6"/>
  <c r="L17" i="6" s="1"/>
  <c r="H18" i="6"/>
  <c r="L18" i="6" s="1"/>
  <c r="H19" i="6"/>
  <c r="L19" i="6" s="1"/>
  <c r="H20" i="6"/>
  <c r="L20" i="6" s="1"/>
  <c r="H21" i="6"/>
  <c r="L21" i="6" s="1"/>
  <c r="H22" i="6"/>
  <c r="L22" i="6" s="1"/>
  <c r="H23" i="6"/>
  <c r="L23" i="6" s="1"/>
  <c r="H24" i="6"/>
  <c r="L24" i="6" s="1"/>
  <c r="H25" i="6"/>
  <c r="I25" i="6" s="1"/>
  <c r="H26" i="6"/>
  <c r="I26" i="6" s="1"/>
  <c r="H27" i="6"/>
  <c r="I27" i="6" s="1"/>
  <c r="H28" i="6"/>
  <c r="I28" i="6" s="1"/>
  <c r="H29" i="6"/>
  <c r="L29" i="6" s="1"/>
  <c r="H30" i="6"/>
  <c r="L30" i="6" s="1"/>
  <c r="H31" i="6"/>
  <c r="L31" i="6" s="1"/>
  <c r="H32" i="6"/>
  <c r="L32" i="6" s="1"/>
  <c r="H33" i="6"/>
  <c r="L33" i="6" s="1"/>
  <c r="H34" i="6"/>
  <c r="L34" i="6" s="1"/>
  <c r="H35" i="6"/>
  <c r="L35" i="6" s="1"/>
  <c r="H36" i="6"/>
  <c r="L36" i="6" s="1"/>
  <c r="H37" i="6"/>
  <c r="I37" i="6" s="1"/>
  <c r="H38" i="6"/>
  <c r="I38" i="6" s="1"/>
  <c r="H39" i="6"/>
  <c r="I39" i="6" s="1"/>
  <c r="H40" i="6"/>
  <c r="I40" i="6" s="1"/>
  <c r="H41" i="6"/>
  <c r="I41" i="6" s="1"/>
  <c r="H42" i="6"/>
  <c r="L42" i="6" s="1"/>
  <c r="H43" i="6"/>
  <c r="L43" i="6" s="1"/>
  <c r="H44" i="6"/>
  <c r="L44" i="6" s="1"/>
  <c r="H45" i="6"/>
  <c r="L45" i="6" s="1"/>
  <c r="H46" i="6"/>
  <c r="L46" i="6" s="1"/>
  <c r="H47" i="6"/>
  <c r="L47" i="6" s="1"/>
  <c r="H48" i="6"/>
  <c r="L48" i="6" s="1"/>
  <c r="H49" i="6"/>
  <c r="I49" i="6" s="1"/>
  <c r="H50" i="6"/>
  <c r="I50" i="6" s="1"/>
  <c r="H51" i="6"/>
  <c r="I51" i="6" s="1"/>
  <c r="H52" i="6"/>
  <c r="I52" i="6" s="1"/>
  <c r="H53" i="6"/>
  <c r="L53" i="6" s="1"/>
  <c r="H54" i="6"/>
  <c r="L54" i="6" s="1"/>
  <c r="H55" i="6"/>
  <c r="L55" i="6" s="1"/>
  <c r="H56" i="6"/>
  <c r="L56" i="6" s="1"/>
  <c r="H57" i="6"/>
  <c r="L57" i="6" s="1"/>
  <c r="H58" i="6"/>
  <c r="L58" i="6" s="1"/>
  <c r="H59" i="6"/>
  <c r="L59" i="6" s="1"/>
  <c r="H60" i="6"/>
  <c r="L60" i="6" s="1"/>
  <c r="H61" i="6"/>
  <c r="I61" i="6" s="1"/>
  <c r="H62" i="6"/>
  <c r="I62" i="6" s="1"/>
  <c r="H63" i="6"/>
  <c r="I63" i="6" s="1"/>
  <c r="H64" i="6"/>
  <c r="I64" i="6" s="1"/>
  <c r="H65" i="6"/>
  <c r="I65" i="6" s="1"/>
  <c r="H66" i="6"/>
  <c r="L66" i="6" s="1"/>
  <c r="H67" i="6"/>
  <c r="L67" i="6" s="1"/>
  <c r="H68" i="6"/>
  <c r="L68" i="6" s="1"/>
  <c r="H69" i="6"/>
  <c r="L69" i="6" s="1"/>
  <c r="H70" i="6"/>
  <c r="L70" i="6" s="1"/>
  <c r="H71" i="6"/>
  <c r="L71" i="6" s="1"/>
  <c r="H72" i="6"/>
  <c r="L72" i="6" s="1"/>
  <c r="H73" i="6"/>
  <c r="I73" i="6" s="1"/>
  <c r="H74" i="6"/>
  <c r="I74" i="6" s="1"/>
  <c r="H75" i="6"/>
  <c r="I75" i="6" s="1"/>
  <c r="H76" i="6"/>
  <c r="I76" i="6" s="1"/>
  <c r="H77" i="6"/>
  <c r="L77" i="6" s="1"/>
  <c r="H78" i="6"/>
  <c r="L78" i="6" s="1"/>
  <c r="H79" i="6"/>
  <c r="L79" i="6" s="1"/>
  <c r="H80" i="6"/>
  <c r="L80" i="6" s="1"/>
  <c r="H81" i="6"/>
  <c r="L81" i="6" s="1"/>
  <c r="H82" i="6"/>
  <c r="L82" i="6" s="1"/>
  <c r="H83" i="6"/>
  <c r="L83" i="6" s="1"/>
  <c r="H84" i="6"/>
  <c r="L84" i="6" s="1"/>
  <c r="H85" i="6"/>
  <c r="I85" i="6" s="1"/>
  <c r="H86" i="6"/>
  <c r="I86" i="6" s="1"/>
  <c r="H87" i="6"/>
  <c r="I87" i="6" s="1"/>
  <c r="H88" i="6"/>
  <c r="I88" i="6" s="1"/>
  <c r="H89" i="6"/>
  <c r="L89" i="6" s="1"/>
  <c r="H90" i="6"/>
  <c r="L90" i="6" s="1"/>
  <c r="H91" i="6"/>
  <c r="L91" i="6" s="1"/>
  <c r="H92" i="6"/>
  <c r="L92" i="6" s="1"/>
  <c r="H93" i="6"/>
  <c r="L93" i="6" s="1"/>
  <c r="H94" i="6"/>
  <c r="L94" i="6" s="1"/>
  <c r="H95" i="6"/>
  <c r="L95" i="6" s="1"/>
  <c r="H96" i="6"/>
  <c r="L96" i="6" s="1"/>
  <c r="H97" i="6"/>
  <c r="I97" i="6" s="1"/>
  <c r="H98" i="6"/>
  <c r="I98" i="6" s="1"/>
  <c r="H99" i="6"/>
  <c r="I99" i="6" s="1"/>
  <c r="H100" i="6"/>
  <c r="I100" i="6" s="1"/>
  <c r="H101" i="6"/>
  <c r="L101" i="6" s="1"/>
  <c r="H102" i="6"/>
  <c r="L102" i="6" s="1"/>
  <c r="H103" i="6"/>
  <c r="L103" i="6" s="1"/>
  <c r="H104" i="6"/>
  <c r="L104" i="6" s="1"/>
  <c r="H105" i="6"/>
  <c r="L105" i="6" s="1"/>
  <c r="H106" i="6"/>
  <c r="L106" i="6" s="1"/>
  <c r="H107" i="6"/>
  <c r="L107" i="6" s="1"/>
  <c r="H108" i="6"/>
  <c r="L108" i="6" s="1"/>
  <c r="H109" i="6"/>
  <c r="I109" i="6" s="1"/>
  <c r="H110" i="6"/>
  <c r="I110" i="6" s="1"/>
  <c r="H111" i="6"/>
  <c r="I111" i="6" s="1"/>
  <c r="H112" i="6"/>
  <c r="I112" i="6" s="1"/>
  <c r="H113" i="6"/>
  <c r="L113" i="6" s="1"/>
  <c r="H114" i="6"/>
  <c r="L114" i="6" s="1"/>
  <c r="H115" i="6"/>
  <c r="L115" i="6" s="1"/>
  <c r="H116" i="6"/>
  <c r="L116" i="6" s="1"/>
  <c r="H117" i="6"/>
  <c r="L117" i="6" s="1"/>
  <c r="H118" i="6"/>
  <c r="L118" i="6" s="1"/>
  <c r="H119" i="6"/>
  <c r="L119" i="6" s="1"/>
  <c r="H120" i="6"/>
  <c r="L120" i="6" s="1"/>
  <c r="H121" i="6"/>
  <c r="I121" i="6" s="1"/>
  <c r="H122" i="6"/>
  <c r="I122" i="6" s="1"/>
  <c r="H123" i="6"/>
  <c r="I123" i="6" s="1"/>
  <c r="H124" i="6"/>
  <c r="I124" i="6" s="1"/>
  <c r="H125" i="6"/>
  <c r="L125" i="6" s="1"/>
  <c r="H126" i="6"/>
  <c r="L126" i="6" s="1"/>
  <c r="H127" i="6"/>
  <c r="L127" i="6" s="1"/>
  <c r="H128" i="6"/>
  <c r="L128" i="6" s="1"/>
  <c r="H129" i="6"/>
  <c r="L129" i="6" s="1"/>
  <c r="H130" i="6"/>
  <c r="L130" i="6" s="1"/>
  <c r="H131" i="6"/>
  <c r="L131" i="6" s="1"/>
  <c r="H132" i="6"/>
  <c r="L132" i="6" s="1"/>
  <c r="H133" i="6"/>
  <c r="I133" i="6" s="1"/>
  <c r="H134" i="6"/>
  <c r="I134" i="6" s="1"/>
  <c r="H135" i="6"/>
  <c r="I135" i="6" s="1"/>
  <c r="H136" i="6"/>
  <c r="I136" i="6" s="1"/>
  <c r="H137" i="6"/>
  <c r="I137" i="6" s="1"/>
  <c r="H138" i="6"/>
  <c r="L138" i="6" s="1"/>
  <c r="H139" i="6"/>
  <c r="L139" i="6" s="1"/>
  <c r="H140" i="6"/>
  <c r="L140" i="6" s="1"/>
  <c r="H141" i="6"/>
  <c r="L141" i="6" s="1"/>
  <c r="H142" i="6"/>
  <c r="L142" i="6" s="1"/>
  <c r="H143" i="6"/>
  <c r="L143" i="6" s="1"/>
  <c r="H144" i="6"/>
  <c r="L144" i="6" s="1"/>
  <c r="H145" i="6"/>
  <c r="I145" i="6" s="1"/>
  <c r="H146" i="6"/>
  <c r="I146" i="6" s="1"/>
  <c r="H147" i="6"/>
  <c r="I147" i="6" s="1"/>
  <c r="H148" i="6"/>
  <c r="I148" i="6" s="1"/>
  <c r="H149" i="6"/>
  <c r="I149" i="6" s="1"/>
  <c r="H150" i="6"/>
  <c r="L150" i="6" s="1"/>
  <c r="H151" i="6"/>
  <c r="L151" i="6" s="1"/>
  <c r="H152" i="6"/>
  <c r="L152" i="6" s="1"/>
  <c r="H153" i="6"/>
  <c r="L153" i="6" s="1"/>
  <c r="H154" i="6"/>
  <c r="L154" i="6" s="1"/>
  <c r="H155" i="6"/>
  <c r="L155" i="6" s="1"/>
  <c r="H156" i="6"/>
  <c r="L156" i="6" s="1"/>
  <c r="H157" i="6"/>
  <c r="I157" i="6" s="1"/>
  <c r="H158" i="6"/>
  <c r="I158" i="6" s="1"/>
  <c r="H159" i="6"/>
  <c r="I159" i="6" s="1"/>
  <c r="H160" i="6"/>
  <c r="I160" i="6" s="1"/>
  <c r="H161" i="6"/>
  <c r="L161" i="6" s="1"/>
  <c r="H162" i="6"/>
  <c r="L162" i="6" s="1"/>
  <c r="H163" i="6"/>
  <c r="L163" i="6" s="1"/>
  <c r="H164" i="6"/>
  <c r="L164" i="6" s="1"/>
  <c r="H165" i="6"/>
  <c r="L165" i="6" s="1"/>
  <c r="H166" i="6"/>
  <c r="L166" i="6" s="1"/>
  <c r="H167" i="6"/>
  <c r="L167" i="6" s="1"/>
  <c r="H168" i="6"/>
  <c r="L168" i="6" s="1"/>
  <c r="H169" i="6"/>
  <c r="I169" i="6" s="1"/>
  <c r="H170" i="6"/>
  <c r="I170" i="6" s="1"/>
  <c r="H171" i="6"/>
  <c r="I171" i="6" s="1"/>
  <c r="H172" i="6"/>
  <c r="I172" i="6" s="1"/>
  <c r="H173" i="6"/>
  <c r="I173" i="6" s="1"/>
  <c r="H174" i="6"/>
  <c r="L174" i="6" s="1"/>
  <c r="H175" i="6"/>
  <c r="L175" i="6" s="1"/>
  <c r="H176" i="6"/>
  <c r="L176" i="6" s="1"/>
  <c r="H177" i="6"/>
  <c r="L177" i="6" s="1"/>
  <c r="H178" i="6"/>
  <c r="L178" i="6" s="1"/>
  <c r="H179" i="6"/>
  <c r="L179" i="6" s="1"/>
  <c r="H180" i="6"/>
  <c r="L180" i="6" s="1"/>
  <c r="H181" i="6"/>
  <c r="I181" i="6" s="1"/>
  <c r="H182" i="6"/>
  <c r="I182" i="6" s="1"/>
  <c r="H183" i="6"/>
  <c r="I183" i="6" s="1"/>
  <c r="H184" i="6"/>
  <c r="I184" i="6" s="1"/>
  <c r="H185" i="6"/>
  <c r="L185" i="6" s="1"/>
  <c r="H186" i="6"/>
  <c r="L186" i="6" s="1"/>
  <c r="H187" i="6"/>
  <c r="L187" i="6" s="1"/>
  <c r="H188" i="6"/>
  <c r="L188" i="6" s="1"/>
  <c r="H189" i="6"/>
  <c r="L189" i="6" s="1"/>
  <c r="H190" i="6"/>
  <c r="L190" i="6" s="1"/>
  <c r="H191" i="6"/>
  <c r="L191" i="6" s="1"/>
  <c r="H192" i="6"/>
  <c r="L192" i="6" s="1"/>
  <c r="H193" i="6"/>
  <c r="I193" i="6" s="1"/>
  <c r="H194" i="6"/>
  <c r="I194" i="6" s="1"/>
  <c r="H195" i="6"/>
  <c r="I195" i="6" s="1"/>
  <c r="H196" i="6"/>
  <c r="I196" i="6" s="1"/>
  <c r="H197" i="6"/>
  <c r="I197" i="6" s="1"/>
  <c r="H198" i="6"/>
  <c r="L198" i="6" s="1"/>
  <c r="H199" i="6"/>
  <c r="L199" i="6" s="1"/>
  <c r="H200" i="6"/>
  <c r="L200" i="6" s="1"/>
  <c r="H201" i="6"/>
  <c r="L201" i="6" s="1"/>
  <c r="H2" i="6"/>
  <c r="L2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" i="6"/>
  <c r="K3" i="6" s="1"/>
  <c r="L3" i="5"/>
  <c r="L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" i="4"/>
  <c r="Y11" i="3"/>
  <c r="Y10" i="3"/>
  <c r="Y9" i="3"/>
  <c r="Y8" i="3"/>
  <c r="Y7" i="3"/>
  <c r="Y6" i="3"/>
  <c r="Y5" i="3"/>
  <c r="Y4" i="3"/>
  <c r="Y3" i="3"/>
  <c r="Y2" i="3"/>
  <c r="O2" i="3"/>
  <c r="N2" i="3"/>
  <c r="N3" i="3"/>
  <c r="O3" i="3"/>
  <c r="P3" i="3"/>
  <c r="Q3" i="3"/>
  <c r="R3" i="3"/>
  <c r="S3" i="3"/>
  <c r="T3" i="3"/>
  <c r="U3" i="3"/>
  <c r="N4" i="3"/>
  <c r="O4" i="3"/>
  <c r="P4" i="3"/>
  <c r="Q4" i="3"/>
  <c r="R4" i="3"/>
  <c r="S4" i="3"/>
  <c r="T4" i="3"/>
  <c r="U4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P12" i="3"/>
  <c r="Q12" i="3"/>
  <c r="R12" i="3"/>
  <c r="S12" i="3"/>
  <c r="T12" i="3"/>
  <c r="U12" i="3"/>
  <c r="N13" i="3"/>
  <c r="O13" i="3"/>
  <c r="P13" i="3"/>
  <c r="Q13" i="3"/>
  <c r="R13" i="3"/>
  <c r="S13" i="3"/>
  <c r="T13" i="3"/>
  <c r="U13" i="3"/>
  <c r="N14" i="3"/>
  <c r="O14" i="3"/>
  <c r="P14" i="3"/>
  <c r="Q14" i="3"/>
  <c r="R14" i="3"/>
  <c r="S14" i="3"/>
  <c r="T14" i="3"/>
  <c r="U14" i="3"/>
  <c r="N15" i="3"/>
  <c r="O15" i="3"/>
  <c r="P15" i="3"/>
  <c r="Q15" i="3"/>
  <c r="R15" i="3"/>
  <c r="S15" i="3"/>
  <c r="T15" i="3"/>
  <c r="U15" i="3"/>
  <c r="N16" i="3"/>
  <c r="O16" i="3"/>
  <c r="P16" i="3"/>
  <c r="Q16" i="3"/>
  <c r="R16" i="3"/>
  <c r="S16" i="3"/>
  <c r="T16" i="3"/>
  <c r="U16" i="3"/>
  <c r="N17" i="3"/>
  <c r="O17" i="3"/>
  <c r="P17" i="3"/>
  <c r="Q17" i="3"/>
  <c r="R17" i="3"/>
  <c r="S17" i="3"/>
  <c r="T17" i="3"/>
  <c r="U17" i="3"/>
  <c r="N18" i="3"/>
  <c r="O18" i="3"/>
  <c r="P18" i="3"/>
  <c r="Q18" i="3"/>
  <c r="R18" i="3"/>
  <c r="S18" i="3"/>
  <c r="T18" i="3"/>
  <c r="U18" i="3"/>
  <c r="N19" i="3"/>
  <c r="O19" i="3"/>
  <c r="P19" i="3"/>
  <c r="Q19" i="3"/>
  <c r="R19" i="3"/>
  <c r="S19" i="3"/>
  <c r="T19" i="3"/>
  <c r="U19" i="3"/>
  <c r="N20" i="3"/>
  <c r="O20" i="3"/>
  <c r="P20" i="3"/>
  <c r="Q20" i="3"/>
  <c r="R20" i="3"/>
  <c r="S20" i="3"/>
  <c r="T20" i="3"/>
  <c r="U20" i="3"/>
  <c r="N21" i="3"/>
  <c r="O21" i="3"/>
  <c r="P21" i="3"/>
  <c r="Q21" i="3"/>
  <c r="R21" i="3"/>
  <c r="S21" i="3"/>
  <c r="T21" i="3"/>
  <c r="U21" i="3"/>
  <c r="N22" i="3"/>
  <c r="O22" i="3"/>
  <c r="P22" i="3"/>
  <c r="Q22" i="3"/>
  <c r="R22" i="3"/>
  <c r="S22" i="3"/>
  <c r="T22" i="3"/>
  <c r="U22" i="3"/>
  <c r="N23" i="3"/>
  <c r="O23" i="3"/>
  <c r="P23" i="3"/>
  <c r="Q23" i="3"/>
  <c r="R23" i="3"/>
  <c r="S23" i="3"/>
  <c r="T23" i="3"/>
  <c r="U23" i="3"/>
  <c r="N24" i="3"/>
  <c r="O24" i="3"/>
  <c r="P24" i="3"/>
  <c r="Q24" i="3"/>
  <c r="R24" i="3"/>
  <c r="S24" i="3"/>
  <c r="T24" i="3"/>
  <c r="U24" i="3"/>
  <c r="N25" i="3"/>
  <c r="O25" i="3"/>
  <c r="P25" i="3"/>
  <c r="Q25" i="3"/>
  <c r="R25" i="3"/>
  <c r="S25" i="3"/>
  <c r="T25" i="3"/>
  <c r="U25" i="3"/>
  <c r="N26" i="3"/>
  <c r="O26" i="3"/>
  <c r="P26" i="3"/>
  <c r="Q26" i="3"/>
  <c r="R26" i="3"/>
  <c r="S26" i="3"/>
  <c r="T26" i="3"/>
  <c r="U26" i="3"/>
  <c r="N27" i="3"/>
  <c r="O27" i="3"/>
  <c r="P27" i="3"/>
  <c r="Q27" i="3"/>
  <c r="R27" i="3"/>
  <c r="S27" i="3"/>
  <c r="T27" i="3"/>
  <c r="U27" i="3"/>
  <c r="N28" i="3"/>
  <c r="O28" i="3"/>
  <c r="P28" i="3"/>
  <c r="Q28" i="3"/>
  <c r="R28" i="3"/>
  <c r="S28" i="3"/>
  <c r="T28" i="3"/>
  <c r="U28" i="3"/>
  <c r="N29" i="3"/>
  <c r="O29" i="3"/>
  <c r="P29" i="3"/>
  <c r="Q29" i="3"/>
  <c r="R29" i="3"/>
  <c r="S29" i="3"/>
  <c r="T29" i="3"/>
  <c r="U29" i="3"/>
  <c r="N30" i="3"/>
  <c r="O30" i="3"/>
  <c r="P30" i="3"/>
  <c r="Q30" i="3"/>
  <c r="R30" i="3"/>
  <c r="S30" i="3"/>
  <c r="T30" i="3"/>
  <c r="U30" i="3"/>
  <c r="N31" i="3"/>
  <c r="O31" i="3"/>
  <c r="P31" i="3"/>
  <c r="Q31" i="3"/>
  <c r="R31" i="3"/>
  <c r="S31" i="3"/>
  <c r="T31" i="3"/>
  <c r="U31" i="3"/>
  <c r="N32" i="3"/>
  <c r="O32" i="3"/>
  <c r="P32" i="3"/>
  <c r="Q32" i="3"/>
  <c r="R32" i="3"/>
  <c r="S32" i="3"/>
  <c r="T32" i="3"/>
  <c r="U32" i="3"/>
  <c r="N33" i="3"/>
  <c r="O33" i="3"/>
  <c r="P33" i="3"/>
  <c r="Q33" i="3"/>
  <c r="R33" i="3"/>
  <c r="S33" i="3"/>
  <c r="T33" i="3"/>
  <c r="U33" i="3"/>
  <c r="N34" i="3"/>
  <c r="O34" i="3"/>
  <c r="P34" i="3"/>
  <c r="Q34" i="3"/>
  <c r="R34" i="3"/>
  <c r="S34" i="3"/>
  <c r="T34" i="3"/>
  <c r="U34" i="3"/>
  <c r="N35" i="3"/>
  <c r="O35" i="3"/>
  <c r="P35" i="3"/>
  <c r="Q35" i="3"/>
  <c r="R35" i="3"/>
  <c r="S35" i="3"/>
  <c r="T35" i="3"/>
  <c r="U35" i="3"/>
  <c r="N36" i="3"/>
  <c r="O36" i="3"/>
  <c r="P36" i="3"/>
  <c r="Q36" i="3"/>
  <c r="R36" i="3"/>
  <c r="S36" i="3"/>
  <c r="T36" i="3"/>
  <c r="U36" i="3"/>
  <c r="N37" i="3"/>
  <c r="O37" i="3"/>
  <c r="P37" i="3"/>
  <c r="Q37" i="3"/>
  <c r="R37" i="3"/>
  <c r="S37" i="3"/>
  <c r="T37" i="3"/>
  <c r="U37" i="3"/>
  <c r="N38" i="3"/>
  <c r="O38" i="3"/>
  <c r="P38" i="3"/>
  <c r="Q38" i="3"/>
  <c r="R38" i="3"/>
  <c r="S38" i="3"/>
  <c r="T38" i="3"/>
  <c r="U38" i="3"/>
  <c r="N39" i="3"/>
  <c r="O39" i="3"/>
  <c r="P39" i="3"/>
  <c r="Q39" i="3"/>
  <c r="R39" i="3"/>
  <c r="S39" i="3"/>
  <c r="T39" i="3"/>
  <c r="U39" i="3"/>
  <c r="N40" i="3"/>
  <c r="O40" i="3"/>
  <c r="P40" i="3"/>
  <c r="Q40" i="3"/>
  <c r="R40" i="3"/>
  <c r="S40" i="3"/>
  <c r="T40" i="3"/>
  <c r="U40" i="3"/>
  <c r="N41" i="3"/>
  <c r="O41" i="3"/>
  <c r="P41" i="3"/>
  <c r="Q41" i="3"/>
  <c r="R41" i="3"/>
  <c r="S41" i="3"/>
  <c r="T41" i="3"/>
  <c r="U41" i="3"/>
  <c r="N42" i="3"/>
  <c r="O42" i="3"/>
  <c r="P42" i="3"/>
  <c r="Q42" i="3"/>
  <c r="R42" i="3"/>
  <c r="S42" i="3"/>
  <c r="T42" i="3"/>
  <c r="U42" i="3"/>
  <c r="N43" i="3"/>
  <c r="O43" i="3"/>
  <c r="P43" i="3"/>
  <c r="Q43" i="3"/>
  <c r="R43" i="3"/>
  <c r="S43" i="3"/>
  <c r="T43" i="3"/>
  <c r="U43" i="3"/>
  <c r="N44" i="3"/>
  <c r="O44" i="3"/>
  <c r="P44" i="3"/>
  <c r="Q44" i="3"/>
  <c r="R44" i="3"/>
  <c r="S44" i="3"/>
  <c r="T44" i="3"/>
  <c r="U44" i="3"/>
  <c r="N45" i="3"/>
  <c r="O45" i="3"/>
  <c r="P45" i="3"/>
  <c r="Q45" i="3"/>
  <c r="R45" i="3"/>
  <c r="S45" i="3"/>
  <c r="T45" i="3"/>
  <c r="U45" i="3"/>
  <c r="N46" i="3"/>
  <c r="O46" i="3"/>
  <c r="P46" i="3"/>
  <c r="Q46" i="3"/>
  <c r="R46" i="3"/>
  <c r="S46" i="3"/>
  <c r="T46" i="3"/>
  <c r="U46" i="3"/>
  <c r="N47" i="3"/>
  <c r="O47" i="3"/>
  <c r="P47" i="3"/>
  <c r="Q47" i="3"/>
  <c r="R47" i="3"/>
  <c r="S47" i="3"/>
  <c r="T47" i="3"/>
  <c r="U47" i="3"/>
  <c r="N48" i="3"/>
  <c r="O48" i="3"/>
  <c r="P48" i="3"/>
  <c r="Q48" i="3"/>
  <c r="R48" i="3"/>
  <c r="S48" i="3"/>
  <c r="T48" i="3"/>
  <c r="U48" i="3"/>
  <c r="N49" i="3"/>
  <c r="O49" i="3"/>
  <c r="P49" i="3"/>
  <c r="Q49" i="3"/>
  <c r="R49" i="3"/>
  <c r="S49" i="3"/>
  <c r="T49" i="3"/>
  <c r="U49" i="3"/>
  <c r="N50" i="3"/>
  <c r="O50" i="3"/>
  <c r="P50" i="3"/>
  <c r="Q50" i="3"/>
  <c r="R50" i="3"/>
  <c r="S50" i="3"/>
  <c r="T50" i="3"/>
  <c r="U50" i="3"/>
  <c r="N51" i="3"/>
  <c r="O51" i="3"/>
  <c r="P51" i="3"/>
  <c r="Q51" i="3"/>
  <c r="R51" i="3"/>
  <c r="S51" i="3"/>
  <c r="T51" i="3"/>
  <c r="U51" i="3"/>
  <c r="N52" i="3"/>
  <c r="O52" i="3"/>
  <c r="P52" i="3"/>
  <c r="Q52" i="3"/>
  <c r="R52" i="3"/>
  <c r="S52" i="3"/>
  <c r="T52" i="3"/>
  <c r="U52" i="3"/>
  <c r="N53" i="3"/>
  <c r="O53" i="3"/>
  <c r="P53" i="3"/>
  <c r="Q53" i="3"/>
  <c r="R53" i="3"/>
  <c r="S53" i="3"/>
  <c r="T53" i="3"/>
  <c r="U53" i="3"/>
  <c r="N54" i="3"/>
  <c r="O54" i="3"/>
  <c r="P54" i="3"/>
  <c r="Q54" i="3"/>
  <c r="R54" i="3"/>
  <c r="S54" i="3"/>
  <c r="T54" i="3"/>
  <c r="U54" i="3"/>
  <c r="N55" i="3"/>
  <c r="O55" i="3"/>
  <c r="P55" i="3"/>
  <c r="Q55" i="3"/>
  <c r="R55" i="3"/>
  <c r="S55" i="3"/>
  <c r="T55" i="3"/>
  <c r="U55" i="3"/>
  <c r="N56" i="3"/>
  <c r="O56" i="3"/>
  <c r="P56" i="3"/>
  <c r="Q56" i="3"/>
  <c r="R56" i="3"/>
  <c r="S56" i="3"/>
  <c r="T56" i="3"/>
  <c r="U56" i="3"/>
  <c r="N57" i="3"/>
  <c r="O57" i="3"/>
  <c r="P57" i="3"/>
  <c r="Q57" i="3"/>
  <c r="R57" i="3"/>
  <c r="S57" i="3"/>
  <c r="T57" i="3"/>
  <c r="U57" i="3"/>
  <c r="N58" i="3"/>
  <c r="O58" i="3"/>
  <c r="P58" i="3"/>
  <c r="Q58" i="3"/>
  <c r="R58" i="3"/>
  <c r="S58" i="3"/>
  <c r="T58" i="3"/>
  <c r="U58" i="3"/>
  <c r="N59" i="3"/>
  <c r="O59" i="3"/>
  <c r="P59" i="3"/>
  <c r="Q59" i="3"/>
  <c r="R59" i="3"/>
  <c r="S59" i="3"/>
  <c r="T59" i="3"/>
  <c r="U59" i="3"/>
  <c r="N60" i="3"/>
  <c r="O60" i="3"/>
  <c r="P60" i="3"/>
  <c r="Q60" i="3"/>
  <c r="R60" i="3"/>
  <c r="S60" i="3"/>
  <c r="T60" i="3"/>
  <c r="U60" i="3"/>
  <c r="N61" i="3"/>
  <c r="O61" i="3"/>
  <c r="P61" i="3"/>
  <c r="Q61" i="3"/>
  <c r="R61" i="3"/>
  <c r="S61" i="3"/>
  <c r="T61" i="3"/>
  <c r="U61" i="3"/>
  <c r="N62" i="3"/>
  <c r="O62" i="3"/>
  <c r="P62" i="3"/>
  <c r="Q62" i="3"/>
  <c r="R62" i="3"/>
  <c r="S62" i="3"/>
  <c r="T62" i="3"/>
  <c r="U62" i="3"/>
  <c r="N63" i="3"/>
  <c r="O63" i="3"/>
  <c r="P63" i="3"/>
  <c r="Q63" i="3"/>
  <c r="R63" i="3"/>
  <c r="S63" i="3"/>
  <c r="T63" i="3"/>
  <c r="U63" i="3"/>
  <c r="N64" i="3"/>
  <c r="O64" i="3"/>
  <c r="P64" i="3"/>
  <c r="Q64" i="3"/>
  <c r="R64" i="3"/>
  <c r="S64" i="3"/>
  <c r="T64" i="3"/>
  <c r="U64" i="3"/>
  <c r="N65" i="3"/>
  <c r="O65" i="3"/>
  <c r="P65" i="3"/>
  <c r="Q65" i="3"/>
  <c r="R65" i="3"/>
  <c r="S65" i="3"/>
  <c r="T65" i="3"/>
  <c r="U65" i="3"/>
  <c r="N66" i="3"/>
  <c r="O66" i="3"/>
  <c r="P66" i="3"/>
  <c r="Q66" i="3"/>
  <c r="R66" i="3"/>
  <c r="S66" i="3"/>
  <c r="T66" i="3"/>
  <c r="U66" i="3"/>
  <c r="N67" i="3"/>
  <c r="O67" i="3"/>
  <c r="P67" i="3"/>
  <c r="Q67" i="3"/>
  <c r="R67" i="3"/>
  <c r="S67" i="3"/>
  <c r="T67" i="3"/>
  <c r="U67" i="3"/>
  <c r="N68" i="3"/>
  <c r="O68" i="3"/>
  <c r="P68" i="3"/>
  <c r="Q68" i="3"/>
  <c r="R68" i="3"/>
  <c r="S68" i="3"/>
  <c r="T68" i="3"/>
  <c r="U68" i="3"/>
  <c r="N69" i="3"/>
  <c r="O69" i="3"/>
  <c r="P69" i="3"/>
  <c r="Q69" i="3"/>
  <c r="R69" i="3"/>
  <c r="S69" i="3"/>
  <c r="T69" i="3"/>
  <c r="U69" i="3"/>
  <c r="N70" i="3"/>
  <c r="O70" i="3"/>
  <c r="P70" i="3"/>
  <c r="Q70" i="3"/>
  <c r="R70" i="3"/>
  <c r="S70" i="3"/>
  <c r="T70" i="3"/>
  <c r="U70" i="3"/>
  <c r="N71" i="3"/>
  <c r="O71" i="3"/>
  <c r="P71" i="3"/>
  <c r="Q71" i="3"/>
  <c r="R71" i="3"/>
  <c r="S71" i="3"/>
  <c r="T71" i="3"/>
  <c r="U71" i="3"/>
  <c r="N72" i="3"/>
  <c r="O72" i="3"/>
  <c r="P72" i="3"/>
  <c r="Q72" i="3"/>
  <c r="R72" i="3"/>
  <c r="S72" i="3"/>
  <c r="T72" i="3"/>
  <c r="U72" i="3"/>
  <c r="N73" i="3"/>
  <c r="O73" i="3"/>
  <c r="P73" i="3"/>
  <c r="Q73" i="3"/>
  <c r="R73" i="3"/>
  <c r="S73" i="3"/>
  <c r="T73" i="3"/>
  <c r="U73" i="3"/>
  <c r="N74" i="3"/>
  <c r="O74" i="3"/>
  <c r="P74" i="3"/>
  <c r="Q74" i="3"/>
  <c r="R74" i="3"/>
  <c r="S74" i="3"/>
  <c r="T74" i="3"/>
  <c r="U74" i="3"/>
  <c r="N75" i="3"/>
  <c r="O75" i="3"/>
  <c r="P75" i="3"/>
  <c r="Q75" i="3"/>
  <c r="R75" i="3"/>
  <c r="S75" i="3"/>
  <c r="T75" i="3"/>
  <c r="U75" i="3"/>
  <c r="N76" i="3"/>
  <c r="O76" i="3"/>
  <c r="P76" i="3"/>
  <c r="Q76" i="3"/>
  <c r="R76" i="3"/>
  <c r="S76" i="3"/>
  <c r="T76" i="3"/>
  <c r="U76" i="3"/>
  <c r="N77" i="3"/>
  <c r="O77" i="3"/>
  <c r="P77" i="3"/>
  <c r="Q77" i="3"/>
  <c r="R77" i="3"/>
  <c r="S77" i="3"/>
  <c r="T77" i="3"/>
  <c r="U77" i="3"/>
  <c r="N78" i="3"/>
  <c r="O78" i="3"/>
  <c r="P78" i="3"/>
  <c r="Q78" i="3"/>
  <c r="R78" i="3"/>
  <c r="S78" i="3"/>
  <c r="T78" i="3"/>
  <c r="U78" i="3"/>
  <c r="N79" i="3"/>
  <c r="O79" i="3"/>
  <c r="P79" i="3"/>
  <c r="Q79" i="3"/>
  <c r="R79" i="3"/>
  <c r="S79" i="3"/>
  <c r="T79" i="3"/>
  <c r="U79" i="3"/>
  <c r="N80" i="3"/>
  <c r="O80" i="3"/>
  <c r="P80" i="3"/>
  <c r="Q80" i="3"/>
  <c r="R80" i="3"/>
  <c r="S80" i="3"/>
  <c r="T80" i="3"/>
  <c r="U80" i="3"/>
  <c r="N81" i="3"/>
  <c r="O81" i="3"/>
  <c r="P81" i="3"/>
  <c r="Q81" i="3"/>
  <c r="R81" i="3"/>
  <c r="S81" i="3"/>
  <c r="T81" i="3"/>
  <c r="U81" i="3"/>
  <c r="N82" i="3"/>
  <c r="O82" i="3"/>
  <c r="P82" i="3"/>
  <c r="Q82" i="3"/>
  <c r="R82" i="3"/>
  <c r="S82" i="3"/>
  <c r="T82" i="3"/>
  <c r="U82" i="3"/>
  <c r="N83" i="3"/>
  <c r="O83" i="3"/>
  <c r="P83" i="3"/>
  <c r="Q83" i="3"/>
  <c r="R83" i="3"/>
  <c r="S83" i="3"/>
  <c r="T83" i="3"/>
  <c r="U83" i="3"/>
  <c r="N84" i="3"/>
  <c r="O84" i="3"/>
  <c r="P84" i="3"/>
  <c r="Q84" i="3"/>
  <c r="R84" i="3"/>
  <c r="S84" i="3"/>
  <c r="T84" i="3"/>
  <c r="U84" i="3"/>
  <c r="N85" i="3"/>
  <c r="O85" i="3"/>
  <c r="P85" i="3"/>
  <c r="Q85" i="3"/>
  <c r="R85" i="3"/>
  <c r="S85" i="3"/>
  <c r="T85" i="3"/>
  <c r="U85" i="3"/>
  <c r="N86" i="3"/>
  <c r="O86" i="3"/>
  <c r="P86" i="3"/>
  <c r="Q86" i="3"/>
  <c r="R86" i="3"/>
  <c r="S86" i="3"/>
  <c r="T86" i="3"/>
  <c r="U86" i="3"/>
  <c r="N87" i="3"/>
  <c r="O87" i="3"/>
  <c r="P87" i="3"/>
  <c r="Q87" i="3"/>
  <c r="R87" i="3"/>
  <c r="S87" i="3"/>
  <c r="T87" i="3"/>
  <c r="U87" i="3"/>
  <c r="N88" i="3"/>
  <c r="O88" i="3"/>
  <c r="P88" i="3"/>
  <c r="Q88" i="3"/>
  <c r="R88" i="3"/>
  <c r="S88" i="3"/>
  <c r="T88" i="3"/>
  <c r="U88" i="3"/>
  <c r="N89" i="3"/>
  <c r="O89" i="3"/>
  <c r="P89" i="3"/>
  <c r="Q89" i="3"/>
  <c r="R89" i="3"/>
  <c r="S89" i="3"/>
  <c r="T89" i="3"/>
  <c r="U89" i="3"/>
  <c r="N90" i="3"/>
  <c r="O90" i="3"/>
  <c r="P90" i="3"/>
  <c r="Q90" i="3"/>
  <c r="R90" i="3"/>
  <c r="S90" i="3"/>
  <c r="T90" i="3"/>
  <c r="U90" i="3"/>
  <c r="N91" i="3"/>
  <c r="O91" i="3"/>
  <c r="P91" i="3"/>
  <c r="Q91" i="3"/>
  <c r="R91" i="3"/>
  <c r="S91" i="3"/>
  <c r="T91" i="3"/>
  <c r="U91" i="3"/>
  <c r="N92" i="3"/>
  <c r="O92" i="3"/>
  <c r="P92" i="3"/>
  <c r="Q92" i="3"/>
  <c r="R92" i="3"/>
  <c r="S92" i="3"/>
  <c r="T92" i="3"/>
  <c r="U92" i="3"/>
  <c r="N93" i="3"/>
  <c r="O93" i="3"/>
  <c r="P93" i="3"/>
  <c r="Q93" i="3"/>
  <c r="R93" i="3"/>
  <c r="S93" i="3"/>
  <c r="T93" i="3"/>
  <c r="U93" i="3"/>
  <c r="N94" i="3"/>
  <c r="O94" i="3"/>
  <c r="P94" i="3"/>
  <c r="Q94" i="3"/>
  <c r="R94" i="3"/>
  <c r="S94" i="3"/>
  <c r="T94" i="3"/>
  <c r="U94" i="3"/>
  <c r="N95" i="3"/>
  <c r="O95" i="3"/>
  <c r="P95" i="3"/>
  <c r="Q95" i="3"/>
  <c r="R95" i="3"/>
  <c r="S95" i="3"/>
  <c r="T95" i="3"/>
  <c r="U95" i="3"/>
  <c r="N96" i="3"/>
  <c r="O96" i="3"/>
  <c r="P96" i="3"/>
  <c r="Q96" i="3"/>
  <c r="R96" i="3"/>
  <c r="S96" i="3"/>
  <c r="T96" i="3"/>
  <c r="U96" i="3"/>
  <c r="N97" i="3"/>
  <c r="O97" i="3"/>
  <c r="P97" i="3"/>
  <c r="Q97" i="3"/>
  <c r="R97" i="3"/>
  <c r="S97" i="3"/>
  <c r="T97" i="3"/>
  <c r="U97" i="3"/>
  <c r="N98" i="3"/>
  <c r="O98" i="3"/>
  <c r="P98" i="3"/>
  <c r="Q98" i="3"/>
  <c r="R98" i="3"/>
  <c r="S98" i="3"/>
  <c r="T98" i="3"/>
  <c r="U98" i="3"/>
  <c r="N99" i="3"/>
  <c r="O99" i="3"/>
  <c r="P99" i="3"/>
  <c r="Q99" i="3"/>
  <c r="R99" i="3"/>
  <c r="S99" i="3"/>
  <c r="T99" i="3"/>
  <c r="U99" i="3"/>
  <c r="N100" i="3"/>
  <c r="O100" i="3"/>
  <c r="P100" i="3"/>
  <c r="Q100" i="3"/>
  <c r="R100" i="3"/>
  <c r="S100" i="3"/>
  <c r="T100" i="3"/>
  <c r="U100" i="3"/>
  <c r="N101" i="3"/>
  <c r="O101" i="3"/>
  <c r="P101" i="3"/>
  <c r="Q101" i="3"/>
  <c r="R101" i="3"/>
  <c r="S101" i="3"/>
  <c r="T101" i="3"/>
  <c r="U101" i="3"/>
  <c r="N102" i="3"/>
  <c r="O102" i="3"/>
  <c r="P102" i="3"/>
  <c r="Q102" i="3"/>
  <c r="R102" i="3"/>
  <c r="S102" i="3"/>
  <c r="T102" i="3"/>
  <c r="U102" i="3"/>
  <c r="N103" i="3"/>
  <c r="O103" i="3"/>
  <c r="P103" i="3"/>
  <c r="Q103" i="3"/>
  <c r="R103" i="3"/>
  <c r="S103" i="3"/>
  <c r="T103" i="3"/>
  <c r="U103" i="3"/>
  <c r="N104" i="3"/>
  <c r="O104" i="3"/>
  <c r="P104" i="3"/>
  <c r="Q104" i="3"/>
  <c r="R104" i="3"/>
  <c r="S104" i="3"/>
  <c r="T104" i="3"/>
  <c r="U104" i="3"/>
  <c r="N105" i="3"/>
  <c r="O105" i="3"/>
  <c r="P105" i="3"/>
  <c r="Q105" i="3"/>
  <c r="R105" i="3"/>
  <c r="S105" i="3"/>
  <c r="T105" i="3"/>
  <c r="U105" i="3"/>
  <c r="N106" i="3"/>
  <c r="O106" i="3"/>
  <c r="P106" i="3"/>
  <c r="Q106" i="3"/>
  <c r="R106" i="3"/>
  <c r="S106" i="3"/>
  <c r="T106" i="3"/>
  <c r="U106" i="3"/>
  <c r="N107" i="3"/>
  <c r="O107" i="3"/>
  <c r="P107" i="3"/>
  <c r="Q107" i="3"/>
  <c r="R107" i="3"/>
  <c r="S107" i="3"/>
  <c r="T107" i="3"/>
  <c r="U107" i="3"/>
  <c r="N108" i="3"/>
  <c r="O108" i="3"/>
  <c r="P108" i="3"/>
  <c r="Q108" i="3"/>
  <c r="R108" i="3"/>
  <c r="S108" i="3"/>
  <c r="T108" i="3"/>
  <c r="U108" i="3"/>
  <c r="N109" i="3"/>
  <c r="O109" i="3"/>
  <c r="P109" i="3"/>
  <c r="Q109" i="3"/>
  <c r="R109" i="3"/>
  <c r="S109" i="3"/>
  <c r="T109" i="3"/>
  <c r="U109" i="3"/>
  <c r="N110" i="3"/>
  <c r="O110" i="3"/>
  <c r="P110" i="3"/>
  <c r="Q110" i="3"/>
  <c r="R110" i="3"/>
  <c r="S110" i="3"/>
  <c r="T110" i="3"/>
  <c r="U110" i="3"/>
  <c r="N111" i="3"/>
  <c r="O111" i="3"/>
  <c r="P111" i="3"/>
  <c r="Q111" i="3"/>
  <c r="R111" i="3"/>
  <c r="S111" i="3"/>
  <c r="T111" i="3"/>
  <c r="U111" i="3"/>
  <c r="N112" i="3"/>
  <c r="O112" i="3"/>
  <c r="P112" i="3"/>
  <c r="Q112" i="3"/>
  <c r="R112" i="3"/>
  <c r="S112" i="3"/>
  <c r="T112" i="3"/>
  <c r="U112" i="3"/>
  <c r="N113" i="3"/>
  <c r="O113" i="3"/>
  <c r="P113" i="3"/>
  <c r="Q113" i="3"/>
  <c r="R113" i="3"/>
  <c r="S113" i="3"/>
  <c r="T113" i="3"/>
  <c r="U113" i="3"/>
  <c r="N114" i="3"/>
  <c r="O114" i="3"/>
  <c r="P114" i="3"/>
  <c r="Q114" i="3"/>
  <c r="R114" i="3"/>
  <c r="S114" i="3"/>
  <c r="T114" i="3"/>
  <c r="U114" i="3"/>
  <c r="N115" i="3"/>
  <c r="O115" i="3"/>
  <c r="P115" i="3"/>
  <c r="Q115" i="3"/>
  <c r="R115" i="3"/>
  <c r="S115" i="3"/>
  <c r="T115" i="3"/>
  <c r="U115" i="3"/>
  <c r="N116" i="3"/>
  <c r="O116" i="3"/>
  <c r="P116" i="3"/>
  <c r="Q116" i="3"/>
  <c r="R116" i="3"/>
  <c r="S116" i="3"/>
  <c r="T116" i="3"/>
  <c r="U116" i="3"/>
  <c r="N117" i="3"/>
  <c r="O117" i="3"/>
  <c r="P117" i="3"/>
  <c r="Q117" i="3"/>
  <c r="R117" i="3"/>
  <c r="S117" i="3"/>
  <c r="T117" i="3"/>
  <c r="U117" i="3"/>
  <c r="N118" i="3"/>
  <c r="O118" i="3"/>
  <c r="P118" i="3"/>
  <c r="Q118" i="3"/>
  <c r="R118" i="3"/>
  <c r="S118" i="3"/>
  <c r="T118" i="3"/>
  <c r="U118" i="3"/>
  <c r="N119" i="3"/>
  <c r="O119" i="3"/>
  <c r="P119" i="3"/>
  <c r="Q119" i="3"/>
  <c r="R119" i="3"/>
  <c r="S119" i="3"/>
  <c r="T119" i="3"/>
  <c r="U119" i="3"/>
  <c r="N120" i="3"/>
  <c r="O120" i="3"/>
  <c r="P120" i="3"/>
  <c r="Q120" i="3"/>
  <c r="R120" i="3"/>
  <c r="S120" i="3"/>
  <c r="T120" i="3"/>
  <c r="U120" i="3"/>
  <c r="N121" i="3"/>
  <c r="O121" i="3"/>
  <c r="P121" i="3"/>
  <c r="Q121" i="3"/>
  <c r="R121" i="3"/>
  <c r="S121" i="3"/>
  <c r="T121" i="3"/>
  <c r="U121" i="3"/>
  <c r="N122" i="3"/>
  <c r="O122" i="3"/>
  <c r="P122" i="3"/>
  <c r="Q122" i="3"/>
  <c r="R122" i="3"/>
  <c r="S122" i="3"/>
  <c r="T122" i="3"/>
  <c r="U122" i="3"/>
  <c r="N123" i="3"/>
  <c r="O123" i="3"/>
  <c r="P123" i="3"/>
  <c r="Q123" i="3"/>
  <c r="R123" i="3"/>
  <c r="S123" i="3"/>
  <c r="T123" i="3"/>
  <c r="U123" i="3"/>
  <c r="N124" i="3"/>
  <c r="O124" i="3"/>
  <c r="P124" i="3"/>
  <c r="Q124" i="3"/>
  <c r="R124" i="3"/>
  <c r="S124" i="3"/>
  <c r="T124" i="3"/>
  <c r="U124" i="3"/>
  <c r="N125" i="3"/>
  <c r="O125" i="3"/>
  <c r="P125" i="3"/>
  <c r="Q125" i="3"/>
  <c r="R125" i="3"/>
  <c r="S125" i="3"/>
  <c r="T125" i="3"/>
  <c r="U125" i="3"/>
  <c r="N126" i="3"/>
  <c r="O126" i="3"/>
  <c r="P126" i="3"/>
  <c r="Q126" i="3"/>
  <c r="R126" i="3"/>
  <c r="S126" i="3"/>
  <c r="T126" i="3"/>
  <c r="U126" i="3"/>
  <c r="N127" i="3"/>
  <c r="O127" i="3"/>
  <c r="P127" i="3"/>
  <c r="Q127" i="3"/>
  <c r="R127" i="3"/>
  <c r="S127" i="3"/>
  <c r="T127" i="3"/>
  <c r="U127" i="3"/>
  <c r="N128" i="3"/>
  <c r="O128" i="3"/>
  <c r="P128" i="3"/>
  <c r="Q128" i="3"/>
  <c r="R128" i="3"/>
  <c r="S128" i="3"/>
  <c r="T128" i="3"/>
  <c r="U128" i="3"/>
  <c r="N129" i="3"/>
  <c r="O129" i="3"/>
  <c r="P129" i="3"/>
  <c r="Q129" i="3"/>
  <c r="R129" i="3"/>
  <c r="S129" i="3"/>
  <c r="T129" i="3"/>
  <c r="U129" i="3"/>
  <c r="N130" i="3"/>
  <c r="O130" i="3"/>
  <c r="P130" i="3"/>
  <c r="Q130" i="3"/>
  <c r="R130" i="3"/>
  <c r="S130" i="3"/>
  <c r="T130" i="3"/>
  <c r="U130" i="3"/>
  <c r="N131" i="3"/>
  <c r="O131" i="3"/>
  <c r="P131" i="3"/>
  <c r="Q131" i="3"/>
  <c r="R131" i="3"/>
  <c r="S131" i="3"/>
  <c r="T131" i="3"/>
  <c r="U131" i="3"/>
  <c r="N132" i="3"/>
  <c r="O132" i="3"/>
  <c r="P132" i="3"/>
  <c r="Q132" i="3"/>
  <c r="R132" i="3"/>
  <c r="S132" i="3"/>
  <c r="T132" i="3"/>
  <c r="U132" i="3"/>
  <c r="N133" i="3"/>
  <c r="O133" i="3"/>
  <c r="P133" i="3"/>
  <c r="Q133" i="3"/>
  <c r="R133" i="3"/>
  <c r="S133" i="3"/>
  <c r="T133" i="3"/>
  <c r="U133" i="3"/>
  <c r="N134" i="3"/>
  <c r="O134" i="3"/>
  <c r="P134" i="3"/>
  <c r="Q134" i="3"/>
  <c r="R134" i="3"/>
  <c r="S134" i="3"/>
  <c r="T134" i="3"/>
  <c r="U134" i="3"/>
  <c r="N135" i="3"/>
  <c r="O135" i="3"/>
  <c r="P135" i="3"/>
  <c r="Q135" i="3"/>
  <c r="R135" i="3"/>
  <c r="S135" i="3"/>
  <c r="T135" i="3"/>
  <c r="U135" i="3"/>
  <c r="N136" i="3"/>
  <c r="O136" i="3"/>
  <c r="P136" i="3"/>
  <c r="Q136" i="3"/>
  <c r="R136" i="3"/>
  <c r="S136" i="3"/>
  <c r="T136" i="3"/>
  <c r="U136" i="3"/>
  <c r="N137" i="3"/>
  <c r="O137" i="3"/>
  <c r="P137" i="3"/>
  <c r="Q137" i="3"/>
  <c r="R137" i="3"/>
  <c r="S137" i="3"/>
  <c r="T137" i="3"/>
  <c r="U137" i="3"/>
  <c r="N138" i="3"/>
  <c r="O138" i="3"/>
  <c r="P138" i="3"/>
  <c r="Q138" i="3"/>
  <c r="R138" i="3"/>
  <c r="S138" i="3"/>
  <c r="T138" i="3"/>
  <c r="U138" i="3"/>
  <c r="N139" i="3"/>
  <c r="O139" i="3"/>
  <c r="P139" i="3"/>
  <c r="Q139" i="3"/>
  <c r="R139" i="3"/>
  <c r="S139" i="3"/>
  <c r="T139" i="3"/>
  <c r="U139" i="3"/>
  <c r="N140" i="3"/>
  <c r="O140" i="3"/>
  <c r="P140" i="3"/>
  <c r="Q140" i="3"/>
  <c r="R140" i="3"/>
  <c r="S140" i="3"/>
  <c r="T140" i="3"/>
  <c r="U140" i="3"/>
  <c r="N141" i="3"/>
  <c r="O141" i="3"/>
  <c r="P141" i="3"/>
  <c r="Q141" i="3"/>
  <c r="R141" i="3"/>
  <c r="S141" i="3"/>
  <c r="T141" i="3"/>
  <c r="U141" i="3"/>
  <c r="N142" i="3"/>
  <c r="O142" i="3"/>
  <c r="P142" i="3"/>
  <c r="Q142" i="3"/>
  <c r="R142" i="3"/>
  <c r="S142" i="3"/>
  <c r="T142" i="3"/>
  <c r="U142" i="3"/>
  <c r="N143" i="3"/>
  <c r="O143" i="3"/>
  <c r="P143" i="3"/>
  <c r="Q143" i="3"/>
  <c r="R143" i="3"/>
  <c r="S143" i="3"/>
  <c r="T143" i="3"/>
  <c r="U143" i="3"/>
  <c r="N144" i="3"/>
  <c r="O144" i="3"/>
  <c r="P144" i="3"/>
  <c r="Q144" i="3"/>
  <c r="R144" i="3"/>
  <c r="S144" i="3"/>
  <c r="T144" i="3"/>
  <c r="U144" i="3"/>
  <c r="N145" i="3"/>
  <c r="O145" i="3"/>
  <c r="P145" i="3"/>
  <c r="Q145" i="3"/>
  <c r="R145" i="3"/>
  <c r="S145" i="3"/>
  <c r="T145" i="3"/>
  <c r="U145" i="3"/>
  <c r="N146" i="3"/>
  <c r="O146" i="3"/>
  <c r="P146" i="3"/>
  <c r="Q146" i="3"/>
  <c r="R146" i="3"/>
  <c r="S146" i="3"/>
  <c r="T146" i="3"/>
  <c r="U146" i="3"/>
  <c r="N147" i="3"/>
  <c r="O147" i="3"/>
  <c r="P147" i="3"/>
  <c r="Q147" i="3"/>
  <c r="R147" i="3"/>
  <c r="S147" i="3"/>
  <c r="T147" i="3"/>
  <c r="U147" i="3"/>
  <c r="N148" i="3"/>
  <c r="O148" i="3"/>
  <c r="P148" i="3"/>
  <c r="Q148" i="3"/>
  <c r="R148" i="3"/>
  <c r="S148" i="3"/>
  <c r="T148" i="3"/>
  <c r="U148" i="3"/>
  <c r="N149" i="3"/>
  <c r="O149" i="3"/>
  <c r="P149" i="3"/>
  <c r="Q149" i="3"/>
  <c r="R149" i="3"/>
  <c r="S149" i="3"/>
  <c r="T149" i="3"/>
  <c r="U149" i="3"/>
  <c r="N150" i="3"/>
  <c r="O150" i="3"/>
  <c r="P150" i="3"/>
  <c r="Q150" i="3"/>
  <c r="R150" i="3"/>
  <c r="S150" i="3"/>
  <c r="T150" i="3"/>
  <c r="U150" i="3"/>
  <c r="N151" i="3"/>
  <c r="O151" i="3"/>
  <c r="P151" i="3"/>
  <c r="Q151" i="3"/>
  <c r="R151" i="3"/>
  <c r="S151" i="3"/>
  <c r="T151" i="3"/>
  <c r="U151" i="3"/>
  <c r="N152" i="3"/>
  <c r="O152" i="3"/>
  <c r="P152" i="3"/>
  <c r="Q152" i="3"/>
  <c r="R152" i="3"/>
  <c r="S152" i="3"/>
  <c r="T152" i="3"/>
  <c r="U152" i="3"/>
  <c r="N153" i="3"/>
  <c r="O153" i="3"/>
  <c r="P153" i="3"/>
  <c r="Q153" i="3"/>
  <c r="R153" i="3"/>
  <c r="S153" i="3"/>
  <c r="T153" i="3"/>
  <c r="U153" i="3"/>
  <c r="N154" i="3"/>
  <c r="O154" i="3"/>
  <c r="P154" i="3"/>
  <c r="Q154" i="3"/>
  <c r="R154" i="3"/>
  <c r="S154" i="3"/>
  <c r="T154" i="3"/>
  <c r="U154" i="3"/>
  <c r="N155" i="3"/>
  <c r="O155" i="3"/>
  <c r="P155" i="3"/>
  <c r="Q155" i="3"/>
  <c r="R155" i="3"/>
  <c r="S155" i="3"/>
  <c r="T155" i="3"/>
  <c r="U155" i="3"/>
  <c r="N156" i="3"/>
  <c r="O156" i="3"/>
  <c r="P156" i="3"/>
  <c r="Q156" i="3"/>
  <c r="R156" i="3"/>
  <c r="S156" i="3"/>
  <c r="T156" i="3"/>
  <c r="U156" i="3"/>
  <c r="N157" i="3"/>
  <c r="O157" i="3"/>
  <c r="P157" i="3"/>
  <c r="Q157" i="3"/>
  <c r="R157" i="3"/>
  <c r="S157" i="3"/>
  <c r="T157" i="3"/>
  <c r="U157" i="3"/>
  <c r="N158" i="3"/>
  <c r="O158" i="3"/>
  <c r="P158" i="3"/>
  <c r="Q158" i="3"/>
  <c r="R158" i="3"/>
  <c r="S158" i="3"/>
  <c r="T158" i="3"/>
  <c r="U158" i="3"/>
  <c r="N159" i="3"/>
  <c r="O159" i="3"/>
  <c r="P159" i="3"/>
  <c r="Q159" i="3"/>
  <c r="R159" i="3"/>
  <c r="S159" i="3"/>
  <c r="T159" i="3"/>
  <c r="U159" i="3"/>
  <c r="N160" i="3"/>
  <c r="O160" i="3"/>
  <c r="P160" i="3"/>
  <c r="Q160" i="3"/>
  <c r="R160" i="3"/>
  <c r="S160" i="3"/>
  <c r="T160" i="3"/>
  <c r="U160" i="3"/>
  <c r="N161" i="3"/>
  <c r="O161" i="3"/>
  <c r="P161" i="3"/>
  <c r="Q161" i="3"/>
  <c r="R161" i="3"/>
  <c r="S161" i="3"/>
  <c r="T161" i="3"/>
  <c r="U161" i="3"/>
  <c r="N162" i="3"/>
  <c r="O162" i="3"/>
  <c r="P162" i="3"/>
  <c r="Q162" i="3"/>
  <c r="R162" i="3"/>
  <c r="S162" i="3"/>
  <c r="T162" i="3"/>
  <c r="U162" i="3"/>
  <c r="N163" i="3"/>
  <c r="O163" i="3"/>
  <c r="P163" i="3"/>
  <c r="Q163" i="3"/>
  <c r="R163" i="3"/>
  <c r="S163" i="3"/>
  <c r="T163" i="3"/>
  <c r="U163" i="3"/>
  <c r="N164" i="3"/>
  <c r="O164" i="3"/>
  <c r="P164" i="3"/>
  <c r="Q164" i="3"/>
  <c r="R164" i="3"/>
  <c r="S164" i="3"/>
  <c r="T164" i="3"/>
  <c r="U164" i="3"/>
  <c r="N165" i="3"/>
  <c r="O165" i="3"/>
  <c r="P165" i="3"/>
  <c r="Q165" i="3"/>
  <c r="R165" i="3"/>
  <c r="S165" i="3"/>
  <c r="T165" i="3"/>
  <c r="U165" i="3"/>
  <c r="N166" i="3"/>
  <c r="O166" i="3"/>
  <c r="P166" i="3"/>
  <c r="Q166" i="3"/>
  <c r="R166" i="3"/>
  <c r="S166" i="3"/>
  <c r="T166" i="3"/>
  <c r="U166" i="3"/>
  <c r="N167" i="3"/>
  <c r="O167" i="3"/>
  <c r="P167" i="3"/>
  <c r="Q167" i="3"/>
  <c r="R167" i="3"/>
  <c r="S167" i="3"/>
  <c r="T167" i="3"/>
  <c r="U167" i="3"/>
  <c r="N168" i="3"/>
  <c r="O168" i="3"/>
  <c r="P168" i="3"/>
  <c r="Q168" i="3"/>
  <c r="R168" i="3"/>
  <c r="S168" i="3"/>
  <c r="T168" i="3"/>
  <c r="U168" i="3"/>
  <c r="N169" i="3"/>
  <c r="O169" i="3"/>
  <c r="P169" i="3"/>
  <c r="Q169" i="3"/>
  <c r="R169" i="3"/>
  <c r="S169" i="3"/>
  <c r="T169" i="3"/>
  <c r="U169" i="3"/>
  <c r="N170" i="3"/>
  <c r="O170" i="3"/>
  <c r="P170" i="3"/>
  <c r="Q170" i="3"/>
  <c r="R170" i="3"/>
  <c r="S170" i="3"/>
  <c r="T170" i="3"/>
  <c r="U170" i="3"/>
  <c r="N171" i="3"/>
  <c r="O171" i="3"/>
  <c r="P171" i="3"/>
  <c r="Q171" i="3"/>
  <c r="R171" i="3"/>
  <c r="S171" i="3"/>
  <c r="T171" i="3"/>
  <c r="U171" i="3"/>
  <c r="N172" i="3"/>
  <c r="O172" i="3"/>
  <c r="P172" i="3"/>
  <c r="Q172" i="3"/>
  <c r="R172" i="3"/>
  <c r="S172" i="3"/>
  <c r="T172" i="3"/>
  <c r="U172" i="3"/>
  <c r="N173" i="3"/>
  <c r="O173" i="3"/>
  <c r="P173" i="3"/>
  <c r="Q173" i="3"/>
  <c r="R173" i="3"/>
  <c r="S173" i="3"/>
  <c r="T173" i="3"/>
  <c r="U173" i="3"/>
  <c r="N174" i="3"/>
  <c r="O174" i="3"/>
  <c r="P174" i="3"/>
  <c r="Q174" i="3"/>
  <c r="R174" i="3"/>
  <c r="S174" i="3"/>
  <c r="T174" i="3"/>
  <c r="U174" i="3"/>
  <c r="N175" i="3"/>
  <c r="O175" i="3"/>
  <c r="P175" i="3"/>
  <c r="Q175" i="3"/>
  <c r="R175" i="3"/>
  <c r="S175" i="3"/>
  <c r="T175" i="3"/>
  <c r="U175" i="3"/>
  <c r="N176" i="3"/>
  <c r="O176" i="3"/>
  <c r="P176" i="3"/>
  <c r="Q176" i="3"/>
  <c r="R176" i="3"/>
  <c r="S176" i="3"/>
  <c r="T176" i="3"/>
  <c r="U176" i="3"/>
  <c r="N177" i="3"/>
  <c r="O177" i="3"/>
  <c r="P177" i="3"/>
  <c r="Q177" i="3"/>
  <c r="R177" i="3"/>
  <c r="S177" i="3"/>
  <c r="T177" i="3"/>
  <c r="U177" i="3"/>
  <c r="N178" i="3"/>
  <c r="O178" i="3"/>
  <c r="P178" i="3"/>
  <c r="Q178" i="3"/>
  <c r="R178" i="3"/>
  <c r="S178" i="3"/>
  <c r="T178" i="3"/>
  <c r="U178" i="3"/>
  <c r="N179" i="3"/>
  <c r="O179" i="3"/>
  <c r="P179" i="3"/>
  <c r="Q179" i="3"/>
  <c r="R179" i="3"/>
  <c r="S179" i="3"/>
  <c r="T179" i="3"/>
  <c r="U179" i="3"/>
  <c r="N180" i="3"/>
  <c r="O180" i="3"/>
  <c r="P180" i="3"/>
  <c r="Q180" i="3"/>
  <c r="R180" i="3"/>
  <c r="S180" i="3"/>
  <c r="T180" i="3"/>
  <c r="U180" i="3"/>
  <c r="N181" i="3"/>
  <c r="O181" i="3"/>
  <c r="P181" i="3"/>
  <c r="Q181" i="3"/>
  <c r="R181" i="3"/>
  <c r="S181" i="3"/>
  <c r="T181" i="3"/>
  <c r="U181" i="3"/>
  <c r="N182" i="3"/>
  <c r="O182" i="3"/>
  <c r="P182" i="3"/>
  <c r="Q182" i="3"/>
  <c r="R182" i="3"/>
  <c r="S182" i="3"/>
  <c r="T182" i="3"/>
  <c r="U182" i="3"/>
  <c r="N183" i="3"/>
  <c r="O183" i="3"/>
  <c r="P183" i="3"/>
  <c r="Q183" i="3"/>
  <c r="R183" i="3"/>
  <c r="S183" i="3"/>
  <c r="T183" i="3"/>
  <c r="U183" i="3"/>
  <c r="N184" i="3"/>
  <c r="O184" i="3"/>
  <c r="P184" i="3"/>
  <c r="Q184" i="3"/>
  <c r="R184" i="3"/>
  <c r="S184" i="3"/>
  <c r="T184" i="3"/>
  <c r="U184" i="3"/>
  <c r="N185" i="3"/>
  <c r="O185" i="3"/>
  <c r="P185" i="3"/>
  <c r="Q185" i="3"/>
  <c r="R185" i="3"/>
  <c r="S185" i="3"/>
  <c r="T185" i="3"/>
  <c r="U185" i="3"/>
  <c r="N186" i="3"/>
  <c r="O186" i="3"/>
  <c r="P186" i="3"/>
  <c r="Q186" i="3"/>
  <c r="R186" i="3"/>
  <c r="S186" i="3"/>
  <c r="T186" i="3"/>
  <c r="U186" i="3"/>
  <c r="N187" i="3"/>
  <c r="O187" i="3"/>
  <c r="P187" i="3"/>
  <c r="Q187" i="3"/>
  <c r="R187" i="3"/>
  <c r="S187" i="3"/>
  <c r="T187" i="3"/>
  <c r="U187" i="3"/>
  <c r="N188" i="3"/>
  <c r="O188" i="3"/>
  <c r="P188" i="3"/>
  <c r="Q188" i="3"/>
  <c r="R188" i="3"/>
  <c r="S188" i="3"/>
  <c r="T188" i="3"/>
  <c r="U188" i="3"/>
  <c r="N189" i="3"/>
  <c r="O189" i="3"/>
  <c r="P189" i="3"/>
  <c r="Q189" i="3"/>
  <c r="R189" i="3"/>
  <c r="S189" i="3"/>
  <c r="T189" i="3"/>
  <c r="U189" i="3"/>
  <c r="N190" i="3"/>
  <c r="O190" i="3"/>
  <c r="P190" i="3"/>
  <c r="Q190" i="3"/>
  <c r="R190" i="3"/>
  <c r="S190" i="3"/>
  <c r="T190" i="3"/>
  <c r="U190" i="3"/>
  <c r="N191" i="3"/>
  <c r="O191" i="3"/>
  <c r="P191" i="3"/>
  <c r="Q191" i="3"/>
  <c r="R191" i="3"/>
  <c r="S191" i="3"/>
  <c r="T191" i="3"/>
  <c r="U191" i="3"/>
  <c r="N192" i="3"/>
  <c r="O192" i="3"/>
  <c r="P192" i="3"/>
  <c r="Q192" i="3"/>
  <c r="R192" i="3"/>
  <c r="S192" i="3"/>
  <c r="T192" i="3"/>
  <c r="U192" i="3"/>
  <c r="N193" i="3"/>
  <c r="O193" i="3"/>
  <c r="P193" i="3"/>
  <c r="Q193" i="3"/>
  <c r="R193" i="3"/>
  <c r="S193" i="3"/>
  <c r="T193" i="3"/>
  <c r="U193" i="3"/>
  <c r="N194" i="3"/>
  <c r="O194" i="3"/>
  <c r="P194" i="3"/>
  <c r="Q194" i="3"/>
  <c r="R194" i="3"/>
  <c r="S194" i="3"/>
  <c r="T194" i="3"/>
  <c r="U194" i="3"/>
  <c r="N195" i="3"/>
  <c r="O195" i="3"/>
  <c r="P195" i="3"/>
  <c r="Q195" i="3"/>
  <c r="R195" i="3"/>
  <c r="S195" i="3"/>
  <c r="T195" i="3"/>
  <c r="U195" i="3"/>
  <c r="N196" i="3"/>
  <c r="O196" i="3"/>
  <c r="P196" i="3"/>
  <c r="Q196" i="3"/>
  <c r="R196" i="3"/>
  <c r="S196" i="3"/>
  <c r="T196" i="3"/>
  <c r="U196" i="3"/>
  <c r="N197" i="3"/>
  <c r="O197" i="3"/>
  <c r="P197" i="3"/>
  <c r="Q197" i="3"/>
  <c r="R197" i="3"/>
  <c r="S197" i="3"/>
  <c r="T197" i="3"/>
  <c r="U197" i="3"/>
  <c r="N198" i="3"/>
  <c r="O198" i="3"/>
  <c r="P198" i="3"/>
  <c r="Q198" i="3"/>
  <c r="R198" i="3"/>
  <c r="S198" i="3"/>
  <c r="T198" i="3"/>
  <c r="U198" i="3"/>
  <c r="N199" i="3"/>
  <c r="O199" i="3"/>
  <c r="P199" i="3"/>
  <c r="Q199" i="3"/>
  <c r="R199" i="3"/>
  <c r="S199" i="3"/>
  <c r="T199" i="3"/>
  <c r="U199" i="3"/>
  <c r="N200" i="3"/>
  <c r="O200" i="3"/>
  <c r="P200" i="3"/>
  <c r="Q200" i="3"/>
  <c r="R200" i="3"/>
  <c r="S200" i="3"/>
  <c r="T200" i="3"/>
  <c r="U200" i="3"/>
  <c r="N201" i="3"/>
  <c r="O201" i="3"/>
  <c r="P201" i="3"/>
  <c r="Q201" i="3"/>
  <c r="R201" i="3"/>
  <c r="S201" i="3"/>
  <c r="T201" i="3"/>
  <c r="U20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P2" i="3"/>
  <c r="Q2" i="3"/>
  <c r="R2" i="3"/>
  <c r="S2" i="3"/>
  <c r="T2" i="3"/>
  <c r="U2" i="3"/>
  <c r="V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" i="3"/>
  <c r="R7" i="1"/>
  <c r="O3" i="1"/>
  <c r="O4" i="1"/>
  <c r="O5" i="1"/>
  <c r="O6" i="1"/>
  <c r="O7" i="1"/>
  <c r="O8" i="1"/>
  <c r="O9" i="1"/>
  <c r="O10" i="1"/>
  <c r="O11" i="1"/>
  <c r="O12" i="1"/>
  <c r="R6" i="1" s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R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I162" i="6" l="1"/>
  <c r="I60" i="6"/>
  <c r="I132" i="6"/>
  <c r="J36" i="6"/>
  <c r="I114" i="6"/>
  <c r="I36" i="6"/>
  <c r="I108" i="6"/>
  <c r="J22" i="6"/>
  <c r="I90" i="6"/>
  <c r="I18" i="6"/>
  <c r="J84" i="6"/>
  <c r="J12" i="6"/>
  <c r="I84" i="6"/>
  <c r="I12" i="6"/>
  <c r="J70" i="6"/>
  <c r="J11" i="6"/>
  <c r="I186" i="6"/>
  <c r="I66" i="6"/>
  <c r="K133" i="6"/>
  <c r="I180" i="6"/>
  <c r="J60" i="6"/>
  <c r="K109" i="6"/>
  <c r="J190" i="6"/>
  <c r="J166" i="6"/>
  <c r="J142" i="6"/>
  <c r="J118" i="6"/>
  <c r="J94" i="6"/>
  <c r="K145" i="6"/>
  <c r="J180" i="6"/>
  <c r="J156" i="6"/>
  <c r="J132" i="6"/>
  <c r="J108" i="6"/>
  <c r="K121" i="6"/>
  <c r="J179" i="6"/>
  <c r="J155" i="6"/>
  <c r="J131" i="6"/>
  <c r="J107" i="6"/>
  <c r="J83" i="6"/>
  <c r="J59" i="6"/>
  <c r="J35" i="6"/>
  <c r="K97" i="6"/>
  <c r="I179" i="6"/>
  <c r="I155" i="6"/>
  <c r="I131" i="6"/>
  <c r="I107" i="6"/>
  <c r="I83" i="6"/>
  <c r="I59" i="6"/>
  <c r="I35" i="6"/>
  <c r="I11" i="6"/>
  <c r="K85" i="6"/>
  <c r="I2" i="6"/>
  <c r="J178" i="6"/>
  <c r="J154" i="6"/>
  <c r="J130" i="6"/>
  <c r="J106" i="6"/>
  <c r="J82" i="6"/>
  <c r="J58" i="6"/>
  <c r="J34" i="6"/>
  <c r="J10" i="6"/>
  <c r="K73" i="6"/>
  <c r="I198" i="6"/>
  <c r="I174" i="6"/>
  <c r="I150" i="6"/>
  <c r="I126" i="6"/>
  <c r="I102" i="6"/>
  <c r="I78" i="6"/>
  <c r="I54" i="6"/>
  <c r="I30" i="6"/>
  <c r="I6" i="6"/>
  <c r="K61" i="6"/>
  <c r="J192" i="6"/>
  <c r="J168" i="6"/>
  <c r="J144" i="6"/>
  <c r="J120" i="6"/>
  <c r="J96" i="6"/>
  <c r="J72" i="6"/>
  <c r="J48" i="6"/>
  <c r="J24" i="6"/>
  <c r="K193" i="6"/>
  <c r="K49" i="6"/>
  <c r="I192" i="6"/>
  <c r="I168" i="6"/>
  <c r="I144" i="6"/>
  <c r="I120" i="6"/>
  <c r="I96" i="6"/>
  <c r="I72" i="6"/>
  <c r="I48" i="6"/>
  <c r="I24" i="6"/>
  <c r="K181" i="6"/>
  <c r="K37" i="6"/>
  <c r="J191" i="6"/>
  <c r="J167" i="6"/>
  <c r="J143" i="6"/>
  <c r="J119" i="6"/>
  <c r="J95" i="6"/>
  <c r="J71" i="6"/>
  <c r="J47" i="6"/>
  <c r="J23" i="6"/>
  <c r="K169" i="6"/>
  <c r="K25" i="6"/>
  <c r="I191" i="6"/>
  <c r="I167" i="6"/>
  <c r="I143" i="6"/>
  <c r="I119" i="6"/>
  <c r="I95" i="6"/>
  <c r="I71" i="6"/>
  <c r="I47" i="6"/>
  <c r="I23" i="6"/>
  <c r="K157" i="6"/>
  <c r="K13" i="6"/>
  <c r="L197" i="6"/>
  <c r="L137" i="6"/>
  <c r="L41" i="6"/>
  <c r="J198" i="6"/>
  <c r="J186" i="6"/>
  <c r="J174" i="6"/>
  <c r="J162" i="6"/>
  <c r="J150" i="6"/>
  <c r="J138" i="6"/>
  <c r="J126" i="6"/>
  <c r="J114" i="6"/>
  <c r="J102" i="6"/>
  <c r="J90" i="6"/>
  <c r="J78" i="6"/>
  <c r="J66" i="6"/>
  <c r="J54" i="6"/>
  <c r="J42" i="6"/>
  <c r="J30" i="6"/>
  <c r="J18" i="6"/>
  <c r="J6" i="6"/>
  <c r="K194" i="6"/>
  <c r="K182" i="6"/>
  <c r="K170" i="6"/>
  <c r="K158" i="6"/>
  <c r="K146" i="6"/>
  <c r="K134" i="6"/>
  <c r="K122" i="6"/>
  <c r="K110" i="6"/>
  <c r="K98" i="6"/>
  <c r="K86" i="6"/>
  <c r="K74" i="6"/>
  <c r="K62" i="6"/>
  <c r="K50" i="6"/>
  <c r="K38" i="6"/>
  <c r="K26" i="6"/>
  <c r="K14" i="6"/>
  <c r="L173" i="6"/>
  <c r="J197" i="6"/>
  <c r="J185" i="6"/>
  <c r="J173" i="6"/>
  <c r="J161" i="6"/>
  <c r="J149" i="6"/>
  <c r="J137" i="6"/>
  <c r="J125" i="6"/>
  <c r="J113" i="6"/>
  <c r="J101" i="6"/>
  <c r="J89" i="6"/>
  <c r="J77" i="6"/>
  <c r="J65" i="6"/>
  <c r="J53" i="6"/>
  <c r="J41" i="6"/>
  <c r="J29" i="6"/>
  <c r="J17" i="6"/>
  <c r="J5" i="6"/>
  <c r="L196" i="6"/>
  <c r="L184" i="6"/>
  <c r="L172" i="6"/>
  <c r="L160" i="6"/>
  <c r="L148" i="6"/>
  <c r="L136" i="6"/>
  <c r="L124" i="6"/>
  <c r="L112" i="6"/>
  <c r="L100" i="6"/>
  <c r="L88" i="6"/>
  <c r="L76" i="6"/>
  <c r="L64" i="6"/>
  <c r="L52" i="6"/>
  <c r="L40" i="6"/>
  <c r="L28" i="6"/>
  <c r="L16" i="6"/>
  <c r="L4" i="6"/>
  <c r="K192" i="6"/>
  <c r="K180" i="6"/>
  <c r="K168" i="6"/>
  <c r="K156" i="6"/>
  <c r="K144" i="6"/>
  <c r="K132" i="6"/>
  <c r="K120" i="6"/>
  <c r="K108" i="6"/>
  <c r="K96" i="6"/>
  <c r="K84" i="6"/>
  <c r="K72" i="6"/>
  <c r="K60" i="6"/>
  <c r="K48" i="6"/>
  <c r="K36" i="6"/>
  <c r="K24" i="6"/>
  <c r="K12" i="6"/>
  <c r="L149" i="6"/>
  <c r="L65" i="6"/>
  <c r="L5" i="6"/>
  <c r="I185" i="6"/>
  <c r="I161" i="6"/>
  <c r="I125" i="6"/>
  <c r="I113" i="6"/>
  <c r="I101" i="6"/>
  <c r="I89" i="6"/>
  <c r="I77" i="6"/>
  <c r="I53" i="6"/>
  <c r="I29" i="6"/>
  <c r="I17" i="6"/>
  <c r="L195" i="6"/>
  <c r="L183" i="6"/>
  <c r="L171" i="6"/>
  <c r="L159" i="6"/>
  <c r="L147" i="6"/>
  <c r="L135" i="6"/>
  <c r="L123" i="6"/>
  <c r="L111" i="6"/>
  <c r="L99" i="6"/>
  <c r="L87" i="6"/>
  <c r="L75" i="6"/>
  <c r="L63" i="6"/>
  <c r="L51" i="6"/>
  <c r="L39" i="6"/>
  <c r="L27" i="6"/>
  <c r="L15" i="6"/>
  <c r="L3" i="6"/>
  <c r="K191" i="6"/>
  <c r="K179" i="6"/>
  <c r="K167" i="6"/>
  <c r="K155" i="6"/>
  <c r="K143" i="6"/>
  <c r="K131" i="6"/>
  <c r="K119" i="6"/>
  <c r="K107" i="6"/>
  <c r="K95" i="6"/>
  <c r="K83" i="6"/>
  <c r="K71" i="6"/>
  <c r="K59" i="6"/>
  <c r="K47" i="6"/>
  <c r="K35" i="6"/>
  <c r="K23" i="6"/>
  <c r="K11" i="6"/>
  <c r="J196" i="6"/>
  <c r="J184" i="6"/>
  <c r="J172" i="6"/>
  <c r="J160" i="6"/>
  <c r="J148" i="6"/>
  <c r="J136" i="6"/>
  <c r="J124" i="6"/>
  <c r="J112" i="6"/>
  <c r="J100" i="6"/>
  <c r="J88" i="6"/>
  <c r="J76" i="6"/>
  <c r="J64" i="6"/>
  <c r="J52" i="6"/>
  <c r="J40" i="6"/>
  <c r="J28" i="6"/>
  <c r="J16" i="6"/>
  <c r="J4" i="6"/>
  <c r="L194" i="6"/>
  <c r="L182" i="6"/>
  <c r="L170" i="6"/>
  <c r="L158" i="6"/>
  <c r="L146" i="6"/>
  <c r="L134" i="6"/>
  <c r="L122" i="6"/>
  <c r="L110" i="6"/>
  <c r="L98" i="6"/>
  <c r="L86" i="6"/>
  <c r="L74" i="6"/>
  <c r="L62" i="6"/>
  <c r="L50" i="6"/>
  <c r="L38" i="6"/>
  <c r="L26" i="6"/>
  <c r="L14" i="6"/>
  <c r="K2" i="6"/>
  <c r="K190" i="6"/>
  <c r="K178" i="6"/>
  <c r="K166" i="6"/>
  <c r="K154" i="6"/>
  <c r="K142" i="6"/>
  <c r="K130" i="6"/>
  <c r="K118" i="6"/>
  <c r="K106" i="6"/>
  <c r="K94" i="6"/>
  <c r="K82" i="6"/>
  <c r="K70" i="6"/>
  <c r="K58" i="6"/>
  <c r="K46" i="6"/>
  <c r="K34" i="6"/>
  <c r="K22" i="6"/>
  <c r="K10" i="6"/>
  <c r="J2" i="6"/>
  <c r="I190" i="6"/>
  <c r="I178" i="6"/>
  <c r="I166" i="6"/>
  <c r="I154" i="6"/>
  <c r="I142" i="6"/>
  <c r="I130" i="6"/>
  <c r="I118" i="6"/>
  <c r="I106" i="6"/>
  <c r="I94" i="6"/>
  <c r="I82" i="6"/>
  <c r="I70" i="6"/>
  <c r="I58" i="6"/>
  <c r="I46" i="6"/>
  <c r="I34" i="6"/>
  <c r="I22" i="6"/>
  <c r="I10" i="6"/>
  <c r="L193" i="6"/>
  <c r="L181" i="6"/>
  <c r="L169" i="6"/>
  <c r="L157" i="6"/>
  <c r="L145" i="6"/>
  <c r="L133" i="6"/>
  <c r="L121" i="6"/>
  <c r="L109" i="6"/>
  <c r="L97" i="6"/>
  <c r="L85" i="6"/>
  <c r="L73" i="6"/>
  <c r="L61" i="6"/>
  <c r="L49" i="6"/>
  <c r="L37" i="6"/>
  <c r="L25" i="6"/>
  <c r="L13" i="6"/>
  <c r="K201" i="6"/>
  <c r="K189" i="6"/>
  <c r="K177" i="6"/>
  <c r="K165" i="6"/>
  <c r="K153" i="6"/>
  <c r="K141" i="6"/>
  <c r="K129" i="6"/>
  <c r="K117" i="6"/>
  <c r="K105" i="6"/>
  <c r="K93" i="6"/>
  <c r="K81" i="6"/>
  <c r="K69" i="6"/>
  <c r="K57" i="6"/>
  <c r="K45" i="6"/>
  <c r="K33" i="6"/>
  <c r="K21" i="6"/>
  <c r="K9" i="6"/>
  <c r="J201" i="6"/>
  <c r="J195" i="6"/>
  <c r="J189" i="6"/>
  <c r="J183" i="6"/>
  <c r="J177" i="6"/>
  <c r="J171" i="6"/>
  <c r="J165" i="6"/>
  <c r="J159" i="6"/>
  <c r="J153" i="6"/>
  <c r="J147" i="6"/>
  <c r="J141" i="6"/>
  <c r="J135" i="6"/>
  <c r="J129" i="6"/>
  <c r="J123" i="6"/>
  <c r="J117" i="6"/>
  <c r="J111" i="6"/>
  <c r="J105" i="6"/>
  <c r="J99" i="6"/>
  <c r="J93" i="6"/>
  <c r="J87" i="6"/>
  <c r="J81" i="6"/>
  <c r="J75" i="6"/>
  <c r="J69" i="6"/>
  <c r="J63" i="6"/>
  <c r="J57" i="6"/>
  <c r="J51" i="6"/>
  <c r="J45" i="6"/>
  <c r="J39" i="6"/>
  <c r="J33" i="6"/>
  <c r="J27" i="6"/>
  <c r="J21" i="6"/>
  <c r="J15" i="6"/>
  <c r="J9" i="6"/>
  <c r="J3" i="6"/>
  <c r="K200" i="6"/>
  <c r="K188" i="6"/>
  <c r="K176" i="6"/>
  <c r="K164" i="6"/>
  <c r="K152" i="6"/>
  <c r="K140" i="6"/>
  <c r="K128" i="6"/>
  <c r="K116" i="6"/>
  <c r="K104" i="6"/>
  <c r="K92" i="6"/>
  <c r="K80" i="6"/>
  <c r="K68" i="6"/>
  <c r="K56" i="6"/>
  <c r="K44" i="6"/>
  <c r="K32" i="6"/>
  <c r="K20" i="6"/>
  <c r="K8" i="6"/>
  <c r="I201" i="6"/>
  <c r="I189" i="6"/>
  <c r="I177" i="6"/>
  <c r="I165" i="6"/>
  <c r="I153" i="6"/>
  <c r="I141" i="6"/>
  <c r="I129" i="6"/>
  <c r="I117" i="6"/>
  <c r="I105" i="6"/>
  <c r="I93" i="6"/>
  <c r="I81" i="6"/>
  <c r="I69" i="6"/>
  <c r="I57" i="6"/>
  <c r="I45" i="6"/>
  <c r="I33" i="6"/>
  <c r="I21" i="6"/>
  <c r="I9" i="6"/>
  <c r="K199" i="6"/>
  <c r="K187" i="6"/>
  <c r="K175" i="6"/>
  <c r="K163" i="6"/>
  <c r="K151" i="6"/>
  <c r="K139" i="6"/>
  <c r="K127" i="6"/>
  <c r="K115" i="6"/>
  <c r="K103" i="6"/>
  <c r="K91" i="6"/>
  <c r="K79" i="6"/>
  <c r="K67" i="6"/>
  <c r="K55" i="6"/>
  <c r="K43" i="6"/>
  <c r="K31" i="6"/>
  <c r="K19" i="6"/>
  <c r="K7" i="6"/>
  <c r="J200" i="6"/>
  <c r="J194" i="6"/>
  <c r="J188" i="6"/>
  <c r="J182" i="6"/>
  <c r="J176" i="6"/>
  <c r="J170" i="6"/>
  <c r="J164" i="6"/>
  <c r="J158" i="6"/>
  <c r="J152" i="6"/>
  <c r="J146" i="6"/>
  <c r="J140" i="6"/>
  <c r="J134" i="6"/>
  <c r="J128" i="6"/>
  <c r="J122" i="6"/>
  <c r="J116" i="6"/>
  <c r="J110" i="6"/>
  <c r="J104" i="6"/>
  <c r="J98" i="6"/>
  <c r="J92" i="6"/>
  <c r="J86" i="6"/>
  <c r="J80" i="6"/>
  <c r="J74" i="6"/>
  <c r="J68" i="6"/>
  <c r="J62" i="6"/>
  <c r="J56" i="6"/>
  <c r="J50" i="6"/>
  <c r="J44" i="6"/>
  <c r="J38" i="6"/>
  <c r="J32" i="6"/>
  <c r="J26" i="6"/>
  <c r="J20" i="6"/>
  <c r="J14" i="6"/>
  <c r="J8" i="6"/>
  <c r="K198" i="6"/>
  <c r="K186" i="6"/>
  <c r="K174" i="6"/>
  <c r="K162" i="6"/>
  <c r="K150" i="6"/>
  <c r="K138" i="6"/>
  <c r="K126" i="6"/>
  <c r="K114" i="6"/>
  <c r="K102" i="6"/>
  <c r="K90" i="6"/>
  <c r="K78" i="6"/>
  <c r="K66" i="6"/>
  <c r="K54" i="6"/>
  <c r="K42" i="6"/>
  <c r="K30" i="6"/>
  <c r="K18" i="6"/>
  <c r="K6" i="6"/>
  <c r="I200" i="6"/>
  <c r="I188" i="6"/>
  <c r="I176" i="6"/>
  <c r="I164" i="6"/>
  <c r="I152" i="6"/>
  <c r="I140" i="6"/>
  <c r="I128" i="6"/>
  <c r="I116" i="6"/>
  <c r="I104" i="6"/>
  <c r="I92" i="6"/>
  <c r="I80" i="6"/>
  <c r="I68" i="6"/>
  <c r="I56" i="6"/>
  <c r="I44" i="6"/>
  <c r="I32" i="6"/>
  <c r="I20" i="6"/>
  <c r="I8" i="6"/>
  <c r="K197" i="6"/>
  <c r="K185" i="6"/>
  <c r="K173" i="6"/>
  <c r="K161" i="6"/>
  <c r="K149" i="6"/>
  <c r="K137" i="6"/>
  <c r="K125" i="6"/>
  <c r="K113" i="6"/>
  <c r="K101" i="6"/>
  <c r="K89" i="6"/>
  <c r="K77" i="6"/>
  <c r="K65" i="6"/>
  <c r="K53" i="6"/>
  <c r="K41" i="6"/>
  <c r="K29" i="6"/>
  <c r="K17" i="6"/>
  <c r="K5" i="6"/>
  <c r="J199" i="6"/>
  <c r="J193" i="6"/>
  <c r="J187" i="6"/>
  <c r="J181" i="6"/>
  <c r="J175" i="6"/>
  <c r="J169" i="6"/>
  <c r="J163" i="6"/>
  <c r="J157" i="6"/>
  <c r="J151" i="6"/>
  <c r="J145" i="6"/>
  <c r="J139" i="6"/>
  <c r="J133" i="6"/>
  <c r="J127" i="6"/>
  <c r="J121" i="6"/>
  <c r="J115" i="6"/>
  <c r="J109" i="6"/>
  <c r="J103" i="6"/>
  <c r="J97" i="6"/>
  <c r="J91" i="6"/>
  <c r="J85" i="6"/>
  <c r="J79" i="6"/>
  <c r="J73" i="6"/>
  <c r="J67" i="6"/>
  <c r="J61" i="6"/>
  <c r="J55" i="6"/>
  <c r="J49" i="6"/>
  <c r="J43" i="6"/>
  <c r="J37" i="6"/>
  <c r="J31" i="6"/>
  <c r="J25" i="6"/>
  <c r="J19" i="6"/>
  <c r="J13" i="6"/>
  <c r="J7" i="6"/>
  <c r="K196" i="6"/>
  <c r="K184" i="6"/>
  <c r="K172" i="6"/>
  <c r="K160" i="6"/>
  <c r="K148" i="6"/>
  <c r="K136" i="6"/>
  <c r="K124" i="6"/>
  <c r="K112" i="6"/>
  <c r="K100" i="6"/>
  <c r="K88" i="6"/>
  <c r="K76" i="6"/>
  <c r="K64" i="6"/>
  <c r="K52" i="6"/>
  <c r="K40" i="6"/>
  <c r="K28" i="6"/>
  <c r="K16" i="6"/>
  <c r="K4" i="6"/>
  <c r="I199" i="6"/>
  <c r="I187" i="6"/>
  <c r="I175" i="6"/>
  <c r="I163" i="6"/>
  <c r="I151" i="6"/>
  <c r="I139" i="6"/>
  <c r="I127" i="6"/>
  <c r="I115" i="6"/>
  <c r="I103" i="6"/>
  <c r="I91" i="6"/>
  <c r="I79" i="6"/>
  <c r="I67" i="6"/>
  <c r="I55" i="6"/>
  <c r="I43" i="6"/>
  <c r="I31" i="6"/>
  <c r="I19" i="6"/>
  <c r="I7" i="6"/>
  <c r="K195" i="6"/>
  <c r="K183" i="6"/>
  <c r="K171" i="6"/>
  <c r="K159" i="6"/>
  <c r="K147" i="6"/>
  <c r="K135" i="6"/>
  <c r="K123" i="6"/>
  <c r="K111" i="6"/>
  <c r="K99" i="6"/>
  <c r="K87" i="6"/>
  <c r="K75" i="6"/>
  <c r="K63" i="6"/>
  <c r="K51" i="6"/>
  <c r="K39" i="6"/>
  <c r="K27" i="6"/>
  <c r="K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B58CA-39A5-46FF-BA00-BDECBE5FA1BF}" name="pomiary" type="6" refreshedVersion="8" background="1" saveData="1">
    <textPr codePage="852" sourceFile="C:\Users\oskar\Desktop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FEFD4A6-2974-43A2-931E-5065BE0FC361}" name="pomiary1" type="6" refreshedVersion="8" background="1" saveData="1">
    <textPr codePage="852" sourceFile="C:\Users\oskar\Desktop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272C458-0C33-4E44-A647-7C031B616DD5}" name="pomiary11" type="6" refreshedVersion="8" background="1" saveData="1">
    <textPr codePage="852" sourceFile="C:\Users\oskar\Desktop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0A6EB4D-2983-4F54-AA0D-37C5E9BBF74F}" name="pomiary2" type="6" refreshedVersion="8" background="1" saveData="1">
    <textPr codePage="852" sourceFile="C:\Users\oskar\Desktop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<sst xmlns="http://schemas.openxmlformats.org/spreadsheetml/2006/main" count="73" uniqueCount="29">
  <si>
    <t>data</t>
  </si>
  <si>
    <t>godzina</t>
  </si>
  <si>
    <t>czujnik1</t>
  </si>
  <si>
    <t>czujnik2</t>
  </si>
  <si>
    <t>czujnik3</t>
  </si>
  <si>
    <t>czujnik4</t>
  </si>
  <si>
    <t>czujnik5</t>
  </si>
  <si>
    <t>czujnik6</t>
  </si>
  <si>
    <t>czujnik7</t>
  </si>
  <si>
    <t>czujnik8</t>
  </si>
  <si>
    <t>czujnik9</t>
  </si>
  <si>
    <t>czujnik10</t>
  </si>
  <si>
    <t>Etykiety wierszy</t>
  </si>
  <si>
    <t>Suma końcowa</t>
  </si>
  <si>
    <t>godzina 5</t>
  </si>
  <si>
    <t>godzina 12</t>
  </si>
  <si>
    <t>miedzy 5 a 12</t>
  </si>
  <si>
    <t>ILOSC</t>
  </si>
  <si>
    <t>Suma</t>
  </si>
  <si>
    <t>srednia</t>
  </si>
  <si>
    <t>miesiac</t>
  </si>
  <si>
    <t>Średnia z czujnik10</t>
  </si>
  <si>
    <t>miesiąc</t>
  </si>
  <si>
    <t>średnia temperatura</t>
  </si>
  <si>
    <t>"-10 i 15"</t>
  </si>
  <si>
    <t>"15 i 20"</t>
  </si>
  <si>
    <t>dzień</t>
  </si>
  <si>
    <t>punkt a b</t>
  </si>
  <si>
    <t>punkt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</si>
</sst>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1"/>
    <xf numFmtId="0" fontId="0" fillId="0" borderId="1" xfId="0" applyBorder="1"/>
    <xf numFmtId="2" fontId="0" fillId="0" borderId="0" xfId="0" applyNumberFormat="1"/>
    <xf numFmtId="0" fontId="2" fillId="2" borderId="0" xfId="1" applyAlignment="1">
      <alignment horizontal="left"/>
    </xf>
    <xf numFmtId="2" fontId="2" fillId="2" borderId="0" xfId="1" applyNumberFormat="1"/>
    <xf numFmtId="0" fontId="3" fillId="3" borderId="0" xfId="2"/>
    <xf numFmtId="14" fontId="2" fillId="2" borderId="0" xfId="1" applyNumberFormat="1"/>
    <xf numFmtId="20" fontId="2" fillId="2" borderId="0" xfId="1" applyNumberFormat="1"/>
    <xf numFmtId="0" fontId="3" fillId="3" borderId="0" xfId="2" applyNumberFormat="1"/>
    <xf numFmtId="14" fontId="1" fillId="4" borderId="2" xfId="1" applyNumberFormat="1" applyFont="1" applyFill="1" applyBorder="1"/>
    <xf numFmtId="20" fontId="1" fillId="4" borderId="2" xfId="1" applyNumberFormat="1" applyFont="1" applyFill="1" applyBorder="1"/>
    <xf numFmtId="0" fontId="0" fillId="0" borderId="2" xfId="0" applyBorder="1"/>
    <xf numFmtId="0" fontId="2" fillId="2" borderId="2" xfId="1" applyBorder="1"/>
    <xf numFmtId="0" fontId="3" fillId="3" borderId="2" xfId="2" applyBorder="1"/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3">
    <cellStyle name="Dobry" xfId="1" builtinId="26"/>
    <cellStyle name="Neutralny" xfId="2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temperatura w poszczegolnych miesiacach roku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'6.3'!$G$17</c:f>
              <c:strCache>
                <c:ptCount val="1"/>
                <c:pt idx="0">
                  <c:v>średnia temperatura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'6.3'!$F$18:$F$29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'6.3'!$G$18:$G$29</c:f>
              <c:numCache>
                <c:formatCode>0.00</c:formatCode>
                <c:ptCount val="12"/>
                <c:pt idx="0">
                  <c:v>0.90857142857142859</c:v>
                </c:pt>
                <c:pt idx="1">
                  <c:v>0.1573333333333333</c:v>
                </c:pt>
                <c:pt idx="2">
                  <c:v>2.2973684210526319</c:v>
                </c:pt>
                <c:pt idx="3">
                  <c:v>12.842307692307694</c:v>
                </c:pt>
                <c:pt idx="4">
                  <c:v>13.564210526315788</c:v>
                </c:pt>
                <c:pt idx="5">
                  <c:v>14.542499999999997</c:v>
                </c:pt>
                <c:pt idx="6">
                  <c:v>22.222631578947368</c:v>
                </c:pt>
                <c:pt idx="7">
                  <c:v>22.228750000000002</c:v>
                </c:pt>
                <c:pt idx="8">
                  <c:v>16.025333333333332</c:v>
                </c:pt>
                <c:pt idx="9">
                  <c:v>15.032105263157895</c:v>
                </c:pt>
                <c:pt idx="10">
                  <c:v>15.53529411764706</c:v>
                </c:pt>
                <c:pt idx="11">
                  <c:v>0.64777777777777756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0-49B0-A2B5-7A30CAB13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4302287"/>
        <c:axId val="304311407"/>
      </c:barChart>
      <c:catAx>
        <c:axId val="304302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4311407"/>
        <c:crosses val="autoZero"/>
        <c:auto val="1"/>
        <c:lblAlgn val="ctr"/>
        <c:lblOffset val="100"/>
        <c:noMultiLvlLbl val="0"/>
      </c:catAx>
      <c:valAx>
        <c:axId val="30431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430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223472</xdr:colOff>
      <xdr:row>11</xdr:row>
      <xdr:rowOff>42495</xdr:rowOff>
    </xdr:from>
    <xdr:to>
      <xdr:col>15</xdr:col>
      <xdr:colOff>538530</xdr:colOff>
      <xdr:row>28</xdr:row>
      <xdr:rowOff>43960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A52BBBF-1E39-8591-CD09-78E512329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623424999998" createdVersion="8" refreshedVersion="8" minRefreshableVersion="3" recordCount="200" xr:uid="{680985DD-44D0-438A-B5E7-ACC43DE7305F}">
  <cacheSource type="worksheet">
    <worksheetSource ref="B1:C201" sheet="6.3"/>
  </cacheSource>
  <cacheFields count="2">
    <cacheField name="czujnik10" numFmtId="0">
      <sharedItems containsSemiMixedTypes="0" containsString="0" containsNumber="1" minValue="-7.39" maxValue="24.8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4.53"/>
    <x v="0"/>
  </r>
  <r>
    <n v="0.03"/>
    <x v="0"/>
  </r>
  <r>
    <n v="-4.25"/>
    <x v="0"/>
  </r>
  <r>
    <n v="-2.96"/>
    <x v="0"/>
  </r>
  <r>
    <n v="-3.49"/>
    <x v="0"/>
  </r>
  <r>
    <n v="4.67"/>
    <x v="0"/>
  </r>
  <r>
    <n v="7.83"/>
    <x v="0"/>
  </r>
  <r>
    <n v="-2.82"/>
    <x v="1"/>
  </r>
  <r>
    <n v="7.35"/>
    <x v="1"/>
  </r>
  <r>
    <n v="-7.35"/>
    <x v="1"/>
  </r>
  <r>
    <n v="-6.66"/>
    <x v="1"/>
  </r>
  <r>
    <n v="-1.43"/>
    <x v="1"/>
  </r>
  <r>
    <n v="8.5299999999999994"/>
    <x v="1"/>
  </r>
  <r>
    <n v="0.5"/>
    <x v="1"/>
  </r>
  <r>
    <n v="-5.55"/>
    <x v="1"/>
  </r>
  <r>
    <n v="3.43"/>
    <x v="1"/>
  </r>
  <r>
    <n v="3.21"/>
    <x v="1"/>
  </r>
  <r>
    <n v="-3.25"/>
    <x v="1"/>
  </r>
  <r>
    <n v="8.69"/>
    <x v="1"/>
  </r>
  <r>
    <n v="-2.02"/>
    <x v="1"/>
  </r>
  <r>
    <n v="2.82"/>
    <x v="1"/>
  </r>
  <r>
    <n v="-3.09"/>
    <x v="1"/>
  </r>
  <r>
    <n v="-6.44"/>
    <x v="2"/>
  </r>
  <r>
    <n v="-2.61"/>
    <x v="2"/>
  </r>
  <r>
    <n v="8.8699999999999992"/>
    <x v="2"/>
  </r>
  <r>
    <n v="-1.1200000000000001"/>
    <x v="2"/>
  </r>
  <r>
    <n v="7.82"/>
    <x v="2"/>
  </r>
  <r>
    <n v="6.28"/>
    <x v="2"/>
  </r>
  <r>
    <n v="-2.5099999999999998"/>
    <x v="2"/>
  </r>
  <r>
    <n v="8.17"/>
    <x v="2"/>
  </r>
  <r>
    <n v="-7.39"/>
    <x v="2"/>
  </r>
  <r>
    <n v="8.25"/>
    <x v="2"/>
  </r>
  <r>
    <n v="2.69"/>
    <x v="2"/>
  </r>
  <r>
    <n v="-5.94"/>
    <x v="2"/>
  </r>
  <r>
    <n v="7.75"/>
    <x v="2"/>
  </r>
  <r>
    <n v="1.39"/>
    <x v="2"/>
  </r>
  <r>
    <n v="-4.67"/>
    <x v="2"/>
  </r>
  <r>
    <n v="7.28"/>
    <x v="2"/>
  </r>
  <r>
    <n v="7.99"/>
    <x v="2"/>
  </r>
  <r>
    <n v="6.48"/>
    <x v="2"/>
  </r>
  <r>
    <n v="1.36"/>
    <x v="2"/>
  </r>
  <r>
    <n v="13.78"/>
    <x v="3"/>
  </r>
  <r>
    <n v="14.21"/>
    <x v="3"/>
  </r>
  <r>
    <n v="12.9"/>
    <x v="3"/>
  </r>
  <r>
    <n v="12.1"/>
    <x v="3"/>
  </r>
  <r>
    <n v="10.08"/>
    <x v="3"/>
  </r>
  <r>
    <n v="13.6"/>
    <x v="3"/>
  </r>
  <r>
    <n v="13.03"/>
    <x v="3"/>
  </r>
  <r>
    <n v="13.14"/>
    <x v="3"/>
  </r>
  <r>
    <n v="12.33"/>
    <x v="3"/>
  </r>
  <r>
    <n v="14.16"/>
    <x v="3"/>
  </r>
  <r>
    <n v="12.8"/>
    <x v="3"/>
  </r>
  <r>
    <n v="11.15"/>
    <x v="3"/>
  </r>
  <r>
    <n v="13.67"/>
    <x v="3"/>
  </r>
  <r>
    <n v="15.37"/>
    <x v="4"/>
  </r>
  <r>
    <n v="12.52"/>
    <x v="4"/>
  </r>
  <r>
    <n v="15.58"/>
    <x v="4"/>
  </r>
  <r>
    <n v="10.47"/>
    <x v="4"/>
  </r>
  <r>
    <n v="11.93"/>
    <x v="4"/>
  </r>
  <r>
    <n v="15.53"/>
    <x v="4"/>
  </r>
  <r>
    <n v="13.61"/>
    <x v="4"/>
  </r>
  <r>
    <n v="10.97"/>
    <x v="4"/>
  </r>
  <r>
    <n v="11.55"/>
    <x v="4"/>
  </r>
  <r>
    <n v="13.95"/>
    <x v="4"/>
  </r>
  <r>
    <n v="10.54"/>
    <x v="4"/>
  </r>
  <r>
    <n v="13.55"/>
    <x v="4"/>
  </r>
  <r>
    <n v="15.42"/>
    <x v="4"/>
  </r>
  <r>
    <n v="15.34"/>
    <x v="4"/>
  </r>
  <r>
    <n v="15.72"/>
    <x v="4"/>
  </r>
  <r>
    <n v="14.15"/>
    <x v="4"/>
  </r>
  <r>
    <n v="14.67"/>
    <x v="4"/>
  </r>
  <r>
    <n v="11.17"/>
    <x v="4"/>
  </r>
  <r>
    <n v="15.68"/>
    <x v="4"/>
  </r>
  <r>
    <n v="19.329999999999998"/>
    <x v="5"/>
  </r>
  <r>
    <n v="12.94"/>
    <x v="5"/>
  </r>
  <r>
    <n v="12.24"/>
    <x v="5"/>
  </r>
  <r>
    <n v="18.690000000000001"/>
    <x v="5"/>
  </r>
  <r>
    <n v="13.19"/>
    <x v="5"/>
  </r>
  <r>
    <n v="15.91"/>
    <x v="5"/>
  </r>
  <r>
    <n v="11.46"/>
    <x v="5"/>
  </r>
  <r>
    <n v="16.47"/>
    <x v="5"/>
  </r>
  <r>
    <n v="10.26"/>
    <x v="5"/>
  </r>
  <r>
    <n v="14.58"/>
    <x v="5"/>
  </r>
  <r>
    <n v="12.66"/>
    <x v="5"/>
  </r>
  <r>
    <n v="15.76"/>
    <x v="5"/>
  </r>
  <r>
    <n v="14.23"/>
    <x v="5"/>
  </r>
  <r>
    <n v="19.73"/>
    <x v="5"/>
  </r>
  <r>
    <n v="17.22"/>
    <x v="5"/>
  </r>
  <r>
    <n v="12.5"/>
    <x v="5"/>
  </r>
  <r>
    <n v="12.04"/>
    <x v="5"/>
  </r>
  <r>
    <n v="12.04"/>
    <x v="5"/>
  </r>
  <r>
    <n v="15.9"/>
    <x v="5"/>
  </r>
  <r>
    <n v="13.54"/>
    <x v="5"/>
  </r>
  <r>
    <n v="14.5"/>
    <x v="5"/>
  </r>
  <r>
    <n v="13.96"/>
    <x v="5"/>
  </r>
  <r>
    <n v="11.35"/>
    <x v="5"/>
  </r>
  <r>
    <n v="18.52"/>
    <x v="5"/>
  </r>
  <r>
    <n v="21.31"/>
    <x v="6"/>
  </r>
  <r>
    <n v="23.87"/>
    <x v="6"/>
  </r>
  <r>
    <n v="23.77"/>
    <x v="6"/>
  </r>
  <r>
    <n v="21.13"/>
    <x v="6"/>
  </r>
  <r>
    <n v="20.04"/>
    <x v="6"/>
  </r>
  <r>
    <n v="20.5"/>
    <x v="6"/>
  </r>
  <r>
    <n v="20.49"/>
    <x v="6"/>
  </r>
  <r>
    <n v="22.53"/>
    <x v="6"/>
  </r>
  <r>
    <n v="22.54"/>
    <x v="6"/>
  </r>
  <r>
    <n v="23.03"/>
    <x v="6"/>
  </r>
  <r>
    <n v="24.8"/>
    <x v="6"/>
  </r>
  <r>
    <n v="21.42"/>
    <x v="6"/>
  </r>
  <r>
    <n v="22.32"/>
    <x v="6"/>
  </r>
  <r>
    <n v="22.3"/>
    <x v="6"/>
  </r>
  <r>
    <n v="22.02"/>
    <x v="6"/>
  </r>
  <r>
    <n v="24.51"/>
    <x v="6"/>
  </r>
  <r>
    <n v="21.9"/>
    <x v="6"/>
  </r>
  <r>
    <n v="22.09"/>
    <x v="6"/>
  </r>
  <r>
    <n v="21.66"/>
    <x v="6"/>
  </r>
  <r>
    <n v="20.73"/>
    <x v="7"/>
  </r>
  <r>
    <n v="21.93"/>
    <x v="7"/>
  </r>
  <r>
    <n v="23.53"/>
    <x v="7"/>
  </r>
  <r>
    <n v="23.21"/>
    <x v="7"/>
  </r>
  <r>
    <n v="20.98"/>
    <x v="7"/>
  </r>
  <r>
    <n v="24.53"/>
    <x v="7"/>
  </r>
  <r>
    <n v="24.22"/>
    <x v="7"/>
  </r>
  <r>
    <n v="22.78"/>
    <x v="7"/>
  </r>
  <r>
    <n v="20.05"/>
    <x v="7"/>
  </r>
  <r>
    <n v="24.76"/>
    <x v="7"/>
  </r>
  <r>
    <n v="22.84"/>
    <x v="7"/>
  </r>
  <r>
    <n v="23.02"/>
    <x v="7"/>
  </r>
  <r>
    <n v="20.5"/>
    <x v="7"/>
  </r>
  <r>
    <n v="20.36"/>
    <x v="7"/>
  </r>
  <r>
    <n v="23.09"/>
    <x v="7"/>
  </r>
  <r>
    <n v="24.1"/>
    <x v="7"/>
  </r>
  <r>
    <n v="20.99"/>
    <x v="7"/>
  </r>
  <r>
    <n v="20.260000000000002"/>
    <x v="7"/>
  </r>
  <r>
    <n v="20.71"/>
    <x v="7"/>
  </r>
  <r>
    <n v="23.78"/>
    <x v="7"/>
  </r>
  <r>
    <n v="22.48"/>
    <x v="7"/>
  </r>
  <r>
    <n v="21.43"/>
    <x v="7"/>
  </r>
  <r>
    <n v="20.8"/>
    <x v="7"/>
  </r>
  <r>
    <n v="22.41"/>
    <x v="7"/>
  </r>
  <r>
    <n v="14.37"/>
    <x v="8"/>
  </r>
  <r>
    <n v="15.82"/>
    <x v="8"/>
  </r>
  <r>
    <n v="11.12"/>
    <x v="8"/>
  </r>
  <r>
    <n v="17.64"/>
    <x v="8"/>
  </r>
  <r>
    <n v="19.510000000000002"/>
    <x v="8"/>
  </r>
  <r>
    <n v="16.04"/>
    <x v="8"/>
  </r>
  <r>
    <n v="19.96"/>
    <x v="8"/>
  </r>
  <r>
    <n v="10.44"/>
    <x v="8"/>
  </r>
  <r>
    <n v="17.690000000000001"/>
    <x v="8"/>
  </r>
  <r>
    <n v="16.95"/>
    <x v="8"/>
  </r>
  <r>
    <n v="16.170000000000002"/>
    <x v="8"/>
  </r>
  <r>
    <n v="18.489999999999998"/>
    <x v="8"/>
  </r>
  <r>
    <n v="15.46"/>
    <x v="8"/>
  </r>
  <r>
    <n v="15.46"/>
    <x v="8"/>
  </r>
  <r>
    <n v="15.26"/>
    <x v="8"/>
  </r>
  <r>
    <n v="12.42"/>
    <x v="9"/>
  </r>
  <r>
    <n v="19.149999999999999"/>
    <x v="9"/>
  </r>
  <r>
    <n v="10.17"/>
    <x v="9"/>
  </r>
  <r>
    <n v="11.72"/>
    <x v="9"/>
  </r>
  <r>
    <n v="11.75"/>
    <x v="9"/>
  </r>
  <r>
    <n v="15.91"/>
    <x v="9"/>
  </r>
  <r>
    <n v="17.760000000000002"/>
    <x v="9"/>
  </r>
  <r>
    <n v="13.87"/>
    <x v="9"/>
  </r>
  <r>
    <n v="13.27"/>
    <x v="9"/>
  </r>
  <r>
    <n v="18.22"/>
    <x v="9"/>
  </r>
  <r>
    <n v="12.67"/>
    <x v="9"/>
  </r>
  <r>
    <n v="17.690000000000001"/>
    <x v="9"/>
  </r>
  <r>
    <n v="18.43"/>
    <x v="9"/>
  </r>
  <r>
    <n v="19.170000000000002"/>
    <x v="9"/>
  </r>
  <r>
    <n v="13.87"/>
    <x v="9"/>
  </r>
  <r>
    <n v="13.57"/>
    <x v="9"/>
  </r>
  <r>
    <n v="11.08"/>
    <x v="9"/>
  </r>
  <r>
    <n v="16.52"/>
    <x v="9"/>
  </r>
  <r>
    <n v="18.37"/>
    <x v="9"/>
  </r>
  <r>
    <n v="19.760000000000002"/>
    <x v="10"/>
  </r>
  <r>
    <n v="13.18"/>
    <x v="10"/>
  </r>
  <r>
    <n v="17.09"/>
    <x v="10"/>
  </r>
  <r>
    <n v="14.51"/>
    <x v="10"/>
  </r>
  <r>
    <n v="19.25"/>
    <x v="10"/>
  </r>
  <r>
    <n v="19.36"/>
    <x v="10"/>
  </r>
  <r>
    <n v="17.12"/>
    <x v="10"/>
  </r>
  <r>
    <n v="15.66"/>
    <x v="10"/>
  </r>
  <r>
    <n v="12.78"/>
    <x v="10"/>
  </r>
  <r>
    <n v="10.33"/>
    <x v="10"/>
  </r>
  <r>
    <n v="19.66"/>
    <x v="10"/>
  </r>
  <r>
    <n v="10.62"/>
    <x v="10"/>
  </r>
  <r>
    <n v="11.84"/>
    <x v="10"/>
  </r>
  <r>
    <n v="17.690000000000001"/>
    <x v="10"/>
  </r>
  <r>
    <n v="16.760000000000002"/>
    <x v="10"/>
  </r>
  <r>
    <n v="10.19"/>
    <x v="10"/>
  </r>
  <r>
    <n v="18.3"/>
    <x v="10"/>
  </r>
  <r>
    <n v="-0.74"/>
    <x v="11"/>
  </r>
  <r>
    <n v="-4.6100000000000003"/>
    <x v="11"/>
  </r>
  <r>
    <n v="-1.52"/>
    <x v="11"/>
  </r>
  <r>
    <n v="4.71"/>
    <x v="11"/>
  </r>
  <r>
    <n v="-5.82"/>
    <x v="11"/>
  </r>
  <r>
    <n v="0.14000000000000001"/>
    <x v="11"/>
  </r>
  <r>
    <n v="8.58"/>
    <x v="11"/>
  </r>
  <r>
    <n v="-0.95"/>
    <x v="11"/>
  </r>
  <r>
    <n v="6.0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5B28-1E15-4417-85AD-B4A0974B241A}" name="Tabela przestawna5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15" firstHeaderRow="1" firstDataRow="1" firstDataCol="1"/>
  <pivotFields count="2"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Średnia z czujnik10" fld="0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1" xr16:uid="{402F0FD3-2E66-4FFA-93C4-28C3E981CDA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2" xr16:uid="{B5A6E195-BFE2-4D0C-8DD3-8BA0BC53511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4" xr16:uid="{FC3756AF-460C-4951-9031-F9B6F5E40FF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3" xr16:uid="{2B397F56-31D8-4485-A383-B820591A5A1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F9BE-9F43-4E19-BCA1-0CE191C49F69}">
  <dimension ref="A1:R201"/>
  <sheetViews>
    <sheetView topLeftCell="A138" zoomScale="130" zoomScaleNormal="130" workbookViewId="0">
      <selection activeCell="B138" sqref="B1:B1048576"/>
    </sheetView>
  </sheetViews>
  <sheetFormatPr defaultRowHeight="15" x14ac:dyDescent="0.25"/>
  <cols>
    <col min="1" max="1" width="10.7109375" customWidth="1"/>
    <col min="2" max="3" width="7.85546875" bestFit="1" customWidth="1"/>
    <col min="4" max="12" width="8.140625" bestFit="1" customWidth="1"/>
    <col min="14" max="14" width="18.5703125" customWidth="1"/>
    <col min="15" max="15" width="20.5703125" bestFit="1" customWidth="1"/>
    <col min="16" max="16" width="16.7109375" bestFit="1" customWidth="1"/>
    <col min="17" max="17" width="10.28515625" bestFit="1" customWidth="1"/>
  </cols>
  <sheetData>
    <row r="1" spans="1:18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</v>
      </c>
    </row>
    <row r="2" spans="1:18" x14ac:dyDescent="0.25">
      <c r="A2" s="1">
        <v>42374</v>
      </c>
      <c r="B2" s="2">
        <v>0.46597222222222223</v>
      </c>
      <c r="C2" s="3">
        <v>0.46597222222222223</v>
      </c>
      <c r="D2">
        <v>0.61</v>
      </c>
      <c r="E2">
        <v>-4.9800000000000004</v>
      </c>
      <c r="F2">
        <v>-1.56</v>
      </c>
      <c r="G2">
        <v>-5.59</v>
      </c>
      <c r="H2">
        <v>-2.8</v>
      </c>
      <c r="I2">
        <v>3.39</v>
      </c>
      <c r="J2">
        <v>2.81</v>
      </c>
      <c r="K2">
        <v>-1.6</v>
      </c>
      <c r="L2">
        <v>1.71</v>
      </c>
      <c r="M2">
        <v>4.53</v>
      </c>
      <c r="N2">
        <f>IF(AND(C2&gt;=$R$2,C2&lt;=$R$3),1,0)</f>
        <v>1</v>
      </c>
      <c r="O2">
        <f>IF(N2=1,H2,"")</f>
        <v>-2.8</v>
      </c>
      <c r="Q2" t="s">
        <v>14</v>
      </c>
      <c r="R2" s="3">
        <v>0.20833333333333334</v>
      </c>
    </row>
    <row r="3" spans="1:18" x14ac:dyDescent="0.25">
      <c r="A3" s="1">
        <v>42377</v>
      </c>
      <c r="B3" s="2">
        <v>0.29166666666666669</v>
      </c>
      <c r="C3" s="3">
        <v>0.29166666666666669</v>
      </c>
      <c r="D3">
        <v>-4.5</v>
      </c>
      <c r="E3">
        <v>2.56</v>
      </c>
      <c r="F3">
        <v>-5.28</v>
      </c>
      <c r="G3">
        <v>-6.02</v>
      </c>
      <c r="H3">
        <v>-5.78</v>
      </c>
      <c r="I3">
        <v>-7.56</v>
      </c>
      <c r="J3">
        <v>-2.48</v>
      </c>
      <c r="K3">
        <v>3.31</v>
      </c>
      <c r="L3">
        <v>-5.4</v>
      </c>
      <c r="M3">
        <v>0.03</v>
      </c>
      <c r="N3">
        <f t="shared" ref="N3:N66" si="0">IF(AND(C3&gt;=$R$2,C3&lt;=$R$3),1,0)</f>
        <v>1</v>
      </c>
      <c r="O3">
        <f t="shared" ref="O3:O66" si="1">IF(N3=1,H3,"")</f>
        <v>-5.78</v>
      </c>
      <c r="Q3" t="s">
        <v>15</v>
      </c>
      <c r="R3" s="3">
        <v>0.5</v>
      </c>
    </row>
    <row r="4" spans="1:18" x14ac:dyDescent="0.25">
      <c r="A4" s="1">
        <v>42387</v>
      </c>
      <c r="B4" s="2">
        <v>0.42499999999999999</v>
      </c>
      <c r="C4" s="3">
        <v>0.42499999999999999</v>
      </c>
      <c r="D4">
        <v>2.59</v>
      </c>
      <c r="E4">
        <v>-7.29</v>
      </c>
      <c r="F4">
        <v>1.55</v>
      </c>
      <c r="G4">
        <v>6.79</v>
      </c>
      <c r="H4">
        <v>3.87</v>
      </c>
      <c r="I4">
        <v>-7.74</v>
      </c>
      <c r="J4">
        <v>4.5199999999999996</v>
      </c>
      <c r="K4">
        <v>-4.7699999999999996</v>
      </c>
      <c r="L4">
        <v>-3.88</v>
      </c>
      <c r="M4">
        <v>-4.25</v>
      </c>
      <c r="N4">
        <f t="shared" si="0"/>
        <v>1</v>
      </c>
      <c r="O4">
        <f t="shared" si="1"/>
        <v>3.87</v>
      </c>
    </row>
    <row r="5" spans="1:18" x14ac:dyDescent="0.25">
      <c r="A5" s="1">
        <v>42389</v>
      </c>
      <c r="B5" s="2">
        <v>5.5555555555555558E-3</v>
      </c>
      <c r="C5" s="3">
        <v>5.5555555555555558E-3</v>
      </c>
      <c r="D5">
        <v>7.76</v>
      </c>
      <c r="E5">
        <v>-7.18</v>
      </c>
      <c r="F5">
        <v>-0.49</v>
      </c>
      <c r="G5">
        <v>-2.23</v>
      </c>
      <c r="H5">
        <v>6.46</v>
      </c>
      <c r="I5">
        <v>3.09</v>
      </c>
      <c r="J5">
        <v>-0.48</v>
      </c>
      <c r="K5">
        <v>-2.84</v>
      </c>
      <c r="L5">
        <v>-1.31</v>
      </c>
      <c r="M5">
        <v>-2.96</v>
      </c>
      <c r="N5">
        <f t="shared" si="0"/>
        <v>0</v>
      </c>
      <c r="O5" t="str">
        <f t="shared" si="1"/>
        <v/>
      </c>
      <c r="Q5" t="s">
        <v>17</v>
      </c>
      <c r="R5">
        <f>SUM(N2:N201)</f>
        <v>113</v>
      </c>
    </row>
    <row r="6" spans="1:18" x14ac:dyDescent="0.25">
      <c r="A6" s="1">
        <v>42390</v>
      </c>
      <c r="B6" s="2">
        <v>0.41805555555555557</v>
      </c>
      <c r="C6" s="3">
        <v>0.41805555555555557</v>
      </c>
      <c r="D6">
        <v>7.12</v>
      </c>
      <c r="E6">
        <v>5.13</v>
      </c>
      <c r="F6">
        <v>-3.67</v>
      </c>
      <c r="G6">
        <v>-3.5</v>
      </c>
      <c r="H6">
        <v>8.14</v>
      </c>
      <c r="I6">
        <v>-5.31</v>
      </c>
      <c r="J6">
        <v>-0.44</v>
      </c>
      <c r="K6">
        <v>0.87</v>
      </c>
      <c r="L6">
        <v>-5.21</v>
      </c>
      <c r="M6">
        <v>-3.49</v>
      </c>
      <c r="N6">
        <f t="shared" si="0"/>
        <v>1</v>
      </c>
      <c r="O6">
        <f t="shared" si="1"/>
        <v>8.14</v>
      </c>
      <c r="Q6" t="s">
        <v>18</v>
      </c>
      <c r="R6">
        <f>SUM(O2:O201)</f>
        <v>1412.9400000000003</v>
      </c>
    </row>
    <row r="7" spans="1:18" x14ac:dyDescent="0.25">
      <c r="A7" s="1">
        <v>42391</v>
      </c>
      <c r="B7" s="2">
        <v>0.13263888888888889</v>
      </c>
      <c r="C7" s="3">
        <v>0.13263888888888889</v>
      </c>
      <c r="D7">
        <v>4.1100000000000003</v>
      </c>
      <c r="E7">
        <v>0.85</v>
      </c>
      <c r="F7">
        <v>-3.78</v>
      </c>
      <c r="G7">
        <v>-7.4</v>
      </c>
      <c r="H7">
        <v>3.55</v>
      </c>
      <c r="I7">
        <v>-3.54</v>
      </c>
      <c r="J7">
        <v>-3.92</v>
      </c>
      <c r="K7">
        <v>1.5</v>
      </c>
      <c r="L7">
        <v>-3.41</v>
      </c>
      <c r="M7">
        <v>4.67</v>
      </c>
      <c r="N7">
        <f t="shared" si="0"/>
        <v>0</v>
      </c>
      <c r="O7" t="str">
        <f t="shared" si="1"/>
        <v/>
      </c>
      <c r="Q7" s="6" t="s">
        <v>19</v>
      </c>
      <c r="R7" s="6">
        <f>ROUND(R6/R5,2)</f>
        <v>12.5</v>
      </c>
    </row>
    <row r="8" spans="1:18" x14ac:dyDescent="0.25">
      <c r="A8" s="1">
        <v>42399</v>
      </c>
      <c r="B8" s="2">
        <v>4.583333333333333E-2</v>
      </c>
      <c r="C8" s="3">
        <v>4.583333333333333E-2</v>
      </c>
      <c r="D8">
        <v>-5.38</v>
      </c>
      <c r="E8">
        <v>5.93</v>
      </c>
      <c r="F8">
        <v>-7.57</v>
      </c>
      <c r="G8">
        <v>4.72</v>
      </c>
      <c r="H8">
        <v>2.64</v>
      </c>
      <c r="I8">
        <v>7.75</v>
      </c>
      <c r="J8">
        <v>-4.3499999999999996</v>
      </c>
      <c r="K8">
        <v>-6.59</v>
      </c>
      <c r="L8">
        <v>-7.28</v>
      </c>
      <c r="M8">
        <v>7.83</v>
      </c>
      <c r="N8">
        <f t="shared" si="0"/>
        <v>0</v>
      </c>
      <c r="O8" t="str">
        <f t="shared" si="1"/>
        <v/>
      </c>
    </row>
    <row r="9" spans="1:18" x14ac:dyDescent="0.25">
      <c r="A9" s="1">
        <v>42405</v>
      </c>
      <c r="B9" s="2">
        <v>0.12638888888888888</v>
      </c>
      <c r="C9" s="3">
        <v>0.12638888888888888</v>
      </c>
      <c r="D9">
        <v>3.21</v>
      </c>
      <c r="E9">
        <v>-7.03</v>
      </c>
      <c r="F9">
        <v>-6.63</v>
      </c>
      <c r="G9">
        <v>-2.59</v>
      </c>
      <c r="H9">
        <v>6.44</v>
      </c>
      <c r="I9">
        <v>1.67</v>
      </c>
      <c r="J9">
        <v>7.34</v>
      </c>
      <c r="K9">
        <v>7.78</v>
      </c>
      <c r="L9">
        <v>2.48</v>
      </c>
      <c r="M9">
        <v>-2.82</v>
      </c>
      <c r="N9">
        <f t="shared" si="0"/>
        <v>0</v>
      </c>
      <c r="O9" t="str">
        <f t="shared" si="1"/>
        <v/>
      </c>
    </row>
    <row r="10" spans="1:18" x14ac:dyDescent="0.25">
      <c r="A10" s="1">
        <v>42406</v>
      </c>
      <c r="B10" s="2">
        <v>8.7499999999999994E-2</v>
      </c>
      <c r="C10" s="3">
        <v>8.7499999999999994E-2</v>
      </c>
      <c r="D10">
        <v>1.94</v>
      </c>
      <c r="E10">
        <v>1.72</v>
      </c>
      <c r="F10">
        <v>-1.91</v>
      </c>
      <c r="G10">
        <v>-5.44</v>
      </c>
      <c r="H10">
        <v>2.11</v>
      </c>
      <c r="I10">
        <v>-2.93</v>
      </c>
      <c r="J10">
        <v>-3.28</v>
      </c>
      <c r="K10">
        <v>-7.12</v>
      </c>
      <c r="L10">
        <v>2.12</v>
      </c>
      <c r="M10">
        <v>7.35</v>
      </c>
      <c r="N10">
        <f t="shared" si="0"/>
        <v>0</v>
      </c>
      <c r="O10" t="str">
        <f t="shared" si="1"/>
        <v/>
      </c>
    </row>
    <row r="11" spans="1:18" x14ac:dyDescent="0.25">
      <c r="A11" s="1">
        <v>42406</v>
      </c>
      <c r="B11" s="2">
        <v>0.21111111111111111</v>
      </c>
      <c r="C11" s="3">
        <v>0.21111111111111111</v>
      </c>
      <c r="D11">
        <v>8.81</v>
      </c>
      <c r="E11">
        <v>-1.66</v>
      </c>
      <c r="F11">
        <v>2.0099999999999998</v>
      </c>
      <c r="G11">
        <v>1.63</v>
      </c>
      <c r="H11">
        <v>8.82</v>
      </c>
      <c r="I11">
        <v>4.05</v>
      </c>
      <c r="J11">
        <v>-5.04</v>
      </c>
      <c r="K11">
        <v>8.32</v>
      </c>
      <c r="L11">
        <v>-6.62</v>
      </c>
      <c r="M11">
        <v>-7.35</v>
      </c>
      <c r="N11">
        <f t="shared" si="0"/>
        <v>1</v>
      </c>
      <c r="O11">
        <f t="shared" si="1"/>
        <v>8.82</v>
      </c>
    </row>
    <row r="12" spans="1:18" x14ac:dyDescent="0.25">
      <c r="A12" s="1">
        <v>42409</v>
      </c>
      <c r="B12" s="2">
        <v>0.33541666666666664</v>
      </c>
      <c r="C12" s="3">
        <v>0.33541666666666664</v>
      </c>
      <c r="D12">
        <v>4</v>
      </c>
      <c r="E12">
        <v>-6.72</v>
      </c>
      <c r="F12">
        <v>2.4300000000000002</v>
      </c>
      <c r="G12">
        <v>-2.0299999999999998</v>
      </c>
      <c r="H12">
        <v>-3.87</v>
      </c>
      <c r="I12">
        <v>-3.7</v>
      </c>
      <c r="J12">
        <v>-7.09</v>
      </c>
      <c r="K12">
        <v>2.88</v>
      </c>
      <c r="L12">
        <v>2.58</v>
      </c>
      <c r="M12">
        <v>-6.66</v>
      </c>
      <c r="N12">
        <f t="shared" si="0"/>
        <v>1</v>
      </c>
      <c r="O12">
        <f t="shared" si="1"/>
        <v>-3.87</v>
      </c>
    </row>
    <row r="13" spans="1:18" x14ac:dyDescent="0.25">
      <c r="A13" s="1">
        <v>42410</v>
      </c>
      <c r="B13" s="2">
        <v>0.25486111111111109</v>
      </c>
      <c r="C13" s="3">
        <v>0.25486111111111109</v>
      </c>
      <c r="D13">
        <v>-4.59</v>
      </c>
      <c r="E13">
        <v>5.74</v>
      </c>
      <c r="F13">
        <v>-6.21</v>
      </c>
      <c r="G13">
        <v>-3.63</v>
      </c>
      <c r="H13">
        <v>7.35</v>
      </c>
      <c r="I13">
        <v>-7.64</v>
      </c>
      <c r="J13">
        <v>-5.73</v>
      </c>
      <c r="K13">
        <v>-6.54</v>
      </c>
      <c r="L13">
        <v>-2.4300000000000002</v>
      </c>
      <c r="M13">
        <v>-1.43</v>
      </c>
      <c r="N13">
        <f t="shared" si="0"/>
        <v>1</v>
      </c>
      <c r="O13">
        <f t="shared" si="1"/>
        <v>7.35</v>
      </c>
    </row>
    <row r="14" spans="1:18" x14ac:dyDescent="0.25">
      <c r="A14" s="1">
        <v>42410</v>
      </c>
      <c r="B14" s="2">
        <v>0.33819444444444446</v>
      </c>
      <c r="C14" s="3">
        <v>0.33819444444444446</v>
      </c>
      <c r="D14">
        <v>-5.82</v>
      </c>
      <c r="E14">
        <v>5.44</v>
      </c>
      <c r="F14">
        <v>-2.4700000000000002</v>
      </c>
      <c r="G14">
        <v>-5.69</v>
      </c>
      <c r="H14">
        <v>8.43</v>
      </c>
      <c r="I14">
        <v>-6.41</v>
      </c>
      <c r="J14">
        <v>-7.59</v>
      </c>
      <c r="K14">
        <v>4.29</v>
      </c>
      <c r="L14">
        <v>-7.29</v>
      </c>
      <c r="M14">
        <v>8.5299999999999994</v>
      </c>
      <c r="N14">
        <f t="shared" si="0"/>
        <v>1</v>
      </c>
      <c r="O14">
        <f t="shared" si="1"/>
        <v>8.43</v>
      </c>
      <c r="P14" s="3"/>
    </row>
    <row r="15" spans="1:18" x14ac:dyDescent="0.25">
      <c r="A15" s="1">
        <v>42413</v>
      </c>
      <c r="B15" s="2">
        <v>1.3888888888888889E-3</v>
      </c>
      <c r="C15" s="3">
        <v>1.3888888888888889E-3</v>
      </c>
      <c r="D15">
        <v>8.26</v>
      </c>
      <c r="E15">
        <v>8.5</v>
      </c>
      <c r="F15">
        <v>-7.75</v>
      </c>
      <c r="G15">
        <v>-2.67</v>
      </c>
      <c r="H15">
        <v>6.6</v>
      </c>
      <c r="I15">
        <v>1.58</v>
      </c>
      <c r="J15">
        <v>-3.2</v>
      </c>
      <c r="K15">
        <v>5.46</v>
      </c>
      <c r="L15">
        <v>-4.66</v>
      </c>
      <c r="M15">
        <v>0.5</v>
      </c>
      <c r="N15">
        <f t="shared" si="0"/>
        <v>0</v>
      </c>
      <c r="O15" t="str">
        <f t="shared" si="1"/>
        <v/>
      </c>
      <c r="P15" s="3"/>
    </row>
    <row r="16" spans="1:18" x14ac:dyDescent="0.25">
      <c r="A16" s="1">
        <v>42415</v>
      </c>
      <c r="B16" s="2">
        <v>0.17083333333333334</v>
      </c>
      <c r="C16" s="3">
        <v>0.17083333333333334</v>
      </c>
      <c r="D16">
        <v>7.43</v>
      </c>
      <c r="E16">
        <v>7.88</v>
      </c>
      <c r="F16">
        <v>-0.11</v>
      </c>
      <c r="G16">
        <v>-2.4700000000000002</v>
      </c>
      <c r="H16">
        <v>-7.25</v>
      </c>
      <c r="I16">
        <v>7.27</v>
      </c>
      <c r="J16">
        <v>-5.15</v>
      </c>
      <c r="K16">
        <v>-4.8499999999999996</v>
      </c>
      <c r="L16">
        <v>-4.21</v>
      </c>
      <c r="M16">
        <v>-5.55</v>
      </c>
      <c r="N16">
        <f t="shared" si="0"/>
        <v>0</v>
      </c>
      <c r="O16" t="str">
        <f t="shared" si="1"/>
        <v/>
      </c>
      <c r="P16" s="3"/>
    </row>
    <row r="17" spans="1:16" x14ac:dyDescent="0.25">
      <c r="A17" s="1">
        <v>42415</v>
      </c>
      <c r="B17" s="2">
        <v>0.29305555555555557</v>
      </c>
      <c r="C17" s="3">
        <v>0.29305555555555557</v>
      </c>
      <c r="D17">
        <v>-7.37</v>
      </c>
      <c r="E17">
        <v>2.31</v>
      </c>
      <c r="F17">
        <v>-0.37</v>
      </c>
      <c r="G17">
        <v>-4.1900000000000004</v>
      </c>
      <c r="H17">
        <v>-6.75</v>
      </c>
      <c r="I17">
        <v>0.15</v>
      </c>
      <c r="J17">
        <v>0.08</v>
      </c>
      <c r="K17">
        <v>-4.58</v>
      </c>
      <c r="L17">
        <v>-6.18</v>
      </c>
      <c r="M17">
        <v>3.43</v>
      </c>
      <c r="N17">
        <f t="shared" si="0"/>
        <v>1</v>
      </c>
      <c r="O17">
        <f t="shared" si="1"/>
        <v>-6.75</v>
      </c>
      <c r="P17" s="3"/>
    </row>
    <row r="18" spans="1:16" x14ac:dyDescent="0.25">
      <c r="A18" s="1">
        <v>42418</v>
      </c>
      <c r="B18" s="2">
        <v>0.17083333333333334</v>
      </c>
      <c r="C18" s="3">
        <v>0.17083333333333334</v>
      </c>
      <c r="D18">
        <v>7.78</v>
      </c>
      <c r="E18">
        <v>1.59</v>
      </c>
      <c r="F18">
        <v>-5.23</v>
      </c>
      <c r="G18">
        <v>-2.54</v>
      </c>
      <c r="H18">
        <v>3.66</v>
      </c>
      <c r="I18">
        <v>-0.8</v>
      </c>
      <c r="J18">
        <v>-2.56</v>
      </c>
      <c r="K18">
        <v>-6.56</v>
      </c>
      <c r="L18">
        <v>-6.35</v>
      </c>
      <c r="M18">
        <v>3.21</v>
      </c>
      <c r="N18">
        <f t="shared" si="0"/>
        <v>0</v>
      </c>
      <c r="O18" t="str">
        <f t="shared" si="1"/>
        <v/>
      </c>
      <c r="P18" s="3"/>
    </row>
    <row r="19" spans="1:16" x14ac:dyDescent="0.25">
      <c r="A19" s="1">
        <v>42418</v>
      </c>
      <c r="B19" s="2">
        <v>0.29166666666666669</v>
      </c>
      <c r="C19" s="3">
        <v>0.29166666666666669</v>
      </c>
      <c r="D19">
        <v>-5.59</v>
      </c>
      <c r="E19">
        <v>1.44</v>
      </c>
      <c r="F19">
        <v>-6.2</v>
      </c>
      <c r="G19">
        <v>-5.44</v>
      </c>
      <c r="H19">
        <v>1.63</v>
      </c>
      <c r="I19">
        <v>1.55</v>
      </c>
      <c r="J19">
        <v>8.8000000000000007</v>
      </c>
      <c r="K19">
        <v>0.74</v>
      </c>
      <c r="L19">
        <v>1.7</v>
      </c>
      <c r="M19">
        <v>-3.25</v>
      </c>
      <c r="N19">
        <f t="shared" si="0"/>
        <v>1</v>
      </c>
      <c r="O19">
        <f t="shared" si="1"/>
        <v>1.63</v>
      </c>
      <c r="P19" s="3"/>
    </row>
    <row r="20" spans="1:16" x14ac:dyDescent="0.25">
      <c r="A20" s="1">
        <v>42418</v>
      </c>
      <c r="B20" s="2">
        <v>0.46180555555555558</v>
      </c>
      <c r="C20" s="3">
        <v>0.46180555555555558</v>
      </c>
      <c r="D20">
        <v>-5.61</v>
      </c>
      <c r="E20">
        <v>-2.42</v>
      </c>
      <c r="F20">
        <v>0.12</v>
      </c>
      <c r="G20">
        <v>3.36</v>
      </c>
      <c r="H20">
        <v>5.61</v>
      </c>
      <c r="I20">
        <v>-1.1399999999999999</v>
      </c>
      <c r="J20">
        <v>4.45</v>
      </c>
      <c r="K20">
        <v>2.27</v>
      </c>
      <c r="L20">
        <v>1.38</v>
      </c>
      <c r="M20">
        <v>8.69</v>
      </c>
      <c r="N20">
        <f t="shared" si="0"/>
        <v>1</v>
      </c>
      <c r="O20">
        <f t="shared" si="1"/>
        <v>5.61</v>
      </c>
      <c r="P20" s="3"/>
    </row>
    <row r="21" spans="1:16" x14ac:dyDescent="0.25">
      <c r="A21" s="1">
        <v>42420</v>
      </c>
      <c r="B21" s="2">
        <v>0.21041666666666667</v>
      </c>
      <c r="C21" s="3">
        <v>0.21041666666666667</v>
      </c>
      <c r="D21">
        <v>8.91</v>
      </c>
      <c r="E21">
        <v>-0.83</v>
      </c>
      <c r="F21">
        <v>6.24</v>
      </c>
      <c r="G21">
        <v>4.74</v>
      </c>
      <c r="H21">
        <v>1.06</v>
      </c>
      <c r="I21">
        <v>-0.73</v>
      </c>
      <c r="J21">
        <v>4.0199999999999996</v>
      </c>
      <c r="K21">
        <v>2.9</v>
      </c>
      <c r="L21">
        <v>-2.0099999999999998</v>
      </c>
      <c r="M21">
        <v>-2.02</v>
      </c>
      <c r="N21">
        <f t="shared" si="0"/>
        <v>1</v>
      </c>
      <c r="O21">
        <f t="shared" si="1"/>
        <v>1.06</v>
      </c>
      <c r="P21" s="3"/>
    </row>
    <row r="22" spans="1:16" x14ac:dyDescent="0.25">
      <c r="A22" s="1">
        <v>42421</v>
      </c>
      <c r="B22" s="2">
        <v>0.46319444444444446</v>
      </c>
      <c r="C22" s="3">
        <v>0.46319444444444446</v>
      </c>
      <c r="D22">
        <v>6.18</v>
      </c>
      <c r="E22">
        <v>6.14</v>
      </c>
      <c r="F22">
        <v>4.24</v>
      </c>
      <c r="G22">
        <v>-4</v>
      </c>
      <c r="H22">
        <v>-2.92</v>
      </c>
      <c r="I22">
        <v>5.0599999999999996</v>
      </c>
      <c r="J22">
        <v>-1.26</v>
      </c>
      <c r="K22">
        <v>4.6399999999999997</v>
      </c>
      <c r="L22">
        <v>-2.96</v>
      </c>
      <c r="M22">
        <v>2.82</v>
      </c>
      <c r="N22">
        <f t="shared" si="0"/>
        <v>1</v>
      </c>
      <c r="O22">
        <f t="shared" si="1"/>
        <v>-2.92</v>
      </c>
    </row>
    <row r="23" spans="1:16" x14ac:dyDescent="0.25">
      <c r="A23" s="1">
        <v>42424</v>
      </c>
      <c r="B23" s="2">
        <v>0.17083333333333334</v>
      </c>
      <c r="C23" s="3">
        <v>0.17083333333333334</v>
      </c>
      <c r="D23">
        <v>-3.2</v>
      </c>
      <c r="E23">
        <v>-4.18</v>
      </c>
      <c r="F23">
        <v>2.99</v>
      </c>
      <c r="G23">
        <v>0.22</v>
      </c>
      <c r="H23">
        <v>-3.48</v>
      </c>
      <c r="I23">
        <v>-2.68</v>
      </c>
      <c r="J23">
        <v>0.11</v>
      </c>
      <c r="K23">
        <v>-3.65</v>
      </c>
      <c r="L23">
        <v>-4.0999999999999996</v>
      </c>
      <c r="M23">
        <v>-3.09</v>
      </c>
      <c r="N23">
        <f t="shared" si="0"/>
        <v>0</v>
      </c>
      <c r="O23" t="str">
        <f t="shared" si="1"/>
        <v/>
      </c>
    </row>
    <row r="24" spans="1:16" x14ac:dyDescent="0.25">
      <c r="A24" s="1">
        <v>42430</v>
      </c>
      <c r="B24" s="2">
        <v>0</v>
      </c>
      <c r="C24" s="3">
        <v>0</v>
      </c>
      <c r="D24">
        <v>6.8</v>
      </c>
      <c r="E24">
        <v>-2.64</v>
      </c>
      <c r="F24">
        <v>5.9</v>
      </c>
      <c r="G24">
        <v>-2.1</v>
      </c>
      <c r="H24">
        <v>1.89</v>
      </c>
      <c r="I24">
        <v>6.73</v>
      </c>
      <c r="J24">
        <v>-7.96</v>
      </c>
      <c r="K24">
        <v>7.18</v>
      </c>
      <c r="L24">
        <v>7.33</v>
      </c>
      <c r="M24">
        <v>-6.44</v>
      </c>
      <c r="N24">
        <f t="shared" si="0"/>
        <v>0</v>
      </c>
      <c r="O24" t="str">
        <f t="shared" si="1"/>
        <v/>
      </c>
    </row>
    <row r="25" spans="1:16" x14ac:dyDescent="0.25">
      <c r="A25" s="1">
        <v>42431</v>
      </c>
      <c r="B25" s="2">
        <v>0.16875000000000001</v>
      </c>
      <c r="C25" s="3">
        <v>0.16875000000000001</v>
      </c>
      <c r="D25">
        <v>-3.15</v>
      </c>
      <c r="E25">
        <v>-1.58</v>
      </c>
      <c r="F25">
        <v>-7.5</v>
      </c>
      <c r="G25">
        <v>6.68</v>
      </c>
      <c r="H25">
        <v>-4.1900000000000004</v>
      </c>
      <c r="I25">
        <v>-7.39</v>
      </c>
      <c r="J25">
        <v>3.37</v>
      </c>
      <c r="K25">
        <v>-2.67</v>
      </c>
      <c r="L25">
        <v>6.36</v>
      </c>
      <c r="M25">
        <v>-2.61</v>
      </c>
      <c r="N25">
        <f t="shared" si="0"/>
        <v>0</v>
      </c>
      <c r="O25" t="str">
        <f t="shared" si="1"/>
        <v/>
      </c>
    </row>
    <row r="26" spans="1:16" x14ac:dyDescent="0.25">
      <c r="A26" s="1">
        <v>42433</v>
      </c>
      <c r="B26" s="2">
        <v>0.29166666666666669</v>
      </c>
      <c r="C26" s="3">
        <v>0.29166666666666669</v>
      </c>
      <c r="D26">
        <v>-4.3899999999999997</v>
      </c>
      <c r="E26">
        <v>-3.86</v>
      </c>
      <c r="F26">
        <v>-0.97</v>
      </c>
      <c r="G26">
        <v>-4.82</v>
      </c>
      <c r="H26">
        <v>-1.0900000000000001</v>
      </c>
      <c r="I26">
        <v>1.4</v>
      </c>
      <c r="J26">
        <v>6.56</v>
      </c>
      <c r="K26">
        <v>-2.7</v>
      </c>
      <c r="L26">
        <v>5.24</v>
      </c>
      <c r="M26">
        <v>8.8699999999999992</v>
      </c>
      <c r="N26">
        <f t="shared" si="0"/>
        <v>1</v>
      </c>
      <c r="O26">
        <f t="shared" si="1"/>
        <v>-1.0900000000000001</v>
      </c>
    </row>
    <row r="27" spans="1:16" x14ac:dyDescent="0.25">
      <c r="A27" s="1">
        <v>42435</v>
      </c>
      <c r="B27" s="2">
        <v>0.33958333333333335</v>
      </c>
      <c r="C27" s="3">
        <v>0.33958333333333335</v>
      </c>
      <c r="D27">
        <v>1.07</v>
      </c>
      <c r="E27">
        <v>4.49</v>
      </c>
      <c r="F27">
        <v>4.04</v>
      </c>
      <c r="G27">
        <v>7.86</v>
      </c>
      <c r="H27">
        <v>-1.99</v>
      </c>
      <c r="I27">
        <v>-0.56999999999999995</v>
      </c>
      <c r="J27">
        <v>8.09</v>
      </c>
      <c r="K27">
        <v>-0.82</v>
      </c>
      <c r="L27">
        <v>1.63</v>
      </c>
      <c r="M27">
        <v>-1.1200000000000001</v>
      </c>
      <c r="N27">
        <f t="shared" si="0"/>
        <v>1</v>
      </c>
      <c r="O27">
        <f t="shared" si="1"/>
        <v>-1.99</v>
      </c>
    </row>
    <row r="28" spans="1:16" x14ac:dyDescent="0.25">
      <c r="A28" s="1">
        <v>42436</v>
      </c>
      <c r="B28" s="2">
        <v>0.46041666666666664</v>
      </c>
      <c r="C28" s="3">
        <v>0.46041666666666664</v>
      </c>
      <c r="D28">
        <v>-4.32</v>
      </c>
      <c r="E28">
        <v>-4.3</v>
      </c>
      <c r="F28">
        <v>-6.06</v>
      </c>
      <c r="G28">
        <v>0.23</v>
      </c>
      <c r="H28">
        <v>-3.83</v>
      </c>
      <c r="I28">
        <v>-6.11</v>
      </c>
      <c r="J28">
        <v>-7.52</v>
      </c>
      <c r="K28">
        <v>1.75</v>
      </c>
      <c r="L28">
        <v>2.57</v>
      </c>
      <c r="M28">
        <v>7.82</v>
      </c>
      <c r="N28">
        <f t="shared" si="0"/>
        <v>1</v>
      </c>
      <c r="O28">
        <f t="shared" si="1"/>
        <v>-3.83</v>
      </c>
    </row>
    <row r="29" spans="1:16" x14ac:dyDescent="0.25">
      <c r="A29" s="1">
        <v>42439</v>
      </c>
      <c r="B29" s="2">
        <v>0.50277777777777777</v>
      </c>
      <c r="C29" s="3">
        <v>0.50277777777777777</v>
      </c>
      <c r="D29">
        <v>8.94</v>
      </c>
      <c r="E29">
        <v>-7.98</v>
      </c>
      <c r="F29">
        <v>7.41</v>
      </c>
      <c r="G29">
        <v>4.46</v>
      </c>
      <c r="H29">
        <v>-3.8</v>
      </c>
      <c r="I29">
        <v>-7.71</v>
      </c>
      <c r="J29">
        <v>3.58</v>
      </c>
      <c r="K29">
        <v>-3.33</v>
      </c>
      <c r="L29">
        <v>3.39</v>
      </c>
      <c r="M29">
        <v>6.28</v>
      </c>
      <c r="N29">
        <f t="shared" si="0"/>
        <v>0</v>
      </c>
      <c r="O29" t="str">
        <f t="shared" si="1"/>
        <v/>
      </c>
    </row>
    <row r="30" spans="1:16" x14ac:dyDescent="0.25">
      <c r="A30" s="1">
        <v>42441</v>
      </c>
      <c r="B30" s="2">
        <v>0.21388888888888888</v>
      </c>
      <c r="C30" s="3">
        <v>0.21388888888888888</v>
      </c>
      <c r="D30">
        <v>-2.84</v>
      </c>
      <c r="E30">
        <v>-3.79</v>
      </c>
      <c r="F30">
        <v>4.34</v>
      </c>
      <c r="G30">
        <v>6.3</v>
      </c>
      <c r="H30">
        <v>-7.58</v>
      </c>
      <c r="I30">
        <v>8.26</v>
      </c>
      <c r="J30">
        <v>-6.5</v>
      </c>
      <c r="K30">
        <v>-5.8</v>
      </c>
      <c r="L30">
        <v>-7.56</v>
      </c>
      <c r="M30">
        <v>-2.5099999999999998</v>
      </c>
      <c r="N30">
        <f t="shared" si="0"/>
        <v>1</v>
      </c>
      <c r="O30">
        <f t="shared" si="1"/>
        <v>-7.58</v>
      </c>
    </row>
    <row r="31" spans="1:16" x14ac:dyDescent="0.25">
      <c r="A31" s="1">
        <v>42444</v>
      </c>
      <c r="B31" s="2">
        <v>0.12638888888888888</v>
      </c>
      <c r="C31" s="3">
        <v>0.12638888888888888</v>
      </c>
      <c r="D31">
        <v>-2.0099999999999998</v>
      </c>
      <c r="E31">
        <v>0.62</v>
      </c>
      <c r="F31">
        <v>4.95</v>
      </c>
      <c r="G31">
        <v>6.62</v>
      </c>
      <c r="H31">
        <v>-2.5</v>
      </c>
      <c r="I31">
        <v>7.05</v>
      </c>
      <c r="J31">
        <v>-7.33</v>
      </c>
      <c r="K31">
        <v>7.96</v>
      </c>
      <c r="L31">
        <v>4.51</v>
      </c>
      <c r="M31">
        <v>8.17</v>
      </c>
      <c r="N31">
        <f t="shared" si="0"/>
        <v>0</v>
      </c>
      <c r="O31" t="str">
        <f t="shared" si="1"/>
        <v/>
      </c>
    </row>
    <row r="32" spans="1:16" x14ac:dyDescent="0.25">
      <c r="A32" s="1">
        <v>42447</v>
      </c>
      <c r="B32" s="2">
        <v>8.3333333333333332E-3</v>
      </c>
      <c r="C32" s="3">
        <v>8.3333333333333332E-3</v>
      </c>
      <c r="D32">
        <v>1.44</v>
      </c>
      <c r="E32">
        <v>-7.21</v>
      </c>
      <c r="F32">
        <v>-6.65</v>
      </c>
      <c r="G32">
        <v>2.21</v>
      </c>
      <c r="H32">
        <v>4.62</v>
      </c>
      <c r="I32">
        <v>1.66</v>
      </c>
      <c r="J32">
        <v>5.0999999999999996</v>
      </c>
      <c r="K32">
        <v>-6.89</v>
      </c>
      <c r="L32">
        <v>-3.19</v>
      </c>
      <c r="M32">
        <v>-7.39</v>
      </c>
      <c r="N32">
        <f t="shared" si="0"/>
        <v>0</v>
      </c>
      <c r="O32" t="str">
        <f t="shared" si="1"/>
        <v/>
      </c>
    </row>
    <row r="33" spans="1:15" x14ac:dyDescent="0.25">
      <c r="A33" s="1">
        <v>42450</v>
      </c>
      <c r="B33" s="2">
        <v>0.12569444444444444</v>
      </c>
      <c r="C33" s="3">
        <v>0.12569444444444444</v>
      </c>
      <c r="D33">
        <v>0.98</v>
      </c>
      <c r="E33">
        <v>7.64</v>
      </c>
      <c r="F33">
        <v>6.1</v>
      </c>
      <c r="G33">
        <v>6.46</v>
      </c>
      <c r="H33">
        <v>-7.0000000000000007E-2</v>
      </c>
      <c r="I33">
        <v>-2.93</v>
      </c>
      <c r="J33">
        <v>-5.81</v>
      </c>
      <c r="K33">
        <v>5.65</v>
      </c>
      <c r="L33">
        <v>5.0999999999999996</v>
      </c>
      <c r="M33">
        <v>8.25</v>
      </c>
      <c r="N33">
        <f t="shared" si="0"/>
        <v>0</v>
      </c>
      <c r="O33" t="str">
        <f t="shared" si="1"/>
        <v/>
      </c>
    </row>
    <row r="34" spans="1:15" x14ac:dyDescent="0.25">
      <c r="A34" s="1">
        <v>42451</v>
      </c>
      <c r="B34" s="2">
        <v>0.50694444444444442</v>
      </c>
      <c r="C34" s="3">
        <v>0.50694444444444442</v>
      </c>
      <c r="D34">
        <v>5.83</v>
      </c>
      <c r="E34">
        <v>7.18</v>
      </c>
      <c r="F34">
        <v>-0.19</v>
      </c>
      <c r="G34">
        <v>-2.12</v>
      </c>
      <c r="H34">
        <v>4.26</v>
      </c>
      <c r="I34">
        <v>-7.55</v>
      </c>
      <c r="J34">
        <v>-6.66</v>
      </c>
      <c r="K34">
        <v>-4.8</v>
      </c>
      <c r="L34">
        <v>2.92</v>
      </c>
      <c r="M34">
        <v>2.69</v>
      </c>
      <c r="N34">
        <f t="shared" si="0"/>
        <v>0</v>
      </c>
      <c r="O34" t="str">
        <f t="shared" si="1"/>
        <v/>
      </c>
    </row>
    <row r="35" spans="1:15" x14ac:dyDescent="0.25">
      <c r="A35" s="1">
        <v>42452</v>
      </c>
      <c r="B35" s="2">
        <v>0.16875000000000001</v>
      </c>
      <c r="C35" s="3">
        <v>0.16875000000000001</v>
      </c>
      <c r="D35">
        <v>-5.39</v>
      </c>
      <c r="E35">
        <v>-7.41</v>
      </c>
      <c r="F35">
        <v>-3.6</v>
      </c>
      <c r="G35">
        <v>0.98</v>
      </c>
      <c r="H35">
        <v>-0.56000000000000005</v>
      </c>
      <c r="I35">
        <v>-2.33</v>
      </c>
      <c r="J35">
        <v>3.28</v>
      </c>
      <c r="K35">
        <v>-2.19</v>
      </c>
      <c r="L35">
        <v>4.6100000000000003</v>
      </c>
      <c r="M35">
        <v>-5.94</v>
      </c>
      <c r="N35">
        <f t="shared" si="0"/>
        <v>0</v>
      </c>
      <c r="O35" t="str">
        <f t="shared" si="1"/>
        <v/>
      </c>
    </row>
    <row r="36" spans="1:15" x14ac:dyDescent="0.25">
      <c r="A36" s="1">
        <v>42452</v>
      </c>
      <c r="B36" s="2">
        <v>0.25138888888888888</v>
      </c>
      <c r="C36" s="3">
        <v>0.25138888888888888</v>
      </c>
      <c r="D36">
        <v>7.98</v>
      </c>
      <c r="E36">
        <v>4.6100000000000003</v>
      </c>
      <c r="F36">
        <v>7.87</v>
      </c>
      <c r="G36">
        <v>-1.44</v>
      </c>
      <c r="H36">
        <v>4.1500000000000004</v>
      </c>
      <c r="I36">
        <v>-2.5299999999999998</v>
      </c>
      <c r="J36">
        <v>-5.96</v>
      </c>
      <c r="K36">
        <v>3.23</v>
      </c>
      <c r="L36">
        <v>-7.13</v>
      </c>
      <c r="M36">
        <v>7.75</v>
      </c>
      <c r="N36">
        <f t="shared" si="0"/>
        <v>1</v>
      </c>
      <c r="O36">
        <f t="shared" si="1"/>
        <v>4.1500000000000004</v>
      </c>
    </row>
    <row r="37" spans="1:15" x14ac:dyDescent="0.25">
      <c r="A37" s="1">
        <v>42454</v>
      </c>
      <c r="B37" s="2">
        <v>0.12986111111111112</v>
      </c>
      <c r="C37" s="3">
        <v>0.12986111111111112</v>
      </c>
      <c r="D37">
        <v>2.92</v>
      </c>
      <c r="E37">
        <v>0.43</v>
      </c>
      <c r="F37">
        <v>-7.83</v>
      </c>
      <c r="G37">
        <v>-7.67</v>
      </c>
      <c r="H37">
        <v>1.19</v>
      </c>
      <c r="I37">
        <v>5.35</v>
      </c>
      <c r="J37">
        <v>-4.1500000000000004</v>
      </c>
      <c r="K37">
        <v>6.34</v>
      </c>
      <c r="L37">
        <v>-5.17</v>
      </c>
      <c r="M37">
        <v>1.39</v>
      </c>
      <c r="N37">
        <f t="shared" si="0"/>
        <v>0</v>
      </c>
      <c r="O37" t="str">
        <f t="shared" si="1"/>
        <v/>
      </c>
    </row>
    <row r="38" spans="1:15" x14ac:dyDescent="0.25">
      <c r="A38" s="1">
        <v>42455</v>
      </c>
      <c r="B38" s="2">
        <v>0.33888888888888891</v>
      </c>
      <c r="C38" s="3">
        <v>0.33888888888888891</v>
      </c>
      <c r="D38">
        <v>5.68</v>
      </c>
      <c r="E38">
        <v>-5.18</v>
      </c>
      <c r="F38">
        <v>8.6199999999999992</v>
      </c>
      <c r="G38">
        <v>3.66</v>
      </c>
      <c r="H38">
        <v>7.27</v>
      </c>
      <c r="I38">
        <v>-0.88</v>
      </c>
      <c r="J38">
        <v>8.69</v>
      </c>
      <c r="K38">
        <v>-6.24</v>
      </c>
      <c r="L38">
        <v>-5.52</v>
      </c>
      <c r="M38">
        <v>-4.67</v>
      </c>
      <c r="N38">
        <f t="shared" si="0"/>
        <v>1</v>
      </c>
      <c r="O38">
        <f t="shared" si="1"/>
        <v>7.27</v>
      </c>
    </row>
    <row r="39" spans="1:15" x14ac:dyDescent="0.25">
      <c r="A39" s="1">
        <v>42455</v>
      </c>
      <c r="B39" s="2">
        <v>0.37847222222222221</v>
      </c>
      <c r="C39" s="3">
        <v>0.37847222222222221</v>
      </c>
      <c r="D39">
        <v>-3.88</v>
      </c>
      <c r="E39">
        <v>-5.21</v>
      </c>
      <c r="F39">
        <v>8.26</v>
      </c>
      <c r="G39">
        <v>-0.96</v>
      </c>
      <c r="H39">
        <v>4.05</v>
      </c>
      <c r="I39">
        <v>-4.3099999999999996</v>
      </c>
      <c r="J39">
        <v>7.8</v>
      </c>
      <c r="K39">
        <v>6.75</v>
      </c>
      <c r="L39">
        <v>-0.73</v>
      </c>
      <c r="M39">
        <v>7.28</v>
      </c>
      <c r="N39">
        <f t="shared" si="0"/>
        <v>1</v>
      </c>
      <c r="O39">
        <f t="shared" si="1"/>
        <v>4.05</v>
      </c>
    </row>
    <row r="40" spans="1:15" x14ac:dyDescent="0.25">
      <c r="A40" s="1">
        <v>42456</v>
      </c>
      <c r="B40" s="2">
        <v>0.21388888888888888</v>
      </c>
      <c r="C40" s="3">
        <v>0.21388888888888888</v>
      </c>
      <c r="D40">
        <v>-4.4800000000000004</v>
      </c>
      <c r="E40">
        <v>-2.0499999999999998</v>
      </c>
      <c r="F40">
        <v>-7.14</v>
      </c>
      <c r="G40">
        <v>5.1100000000000003</v>
      </c>
      <c r="H40">
        <v>6.37</v>
      </c>
      <c r="I40">
        <v>7.34</v>
      </c>
      <c r="J40">
        <v>-4.9000000000000004</v>
      </c>
      <c r="K40">
        <v>-2.2599999999999998</v>
      </c>
      <c r="L40">
        <v>0.23</v>
      </c>
      <c r="M40">
        <v>7.99</v>
      </c>
      <c r="N40">
        <f t="shared" si="0"/>
        <v>1</v>
      </c>
      <c r="O40">
        <f t="shared" si="1"/>
        <v>6.37</v>
      </c>
    </row>
    <row r="41" spans="1:15" x14ac:dyDescent="0.25">
      <c r="A41" s="1">
        <v>42457</v>
      </c>
      <c r="B41" s="2">
        <v>0.17222222222222222</v>
      </c>
      <c r="C41" s="3">
        <v>0.17222222222222222</v>
      </c>
      <c r="D41">
        <v>-3.04</v>
      </c>
      <c r="E41">
        <v>-1.24</v>
      </c>
      <c r="F41">
        <v>2.62</v>
      </c>
      <c r="G41">
        <v>4.42</v>
      </c>
      <c r="H41">
        <v>7.46</v>
      </c>
      <c r="I41">
        <v>0.77</v>
      </c>
      <c r="J41">
        <v>-0.67</v>
      </c>
      <c r="K41">
        <v>5.8</v>
      </c>
      <c r="L41">
        <v>-7.14</v>
      </c>
      <c r="M41">
        <v>6.48</v>
      </c>
      <c r="N41">
        <f t="shared" si="0"/>
        <v>0</v>
      </c>
      <c r="O41" t="str">
        <f t="shared" si="1"/>
        <v/>
      </c>
    </row>
    <row r="42" spans="1:15" x14ac:dyDescent="0.25">
      <c r="A42" s="1">
        <v>42458</v>
      </c>
      <c r="B42" s="2">
        <v>0.29791666666666666</v>
      </c>
      <c r="C42" s="3">
        <v>0.29791666666666666</v>
      </c>
      <c r="D42">
        <v>-2.12</v>
      </c>
      <c r="E42">
        <v>-6.19</v>
      </c>
      <c r="F42">
        <v>4.76</v>
      </c>
      <c r="G42">
        <v>4.5599999999999996</v>
      </c>
      <c r="H42">
        <v>3.19</v>
      </c>
      <c r="I42">
        <v>-2.29</v>
      </c>
      <c r="J42">
        <v>5.0999999999999996</v>
      </c>
      <c r="K42">
        <v>-5.75</v>
      </c>
      <c r="L42">
        <v>3.63</v>
      </c>
      <c r="M42">
        <v>1.36</v>
      </c>
      <c r="N42">
        <f t="shared" si="0"/>
        <v>1</v>
      </c>
      <c r="O42">
        <f t="shared" si="1"/>
        <v>3.19</v>
      </c>
    </row>
    <row r="43" spans="1:15" x14ac:dyDescent="0.25">
      <c r="A43" s="1">
        <v>42468</v>
      </c>
      <c r="B43" s="2">
        <v>0.21180555555555555</v>
      </c>
      <c r="C43" s="3">
        <v>0.21180555555555555</v>
      </c>
      <c r="D43">
        <v>10.07</v>
      </c>
      <c r="E43">
        <v>12.84</v>
      </c>
      <c r="F43">
        <v>10.24</v>
      </c>
      <c r="G43">
        <v>13.91</v>
      </c>
      <c r="H43">
        <v>10.67</v>
      </c>
      <c r="I43">
        <v>14.11</v>
      </c>
      <c r="J43">
        <v>15.18</v>
      </c>
      <c r="K43">
        <v>13.07</v>
      </c>
      <c r="L43">
        <v>14.39</v>
      </c>
      <c r="M43">
        <v>13.78</v>
      </c>
      <c r="N43">
        <f t="shared" si="0"/>
        <v>1</v>
      </c>
      <c r="O43">
        <f t="shared" si="1"/>
        <v>10.67</v>
      </c>
    </row>
    <row r="44" spans="1:15" x14ac:dyDescent="0.25">
      <c r="A44" s="1">
        <v>42470</v>
      </c>
      <c r="B44" s="2">
        <v>0.38055555555555554</v>
      </c>
      <c r="C44" s="3">
        <v>0.38055555555555554</v>
      </c>
      <c r="D44">
        <v>14.14</v>
      </c>
      <c r="E44">
        <v>15.33</v>
      </c>
      <c r="F44">
        <v>13.07</v>
      </c>
      <c r="G44">
        <v>12.04</v>
      </c>
      <c r="H44">
        <v>13.18</v>
      </c>
      <c r="I44">
        <v>12.65</v>
      </c>
      <c r="J44">
        <v>10.72</v>
      </c>
      <c r="K44">
        <v>11.66</v>
      </c>
      <c r="L44">
        <v>13</v>
      </c>
      <c r="M44">
        <v>14.21</v>
      </c>
      <c r="N44">
        <f t="shared" si="0"/>
        <v>1</v>
      </c>
      <c r="O44">
        <f t="shared" si="1"/>
        <v>13.18</v>
      </c>
    </row>
    <row r="45" spans="1:15" x14ac:dyDescent="0.25">
      <c r="A45" s="1">
        <v>42472</v>
      </c>
      <c r="B45" s="2">
        <v>4.5138888888888888E-2</v>
      </c>
      <c r="C45" s="3">
        <v>4.5138888888888888E-2</v>
      </c>
      <c r="D45">
        <v>11.6</v>
      </c>
      <c r="E45">
        <v>13.95</v>
      </c>
      <c r="F45">
        <v>15.13</v>
      </c>
      <c r="G45">
        <v>10.73</v>
      </c>
      <c r="H45">
        <v>15.09</v>
      </c>
      <c r="I45">
        <v>15.98</v>
      </c>
      <c r="J45">
        <v>11.74</v>
      </c>
      <c r="K45">
        <v>15.38</v>
      </c>
      <c r="L45">
        <v>15.98</v>
      </c>
      <c r="M45">
        <v>12.9</v>
      </c>
      <c r="N45">
        <f t="shared" si="0"/>
        <v>0</v>
      </c>
      <c r="O45" t="str">
        <f t="shared" si="1"/>
        <v/>
      </c>
    </row>
    <row r="46" spans="1:15" x14ac:dyDescent="0.25">
      <c r="A46" s="1">
        <v>42475</v>
      </c>
      <c r="B46" s="2">
        <v>0.41944444444444445</v>
      </c>
      <c r="C46" s="3">
        <v>0.41944444444444445</v>
      </c>
      <c r="D46">
        <v>14.13</v>
      </c>
      <c r="E46">
        <v>13.61</v>
      </c>
      <c r="F46">
        <v>14.61</v>
      </c>
      <c r="G46">
        <v>13.88</v>
      </c>
      <c r="H46">
        <v>15.76</v>
      </c>
      <c r="I46">
        <v>10.85</v>
      </c>
      <c r="J46">
        <v>12.11</v>
      </c>
      <c r="K46">
        <v>12.05</v>
      </c>
      <c r="L46">
        <v>11.87</v>
      </c>
      <c r="M46">
        <v>12.1</v>
      </c>
      <c r="N46">
        <f t="shared" si="0"/>
        <v>1</v>
      </c>
      <c r="O46">
        <f t="shared" si="1"/>
        <v>15.76</v>
      </c>
    </row>
    <row r="47" spans="1:15" x14ac:dyDescent="0.25">
      <c r="A47" s="1">
        <v>42478</v>
      </c>
      <c r="B47" s="2">
        <v>0.2951388888888889</v>
      </c>
      <c r="C47" s="3">
        <v>0.2951388888888889</v>
      </c>
      <c r="D47">
        <v>10.88</v>
      </c>
      <c r="E47">
        <v>12.02</v>
      </c>
      <c r="F47">
        <v>10.26</v>
      </c>
      <c r="G47">
        <v>15.41</v>
      </c>
      <c r="H47">
        <v>15.57</v>
      </c>
      <c r="I47">
        <v>13.27</v>
      </c>
      <c r="J47">
        <v>12.18</v>
      </c>
      <c r="K47">
        <v>13.91</v>
      </c>
      <c r="L47">
        <v>13.86</v>
      </c>
      <c r="M47">
        <v>10.08</v>
      </c>
      <c r="N47">
        <f t="shared" si="0"/>
        <v>1</v>
      </c>
      <c r="O47">
        <f t="shared" si="1"/>
        <v>15.57</v>
      </c>
    </row>
    <row r="48" spans="1:15" x14ac:dyDescent="0.25">
      <c r="A48" s="1">
        <v>42479</v>
      </c>
      <c r="B48" s="2">
        <v>2.0833333333333333E-3</v>
      </c>
      <c r="C48" s="3">
        <v>2.0833333333333333E-3</v>
      </c>
      <c r="D48">
        <v>15.28</v>
      </c>
      <c r="E48">
        <v>13.58</v>
      </c>
      <c r="F48">
        <v>12.71</v>
      </c>
      <c r="G48">
        <v>14.72</v>
      </c>
      <c r="H48">
        <v>12.47</v>
      </c>
      <c r="I48">
        <v>12.44</v>
      </c>
      <c r="J48">
        <v>14.64</v>
      </c>
      <c r="K48">
        <v>14.58</v>
      </c>
      <c r="L48">
        <v>13.66</v>
      </c>
      <c r="M48">
        <v>13.6</v>
      </c>
      <c r="N48">
        <f t="shared" si="0"/>
        <v>0</v>
      </c>
      <c r="O48" t="str">
        <f t="shared" si="1"/>
        <v/>
      </c>
    </row>
    <row r="49" spans="1:15" x14ac:dyDescent="0.25">
      <c r="A49" s="1">
        <v>42480</v>
      </c>
      <c r="B49" s="2">
        <v>0.38124999999999998</v>
      </c>
      <c r="C49" s="3">
        <v>0.38124999999999998</v>
      </c>
      <c r="D49">
        <v>11.09</v>
      </c>
      <c r="E49">
        <v>15.36</v>
      </c>
      <c r="F49">
        <v>11.14</v>
      </c>
      <c r="G49">
        <v>13.51</v>
      </c>
      <c r="H49">
        <v>10.08</v>
      </c>
      <c r="I49">
        <v>15.95</v>
      </c>
      <c r="J49">
        <v>14.45</v>
      </c>
      <c r="K49">
        <v>13.94</v>
      </c>
      <c r="L49">
        <v>15.76</v>
      </c>
      <c r="M49">
        <v>13.03</v>
      </c>
      <c r="N49">
        <f t="shared" si="0"/>
        <v>1</v>
      </c>
      <c r="O49">
        <f t="shared" si="1"/>
        <v>10.08</v>
      </c>
    </row>
    <row r="50" spans="1:15" x14ac:dyDescent="0.25">
      <c r="A50" s="1">
        <v>42480</v>
      </c>
      <c r="B50" s="2">
        <v>0.45902777777777776</v>
      </c>
      <c r="C50" s="3">
        <v>0.45902777777777776</v>
      </c>
      <c r="D50">
        <v>10.38</v>
      </c>
      <c r="E50">
        <v>13.04</v>
      </c>
      <c r="F50">
        <v>11.9</v>
      </c>
      <c r="G50">
        <v>10.14</v>
      </c>
      <c r="H50">
        <v>12.18</v>
      </c>
      <c r="I50">
        <v>14.79</v>
      </c>
      <c r="J50">
        <v>13.13</v>
      </c>
      <c r="K50">
        <v>13.52</v>
      </c>
      <c r="L50">
        <v>15.54</v>
      </c>
      <c r="M50">
        <v>13.14</v>
      </c>
      <c r="N50">
        <f t="shared" si="0"/>
        <v>1</v>
      </c>
      <c r="O50">
        <f t="shared" si="1"/>
        <v>12.18</v>
      </c>
    </row>
    <row r="51" spans="1:15" x14ac:dyDescent="0.25">
      <c r="A51" s="1">
        <v>42484</v>
      </c>
      <c r="B51" s="2">
        <v>0.25416666666666665</v>
      </c>
      <c r="C51" s="3">
        <v>0.25416666666666665</v>
      </c>
      <c r="D51">
        <v>15.66</v>
      </c>
      <c r="E51">
        <v>10.97</v>
      </c>
      <c r="F51">
        <v>10.1</v>
      </c>
      <c r="G51">
        <v>12.99</v>
      </c>
      <c r="H51">
        <v>11.07</v>
      </c>
      <c r="I51">
        <v>11.1</v>
      </c>
      <c r="J51">
        <v>10.64</v>
      </c>
      <c r="K51">
        <v>12.18</v>
      </c>
      <c r="L51">
        <v>12.63</v>
      </c>
      <c r="M51">
        <v>12.33</v>
      </c>
      <c r="N51">
        <f t="shared" si="0"/>
        <v>1</v>
      </c>
      <c r="O51">
        <f t="shared" si="1"/>
        <v>11.07</v>
      </c>
    </row>
    <row r="52" spans="1:15" x14ac:dyDescent="0.25">
      <c r="A52" s="1">
        <v>42485</v>
      </c>
      <c r="B52" s="2">
        <v>8.4027777777777785E-2</v>
      </c>
      <c r="C52" s="3">
        <v>8.4027777777777785E-2</v>
      </c>
      <c r="D52">
        <v>11.94</v>
      </c>
      <c r="E52">
        <v>13.57</v>
      </c>
      <c r="F52">
        <v>10.050000000000001</v>
      </c>
      <c r="G52">
        <v>11.85</v>
      </c>
      <c r="H52">
        <v>10.59</v>
      </c>
      <c r="I52">
        <v>14.12</v>
      </c>
      <c r="J52">
        <v>14.27</v>
      </c>
      <c r="K52">
        <v>15.81</v>
      </c>
      <c r="L52">
        <v>14</v>
      </c>
      <c r="M52">
        <v>14.16</v>
      </c>
      <c r="N52">
        <f t="shared" si="0"/>
        <v>0</v>
      </c>
      <c r="O52" t="str">
        <f t="shared" si="1"/>
        <v/>
      </c>
    </row>
    <row r="53" spans="1:15" x14ac:dyDescent="0.25">
      <c r="A53" s="1">
        <v>42485</v>
      </c>
      <c r="B53" s="2">
        <v>8.4722222222222227E-2</v>
      </c>
      <c r="C53" s="3">
        <v>8.4722222222222227E-2</v>
      </c>
      <c r="D53">
        <v>14.53</v>
      </c>
      <c r="E53">
        <v>13.21</v>
      </c>
      <c r="F53">
        <v>10.84</v>
      </c>
      <c r="G53">
        <v>10.95</v>
      </c>
      <c r="H53">
        <v>11.65</v>
      </c>
      <c r="I53">
        <v>11.34</v>
      </c>
      <c r="J53">
        <v>13.76</v>
      </c>
      <c r="K53">
        <v>12.75</v>
      </c>
      <c r="L53">
        <v>10.43</v>
      </c>
      <c r="M53">
        <v>12.8</v>
      </c>
      <c r="N53">
        <f t="shared" si="0"/>
        <v>0</v>
      </c>
      <c r="O53" t="str">
        <f t="shared" si="1"/>
        <v/>
      </c>
    </row>
    <row r="54" spans="1:15" x14ac:dyDescent="0.25">
      <c r="A54" s="1">
        <v>42487</v>
      </c>
      <c r="B54" s="2">
        <v>0.42152777777777778</v>
      </c>
      <c r="C54" s="3">
        <v>0.42152777777777778</v>
      </c>
      <c r="D54">
        <v>10.98</v>
      </c>
      <c r="E54">
        <v>10.53</v>
      </c>
      <c r="F54">
        <v>14.64</v>
      </c>
      <c r="G54">
        <v>15.37</v>
      </c>
      <c r="H54">
        <v>13.4</v>
      </c>
      <c r="I54">
        <v>14.22</v>
      </c>
      <c r="J54">
        <v>11.15</v>
      </c>
      <c r="K54">
        <v>12.45</v>
      </c>
      <c r="L54">
        <v>12.96</v>
      </c>
      <c r="M54">
        <v>11.15</v>
      </c>
      <c r="N54">
        <f t="shared" si="0"/>
        <v>1</v>
      </c>
      <c r="O54">
        <f t="shared" si="1"/>
        <v>13.4</v>
      </c>
    </row>
    <row r="55" spans="1:15" x14ac:dyDescent="0.25">
      <c r="A55" s="1">
        <v>42489</v>
      </c>
      <c r="B55" s="2">
        <v>0.33333333333333331</v>
      </c>
      <c r="C55" s="3">
        <v>0.33333333333333331</v>
      </c>
      <c r="D55">
        <v>12.88</v>
      </c>
      <c r="E55">
        <v>11.25</v>
      </c>
      <c r="F55">
        <v>12.97</v>
      </c>
      <c r="G55">
        <v>11.16</v>
      </c>
      <c r="H55">
        <v>10.89</v>
      </c>
      <c r="I55">
        <v>10.210000000000001</v>
      </c>
      <c r="J55">
        <v>11.49</v>
      </c>
      <c r="K55">
        <v>15.32</v>
      </c>
      <c r="L55">
        <v>12.4</v>
      </c>
      <c r="M55">
        <v>13.67</v>
      </c>
      <c r="N55">
        <f t="shared" si="0"/>
        <v>1</v>
      </c>
      <c r="O55">
        <f t="shared" si="1"/>
        <v>10.89</v>
      </c>
    </row>
    <row r="56" spans="1:15" x14ac:dyDescent="0.25">
      <c r="A56" s="1">
        <v>42492</v>
      </c>
      <c r="B56" s="2">
        <v>0.41944444444444445</v>
      </c>
      <c r="C56" s="3">
        <v>0.41944444444444445</v>
      </c>
      <c r="D56">
        <v>11.74</v>
      </c>
      <c r="E56">
        <v>12.79</v>
      </c>
      <c r="F56">
        <v>11.07</v>
      </c>
      <c r="G56">
        <v>15.77</v>
      </c>
      <c r="H56">
        <v>14.3</v>
      </c>
      <c r="I56">
        <v>11.61</v>
      </c>
      <c r="J56">
        <v>12.88</v>
      </c>
      <c r="K56">
        <v>12.58</v>
      </c>
      <c r="L56">
        <v>13.63</v>
      </c>
      <c r="M56">
        <v>15.37</v>
      </c>
      <c r="N56">
        <f t="shared" si="0"/>
        <v>1</v>
      </c>
      <c r="O56">
        <f t="shared" si="1"/>
        <v>14.3</v>
      </c>
    </row>
    <row r="57" spans="1:15" x14ac:dyDescent="0.25">
      <c r="A57" s="1">
        <v>42493</v>
      </c>
      <c r="B57" s="2">
        <v>0.33541666666666664</v>
      </c>
      <c r="C57" s="3">
        <v>0.33541666666666664</v>
      </c>
      <c r="D57">
        <v>13.25</v>
      </c>
      <c r="E57">
        <v>14.97</v>
      </c>
      <c r="F57">
        <v>14.88</v>
      </c>
      <c r="G57">
        <v>14.41</v>
      </c>
      <c r="H57">
        <v>10.82</v>
      </c>
      <c r="I57">
        <v>14.32</v>
      </c>
      <c r="J57">
        <v>13.72</v>
      </c>
      <c r="K57">
        <v>10.88</v>
      </c>
      <c r="L57">
        <v>12.95</v>
      </c>
      <c r="M57">
        <v>12.52</v>
      </c>
      <c r="N57">
        <f t="shared" si="0"/>
        <v>1</v>
      </c>
      <c r="O57">
        <f t="shared" si="1"/>
        <v>10.82</v>
      </c>
    </row>
    <row r="58" spans="1:15" x14ac:dyDescent="0.25">
      <c r="A58" s="1">
        <v>42495</v>
      </c>
      <c r="B58" s="2">
        <v>0.2951388888888889</v>
      </c>
      <c r="C58" s="3">
        <v>0.2951388888888889</v>
      </c>
      <c r="D58">
        <v>10.66</v>
      </c>
      <c r="E58">
        <v>10.59</v>
      </c>
      <c r="F58">
        <v>15.14</v>
      </c>
      <c r="G58">
        <v>12.6</v>
      </c>
      <c r="H58">
        <v>11.47</v>
      </c>
      <c r="I58">
        <v>14.91</v>
      </c>
      <c r="J58">
        <v>14.33</v>
      </c>
      <c r="K58">
        <v>14.52</v>
      </c>
      <c r="L58">
        <v>11.65</v>
      </c>
      <c r="M58">
        <v>15.58</v>
      </c>
      <c r="N58">
        <f t="shared" si="0"/>
        <v>1</v>
      </c>
      <c r="O58">
        <f t="shared" si="1"/>
        <v>11.47</v>
      </c>
    </row>
    <row r="59" spans="1:15" x14ac:dyDescent="0.25">
      <c r="A59" s="1">
        <v>42495</v>
      </c>
      <c r="B59" s="2">
        <v>0.42152777777777778</v>
      </c>
      <c r="C59" s="3">
        <v>0.42152777777777778</v>
      </c>
      <c r="D59">
        <v>12.4</v>
      </c>
      <c r="E59">
        <v>11.85</v>
      </c>
      <c r="F59">
        <v>12.06</v>
      </c>
      <c r="G59">
        <v>14.95</v>
      </c>
      <c r="H59">
        <v>15.02</v>
      </c>
      <c r="I59">
        <v>15.09</v>
      </c>
      <c r="J59">
        <v>12.53</v>
      </c>
      <c r="K59">
        <v>11.35</v>
      </c>
      <c r="L59">
        <v>13.64</v>
      </c>
      <c r="M59">
        <v>10.47</v>
      </c>
      <c r="N59">
        <f t="shared" si="0"/>
        <v>1</v>
      </c>
      <c r="O59">
        <f t="shared" si="1"/>
        <v>15.02</v>
      </c>
    </row>
    <row r="60" spans="1:15" x14ac:dyDescent="0.25">
      <c r="A60" s="1">
        <v>42495</v>
      </c>
      <c r="B60" s="2">
        <v>0.46527777777777779</v>
      </c>
      <c r="C60" s="3">
        <v>0.46527777777777779</v>
      </c>
      <c r="D60">
        <v>14.22</v>
      </c>
      <c r="E60">
        <v>11.25</v>
      </c>
      <c r="F60">
        <v>14.05</v>
      </c>
      <c r="G60">
        <v>12.08</v>
      </c>
      <c r="H60">
        <v>10.1</v>
      </c>
      <c r="I60">
        <v>15.84</v>
      </c>
      <c r="J60">
        <v>12.87</v>
      </c>
      <c r="K60">
        <v>15.35</v>
      </c>
      <c r="L60">
        <v>12.14</v>
      </c>
      <c r="M60">
        <v>11.93</v>
      </c>
      <c r="N60">
        <f t="shared" si="0"/>
        <v>1</v>
      </c>
      <c r="O60">
        <f t="shared" si="1"/>
        <v>10.1</v>
      </c>
    </row>
    <row r="61" spans="1:15" x14ac:dyDescent="0.25">
      <c r="A61" s="1">
        <v>42496</v>
      </c>
      <c r="B61" s="2">
        <v>0.42083333333333334</v>
      </c>
      <c r="C61" s="3">
        <v>0.42083333333333334</v>
      </c>
      <c r="D61">
        <v>14.83</v>
      </c>
      <c r="E61">
        <v>10.01</v>
      </c>
      <c r="F61">
        <v>15.51</v>
      </c>
      <c r="G61">
        <v>11</v>
      </c>
      <c r="H61">
        <v>11.29</v>
      </c>
      <c r="I61">
        <v>13.42</v>
      </c>
      <c r="J61">
        <v>15.92</v>
      </c>
      <c r="K61">
        <v>15.81</v>
      </c>
      <c r="L61">
        <v>11.2</v>
      </c>
      <c r="M61">
        <v>15.53</v>
      </c>
      <c r="N61">
        <f t="shared" si="0"/>
        <v>1</v>
      </c>
      <c r="O61">
        <f t="shared" si="1"/>
        <v>11.29</v>
      </c>
    </row>
    <row r="62" spans="1:15" x14ac:dyDescent="0.25">
      <c r="A62" s="1">
        <v>42498</v>
      </c>
      <c r="B62" s="2">
        <v>0.12916666666666668</v>
      </c>
      <c r="C62" s="3">
        <v>0.12916666666666668</v>
      </c>
      <c r="D62">
        <v>13.62</v>
      </c>
      <c r="E62">
        <v>13.57</v>
      </c>
      <c r="F62">
        <v>12.68</v>
      </c>
      <c r="G62">
        <v>15.88</v>
      </c>
      <c r="H62">
        <v>13.23</v>
      </c>
      <c r="I62">
        <v>14.1</v>
      </c>
      <c r="J62">
        <v>15.41</v>
      </c>
      <c r="K62">
        <v>11.12</v>
      </c>
      <c r="L62">
        <v>10.81</v>
      </c>
      <c r="M62">
        <v>13.61</v>
      </c>
      <c r="N62">
        <f t="shared" si="0"/>
        <v>0</v>
      </c>
      <c r="O62" t="str">
        <f t="shared" si="1"/>
        <v/>
      </c>
    </row>
    <row r="63" spans="1:15" x14ac:dyDescent="0.25">
      <c r="A63" s="1">
        <v>42498</v>
      </c>
      <c r="B63" s="2">
        <v>0.21180555555555555</v>
      </c>
      <c r="C63" s="3">
        <v>0.21180555555555555</v>
      </c>
      <c r="D63">
        <v>12.25</v>
      </c>
      <c r="E63">
        <v>14.89</v>
      </c>
      <c r="F63">
        <v>13.86</v>
      </c>
      <c r="G63">
        <v>13.98</v>
      </c>
      <c r="H63">
        <v>11.99</v>
      </c>
      <c r="I63">
        <v>15.06</v>
      </c>
      <c r="J63">
        <v>11.13</v>
      </c>
      <c r="K63">
        <v>13.91</v>
      </c>
      <c r="L63">
        <v>15.56</v>
      </c>
      <c r="M63">
        <v>10.97</v>
      </c>
      <c r="N63">
        <f t="shared" si="0"/>
        <v>1</v>
      </c>
      <c r="O63">
        <f t="shared" si="1"/>
        <v>11.99</v>
      </c>
    </row>
    <row r="64" spans="1:15" x14ac:dyDescent="0.25">
      <c r="A64" s="1">
        <v>42499</v>
      </c>
      <c r="B64" s="2">
        <v>0.21180555555555555</v>
      </c>
      <c r="C64" s="3">
        <v>0.21180555555555555</v>
      </c>
      <c r="D64">
        <v>15.82</v>
      </c>
      <c r="E64">
        <v>14.33</v>
      </c>
      <c r="F64">
        <v>10.41</v>
      </c>
      <c r="G64">
        <v>11.75</v>
      </c>
      <c r="H64">
        <v>15.72</v>
      </c>
      <c r="I64">
        <v>11.51</v>
      </c>
      <c r="J64">
        <v>11.37</v>
      </c>
      <c r="K64">
        <v>15.73</v>
      </c>
      <c r="L64">
        <v>15.44</v>
      </c>
      <c r="M64">
        <v>11.55</v>
      </c>
      <c r="N64">
        <f t="shared" si="0"/>
        <v>1</v>
      </c>
      <c r="O64">
        <f t="shared" si="1"/>
        <v>15.72</v>
      </c>
    </row>
    <row r="65" spans="1:15" x14ac:dyDescent="0.25">
      <c r="A65" s="1">
        <v>42500</v>
      </c>
      <c r="B65" s="2">
        <v>0.33611111111111114</v>
      </c>
      <c r="C65" s="3">
        <v>0.33611111111111114</v>
      </c>
      <c r="D65">
        <v>12.47</v>
      </c>
      <c r="E65">
        <v>14.01</v>
      </c>
      <c r="F65">
        <v>15.38</v>
      </c>
      <c r="G65">
        <v>12.72</v>
      </c>
      <c r="H65">
        <v>12.33</v>
      </c>
      <c r="I65">
        <v>14.07</v>
      </c>
      <c r="J65">
        <v>11.91</v>
      </c>
      <c r="K65">
        <v>14.59</v>
      </c>
      <c r="L65">
        <v>10.58</v>
      </c>
      <c r="M65">
        <v>13.95</v>
      </c>
      <c r="N65">
        <f t="shared" si="0"/>
        <v>1</v>
      </c>
      <c r="O65">
        <f t="shared" si="1"/>
        <v>12.33</v>
      </c>
    </row>
    <row r="66" spans="1:15" x14ac:dyDescent="0.25">
      <c r="A66" s="1">
        <v>42501</v>
      </c>
      <c r="B66" s="2">
        <v>0.29166666666666669</v>
      </c>
      <c r="C66" s="3">
        <v>0.29166666666666669</v>
      </c>
      <c r="D66">
        <v>15.8</v>
      </c>
      <c r="E66">
        <v>13.11</v>
      </c>
      <c r="F66">
        <v>13.43</v>
      </c>
      <c r="G66">
        <v>10.32</v>
      </c>
      <c r="H66">
        <v>14.2</v>
      </c>
      <c r="I66">
        <v>11.41</v>
      </c>
      <c r="J66">
        <v>10.69</v>
      </c>
      <c r="K66">
        <v>15.02</v>
      </c>
      <c r="L66">
        <v>12.21</v>
      </c>
      <c r="M66">
        <v>10.54</v>
      </c>
      <c r="N66">
        <f t="shared" si="0"/>
        <v>1</v>
      </c>
      <c r="O66">
        <f t="shared" si="1"/>
        <v>14.2</v>
      </c>
    </row>
    <row r="67" spans="1:15" x14ac:dyDescent="0.25">
      <c r="A67" s="1">
        <v>42502</v>
      </c>
      <c r="B67" s="2">
        <v>0.21249999999999999</v>
      </c>
      <c r="C67" s="3">
        <v>0.21249999999999999</v>
      </c>
      <c r="D67">
        <v>11.1</v>
      </c>
      <c r="E67">
        <v>10.71</v>
      </c>
      <c r="F67">
        <v>10.75</v>
      </c>
      <c r="G67">
        <v>13.22</v>
      </c>
      <c r="H67">
        <v>14.26</v>
      </c>
      <c r="I67">
        <v>12.59</v>
      </c>
      <c r="J67">
        <v>12.93</v>
      </c>
      <c r="K67">
        <v>15.27</v>
      </c>
      <c r="L67">
        <v>13</v>
      </c>
      <c r="M67">
        <v>13.55</v>
      </c>
      <c r="N67">
        <f t="shared" ref="N67:N130" si="2">IF(AND(C67&gt;=$R$2,C67&lt;=$R$3),1,0)</f>
        <v>1</v>
      </c>
      <c r="O67">
        <f t="shared" ref="O67:O130" si="3">IF(N67=1,H67,"")</f>
        <v>14.26</v>
      </c>
    </row>
    <row r="68" spans="1:15" x14ac:dyDescent="0.25">
      <c r="A68" s="1">
        <v>42504</v>
      </c>
      <c r="B68" s="2">
        <v>0.25277777777777777</v>
      </c>
      <c r="C68" s="3">
        <v>0.25277777777777777</v>
      </c>
      <c r="D68">
        <v>11.68</v>
      </c>
      <c r="E68">
        <v>11.47</v>
      </c>
      <c r="F68">
        <v>13.02</v>
      </c>
      <c r="G68">
        <v>15.91</v>
      </c>
      <c r="H68">
        <v>15.06</v>
      </c>
      <c r="I68">
        <v>12.81</v>
      </c>
      <c r="J68">
        <v>13.48</v>
      </c>
      <c r="K68">
        <v>15.31</v>
      </c>
      <c r="L68">
        <v>12.15</v>
      </c>
      <c r="M68">
        <v>15.42</v>
      </c>
      <c r="N68">
        <f t="shared" si="2"/>
        <v>1</v>
      </c>
      <c r="O68">
        <f t="shared" si="3"/>
        <v>15.06</v>
      </c>
    </row>
    <row r="69" spans="1:15" x14ac:dyDescent="0.25">
      <c r="A69" s="1">
        <v>42505</v>
      </c>
      <c r="B69" s="2">
        <v>0.21666666666666667</v>
      </c>
      <c r="C69" s="3">
        <v>0.21666666666666667</v>
      </c>
      <c r="D69">
        <v>10.51</v>
      </c>
      <c r="E69">
        <v>14.98</v>
      </c>
      <c r="F69">
        <v>11.3</v>
      </c>
      <c r="G69">
        <v>13.92</v>
      </c>
      <c r="H69">
        <v>11.65</v>
      </c>
      <c r="I69">
        <v>11.59</v>
      </c>
      <c r="J69">
        <v>12.63</v>
      </c>
      <c r="K69">
        <v>11.94</v>
      </c>
      <c r="L69">
        <v>15.32</v>
      </c>
      <c r="M69">
        <v>15.34</v>
      </c>
      <c r="N69">
        <f t="shared" si="2"/>
        <v>1</v>
      </c>
      <c r="O69">
        <f t="shared" si="3"/>
        <v>11.65</v>
      </c>
    </row>
    <row r="70" spans="1:15" x14ac:dyDescent="0.25">
      <c r="A70" s="1">
        <v>42508</v>
      </c>
      <c r="B70" s="2">
        <v>0.42152777777777778</v>
      </c>
      <c r="C70" s="3">
        <v>0.42152777777777778</v>
      </c>
      <c r="D70">
        <v>15.87</v>
      </c>
      <c r="E70">
        <v>13.65</v>
      </c>
      <c r="F70">
        <v>11.34</v>
      </c>
      <c r="G70">
        <v>11.16</v>
      </c>
      <c r="H70">
        <v>13.12</v>
      </c>
      <c r="I70">
        <v>15.5</v>
      </c>
      <c r="J70">
        <v>15.84</v>
      </c>
      <c r="K70">
        <v>12.26</v>
      </c>
      <c r="L70">
        <v>10.69</v>
      </c>
      <c r="M70">
        <v>15.72</v>
      </c>
      <c r="N70">
        <f t="shared" si="2"/>
        <v>1</v>
      </c>
      <c r="O70">
        <f t="shared" si="3"/>
        <v>13.12</v>
      </c>
    </row>
    <row r="71" spans="1:15" x14ac:dyDescent="0.25">
      <c r="A71" s="1">
        <v>42511</v>
      </c>
      <c r="B71" s="2">
        <v>0.1673611111111111</v>
      </c>
      <c r="C71" s="3">
        <v>0.1673611111111111</v>
      </c>
      <c r="D71">
        <v>10.07</v>
      </c>
      <c r="E71">
        <v>14.53</v>
      </c>
      <c r="F71">
        <v>10.54</v>
      </c>
      <c r="G71">
        <v>13.02</v>
      </c>
      <c r="H71">
        <v>10.56</v>
      </c>
      <c r="I71">
        <v>15.58</v>
      </c>
      <c r="J71">
        <v>14.05</v>
      </c>
      <c r="K71">
        <v>13.12</v>
      </c>
      <c r="L71">
        <v>14.65</v>
      </c>
      <c r="M71">
        <v>14.15</v>
      </c>
      <c r="N71">
        <f t="shared" si="2"/>
        <v>0</v>
      </c>
      <c r="O71" t="str">
        <f t="shared" si="3"/>
        <v/>
      </c>
    </row>
    <row r="72" spans="1:15" x14ac:dyDescent="0.25">
      <c r="A72" s="1">
        <v>42512</v>
      </c>
      <c r="B72" s="2">
        <v>0.29722222222222222</v>
      </c>
      <c r="C72" s="3">
        <v>0.29722222222222222</v>
      </c>
      <c r="D72">
        <v>13.92</v>
      </c>
      <c r="E72">
        <v>10.86</v>
      </c>
      <c r="F72">
        <v>11.05</v>
      </c>
      <c r="G72">
        <v>14.16</v>
      </c>
      <c r="H72">
        <v>11.48</v>
      </c>
      <c r="I72">
        <v>10.45</v>
      </c>
      <c r="J72">
        <v>14.61</v>
      </c>
      <c r="K72">
        <v>12.83</v>
      </c>
      <c r="L72">
        <v>12.25</v>
      </c>
      <c r="M72">
        <v>14.67</v>
      </c>
      <c r="N72">
        <f t="shared" si="2"/>
        <v>1</v>
      </c>
      <c r="O72">
        <f t="shared" si="3"/>
        <v>11.48</v>
      </c>
    </row>
    <row r="73" spans="1:15" x14ac:dyDescent="0.25">
      <c r="A73" s="1">
        <v>42517</v>
      </c>
      <c r="B73" s="2">
        <v>0.38055555555555554</v>
      </c>
      <c r="C73" s="3">
        <v>0.38055555555555554</v>
      </c>
      <c r="D73">
        <v>15.58</v>
      </c>
      <c r="E73">
        <v>13.33</v>
      </c>
      <c r="F73">
        <v>15.53</v>
      </c>
      <c r="G73">
        <v>12.12</v>
      </c>
      <c r="H73">
        <v>10.78</v>
      </c>
      <c r="I73">
        <v>15.67</v>
      </c>
      <c r="J73">
        <v>12.74</v>
      </c>
      <c r="K73">
        <v>12.88</v>
      </c>
      <c r="L73">
        <v>11.93</v>
      </c>
      <c r="M73">
        <v>11.17</v>
      </c>
      <c r="N73">
        <f t="shared" si="2"/>
        <v>1</v>
      </c>
      <c r="O73">
        <f t="shared" si="3"/>
        <v>10.78</v>
      </c>
    </row>
    <row r="74" spans="1:15" x14ac:dyDescent="0.25">
      <c r="A74" s="1">
        <v>42518</v>
      </c>
      <c r="B74" s="2">
        <v>8.9583333333333334E-2</v>
      </c>
      <c r="C74" s="3">
        <v>8.9583333333333334E-2</v>
      </c>
      <c r="D74">
        <v>14.66</v>
      </c>
      <c r="E74">
        <v>12.46</v>
      </c>
      <c r="F74">
        <v>12.31</v>
      </c>
      <c r="G74">
        <v>10.050000000000001</v>
      </c>
      <c r="H74">
        <v>15.48</v>
      </c>
      <c r="I74">
        <v>15.29</v>
      </c>
      <c r="J74">
        <v>15.23</v>
      </c>
      <c r="K74">
        <v>15.32</v>
      </c>
      <c r="L74">
        <v>13.62</v>
      </c>
      <c r="M74">
        <v>15.68</v>
      </c>
      <c r="N74">
        <f t="shared" si="2"/>
        <v>0</v>
      </c>
      <c r="O74" t="str">
        <f t="shared" si="3"/>
        <v/>
      </c>
    </row>
    <row r="75" spans="1:15" x14ac:dyDescent="0.25">
      <c r="A75" s="1">
        <v>42523</v>
      </c>
      <c r="B75" s="2">
        <v>0.4201388888888889</v>
      </c>
      <c r="C75" s="3">
        <v>0.4201388888888889</v>
      </c>
      <c r="D75">
        <v>19.510000000000002</v>
      </c>
      <c r="E75">
        <v>12.69</v>
      </c>
      <c r="F75">
        <v>11.38</v>
      </c>
      <c r="G75">
        <v>15.99</v>
      </c>
      <c r="H75">
        <v>15.35</v>
      </c>
      <c r="I75">
        <v>17.239999999999998</v>
      </c>
      <c r="J75">
        <v>12.54</v>
      </c>
      <c r="K75">
        <v>12.24</v>
      </c>
      <c r="L75">
        <v>13.03</v>
      </c>
      <c r="M75">
        <v>19.329999999999998</v>
      </c>
      <c r="N75">
        <f t="shared" si="2"/>
        <v>1</v>
      </c>
      <c r="O75">
        <f t="shared" si="3"/>
        <v>15.35</v>
      </c>
    </row>
    <row r="76" spans="1:15" x14ac:dyDescent="0.25">
      <c r="A76" s="1">
        <v>42526</v>
      </c>
      <c r="B76" s="2">
        <v>8.5416666666666669E-2</v>
      </c>
      <c r="C76" s="3">
        <v>8.5416666666666669E-2</v>
      </c>
      <c r="D76">
        <v>10.039999999999999</v>
      </c>
      <c r="E76">
        <v>10.19</v>
      </c>
      <c r="F76">
        <v>19.75</v>
      </c>
      <c r="G76">
        <v>15.2</v>
      </c>
      <c r="H76">
        <v>18.100000000000001</v>
      </c>
      <c r="I76">
        <v>14.37</v>
      </c>
      <c r="J76">
        <v>15.28</v>
      </c>
      <c r="K76">
        <v>11.85</v>
      </c>
      <c r="L76">
        <v>12.32</v>
      </c>
      <c r="M76">
        <v>12.94</v>
      </c>
      <c r="N76">
        <f t="shared" si="2"/>
        <v>0</v>
      </c>
      <c r="O76" t="str">
        <f t="shared" si="3"/>
        <v/>
      </c>
    </row>
    <row r="77" spans="1:15" x14ac:dyDescent="0.25">
      <c r="A77" s="1">
        <v>42529</v>
      </c>
      <c r="B77" s="2">
        <v>0.12638888888888888</v>
      </c>
      <c r="C77" s="3">
        <v>0.12638888888888888</v>
      </c>
      <c r="D77">
        <v>11.12</v>
      </c>
      <c r="E77">
        <v>15.77</v>
      </c>
      <c r="F77">
        <v>19.170000000000002</v>
      </c>
      <c r="G77">
        <v>10.32</v>
      </c>
      <c r="H77">
        <v>10.9</v>
      </c>
      <c r="I77">
        <v>10.58</v>
      </c>
      <c r="J77">
        <v>16.86</v>
      </c>
      <c r="K77">
        <v>17.149999999999999</v>
      </c>
      <c r="L77">
        <v>19.41</v>
      </c>
      <c r="M77">
        <v>12.24</v>
      </c>
      <c r="N77">
        <f t="shared" si="2"/>
        <v>0</v>
      </c>
      <c r="O77" t="str">
        <f t="shared" si="3"/>
        <v/>
      </c>
    </row>
    <row r="78" spans="1:15" x14ac:dyDescent="0.25">
      <c r="A78" s="1">
        <v>42530</v>
      </c>
      <c r="B78" s="2">
        <v>4.5138888888888888E-2</v>
      </c>
      <c r="C78" s="3">
        <v>4.5138888888888888E-2</v>
      </c>
      <c r="D78">
        <v>14.55</v>
      </c>
      <c r="E78">
        <v>15.16</v>
      </c>
      <c r="F78">
        <v>11.74</v>
      </c>
      <c r="G78">
        <v>18.350000000000001</v>
      </c>
      <c r="H78">
        <v>10.87</v>
      </c>
      <c r="I78">
        <v>14.03</v>
      </c>
      <c r="J78">
        <v>14.75</v>
      </c>
      <c r="K78">
        <v>18.78</v>
      </c>
      <c r="L78">
        <v>15.52</v>
      </c>
      <c r="M78">
        <v>18.690000000000001</v>
      </c>
      <c r="N78">
        <f t="shared" si="2"/>
        <v>0</v>
      </c>
      <c r="O78" t="str">
        <f t="shared" si="3"/>
        <v/>
      </c>
    </row>
    <row r="79" spans="1:15" x14ac:dyDescent="0.25">
      <c r="A79" s="1">
        <v>42532</v>
      </c>
      <c r="B79" s="2">
        <v>0.17222222222222222</v>
      </c>
      <c r="C79" s="3">
        <v>0.17222222222222222</v>
      </c>
      <c r="D79">
        <v>17.7</v>
      </c>
      <c r="E79">
        <v>15.76</v>
      </c>
      <c r="F79">
        <v>11.34</v>
      </c>
      <c r="G79">
        <v>15.04</v>
      </c>
      <c r="H79">
        <v>16.18</v>
      </c>
      <c r="I79">
        <v>12.14</v>
      </c>
      <c r="J79">
        <v>13.44</v>
      </c>
      <c r="K79">
        <v>14.12</v>
      </c>
      <c r="L79">
        <v>15.27</v>
      </c>
      <c r="M79">
        <v>13.19</v>
      </c>
      <c r="N79">
        <f t="shared" si="2"/>
        <v>0</v>
      </c>
      <c r="O79" t="str">
        <f t="shared" si="3"/>
        <v/>
      </c>
    </row>
    <row r="80" spans="1:15" x14ac:dyDescent="0.25">
      <c r="A80" s="1">
        <v>42532</v>
      </c>
      <c r="B80" s="2">
        <v>0.41875000000000001</v>
      </c>
      <c r="C80" s="3">
        <v>0.41875000000000001</v>
      </c>
      <c r="D80">
        <v>13.13</v>
      </c>
      <c r="E80">
        <v>12.12</v>
      </c>
      <c r="F80">
        <v>11.6</v>
      </c>
      <c r="G80">
        <v>11.76</v>
      </c>
      <c r="H80">
        <v>16.309999999999999</v>
      </c>
      <c r="I80">
        <v>19.27</v>
      </c>
      <c r="J80">
        <v>17.64</v>
      </c>
      <c r="K80">
        <v>14.87</v>
      </c>
      <c r="L80">
        <v>11.94</v>
      </c>
      <c r="M80">
        <v>15.91</v>
      </c>
      <c r="N80">
        <f t="shared" si="2"/>
        <v>1</v>
      </c>
      <c r="O80">
        <f t="shared" si="3"/>
        <v>16.309999999999999</v>
      </c>
    </row>
    <row r="81" spans="1:15" x14ac:dyDescent="0.25">
      <c r="A81" s="1">
        <v>42534</v>
      </c>
      <c r="B81" s="2">
        <v>0.17291666666666666</v>
      </c>
      <c r="C81" s="3">
        <v>0.17291666666666666</v>
      </c>
      <c r="D81">
        <v>10.39</v>
      </c>
      <c r="E81">
        <v>13.61</v>
      </c>
      <c r="F81">
        <v>11.2</v>
      </c>
      <c r="G81">
        <v>14.79</v>
      </c>
      <c r="H81">
        <v>12.21</v>
      </c>
      <c r="I81">
        <v>16.760000000000002</v>
      </c>
      <c r="J81">
        <v>13.09</v>
      </c>
      <c r="K81">
        <v>14.26</v>
      </c>
      <c r="L81">
        <v>10.45</v>
      </c>
      <c r="M81">
        <v>11.46</v>
      </c>
      <c r="N81">
        <f t="shared" si="2"/>
        <v>0</v>
      </c>
      <c r="O81" t="str">
        <f t="shared" si="3"/>
        <v/>
      </c>
    </row>
    <row r="82" spans="1:15" x14ac:dyDescent="0.25">
      <c r="A82" s="1">
        <v>42534</v>
      </c>
      <c r="B82" s="2">
        <v>0.45833333333333331</v>
      </c>
      <c r="C82" s="3">
        <v>0.45833333333333331</v>
      </c>
      <c r="D82">
        <v>13.07</v>
      </c>
      <c r="E82">
        <v>17.61</v>
      </c>
      <c r="F82">
        <v>13.36</v>
      </c>
      <c r="G82">
        <v>19.489999999999998</v>
      </c>
      <c r="H82">
        <v>17.190000000000001</v>
      </c>
      <c r="I82">
        <v>12.99</v>
      </c>
      <c r="J82">
        <v>17.79</v>
      </c>
      <c r="K82">
        <v>18.54</v>
      </c>
      <c r="L82">
        <v>11.92</v>
      </c>
      <c r="M82">
        <v>16.47</v>
      </c>
      <c r="N82">
        <f t="shared" si="2"/>
        <v>1</v>
      </c>
      <c r="O82">
        <f t="shared" si="3"/>
        <v>17.190000000000001</v>
      </c>
    </row>
    <row r="83" spans="1:15" x14ac:dyDescent="0.25">
      <c r="A83" s="1">
        <v>42536</v>
      </c>
      <c r="B83" s="2">
        <v>0.25624999999999998</v>
      </c>
      <c r="C83" s="3">
        <v>0.25624999999999998</v>
      </c>
      <c r="D83">
        <v>17.18</v>
      </c>
      <c r="E83">
        <v>18.510000000000002</v>
      </c>
      <c r="F83">
        <v>18.23</v>
      </c>
      <c r="G83">
        <v>18.190000000000001</v>
      </c>
      <c r="H83">
        <v>17.61</v>
      </c>
      <c r="I83">
        <v>16.04</v>
      </c>
      <c r="J83">
        <v>14.39</v>
      </c>
      <c r="K83">
        <v>18.010000000000002</v>
      </c>
      <c r="L83">
        <v>14.9</v>
      </c>
      <c r="M83">
        <v>10.26</v>
      </c>
      <c r="N83">
        <f t="shared" si="2"/>
        <v>1</v>
      </c>
      <c r="O83">
        <f t="shared" si="3"/>
        <v>17.61</v>
      </c>
    </row>
    <row r="84" spans="1:15" x14ac:dyDescent="0.25">
      <c r="A84" s="1">
        <v>42536</v>
      </c>
      <c r="B84" s="2">
        <v>0.46111111111111114</v>
      </c>
      <c r="C84" s="3">
        <v>0.46111111111111114</v>
      </c>
      <c r="D84">
        <v>11.02</v>
      </c>
      <c r="E84">
        <v>16.95</v>
      </c>
      <c r="F84">
        <v>12.02</v>
      </c>
      <c r="G84">
        <v>10.31</v>
      </c>
      <c r="H84">
        <v>17.45</v>
      </c>
      <c r="I84">
        <v>18</v>
      </c>
      <c r="J84">
        <v>10.19</v>
      </c>
      <c r="K84">
        <v>13.26</v>
      </c>
      <c r="L84">
        <v>12.17</v>
      </c>
      <c r="M84">
        <v>14.58</v>
      </c>
      <c r="N84">
        <f t="shared" si="2"/>
        <v>1</v>
      </c>
      <c r="O84">
        <f t="shared" si="3"/>
        <v>17.45</v>
      </c>
    </row>
    <row r="85" spans="1:15" x14ac:dyDescent="0.25">
      <c r="A85" s="1">
        <v>42537</v>
      </c>
      <c r="B85" s="2">
        <v>8.9583333333333334E-2</v>
      </c>
      <c r="C85" s="3">
        <v>8.9583333333333334E-2</v>
      </c>
      <c r="D85">
        <v>12.05</v>
      </c>
      <c r="E85">
        <v>13.7</v>
      </c>
      <c r="F85">
        <v>12.71</v>
      </c>
      <c r="G85">
        <v>15.73</v>
      </c>
      <c r="H85">
        <v>19.93</v>
      </c>
      <c r="I85">
        <v>19.27</v>
      </c>
      <c r="J85">
        <v>11.13</v>
      </c>
      <c r="K85">
        <v>14.74</v>
      </c>
      <c r="L85">
        <v>15.42</v>
      </c>
      <c r="M85">
        <v>12.66</v>
      </c>
      <c r="N85">
        <f t="shared" si="2"/>
        <v>0</v>
      </c>
      <c r="O85" t="str">
        <f t="shared" si="3"/>
        <v/>
      </c>
    </row>
    <row r="86" spans="1:15" x14ac:dyDescent="0.25">
      <c r="A86" s="1">
        <v>42540</v>
      </c>
      <c r="B86" s="2">
        <v>0.37708333333333333</v>
      </c>
      <c r="C86" s="3">
        <v>0.37708333333333333</v>
      </c>
      <c r="D86">
        <v>13.82</v>
      </c>
      <c r="E86">
        <v>17.8</v>
      </c>
      <c r="F86">
        <v>19.18</v>
      </c>
      <c r="G86">
        <v>10.64</v>
      </c>
      <c r="H86">
        <v>11.3</v>
      </c>
      <c r="I86">
        <v>11.15</v>
      </c>
      <c r="J86">
        <v>14.03</v>
      </c>
      <c r="K86">
        <v>17.32</v>
      </c>
      <c r="L86">
        <v>18.63</v>
      </c>
      <c r="M86">
        <v>15.76</v>
      </c>
      <c r="N86">
        <f t="shared" si="2"/>
        <v>1</v>
      </c>
      <c r="O86">
        <f t="shared" si="3"/>
        <v>11.3</v>
      </c>
    </row>
    <row r="87" spans="1:15" x14ac:dyDescent="0.25">
      <c r="A87" s="1">
        <v>42540</v>
      </c>
      <c r="B87" s="2">
        <v>0.46527777777777779</v>
      </c>
      <c r="C87" s="3">
        <v>0.46527777777777779</v>
      </c>
      <c r="D87">
        <v>19.010000000000002</v>
      </c>
      <c r="E87">
        <v>13.1</v>
      </c>
      <c r="F87">
        <v>14.77</v>
      </c>
      <c r="G87">
        <v>11</v>
      </c>
      <c r="H87">
        <v>19.510000000000002</v>
      </c>
      <c r="I87">
        <v>15.48</v>
      </c>
      <c r="J87">
        <v>11.75</v>
      </c>
      <c r="K87">
        <v>17.54</v>
      </c>
      <c r="L87">
        <v>11.08</v>
      </c>
      <c r="M87">
        <v>14.23</v>
      </c>
      <c r="N87">
        <f t="shared" si="2"/>
        <v>1</v>
      </c>
      <c r="O87">
        <f t="shared" si="3"/>
        <v>19.510000000000002</v>
      </c>
    </row>
    <row r="88" spans="1:15" x14ac:dyDescent="0.25">
      <c r="A88" s="1">
        <v>42541</v>
      </c>
      <c r="B88" s="2">
        <v>2.0833333333333333E-3</v>
      </c>
      <c r="C88" s="3">
        <v>2.0833333333333333E-3</v>
      </c>
      <c r="D88">
        <v>17.27</v>
      </c>
      <c r="E88">
        <v>13.06</v>
      </c>
      <c r="F88">
        <v>16.12</v>
      </c>
      <c r="G88">
        <v>19.010000000000002</v>
      </c>
      <c r="H88">
        <v>13.96</v>
      </c>
      <c r="I88">
        <v>10.029999999999999</v>
      </c>
      <c r="J88">
        <v>14.22</v>
      </c>
      <c r="K88">
        <v>14.88</v>
      </c>
      <c r="L88">
        <v>15.12</v>
      </c>
      <c r="M88">
        <v>19.73</v>
      </c>
      <c r="N88">
        <f t="shared" si="2"/>
        <v>0</v>
      </c>
      <c r="O88" t="str">
        <f t="shared" si="3"/>
        <v/>
      </c>
    </row>
    <row r="89" spans="1:15" x14ac:dyDescent="0.25">
      <c r="A89" s="1">
        <v>42542</v>
      </c>
      <c r="B89" s="2">
        <v>0.1701388888888889</v>
      </c>
      <c r="C89" s="3">
        <v>0.1701388888888889</v>
      </c>
      <c r="D89">
        <v>14.93</v>
      </c>
      <c r="E89">
        <v>18.36</v>
      </c>
      <c r="F89">
        <v>18.34</v>
      </c>
      <c r="G89">
        <v>10.06</v>
      </c>
      <c r="H89">
        <v>16.440000000000001</v>
      </c>
      <c r="I89">
        <v>16.829999999999998</v>
      </c>
      <c r="J89">
        <v>18.079999999999998</v>
      </c>
      <c r="K89">
        <v>11.2</v>
      </c>
      <c r="L89">
        <v>10.56</v>
      </c>
      <c r="M89">
        <v>17.22</v>
      </c>
      <c r="N89">
        <f t="shared" si="2"/>
        <v>0</v>
      </c>
      <c r="O89" t="str">
        <f t="shared" si="3"/>
        <v/>
      </c>
    </row>
    <row r="90" spans="1:15" x14ac:dyDescent="0.25">
      <c r="A90" s="1">
        <v>42545</v>
      </c>
      <c r="B90" s="2">
        <v>0.2986111111111111</v>
      </c>
      <c r="C90" s="3">
        <v>0.2986111111111111</v>
      </c>
      <c r="D90">
        <v>15.51</v>
      </c>
      <c r="E90">
        <v>16.440000000000001</v>
      </c>
      <c r="F90">
        <v>10.02</v>
      </c>
      <c r="G90">
        <v>13.71</v>
      </c>
      <c r="H90">
        <v>10.98</v>
      </c>
      <c r="I90">
        <v>17.39</v>
      </c>
      <c r="J90">
        <v>13.73</v>
      </c>
      <c r="K90">
        <v>17.8</v>
      </c>
      <c r="L90">
        <v>14.59</v>
      </c>
      <c r="M90">
        <v>12.5</v>
      </c>
      <c r="N90">
        <f t="shared" si="2"/>
        <v>1</v>
      </c>
      <c r="O90">
        <f t="shared" si="3"/>
        <v>10.98</v>
      </c>
    </row>
    <row r="91" spans="1:15" x14ac:dyDescent="0.25">
      <c r="A91" s="1">
        <v>42545</v>
      </c>
      <c r="B91" s="2">
        <v>0.37777777777777777</v>
      </c>
      <c r="C91" s="3">
        <v>0.37777777777777777</v>
      </c>
      <c r="D91">
        <v>12.83</v>
      </c>
      <c r="E91">
        <v>14.61</v>
      </c>
      <c r="F91">
        <v>19.86</v>
      </c>
      <c r="G91">
        <v>19.43</v>
      </c>
      <c r="H91">
        <v>12.83</v>
      </c>
      <c r="I91">
        <v>14</v>
      </c>
      <c r="J91">
        <v>17.329999999999998</v>
      </c>
      <c r="K91">
        <v>12.58</v>
      </c>
      <c r="L91">
        <v>12.47</v>
      </c>
      <c r="M91">
        <v>12.04</v>
      </c>
      <c r="N91">
        <f t="shared" si="2"/>
        <v>1</v>
      </c>
      <c r="O91">
        <f t="shared" si="3"/>
        <v>12.83</v>
      </c>
    </row>
    <row r="92" spans="1:15" x14ac:dyDescent="0.25">
      <c r="A92" s="1">
        <v>42546</v>
      </c>
      <c r="B92" s="2">
        <v>0.25347222222222221</v>
      </c>
      <c r="C92" s="3">
        <v>0.25347222222222221</v>
      </c>
      <c r="D92">
        <v>16.3</v>
      </c>
      <c r="E92">
        <v>10.32</v>
      </c>
      <c r="F92">
        <v>17.690000000000001</v>
      </c>
      <c r="G92">
        <v>19</v>
      </c>
      <c r="H92">
        <v>17.54</v>
      </c>
      <c r="I92">
        <v>16.2</v>
      </c>
      <c r="J92">
        <v>15.17</v>
      </c>
      <c r="K92">
        <v>10.66</v>
      </c>
      <c r="L92">
        <v>10.1</v>
      </c>
      <c r="M92">
        <v>12.04</v>
      </c>
      <c r="N92">
        <f t="shared" si="2"/>
        <v>1</v>
      </c>
      <c r="O92">
        <f t="shared" si="3"/>
        <v>17.54</v>
      </c>
    </row>
    <row r="93" spans="1:15" x14ac:dyDescent="0.25">
      <c r="A93" s="1">
        <v>42547</v>
      </c>
      <c r="B93" s="2">
        <v>8.4722222222222227E-2</v>
      </c>
      <c r="C93" s="3">
        <v>8.4722222222222227E-2</v>
      </c>
      <c r="D93">
        <v>16.03</v>
      </c>
      <c r="E93">
        <v>12.49</v>
      </c>
      <c r="F93">
        <v>18.23</v>
      </c>
      <c r="G93">
        <v>11.56</v>
      </c>
      <c r="H93">
        <v>15.34</v>
      </c>
      <c r="I93">
        <v>18.190000000000001</v>
      </c>
      <c r="J93">
        <v>12.2</v>
      </c>
      <c r="K93">
        <v>18.04</v>
      </c>
      <c r="L93">
        <v>14.52</v>
      </c>
      <c r="M93">
        <v>15.9</v>
      </c>
      <c r="N93">
        <f t="shared" si="2"/>
        <v>0</v>
      </c>
      <c r="O93" t="str">
        <f t="shared" si="3"/>
        <v/>
      </c>
    </row>
    <row r="94" spans="1:15" x14ac:dyDescent="0.25">
      <c r="A94" s="1">
        <v>42547</v>
      </c>
      <c r="B94" s="2">
        <v>0.16875000000000001</v>
      </c>
      <c r="C94" s="3">
        <v>0.16875000000000001</v>
      </c>
      <c r="D94">
        <v>19.47</v>
      </c>
      <c r="E94">
        <v>19.760000000000002</v>
      </c>
      <c r="F94">
        <v>11.95</v>
      </c>
      <c r="G94">
        <v>16.28</v>
      </c>
      <c r="H94">
        <v>13.33</v>
      </c>
      <c r="I94">
        <v>19.91</v>
      </c>
      <c r="J94">
        <v>19.73</v>
      </c>
      <c r="K94">
        <v>15.06</v>
      </c>
      <c r="L94">
        <v>15.39</v>
      </c>
      <c r="M94">
        <v>13.54</v>
      </c>
      <c r="N94">
        <f t="shared" si="2"/>
        <v>0</v>
      </c>
      <c r="O94" t="str">
        <f t="shared" si="3"/>
        <v/>
      </c>
    </row>
    <row r="95" spans="1:15" x14ac:dyDescent="0.25">
      <c r="A95" s="1">
        <v>42547</v>
      </c>
      <c r="B95" s="2">
        <v>0.34166666666666667</v>
      </c>
      <c r="C95" s="3">
        <v>0.34166666666666667</v>
      </c>
      <c r="D95">
        <v>14.55</v>
      </c>
      <c r="E95">
        <v>11.62</v>
      </c>
      <c r="F95">
        <v>12.91</v>
      </c>
      <c r="G95">
        <v>18.72</v>
      </c>
      <c r="H95">
        <v>18.2</v>
      </c>
      <c r="I95">
        <v>12.03</v>
      </c>
      <c r="J95">
        <v>16.760000000000002</v>
      </c>
      <c r="K95">
        <v>10.38</v>
      </c>
      <c r="L95">
        <v>18.149999999999999</v>
      </c>
      <c r="M95">
        <v>14.5</v>
      </c>
      <c r="N95">
        <f t="shared" si="2"/>
        <v>1</v>
      </c>
      <c r="O95">
        <f t="shared" si="3"/>
        <v>18.2</v>
      </c>
    </row>
    <row r="96" spans="1:15" x14ac:dyDescent="0.25">
      <c r="A96" s="1">
        <v>42548</v>
      </c>
      <c r="B96" s="2">
        <v>0.33541666666666664</v>
      </c>
      <c r="C96" s="3">
        <v>0.33541666666666664</v>
      </c>
      <c r="D96">
        <v>11.26</v>
      </c>
      <c r="E96">
        <v>11.81</v>
      </c>
      <c r="F96">
        <v>12.66</v>
      </c>
      <c r="G96">
        <v>16</v>
      </c>
      <c r="H96">
        <v>11.63</v>
      </c>
      <c r="I96">
        <v>19.61</v>
      </c>
      <c r="J96">
        <v>12.55</v>
      </c>
      <c r="K96">
        <v>11.68</v>
      </c>
      <c r="L96">
        <v>14.08</v>
      </c>
      <c r="M96">
        <v>13.96</v>
      </c>
      <c r="N96">
        <f t="shared" si="2"/>
        <v>1</v>
      </c>
      <c r="O96">
        <f t="shared" si="3"/>
        <v>11.63</v>
      </c>
    </row>
    <row r="97" spans="1:15" x14ac:dyDescent="0.25">
      <c r="A97" s="1">
        <v>42549</v>
      </c>
      <c r="B97" s="2">
        <v>0.50624999999999998</v>
      </c>
      <c r="C97" s="3">
        <v>0.50624999999999998</v>
      </c>
      <c r="D97">
        <v>10.77</v>
      </c>
      <c r="E97">
        <v>10.91</v>
      </c>
      <c r="F97">
        <v>17.600000000000001</v>
      </c>
      <c r="G97">
        <v>13.5</v>
      </c>
      <c r="H97">
        <v>16.27</v>
      </c>
      <c r="I97">
        <v>12.44</v>
      </c>
      <c r="J97">
        <v>11.01</v>
      </c>
      <c r="K97">
        <v>16.079999999999998</v>
      </c>
      <c r="L97">
        <v>12.3</v>
      </c>
      <c r="M97">
        <v>11.35</v>
      </c>
      <c r="N97">
        <f t="shared" si="2"/>
        <v>0</v>
      </c>
      <c r="O97" t="str">
        <f t="shared" si="3"/>
        <v/>
      </c>
    </row>
    <row r="98" spans="1:15" x14ac:dyDescent="0.25">
      <c r="A98" s="1">
        <v>42551</v>
      </c>
      <c r="B98" s="2">
        <v>4.583333333333333E-2</v>
      </c>
      <c r="C98" s="3">
        <v>4.583333333333333E-2</v>
      </c>
      <c r="D98">
        <v>15.43</v>
      </c>
      <c r="E98">
        <v>17.52</v>
      </c>
      <c r="F98">
        <v>12.01</v>
      </c>
      <c r="G98">
        <v>10.31</v>
      </c>
      <c r="H98">
        <v>13.52</v>
      </c>
      <c r="I98">
        <v>13.39</v>
      </c>
      <c r="J98">
        <v>11.34</v>
      </c>
      <c r="K98">
        <v>10.31</v>
      </c>
      <c r="L98">
        <v>11.07</v>
      </c>
      <c r="M98">
        <v>18.52</v>
      </c>
      <c r="N98">
        <f t="shared" si="2"/>
        <v>0</v>
      </c>
      <c r="O98" t="str">
        <f t="shared" si="3"/>
        <v/>
      </c>
    </row>
    <row r="99" spans="1:15" x14ac:dyDescent="0.25">
      <c r="A99" s="1">
        <v>42553</v>
      </c>
      <c r="B99" s="2">
        <v>0.21597222222222223</v>
      </c>
      <c r="C99" s="3">
        <v>0.21597222222222223</v>
      </c>
      <c r="D99">
        <v>22.57</v>
      </c>
      <c r="E99">
        <v>24.93</v>
      </c>
      <c r="F99">
        <v>23.16</v>
      </c>
      <c r="G99">
        <v>21.19</v>
      </c>
      <c r="H99">
        <v>22.95</v>
      </c>
      <c r="I99">
        <v>20.79</v>
      </c>
      <c r="J99">
        <v>23.65</v>
      </c>
      <c r="K99">
        <v>24.3</v>
      </c>
      <c r="L99">
        <v>22.91</v>
      </c>
      <c r="M99">
        <v>21.31</v>
      </c>
      <c r="N99">
        <f t="shared" si="2"/>
        <v>1</v>
      </c>
      <c r="O99">
        <f t="shared" si="3"/>
        <v>22.95</v>
      </c>
    </row>
    <row r="100" spans="1:15" x14ac:dyDescent="0.25">
      <c r="A100" s="1">
        <v>42554</v>
      </c>
      <c r="B100" s="2">
        <v>4.1666666666666666E-3</v>
      </c>
      <c r="C100" s="3">
        <v>4.1666666666666666E-3</v>
      </c>
      <c r="D100">
        <v>21.12</v>
      </c>
      <c r="E100">
        <v>24.03</v>
      </c>
      <c r="F100">
        <v>20.46</v>
      </c>
      <c r="G100">
        <v>20.329999999999998</v>
      </c>
      <c r="H100">
        <v>24.18</v>
      </c>
      <c r="I100">
        <v>23.01</v>
      </c>
      <c r="J100">
        <v>24.57</v>
      </c>
      <c r="K100">
        <v>22.83</v>
      </c>
      <c r="L100">
        <v>21.55</v>
      </c>
      <c r="M100">
        <v>23.87</v>
      </c>
      <c r="N100">
        <f t="shared" si="2"/>
        <v>0</v>
      </c>
      <c r="O100" t="str">
        <f t="shared" si="3"/>
        <v/>
      </c>
    </row>
    <row r="101" spans="1:15" x14ac:dyDescent="0.25">
      <c r="A101" s="1">
        <v>42556</v>
      </c>
      <c r="B101" s="2">
        <v>8.6805555555555552E-2</v>
      </c>
      <c r="C101" s="3">
        <v>8.6805555555555552E-2</v>
      </c>
      <c r="D101">
        <v>22.29</v>
      </c>
      <c r="E101">
        <v>22.16</v>
      </c>
      <c r="F101">
        <v>22.9</v>
      </c>
      <c r="G101">
        <v>20.04</v>
      </c>
      <c r="H101">
        <v>21.27</v>
      </c>
      <c r="I101">
        <v>21.55</v>
      </c>
      <c r="J101">
        <v>21.51</v>
      </c>
      <c r="K101">
        <v>23.98</v>
      </c>
      <c r="L101">
        <v>24.01</v>
      </c>
      <c r="M101">
        <v>23.77</v>
      </c>
      <c r="N101">
        <f t="shared" si="2"/>
        <v>0</v>
      </c>
      <c r="O101" t="str">
        <f t="shared" si="3"/>
        <v/>
      </c>
    </row>
    <row r="102" spans="1:15" x14ac:dyDescent="0.25">
      <c r="A102" s="1">
        <v>42557</v>
      </c>
      <c r="B102" s="2">
        <v>4.7222222222222221E-2</v>
      </c>
      <c r="C102" s="3">
        <v>4.7222222222222221E-2</v>
      </c>
      <c r="D102">
        <v>20.5</v>
      </c>
      <c r="E102">
        <v>21.83</v>
      </c>
      <c r="F102">
        <v>21.96</v>
      </c>
      <c r="G102">
        <v>20.58</v>
      </c>
      <c r="H102">
        <v>23.33</v>
      </c>
      <c r="I102">
        <v>23.73</v>
      </c>
      <c r="J102">
        <v>23.65</v>
      </c>
      <c r="K102">
        <v>20.9</v>
      </c>
      <c r="L102">
        <v>24.06</v>
      </c>
      <c r="M102">
        <v>21.13</v>
      </c>
      <c r="N102">
        <f t="shared" si="2"/>
        <v>0</v>
      </c>
      <c r="O102" t="str">
        <f t="shared" si="3"/>
        <v/>
      </c>
    </row>
    <row r="103" spans="1:15" x14ac:dyDescent="0.25">
      <c r="A103" s="1">
        <v>42557</v>
      </c>
      <c r="B103" s="2">
        <v>0.46041666666666664</v>
      </c>
      <c r="C103" s="3">
        <v>0.46041666666666664</v>
      </c>
      <c r="D103">
        <v>20.62</v>
      </c>
      <c r="E103">
        <v>20.23</v>
      </c>
      <c r="F103">
        <v>22.96</v>
      </c>
      <c r="G103">
        <v>22.48</v>
      </c>
      <c r="H103">
        <v>23.59</v>
      </c>
      <c r="I103">
        <v>24.99</v>
      </c>
      <c r="J103">
        <v>21.26</v>
      </c>
      <c r="K103">
        <v>20.149999999999999</v>
      </c>
      <c r="L103">
        <v>23.52</v>
      </c>
      <c r="M103">
        <v>20.04</v>
      </c>
      <c r="N103">
        <f t="shared" si="2"/>
        <v>1</v>
      </c>
      <c r="O103">
        <f t="shared" si="3"/>
        <v>23.59</v>
      </c>
    </row>
    <row r="104" spans="1:15" x14ac:dyDescent="0.25">
      <c r="A104" s="1">
        <v>42558</v>
      </c>
      <c r="B104" s="2">
        <v>2.7777777777777779E-3</v>
      </c>
      <c r="C104" s="3">
        <v>2.7777777777777779E-3</v>
      </c>
      <c r="D104">
        <v>24.62</v>
      </c>
      <c r="E104">
        <v>20.59</v>
      </c>
      <c r="F104">
        <v>23.7</v>
      </c>
      <c r="G104">
        <v>21.55</v>
      </c>
      <c r="H104">
        <v>21.85</v>
      </c>
      <c r="I104">
        <v>21.12</v>
      </c>
      <c r="J104">
        <v>21.24</v>
      </c>
      <c r="K104">
        <v>24.93</v>
      </c>
      <c r="L104">
        <v>21.9</v>
      </c>
      <c r="M104">
        <v>20.5</v>
      </c>
      <c r="N104">
        <f t="shared" si="2"/>
        <v>0</v>
      </c>
      <c r="O104" t="str">
        <f t="shared" si="3"/>
        <v/>
      </c>
    </row>
    <row r="105" spans="1:15" x14ac:dyDescent="0.25">
      <c r="A105" s="1">
        <v>42558</v>
      </c>
      <c r="B105" s="2">
        <v>5.5555555555555558E-3</v>
      </c>
      <c r="C105" s="3">
        <v>5.5555555555555558E-3</v>
      </c>
      <c r="D105">
        <v>23.53</v>
      </c>
      <c r="E105">
        <v>22.47</v>
      </c>
      <c r="F105">
        <v>24.91</v>
      </c>
      <c r="G105">
        <v>22.53</v>
      </c>
      <c r="H105">
        <v>20.56</v>
      </c>
      <c r="I105">
        <v>23.64</v>
      </c>
      <c r="J105">
        <v>21</v>
      </c>
      <c r="K105">
        <v>20.55</v>
      </c>
      <c r="L105">
        <v>24.08</v>
      </c>
      <c r="M105">
        <v>20.49</v>
      </c>
      <c r="N105">
        <f t="shared" si="2"/>
        <v>0</v>
      </c>
      <c r="O105" t="str">
        <f t="shared" si="3"/>
        <v/>
      </c>
    </row>
    <row r="106" spans="1:15" x14ac:dyDescent="0.25">
      <c r="A106" s="1">
        <v>42558</v>
      </c>
      <c r="B106" s="2">
        <v>4.5138888888888888E-2</v>
      </c>
      <c r="C106" s="3">
        <v>4.5138888888888888E-2</v>
      </c>
      <c r="D106">
        <v>23.8</v>
      </c>
      <c r="E106">
        <v>20.78</v>
      </c>
      <c r="F106">
        <v>20.56</v>
      </c>
      <c r="G106">
        <v>20.5</v>
      </c>
      <c r="H106">
        <v>20.16</v>
      </c>
      <c r="I106">
        <v>21.68</v>
      </c>
      <c r="J106">
        <v>23.86</v>
      </c>
      <c r="K106">
        <v>21.14</v>
      </c>
      <c r="L106">
        <v>23.1</v>
      </c>
      <c r="M106">
        <v>22.53</v>
      </c>
      <c r="N106">
        <f t="shared" si="2"/>
        <v>0</v>
      </c>
      <c r="O106" t="str">
        <f t="shared" si="3"/>
        <v/>
      </c>
    </row>
    <row r="107" spans="1:15" x14ac:dyDescent="0.25">
      <c r="A107" s="1">
        <v>42558</v>
      </c>
      <c r="B107" s="2">
        <v>0.46597222222222223</v>
      </c>
      <c r="C107" s="3">
        <v>0.46597222222222223</v>
      </c>
      <c r="D107">
        <v>21.04</v>
      </c>
      <c r="E107">
        <v>22.45</v>
      </c>
      <c r="F107">
        <v>21.06</v>
      </c>
      <c r="G107">
        <v>20.149999999999999</v>
      </c>
      <c r="H107">
        <v>24.31</v>
      </c>
      <c r="I107">
        <v>22.72</v>
      </c>
      <c r="J107">
        <v>24.67</v>
      </c>
      <c r="K107">
        <v>21.12</v>
      </c>
      <c r="L107">
        <v>23.35</v>
      </c>
      <c r="M107">
        <v>22.54</v>
      </c>
      <c r="N107">
        <f t="shared" si="2"/>
        <v>1</v>
      </c>
      <c r="O107">
        <f t="shared" si="3"/>
        <v>24.31</v>
      </c>
    </row>
    <row r="108" spans="1:15" x14ac:dyDescent="0.25">
      <c r="A108" s="1">
        <v>42561</v>
      </c>
      <c r="B108" s="2">
        <v>0.42152777777777778</v>
      </c>
      <c r="C108" s="3">
        <v>0.42152777777777778</v>
      </c>
      <c r="D108">
        <v>23.49</v>
      </c>
      <c r="E108">
        <v>22.55</v>
      </c>
      <c r="F108">
        <v>24.66</v>
      </c>
      <c r="G108">
        <v>23.56</v>
      </c>
      <c r="H108">
        <v>20.260000000000002</v>
      </c>
      <c r="I108">
        <v>22.27</v>
      </c>
      <c r="J108">
        <v>20.440000000000001</v>
      </c>
      <c r="K108">
        <v>22.27</v>
      </c>
      <c r="L108">
        <v>24.47</v>
      </c>
      <c r="M108">
        <v>23.03</v>
      </c>
      <c r="N108">
        <f t="shared" si="2"/>
        <v>1</v>
      </c>
      <c r="O108">
        <f t="shared" si="3"/>
        <v>20.260000000000002</v>
      </c>
    </row>
    <row r="109" spans="1:15" x14ac:dyDescent="0.25">
      <c r="A109" s="1">
        <v>42565</v>
      </c>
      <c r="B109" s="2">
        <v>4.1666666666666664E-2</v>
      </c>
      <c r="C109" s="3">
        <v>4.1666666666666664E-2</v>
      </c>
      <c r="D109">
        <v>20.99</v>
      </c>
      <c r="E109">
        <v>21.37</v>
      </c>
      <c r="F109">
        <v>22.15</v>
      </c>
      <c r="G109">
        <v>22.76</v>
      </c>
      <c r="H109">
        <v>20.25</v>
      </c>
      <c r="I109">
        <v>23.8</v>
      </c>
      <c r="J109">
        <v>23.38</v>
      </c>
      <c r="K109">
        <v>20.5</v>
      </c>
      <c r="L109">
        <v>21.65</v>
      </c>
      <c r="M109">
        <v>24.8</v>
      </c>
      <c r="N109">
        <f t="shared" si="2"/>
        <v>0</v>
      </c>
      <c r="O109" t="str">
        <f t="shared" si="3"/>
        <v/>
      </c>
    </row>
    <row r="110" spans="1:15" x14ac:dyDescent="0.25">
      <c r="A110" s="1">
        <v>42567</v>
      </c>
      <c r="B110" s="2">
        <v>0.38055555555555554</v>
      </c>
      <c r="C110" s="3">
        <v>0.38055555555555554</v>
      </c>
      <c r="D110">
        <v>20.18</v>
      </c>
      <c r="E110">
        <v>24.07</v>
      </c>
      <c r="F110">
        <v>24.25</v>
      </c>
      <c r="G110">
        <v>20.170000000000002</v>
      </c>
      <c r="H110">
        <v>21.08</v>
      </c>
      <c r="I110">
        <v>22.83</v>
      </c>
      <c r="J110">
        <v>23.53</v>
      </c>
      <c r="K110">
        <v>23.6</v>
      </c>
      <c r="L110">
        <v>23.16</v>
      </c>
      <c r="M110">
        <v>21.42</v>
      </c>
      <c r="N110">
        <f t="shared" si="2"/>
        <v>1</v>
      </c>
      <c r="O110">
        <f t="shared" si="3"/>
        <v>21.08</v>
      </c>
    </row>
    <row r="111" spans="1:15" x14ac:dyDescent="0.25">
      <c r="A111" s="1">
        <v>42568</v>
      </c>
      <c r="B111" s="2">
        <v>4.6527777777777779E-2</v>
      </c>
      <c r="C111" s="3">
        <v>4.6527777777777779E-2</v>
      </c>
      <c r="D111">
        <v>24.46</v>
      </c>
      <c r="E111">
        <v>23.9</v>
      </c>
      <c r="F111">
        <v>24.19</v>
      </c>
      <c r="G111">
        <v>20.14</v>
      </c>
      <c r="H111">
        <v>23.6</v>
      </c>
      <c r="I111">
        <v>23.67</v>
      </c>
      <c r="J111">
        <v>24.85</v>
      </c>
      <c r="K111">
        <v>24.77</v>
      </c>
      <c r="L111">
        <v>24.75</v>
      </c>
      <c r="M111">
        <v>22.32</v>
      </c>
      <c r="N111">
        <f t="shared" si="2"/>
        <v>0</v>
      </c>
      <c r="O111" t="str">
        <f t="shared" si="3"/>
        <v/>
      </c>
    </row>
    <row r="112" spans="1:15" x14ac:dyDescent="0.25">
      <c r="A112" s="1">
        <v>42571</v>
      </c>
      <c r="B112" s="2">
        <v>4.5138888888888888E-2</v>
      </c>
      <c r="C112" s="3">
        <v>4.5138888888888888E-2</v>
      </c>
      <c r="D112">
        <v>20.62</v>
      </c>
      <c r="E112">
        <v>21.57</v>
      </c>
      <c r="F112">
        <v>22.99</v>
      </c>
      <c r="G112">
        <v>23.14</v>
      </c>
      <c r="H112">
        <v>22.4</v>
      </c>
      <c r="I112">
        <v>23.83</v>
      </c>
      <c r="J112">
        <v>21.63</v>
      </c>
      <c r="K112">
        <v>21.9</v>
      </c>
      <c r="L112">
        <v>22.89</v>
      </c>
      <c r="M112">
        <v>22.3</v>
      </c>
      <c r="N112">
        <f t="shared" si="2"/>
        <v>0</v>
      </c>
      <c r="O112" t="str">
        <f t="shared" si="3"/>
        <v/>
      </c>
    </row>
    <row r="113" spans="1:15" x14ac:dyDescent="0.25">
      <c r="A113" s="1">
        <v>42571</v>
      </c>
      <c r="B113" s="2">
        <v>4.6527777777777779E-2</v>
      </c>
      <c r="C113" s="3">
        <v>4.6527777777777779E-2</v>
      </c>
      <c r="D113">
        <v>24.97</v>
      </c>
      <c r="E113">
        <v>23.55</v>
      </c>
      <c r="F113">
        <v>24.91</v>
      </c>
      <c r="G113">
        <v>21.77</v>
      </c>
      <c r="H113">
        <v>23.58</v>
      </c>
      <c r="I113">
        <v>23.03</v>
      </c>
      <c r="J113">
        <v>22.25</v>
      </c>
      <c r="K113">
        <v>22.37</v>
      </c>
      <c r="L113">
        <v>22.57</v>
      </c>
      <c r="M113">
        <v>22.02</v>
      </c>
      <c r="N113">
        <f t="shared" si="2"/>
        <v>0</v>
      </c>
      <c r="O113" t="str">
        <f t="shared" si="3"/>
        <v/>
      </c>
    </row>
    <row r="114" spans="1:15" x14ac:dyDescent="0.25">
      <c r="A114" s="1">
        <v>42572</v>
      </c>
      <c r="B114" s="2">
        <v>0.16805555555555557</v>
      </c>
      <c r="C114" s="3">
        <v>0.16805555555555557</v>
      </c>
      <c r="D114">
        <v>24.04</v>
      </c>
      <c r="E114">
        <v>21.89</v>
      </c>
      <c r="F114">
        <v>23.85</v>
      </c>
      <c r="G114">
        <v>22.87</v>
      </c>
      <c r="H114">
        <v>24.33</v>
      </c>
      <c r="I114">
        <v>24.38</v>
      </c>
      <c r="J114">
        <v>21.95</v>
      </c>
      <c r="K114">
        <v>21.37</v>
      </c>
      <c r="L114">
        <v>20.45</v>
      </c>
      <c r="M114">
        <v>24.51</v>
      </c>
      <c r="N114">
        <f t="shared" si="2"/>
        <v>0</v>
      </c>
      <c r="O114" t="str">
        <f t="shared" si="3"/>
        <v/>
      </c>
    </row>
    <row r="115" spans="1:15" x14ac:dyDescent="0.25">
      <c r="A115" s="1">
        <v>42573</v>
      </c>
      <c r="B115" s="2">
        <v>0.25138888888888888</v>
      </c>
      <c r="C115" s="3">
        <v>0.25138888888888888</v>
      </c>
      <c r="D115">
        <v>20.96</v>
      </c>
      <c r="E115">
        <v>22.03</v>
      </c>
      <c r="F115">
        <v>20.89</v>
      </c>
      <c r="G115">
        <v>24.62</v>
      </c>
      <c r="H115">
        <v>22.22</v>
      </c>
      <c r="I115">
        <v>24.32</v>
      </c>
      <c r="J115">
        <v>22.24</v>
      </c>
      <c r="K115">
        <v>20.079999999999998</v>
      </c>
      <c r="L115">
        <v>20.18</v>
      </c>
      <c r="M115">
        <v>21.9</v>
      </c>
      <c r="N115">
        <f t="shared" si="2"/>
        <v>1</v>
      </c>
      <c r="O115">
        <f t="shared" si="3"/>
        <v>22.22</v>
      </c>
    </row>
    <row r="116" spans="1:15" x14ac:dyDescent="0.25">
      <c r="A116" s="1">
        <v>42576</v>
      </c>
      <c r="B116" s="2">
        <v>0.17430555555555555</v>
      </c>
      <c r="C116" s="3">
        <v>0.17430555555555555</v>
      </c>
      <c r="D116">
        <v>23.01</v>
      </c>
      <c r="E116">
        <v>24.6</v>
      </c>
      <c r="F116">
        <v>24.7</v>
      </c>
      <c r="G116">
        <v>23.45</v>
      </c>
      <c r="H116">
        <v>24.59</v>
      </c>
      <c r="I116">
        <v>23.65</v>
      </c>
      <c r="J116">
        <v>23.52</v>
      </c>
      <c r="K116">
        <v>21.6</v>
      </c>
      <c r="L116">
        <v>21.42</v>
      </c>
      <c r="M116">
        <v>22.09</v>
      </c>
      <c r="N116">
        <f t="shared" si="2"/>
        <v>0</v>
      </c>
      <c r="O116" t="str">
        <f t="shared" si="3"/>
        <v/>
      </c>
    </row>
    <row r="117" spans="1:15" x14ac:dyDescent="0.25">
      <c r="A117" s="1">
        <v>42581</v>
      </c>
      <c r="B117" s="2">
        <v>2.0833333333333333E-3</v>
      </c>
      <c r="C117" s="3">
        <v>2.0833333333333333E-3</v>
      </c>
      <c r="D117">
        <v>22.46</v>
      </c>
      <c r="E117">
        <v>24.11</v>
      </c>
      <c r="F117">
        <v>22.12</v>
      </c>
      <c r="G117">
        <v>24.08</v>
      </c>
      <c r="H117">
        <v>23.14</v>
      </c>
      <c r="I117">
        <v>24.56</v>
      </c>
      <c r="J117">
        <v>22.95</v>
      </c>
      <c r="K117">
        <v>21.53</v>
      </c>
      <c r="L117">
        <v>21.19</v>
      </c>
      <c r="M117">
        <v>21.66</v>
      </c>
      <c r="N117">
        <f t="shared" si="2"/>
        <v>0</v>
      </c>
      <c r="O117" t="str">
        <f t="shared" si="3"/>
        <v/>
      </c>
    </row>
    <row r="118" spans="1:15" x14ac:dyDescent="0.25">
      <c r="A118" s="1">
        <v>42583</v>
      </c>
      <c r="B118" s="2">
        <v>9.166666666666666E-2</v>
      </c>
      <c r="C118" s="3">
        <v>9.166666666666666E-2</v>
      </c>
      <c r="D118">
        <v>21.46</v>
      </c>
      <c r="E118">
        <v>20.81</v>
      </c>
      <c r="F118">
        <v>22.16</v>
      </c>
      <c r="G118">
        <v>23.39</v>
      </c>
      <c r="H118">
        <v>21.06</v>
      </c>
      <c r="I118">
        <v>23.13</v>
      </c>
      <c r="J118">
        <v>24.81</v>
      </c>
      <c r="K118">
        <v>21.89</v>
      </c>
      <c r="L118">
        <v>21.04</v>
      </c>
      <c r="M118">
        <v>20.73</v>
      </c>
      <c r="N118">
        <f t="shared" si="2"/>
        <v>0</v>
      </c>
      <c r="O118" t="str">
        <f t="shared" si="3"/>
        <v/>
      </c>
    </row>
    <row r="119" spans="1:15" x14ac:dyDescent="0.25">
      <c r="A119" s="1">
        <v>42585</v>
      </c>
      <c r="B119" s="2">
        <v>0.17083333333333334</v>
      </c>
      <c r="C119" s="3">
        <v>0.17083333333333334</v>
      </c>
      <c r="D119">
        <v>24.3</v>
      </c>
      <c r="E119">
        <v>21.17</v>
      </c>
      <c r="F119">
        <v>20.45</v>
      </c>
      <c r="G119">
        <v>21.07</v>
      </c>
      <c r="H119">
        <v>23.27</v>
      </c>
      <c r="I119">
        <v>21.82</v>
      </c>
      <c r="J119">
        <v>21.32</v>
      </c>
      <c r="K119">
        <v>21.89</v>
      </c>
      <c r="L119">
        <v>23.96</v>
      </c>
      <c r="M119">
        <v>21.93</v>
      </c>
      <c r="N119">
        <f t="shared" si="2"/>
        <v>0</v>
      </c>
      <c r="O119" t="str">
        <f t="shared" si="3"/>
        <v/>
      </c>
    </row>
    <row r="120" spans="1:15" x14ac:dyDescent="0.25">
      <c r="A120" s="1">
        <v>42587</v>
      </c>
      <c r="B120" s="2">
        <v>0.42083333333333334</v>
      </c>
      <c r="C120" s="3">
        <v>0.42083333333333334</v>
      </c>
      <c r="D120">
        <v>20.79</v>
      </c>
      <c r="E120">
        <v>20.149999999999999</v>
      </c>
      <c r="F120">
        <v>24.61</v>
      </c>
      <c r="G120">
        <v>21.03</v>
      </c>
      <c r="H120">
        <v>20.75</v>
      </c>
      <c r="I120">
        <v>23.58</v>
      </c>
      <c r="J120">
        <v>24.1</v>
      </c>
      <c r="K120">
        <v>20.18</v>
      </c>
      <c r="L120">
        <v>20.25</v>
      </c>
      <c r="M120">
        <v>23.53</v>
      </c>
      <c r="N120">
        <f t="shared" si="2"/>
        <v>1</v>
      </c>
      <c r="O120">
        <f t="shared" si="3"/>
        <v>20.75</v>
      </c>
    </row>
    <row r="121" spans="1:15" x14ac:dyDescent="0.25">
      <c r="A121" s="1">
        <v>42588</v>
      </c>
      <c r="B121" s="2">
        <v>0.38263888888888886</v>
      </c>
      <c r="C121" s="3">
        <v>0.38263888888888886</v>
      </c>
      <c r="D121">
        <v>24.53</v>
      </c>
      <c r="E121">
        <v>20.23</v>
      </c>
      <c r="F121">
        <v>23.44</v>
      </c>
      <c r="G121">
        <v>21.79</v>
      </c>
      <c r="H121">
        <v>22.16</v>
      </c>
      <c r="I121">
        <v>23.23</v>
      </c>
      <c r="J121">
        <v>24.25</v>
      </c>
      <c r="K121">
        <v>22.23</v>
      </c>
      <c r="L121">
        <v>23.64</v>
      </c>
      <c r="M121">
        <v>23.21</v>
      </c>
      <c r="N121">
        <f t="shared" si="2"/>
        <v>1</v>
      </c>
      <c r="O121">
        <f t="shared" si="3"/>
        <v>22.16</v>
      </c>
    </row>
    <row r="122" spans="1:15" x14ac:dyDescent="0.25">
      <c r="A122" s="1">
        <v>42590</v>
      </c>
      <c r="B122" s="2">
        <v>8.8888888888888892E-2</v>
      </c>
      <c r="C122" s="3">
        <v>8.8888888888888892E-2</v>
      </c>
      <c r="D122">
        <v>22.93</v>
      </c>
      <c r="E122">
        <v>21.83</v>
      </c>
      <c r="F122">
        <v>22.2</v>
      </c>
      <c r="G122">
        <v>20.66</v>
      </c>
      <c r="H122">
        <v>21.05</v>
      </c>
      <c r="I122">
        <v>22.52</v>
      </c>
      <c r="J122">
        <v>24.58</v>
      </c>
      <c r="K122">
        <v>24.21</v>
      </c>
      <c r="L122">
        <v>24.25</v>
      </c>
      <c r="M122">
        <v>20.98</v>
      </c>
      <c r="N122">
        <f t="shared" si="2"/>
        <v>0</v>
      </c>
      <c r="O122" t="str">
        <f t="shared" si="3"/>
        <v/>
      </c>
    </row>
    <row r="123" spans="1:15" x14ac:dyDescent="0.25">
      <c r="A123" s="1">
        <v>42591</v>
      </c>
      <c r="B123" s="2">
        <v>0.42222222222222222</v>
      </c>
      <c r="C123" s="3">
        <v>0.42222222222222222</v>
      </c>
      <c r="D123">
        <v>23.61</v>
      </c>
      <c r="E123">
        <v>22.31</v>
      </c>
      <c r="F123">
        <v>22.54</v>
      </c>
      <c r="G123">
        <v>23.68</v>
      </c>
      <c r="H123">
        <v>24.34</v>
      </c>
      <c r="I123">
        <v>23.6</v>
      </c>
      <c r="J123">
        <v>20.260000000000002</v>
      </c>
      <c r="K123">
        <v>20.29</v>
      </c>
      <c r="L123">
        <v>24.84</v>
      </c>
      <c r="M123">
        <v>24.53</v>
      </c>
      <c r="N123">
        <f t="shared" si="2"/>
        <v>1</v>
      </c>
      <c r="O123">
        <f t="shared" si="3"/>
        <v>24.34</v>
      </c>
    </row>
    <row r="124" spans="1:15" x14ac:dyDescent="0.25">
      <c r="A124" s="1">
        <v>42594</v>
      </c>
      <c r="B124" s="2">
        <v>8.611111111111111E-2</v>
      </c>
      <c r="C124" s="3">
        <v>8.611111111111111E-2</v>
      </c>
      <c r="D124">
        <v>21.99</v>
      </c>
      <c r="E124">
        <v>21.03</v>
      </c>
      <c r="F124">
        <v>21.98</v>
      </c>
      <c r="G124">
        <v>24.71</v>
      </c>
      <c r="H124">
        <v>22.25</v>
      </c>
      <c r="I124">
        <v>21.03</v>
      </c>
      <c r="J124">
        <v>20.059999999999999</v>
      </c>
      <c r="K124">
        <v>23.44</v>
      </c>
      <c r="L124">
        <v>23.35</v>
      </c>
      <c r="M124">
        <v>24.22</v>
      </c>
      <c r="N124">
        <f t="shared" si="2"/>
        <v>0</v>
      </c>
      <c r="O124" t="str">
        <f t="shared" si="3"/>
        <v/>
      </c>
    </row>
    <row r="125" spans="1:15" x14ac:dyDescent="0.25">
      <c r="A125" s="1">
        <v>42594</v>
      </c>
      <c r="B125" s="2">
        <v>0.12708333333333333</v>
      </c>
      <c r="C125" s="3">
        <v>0.12708333333333333</v>
      </c>
      <c r="D125">
        <v>21.25</v>
      </c>
      <c r="E125">
        <v>22.63</v>
      </c>
      <c r="F125">
        <v>22.5</v>
      </c>
      <c r="G125">
        <v>22.53</v>
      </c>
      <c r="H125">
        <v>22.55</v>
      </c>
      <c r="I125">
        <v>23.75</v>
      </c>
      <c r="J125">
        <v>22.37</v>
      </c>
      <c r="K125">
        <v>20.83</v>
      </c>
      <c r="L125">
        <v>22.24</v>
      </c>
      <c r="M125">
        <v>22.78</v>
      </c>
      <c r="N125">
        <f t="shared" si="2"/>
        <v>0</v>
      </c>
      <c r="O125" t="str">
        <f t="shared" si="3"/>
        <v/>
      </c>
    </row>
    <row r="126" spans="1:15" x14ac:dyDescent="0.25">
      <c r="A126" s="1">
        <v>42596</v>
      </c>
      <c r="B126" s="2">
        <v>4.3749999999999997E-2</v>
      </c>
      <c r="C126" s="3">
        <v>4.3749999999999997E-2</v>
      </c>
      <c r="D126">
        <v>22.19</v>
      </c>
      <c r="E126">
        <v>23.63</v>
      </c>
      <c r="F126">
        <v>20.6</v>
      </c>
      <c r="G126">
        <v>22.57</v>
      </c>
      <c r="H126">
        <v>24.22</v>
      </c>
      <c r="I126">
        <v>22.01</v>
      </c>
      <c r="J126">
        <v>21.12</v>
      </c>
      <c r="K126">
        <v>24.52</v>
      </c>
      <c r="L126">
        <v>21.28</v>
      </c>
      <c r="M126">
        <v>20.05</v>
      </c>
      <c r="N126">
        <f t="shared" si="2"/>
        <v>0</v>
      </c>
      <c r="O126" t="str">
        <f t="shared" si="3"/>
        <v/>
      </c>
    </row>
    <row r="127" spans="1:15" x14ac:dyDescent="0.25">
      <c r="A127" s="1">
        <v>42599</v>
      </c>
      <c r="B127" s="2">
        <v>0.41736111111111113</v>
      </c>
      <c r="C127" s="3">
        <v>0.41736111111111113</v>
      </c>
      <c r="D127">
        <v>22.74</v>
      </c>
      <c r="E127">
        <v>20.72</v>
      </c>
      <c r="F127">
        <v>24.74</v>
      </c>
      <c r="G127">
        <v>23.94</v>
      </c>
      <c r="H127">
        <v>22.07</v>
      </c>
      <c r="I127">
        <v>24.33</v>
      </c>
      <c r="J127">
        <v>20.62</v>
      </c>
      <c r="K127">
        <v>24.62</v>
      </c>
      <c r="L127">
        <v>20.96</v>
      </c>
      <c r="M127">
        <v>24.76</v>
      </c>
      <c r="N127">
        <f t="shared" si="2"/>
        <v>1</v>
      </c>
      <c r="O127">
        <f t="shared" si="3"/>
        <v>22.07</v>
      </c>
    </row>
    <row r="128" spans="1:15" x14ac:dyDescent="0.25">
      <c r="A128" s="1">
        <v>42601</v>
      </c>
      <c r="B128" s="2">
        <v>0.21388888888888888</v>
      </c>
      <c r="C128" s="3">
        <v>0.21388888888888888</v>
      </c>
      <c r="D128">
        <v>24.25</v>
      </c>
      <c r="E128">
        <v>21.83</v>
      </c>
      <c r="F128">
        <v>23.97</v>
      </c>
      <c r="G128">
        <v>22.48</v>
      </c>
      <c r="H128">
        <v>21.36</v>
      </c>
      <c r="I128">
        <v>20.2</v>
      </c>
      <c r="J128">
        <v>23.33</v>
      </c>
      <c r="K128">
        <v>22.17</v>
      </c>
      <c r="L128">
        <v>22.32</v>
      </c>
      <c r="M128">
        <v>22.84</v>
      </c>
      <c r="N128">
        <f t="shared" si="2"/>
        <v>1</v>
      </c>
      <c r="O128">
        <f t="shared" si="3"/>
        <v>21.36</v>
      </c>
    </row>
    <row r="129" spans="1:15" x14ac:dyDescent="0.25">
      <c r="A129" s="1">
        <v>42601</v>
      </c>
      <c r="B129" s="2">
        <v>0.29791666666666666</v>
      </c>
      <c r="C129" s="3">
        <v>0.29791666666666666</v>
      </c>
      <c r="D129">
        <v>22.33</v>
      </c>
      <c r="E129">
        <v>20</v>
      </c>
      <c r="F129">
        <v>24.04</v>
      </c>
      <c r="G129">
        <v>24.76</v>
      </c>
      <c r="H129">
        <v>23.02</v>
      </c>
      <c r="I129">
        <v>23.75</v>
      </c>
      <c r="J129">
        <v>20.46</v>
      </c>
      <c r="K129">
        <v>22.05</v>
      </c>
      <c r="L129">
        <v>21.31</v>
      </c>
      <c r="M129">
        <v>23.02</v>
      </c>
      <c r="N129">
        <f t="shared" si="2"/>
        <v>1</v>
      </c>
      <c r="O129">
        <f t="shared" si="3"/>
        <v>23.02</v>
      </c>
    </row>
    <row r="130" spans="1:15" x14ac:dyDescent="0.25">
      <c r="A130" s="1">
        <v>42601</v>
      </c>
      <c r="B130" s="2">
        <v>0.42291666666666666</v>
      </c>
      <c r="C130" s="3">
        <v>0.42291666666666666</v>
      </c>
      <c r="D130">
        <v>20.89</v>
      </c>
      <c r="E130">
        <v>20.28</v>
      </c>
      <c r="F130">
        <v>23.53</v>
      </c>
      <c r="G130">
        <v>22.74</v>
      </c>
      <c r="H130">
        <v>20.13</v>
      </c>
      <c r="I130">
        <v>22.16</v>
      </c>
      <c r="J130">
        <v>22.63</v>
      </c>
      <c r="K130">
        <v>21.6</v>
      </c>
      <c r="L130">
        <v>23</v>
      </c>
      <c r="M130">
        <v>20.5</v>
      </c>
      <c r="N130">
        <f t="shared" si="2"/>
        <v>1</v>
      </c>
      <c r="O130">
        <f t="shared" si="3"/>
        <v>20.13</v>
      </c>
    </row>
    <row r="131" spans="1:15" x14ac:dyDescent="0.25">
      <c r="A131" s="1">
        <v>42603</v>
      </c>
      <c r="B131" s="2">
        <v>3.472222222222222E-3</v>
      </c>
      <c r="C131" s="3">
        <v>3.472222222222222E-3</v>
      </c>
      <c r="D131">
        <v>21.25</v>
      </c>
      <c r="E131">
        <v>22.01</v>
      </c>
      <c r="F131">
        <v>20.190000000000001</v>
      </c>
      <c r="G131">
        <v>24.36</v>
      </c>
      <c r="H131">
        <v>24.61</v>
      </c>
      <c r="I131">
        <v>24.99</v>
      </c>
      <c r="J131">
        <v>22.55</v>
      </c>
      <c r="K131">
        <v>24.32</v>
      </c>
      <c r="L131">
        <v>20.89</v>
      </c>
      <c r="M131">
        <v>20.36</v>
      </c>
      <c r="N131">
        <f t="shared" ref="N131:N194" si="4">IF(AND(C131&gt;=$R$2,C131&lt;=$R$3),1,0)</f>
        <v>0</v>
      </c>
      <c r="O131" t="str">
        <f t="shared" ref="O131:O194" si="5">IF(N131=1,H131,"")</f>
        <v/>
      </c>
    </row>
    <row r="132" spans="1:15" x14ac:dyDescent="0.25">
      <c r="A132" s="1">
        <v>42603</v>
      </c>
      <c r="B132" s="2">
        <v>0.12847222222222221</v>
      </c>
      <c r="C132" s="3">
        <v>0.12847222222222221</v>
      </c>
      <c r="D132">
        <v>23.52</v>
      </c>
      <c r="E132">
        <v>21.62</v>
      </c>
      <c r="F132">
        <v>22.59</v>
      </c>
      <c r="G132">
        <v>22.21</v>
      </c>
      <c r="H132">
        <v>21.78</v>
      </c>
      <c r="I132">
        <v>24.26</v>
      </c>
      <c r="J132">
        <v>24.31</v>
      </c>
      <c r="K132">
        <v>20.53</v>
      </c>
      <c r="L132">
        <v>23.51</v>
      </c>
      <c r="M132">
        <v>23.09</v>
      </c>
      <c r="N132">
        <f t="shared" si="4"/>
        <v>0</v>
      </c>
      <c r="O132" t="str">
        <f t="shared" si="5"/>
        <v/>
      </c>
    </row>
    <row r="133" spans="1:15" x14ac:dyDescent="0.25">
      <c r="A133" s="1">
        <v>42605</v>
      </c>
      <c r="B133" s="2">
        <v>0.46597222222222223</v>
      </c>
      <c r="C133" s="3">
        <v>0.46597222222222223</v>
      </c>
      <c r="D133">
        <v>20.11</v>
      </c>
      <c r="E133">
        <v>23.11</v>
      </c>
      <c r="F133">
        <v>24.5</v>
      </c>
      <c r="G133">
        <v>20.38</v>
      </c>
      <c r="H133">
        <v>22.23</v>
      </c>
      <c r="I133">
        <v>23.96</v>
      </c>
      <c r="J133">
        <v>21.22</v>
      </c>
      <c r="K133">
        <v>24.89</v>
      </c>
      <c r="L133">
        <v>20.12</v>
      </c>
      <c r="M133">
        <v>24.1</v>
      </c>
      <c r="N133">
        <f t="shared" si="4"/>
        <v>1</v>
      </c>
      <c r="O133">
        <f t="shared" si="5"/>
        <v>22.23</v>
      </c>
    </row>
    <row r="134" spans="1:15" x14ac:dyDescent="0.25">
      <c r="A134" s="1">
        <v>42606</v>
      </c>
      <c r="B134" s="2">
        <v>4.7222222222222221E-2</v>
      </c>
      <c r="C134" s="3">
        <v>4.7222222222222221E-2</v>
      </c>
      <c r="D134">
        <v>22.99</v>
      </c>
      <c r="E134">
        <v>21.77</v>
      </c>
      <c r="F134">
        <v>20.63</v>
      </c>
      <c r="G134">
        <v>20.59</v>
      </c>
      <c r="H134">
        <v>21.52</v>
      </c>
      <c r="I134">
        <v>23.7</v>
      </c>
      <c r="J134">
        <v>22.05</v>
      </c>
      <c r="K134">
        <v>23.02</v>
      </c>
      <c r="L134">
        <v>24.59</v>
      </c>
      <c r="M134">
        <v>20.99</v>
      </c>
      <c r="N134">
        <f t="shared" si="4"/>
        <v>0</v>
      </c>
      <c r="O134" t="str">
        <f t="shared" si="5"/>
        <v/>
      </c>
    </row>
    <row r="135" spans="1:15" x14ac:dyDescent="0.25">
      <c r="A135" s="1">
        <v>42606</v>
      </c>
      <c r="B135" s="2">
        <v>0.25208333333333333</v>
      </c>
      <c r="C135" s="3">
        <v>0.25208333333333333</v>
      </c>
      <c r="D135">
        <v>22.09</v>
      </c>
      <c r="E135">
        <v>22.11</v>
      </c>
      <c r="F135">
        <v>23.82</v>
      </c>
      <c r="G135">
        <v>21.8</v>
      </c>
      <c r="H135">
        <v>23.42</v>
      </c>
      <c r="I135">
        <v>23.48</v>
      </c>
      <c r="J135">
        <v>23.86</v>
      </c>
      <c r="K135">
        <v>21.65</v>
      </c>
      <c r="L135">
        <v>24.9</v>
      </c>
      <c r="M135">
        <v>20.260000000000002</v>
      </c>
      <c r="N135">
        <f t="shared" si="4"/>
        <v>1</v>
      </c>
      <c r="O135">
        <f t="shared" si="5"/>
        <v>23.42</v>
      </c>
    </row>
    <row r="136" spans="1:15" x14ac:dyDescent="0.25">
      <c r="A136" s="1">
        <v>42607</v>
      </c>
      <c r="B136" s="2">
        <v>0.46250000000000002</v>
      </c>
      <c r="C136" s="3">
        <v>0.46250000000000002</v>
      </c>
      <c r="D136">
        <v>22.15</v>
      </c>
      <c r="E136">
        <v>20.68</v>
      </c>
      <c r="F136">
        <v>22.12</v>
      </c>
      <c r="G136">
        <v>21.59</v>
      </c>
      <c r="H136">
        <v>22.45</v>
      </c>
      <c r="I136">
        <v>22.03</v>
      </c>
      <c r="J136">
        <v>20.58</v>
      </c>
      <c r="K136">
        <v>21.08</v>
      </c>
      <c r="L136">
        <v>22.52</v>
      </c>
      <c r="M136">
        <v>20.71</v>
      </c>
      <c r="N136">
        <f t="shared" si="4"/>
        <v>1</v>
      </c>
      <c r="O136">
        <f t="shared" si="5"/>
        <v>22.45</v>
      </c>
    </row>
    <row r="137" spans="1:15" x14ac:dyDescent="0.25">
      <c r="A137" s="1">
        <v>42609</v>
      </c>
      <c r="B137" s="2">
        <v>6.2500000000000003E-3</v>
      </c>
      <c r="C137" s="3">
        <v>6.2500000000000003E-3</v>
      </c>
      <c r="D137">
        <v>20.149999999999999</v>
      </c>
      <c r="E137">
        <v>21.69</v>
      </c>
      <c r="F137">
        <v>22.88</v>
      </c>
      <c r="G137">
        <v>23.7</v>
      </c>
      <c r="H137">
        <v>22.32</v>
      </c>
      <c r="I137">
        <v>20.55</v>
      </c>
      <c r="J137">
        <v>24.02</v>
      </c>
      <c r="K137">
        <v>23.15</v>
      </c>
      <c r="L137">
        <v>21.8</v>
      </c>
      <c r="M137">
        <v>23.78</v>
      </c>
      <c r="N137">
        <f t="shared" si="4"/>
        <v>0</v>
      </c>
      <c r="O137" t="str">
        <f t="shared" si="5"/>
        <v/>
      </c>
    </row>
    <row r="138" spans="1:15" x14ac:dyDescent="0.25">
      <c r="A138" s="1">
        <v>42609</v>
      </c>
      <c r="B138" s="2">
        <v>0.1673611111111111</v>
      </c>
      <c r="C138" s="3">
        <v>0.1673611111111111</v>
      </c>
      <c r="D138">
        <v>21.66</v>
      </c>
      <c r="E138">
        <v>23.29</v>
      </c>
      <c r="F138">
        <v>23.15</v>
      </c>
      <c r="G138">
        <v>21.38</v>
      </c>
      <c r="H138">
        <v>22.83</v>
      </c>
      <c r="I138">
        <v>23.77</v>
      </c>
      <c r="J138">
        <v>23.64</v>
      </c>
      <c r="K138">
        <v>23.45</v>
      </c>
      <c r="L138">
        <v>23.36</v>
      </c>
      <c r="M138">
        <v>22.48</v>
      </c>
      <c r="N138">
        <f t="shared" si="4"/>
        <v>0</v>
      </c>
      <c r="O138" t="str">
        <f t="shared" si="5"/>
        <v/>
      </c>
    </row>
    <row r="139" spans="1:15" x14ac:dyDescent="0.25">
      <c r="A139" s="1">
        <v>42610</v>
      </c>
      <c r="B139" s="2">
        <v>0.42291666666666666</v>
      </c>
      <c r="C139" s="3">
        <v>0.42291666666666666</v>
      </c>
      <c r="D139">
        <v>20.57</v>
      </c>
      <c r="E139">
        <v>21.99</v>
      </c>
      <c r="F139">
        <v>23.24</v>
      </c>
      <c r="G139">
        <v>20.5</v>
      </c>
      <c r="H139">
        <v>23.35</v>
      </c>
      <c r="I139">
        <v>21.21</v>
      </c>
      <c r="J139">
        <v>24.55</v>
      </c>
      <c r="K139">
        <v>20.53</v>
      </c>
      <c r="L139">
        <v>22.69</v>
      </c>
      <c r="M139">
        <v>21.43</v>
      </c>
      <c r="N139">
        <f t="shared" si="4"/>
        <v>1</v>
      </c>
      <c r="O139">
        <f t="shared" si="5"/>
        <v>23.35</v>
      </c>
    </row>
    <row r="140" spans="1:15" x14ac:dyDescent="0.25">
      <c r="A140" s="1">
        <v>42611</v>
      </c>
      <c r="B140" s="2">
        <v>7.6388888888888886E-3</v>
      </c>
      <c r="C140" s="3">
        <v>7.6388888888888886E-3</v>
      </c>
      <c r="D140">
        <v>21.59</v>
      </c>
      <c r="E140">
        <v>23.58</v>
      </c>
      <c r="F140">
        <v>20.88</v>
      </c>
      <c r="G140">
        <v>23.01</v>
      </c>
      <c r="H140">
        <v>23</v>
      </c>
      <c r="I140">
        <v>24.37</v>
      </c>
      <c r="J140">
        <v>23.73</v>
      </c>
      <c r="K140">
        <v>20.41</v>
      </c>
      <c r="L140">
        <v>20.39</v>
      </c>
      <c r="M140">
        <v>20.8</v>
      </c>
      <c r="N140">
        <f t="shared" si="4"/>
        <v>0</v>
      </c>
      <c r="O140" t="str">
        <f t="shared" si="5"/>
        <v/>
      </c>
    </row>
    <row r="141" spans="1:15" x14ac:dyDescent="0.25">
      <c r="A141" s="1">
        <v>42611</v>
      </c>
      <c r="B141" s="2">
        <v>0.21527777777777779</v>
      </c>
      <c r="C141" s="3">
        <v>0.21527777777777779</v>
      </c>
      <c r="D141">
        <v>20.93</v>
      </c>
      <c r="E141">
        <v>20.239999999999998</v>
      </c>
      <c r="F141">
        <v>22.85</v>
      </c>
      <c r="G141">
        <v>21.54</v>
      </c>
      <c r="H141">
        <v>23.07</v>
      </c>
      <c r="I141">
        <v>20.65</v>
      </c>
      <c r="J141">
        <v>24.44</v>
      </c>
      <c r="K141">
        <v>20.95</v>
      </c>
      <c r="L141">
        <v>21.69</v>
      </c>
      <c r="M141">
        <v>22.41</v>
      </c>
      <c r="N141">
        <f t="shared" si="4"/>
        <v>1</v>
      </c>
      <c r="O141">
        <f t="shared" si="5"/>
        <v>23.07</v>
      </c>
    </row>
    <row r="142" spans="1:15" x14ac:dyDescent="0.25">
      <c r="A142" s="1">
        <v>42616</v>
      </c>
      <c r="B142" s="2">
        <v>0.33611111111111114</v>
      </c>
      <c r="C142" s="3">
        <v>0.33611111111111114</v>
      </c>
      <c r="D142">
        <v>16.41</v>
      </c>
      <c r="E142">
        <v>15.29</v>
      </c>
      <c r="F142">
        <v>10.48</v>
      </c>
      <c r="G142">
        <v>14.09</v>
      </c>
      <c r="H142">
        <v>19.38</v>
      </c>
      <c r="I142">
        <v>10.14</v>
      </c>
      <c r="J142">
        <v>10.74</v>
      </c>
      <c r="K142">
        <v>15.18</v>
      </c>
      <c r="L142">
        <v>12.67</v>
      </c>
      <c r="M142">
        <v>14.37</v>
      </c>
      <c r="N142">
        <f t="shared" si="4"/>
        <v>1</v>
      </c>
      <c r="O142">
        <f t="shared" si="5"/>
        <v>19.38</v>
      </c>
    </row>
    <row r="143" spans="1:15" x14ac:dyDescent="0.25">
      <c r="A143" s="1">
        <v>42616</v>
      </c>
      <c r="B143" s="2">
        <v>0.34027777777777779</v>
      </c>
      <c r="C143" s="3">
        <v>0.34027777777777779</v>
      </c>
      <c r="D143">
        <v>16.52</v>
      </c>
      <c r="E143">
        <v>12.24</v>
      </c>
      <c r="F143">
        <v>15.91</v>
      </c>
      <c r="G143">
        <v>15.35</v>
      </c>
      <c r="H143">
        <v>17</v>
      </c>
      <c r="I143">
        <v>16.29</v>
      </c>
      <c r="J143">
        <v>10.94</v>
      </c>
      <c r="K143">
        <v>17.579999999999998</v>
      </c>
      <c r="L143">
        <v>14.73</v>
      </c>
      <c r="M143">
        <v>15.82</v>
      </c>
      <c r="N143">
        <f t="shared" si="4"/>
        <v>1</v>
      </c>
      <c r="O143">
        <f t="shared" si="5"/>
        <v>17</v>
      </c>
    </row>
    <row r="144" spans="1:15" x14ac:dyDescent="0.25">
      <c r="A144" s="1">
        <v>42617</v>
      </c>
      <c r="B144" s="2">
        <v>0.46458333333333335</v>
      </c>
      <c r="C144" s="3">
        <v>0.46458333333333335</v>
      </c>
      <c r="D144">
        <v>13.93</v>
      </c>
      <c r="E144">
        <v>15.26</v>
      </c>
      <c r="F144">
        <v>13.17</v>
      </c>
      <c r="G144">
        <v>15.12</v>
      </c>
      <c r="H144">
        <v>16.059999999999999</v>
      </c>
      <c r="I144">
        <v>14.37</v>
      </c>
      <c r="J144">
        <v>20</v>
      </c>
      <c r="K144">
        <v>14.27</v>
      </c>
      <c r="L144">
        <v>12.07</v>
      </c>
      <c r="M144">
        <v>11.12</v>
      </c>
      <c r="N144">
        <f t="shared" si="4"/>
        <v>1</v>
      </c>
      <c r="O144">
        <f t="shared" si="5"/>
        <v>16.059999999999999</v>
      </c>
    </row>
    <row r="145" spans="1:15" x14ac:dyDescent="0.25">
      <c r="A145" s="1">
        <v>42619</v>
      </c>
      <c r="B145" s="2">
        <v>0.3347222222222222</v>
      </c>
      <c r="C145" s="3">
        <v>0.3347222222222222</v>
      </c>
      <c r="D145">
        <v>10.24</v>
      </c>
      <c r="E145">
        <v>18.010000000000002</v>
      </c>
      <c r="F145">
        <v>15.2</v>
      </c>
      <c r="G145">
        <v>14.43</v>
      </c>
      <c r="H145">
        <v>10.85</v>
      </c>
      <c r="I145">
        <v>16.73</v>
      </c>
      <c r="J145">
        <v>19.93</v>
      </c>
      <c r="K145">
        <v>17.36</v>
      </c>
      <c r="L145">
        <v>16.77</v>
      </c>
      <c r="M145">
        <v>17.64</v>
      </c>
      <c r="N145">
        <f t="shared" si="4"/>
        <v>1</v>
      </c>
      <c r="O145">
        <f t="shared" si="5"/>
        <v>10.85</v>
      </c>
    </row>
    <row r="146" spans="1:15" x14ac:dyDescent="0.25">
      <c r="A146" s="1">
        <v>42619</v>
      </c>
      <c r="B146" s="2">
        <v>0.42222222222222222</v>
      </c>
      <c r="C146" s="3">
        <v>0.42222222222222222</v>
      </c>
      <c r="D146">
        <v>17.559999999999999</v>
      </c>
      <c r="E146">
        <v>14.82</v>
      </c>
      <c r="F146">
        <v>12.26</v>
      </c>
      <c r="G146">
        <v>17.920000000000002</v>
      </c>
      <c r="H146">
        <v>14.86</v>
      </c>
      <c r="I146">
        <v>11.11</v>
      </c>
      <c r="J146">
        <v>16.11</v>
      </c>
      <c r="K146">
        <v>18.66</v>
      </c>
      <c r="L146">
        <v>14.11</v>
      </c>
      <c r="M146">
        <v>19.510000000000002</v>
      </c>
      <c r="N146">
        <f t="shared" si="4"/>
        <v>1</v>
      </c>
      <c r="O146">
        <f t="shared" si="5"/>
        <v>14.86</v>
      </c>
    </row>
    <row r="147" spans="1:15" x14ac:dyDescent="0.25">
      <c r="A147" s="1">
        <v>42626</v>
      </c>
      <c r="B147" s="2">
        <v>0.42291666666666666</v>
      </c>
      <c r="C147" s="3">
        <v>0.42291666666666666</v>
      </c>
      <c r="D147">
        <v>13.59</v>
      </c>
      <c r="E147">
        <v>11.82</v>
      </c>
      <c r="F147">
        <v>11.56</v>
      </c>
      <c r="G147">
        <v>19.809999999999999</v>
      </c>
      <c r="H147">
        <v>16.45</v>
      </c>
      <c r="I147">
        <v>13.39</v>
      </c>
      <c r="J147">
        <v>17.64</v>
      </c>
      <c r="K147">
        <v>13.05</v>
      </c>
      <c r="L147">
        <v>13.95</v>
      </c>
      <c r="M147">
        <v>16.04</v>
      </c>
      <c r="N147">
        <f t="shared" si="4"/>
        <v>1</v>
      </c>
      <c r="O147">
        <f t="shared" si="5"/>
        <v>16.45</v>
      </c>
    </row>
    <row r="148" spans="1:15" x14ac:dyDescent="0.25">
      <c r="A148" s="1">
        <v>42627</v>
      </c>
      <c r="B148" s="2">
        <v>0.1673611111111111</v>
      </c>
      <c r="C148" s="3">
        <v>0.1673611111111111</v>
      </c>
      <c r="D148">
        <v>12.35</v>
      </c>
      <c r="E148">
        <v>18.39</v>
      </c>
      <c r="F148">
        <v>19.010000000000002</v>
      </c>
      <c r="G148">
        <v>18.13</v>
      </c>
      <c r="H148">
        <v>18.46</v>
      </c>
      <c r="I148">
        <v>19.600000000000001</v>
      </c>
      <c r="J148">
        <v>12.16</v>
      </c>
      <c r="K148">
        <v>19.899999999999999</v>
      </c>
      <c r="L148">
        <v>10.16</v>
      </c>
      <c r="M148">
        <v>19.96</v>
      </c>
      <c r="N148">
        <f t="shared" si="4"/>
        <v>0</v>
      </c>
      <c r="O148" t="str">
        <f t="shared" si="5"/>
        <v/>
      </c>
    </row>
    <row r="149" spans="1:15" x14ac:dyDescent="0.25">
      <c r="A149" s="1">
        <v>42628</v>
      </c>
      <c r="B149" s="2">
        <v>0.25486111111111109</v>
      </c>
      <c r="C149" s="3">
        <v>0.25486111111111109</v>
      </c>
      <c r="D149">
        <v>14.18</v>
      </c>
      <c r="E149">
        <v>18.43</v>
      </c>
      <c r="F149">
        <v>14.71</v>
      </c>
      <c r="G149">
        <v>13.45</v>
      </c>
      <c r="H149">
        <v>11.14</v>
      </c>
      <c r="I149">
        <v>17.7</v>
      </c>
      <c r="J149">
        <v>16.39</v>
      </c>
      <c r="K149">
        <v>13.4</v>
      </c>
      <c r="L149">
        <v>15.05</v>
      </c>
      <c r="M149">
        <v>10.44</v>
      </c>
      <c r="N149">
        <f t="shared" si="4"/>
        <v>1</v>
      </c>
      <c r="O149">
        <f t="shared" si="5"/>
        <v>11.14</v>
      </c>
    </row>
    <row r="150" spans="1:15" x14ac:dyDescent="0.25">
      <c r="A150" s="1">
        <v>42631</v>
      </c>
      <c r="B150" s="2">
        <v>0.29791666666666666</v>
      </c>
      <c r="C150" s="3">
        <v>0.29791666666666666</v>
      </c>
      <c r="D150">
        <v>14.63</v>
      </c>
      <c r="E150">
        <v>10.26</v>
      </c>
      <c r="F150">
        <v>19.79</v>
      </c>
      <c r="G150">
        <v>10.91</v>
      </c>
      <c r="H150">
        <v>12.37</v>
      </c>
      <c r="I150">
        <v>11.52</v>
      </c>
      <c r="J150">
        <v>16.690000000000001</v>
      </c>
      <c r="K150">
        <v>15.2</v>
      </c>
      <c r="L150">
        <v>16.13</v>
      </c>
      <c r="M150">
        <v>17.690000000000001</v>
      </c>
      <c r="N150">
        <f t="shared" si="4"/>
        <v>1</v>
      </c>
      <c r="O150">
        <f t="shared" si="5"/>
        <v>12.37</v>
      </c>
    </row>
    <row r="151" spans="1:15" x14ac:dyDescent="0.25">
      <c r="A151" s="1">
        <v>42634</v>
      </c>
      <c r="B151" s="2">
        <v>0.12916666666666668</v>
      </c>
      <c r="C151" s="3">
        <v>0.12916666666666668</v>
      </c>
      <c r="D151">
        <v>19.21</v>
      </c>
      <c r="E151">
        <v>19.71</v>
      </c>
      <c r="F151">
        <v>17.29</v>
      </c>
      <c r="G151">
        <v>12.07</v>
      </c>
      <c r="H151">
        <v>18.739999999999998</v>
      </c>
      <c r="I151">
        <v>18.8</v>
      </c>
      <c r="J151">
        <v>17.55</v>
      </c>
      <c r="K151">
        <v>13.23</v>
      </c>
      <c r="L151">
        <v>16.34</v>
      </c>
      <c r="M151">
        <v>16.95</v>
      </c>
      <c r="N151">
        <f t="shared" si="4"/>
        <v>0</v>
      </c>
      <c r="O151" t="str">
        <f t="shared" si="5"/>
        <v/>
      </c>
    </row>
    <row r="152" spans="1:15" x14ac:dyDescent="0.25">
      <c r="A152" s="1">
        <v>42635</v>
      </c>
      <c r="B152" s="2">
        <v>0.33750000000000002</v>
      </c>
      <c r="C152" s="3">
        <v>0.33750000000000002</v>
      </c>
      <c r="D152">
        <v>15.89</v>
      </c>
      <c r="E152">
        <v>17.95</v>
      </c>
      <c r="F152">
        <v>12.8</v>
      </c>
      <c r="G152">
        <v>15</v>
      </c>
      <c r="H152">
        <v>12.22</v>
      </c>
      <c r="I152">
        <v>18.25</v>
      </c>
      <c r="J152">
        <v>10.6</v>
      </c>
      <c r="K152">
        <v>19.399999999999999</v>
      </c>
      <c r="L152">
        <v>12.84</v>
      </c>
      <c r="M152">
        <v>16.170000000000002</v>
      </c>
      <c r="N152">
        <f t="shared" si="4"/>
        <v>1</v>
      </c>
      <c r="O152">
        <f t="shared" si="5"/>
        <v>12.22</v>
      </c>
    </row>
    <row r="153" spans="1:15" x14ac:dyDescent="0.25">
      <c r="A153" s="1">
        <v>42635</v>
      </c>
      <c r="B153" s="2">
        <v>0.42083333333333334</v>
      </c>
      <c r="C153" s="3">
        <v>0.42083333333333334</v>
      </c>
      <c r="D153">
        <v>18.32</v>
      </c>
      <c r="E153">
        <v>19.73</v>
      </c>
      <c r="F153">
        <v>15.21</v>
      </c>
      <c r="G153">
        <v>17.899999999999999</v>
      </c>
      <c r="H153">
        <v>18.29</v>
      </c>
      <c r="I153">
        <v>14.78</v>
      </c>
      <c r="J153">
        <v>16.59</v>
      </c>
      <c r="K153">
        <v>18.350000000000001</v>
      </c>
      <c r="L153">
        <v>12.69</v>
      </c>
      <c r="M153">
        <v>18.489999999999998</v>
      </c>
      <c r="N153">
        <f t="shared" si="4"/>
        <v>1</v>
      </c>
      <c r="O153">
        <f t="shared" si="5"/>
        <v>18.29</v>
      </c>
    </row>
    <row r="154" spans="1:15" x14ac:dyDescent="0.25">
      <c r="A154" s="1">
        <v>42636</v>
      </c>
      <c r="B154" s="2">
        <v>0.4236111111111111</v>
      </c>
      <c r="C154" s="3">
        <v>0.4236111111111111</v>
      </c>
      <c r="D154">
        <v>13.6</v>
      </c>
      <c r="E154">
        <v>12.67</v>
      </c>
      <c r="F154">
        <v>15.96</v>
      </c>
      <c r="G154">
        <v>19.79</v>
      </c>
      <c r="H154">
        <v>15</v>
      </c>
      <c r="I154">
        <v>17.829999999999998</v>
      </c>
      <c r="J154">
        <v>11.56</v>
      </c>
      <c r="K154">
        <v>19.489999999999998</v>
      </c>
      <c r="L154">
        <v>13.76</v>
      </c>
      <c r="M154">
        <v>15.46</v>
      </c>
      <c r="N154">
        <f t="shared" si="4"/>
        <v>1</v>
      </c>
      <c r="O154">
        <f t="shared" si="5"/>
        <v>15</v>
      </c>
    </row>
    <row r="155" spans="1:15" x14ac:dyDescent="0.25">
      <c r="A155" s="1">
        <v>42639</v>
      </c>
      <c r="B155" s="2">
        <v>4.583333333333333E-2</v>
      </c>
      <c r="C155" s="3">
        <v>4.583333333333333E-2</v>
      </c>
      <c r="D155">
        <v>10.199999999999999</v>
      </c>
      <c r="E155">
        <v>14.87</v>
      </c>
      <c r="F155">
        <v>17.510000000000002</v>
      </c>
      <c r="G155">
        <v>17.190000000000001</v>
      </c>
      <c r="H155">
        <v>12.5</v>
      </c>
      <c r="I155">
        <v>15.71</v>
      </c>
      <c r="J155">
        <v>12.15</v>
      </c>
      <c r="K155">
        <v>13.01</v>
      </c>
      <c r="L155">
        <v>17.21</v>
      </c>
      <c r="M155">
        <v>15.46</v>
      </c>
      <c r="N155">
        <f t="shared" si="4"/>
        <v>0</v>
      </c>
      <c r="O155" t="str">
        <f t="shared" si="5"/>
        <v/>
      </c>
    </row>
    <row r="156" spans="1:15" x14ac:dyDescent="0.25">
      <c r="A156" s="1">
        <v>42641</v>
      </c>
      <c r="B156" s="2">
        <v>0.37708333333333333</v>
      </c>
      <c r="C156" s="3">
        <v>0.37708333333333333</v>
      </c>
      <c r="D156">
        <v>18.23</v>
      </c>
      <c r="E156">
        <v>10.62</v>
      </c>
      <c r="F156">
        <v>14.89</v>
      </c>
      <c r="G156">
        <v>13.97</v>
      </c>
      <c r="H156">
        <v>14.88</v>
      </c>
      <c r="I156">
        <v>18.62</v>
      </c>
      <c r="J156">
        <v>12.9</v>
      </c>
      <c r="K156">
        <v>17.5</v>
      </c>
      <c r="L156">
        <v>12.26</v>
      </c>
      <c r="M156">
        <v>15.26</v>
      </c>
      <c r="N156">
        <f t="shared" si="4"/>
        <v>1</v>
      </c>
      <c r="O156">
        <f t="shared" si="5"/>
        <v>14.88</v>
      </c>
    </row>
    <row r="157" spans="1:15" x14ac:dyDescent="0.25">
      <c r="A157" s="1">
        <v>42645</v>
      </c>
      <c r="B157" s="2">
        <v>0.33888888888888891</v>
      </c>
      <c r="C157" s="3">
        <v>0.33888888888888891</v>
      </c>
      <c r="D157">
        <v>10.99</v>
      </c>
      <c r="E157">
        <v>19.11</v>
      </c>
      <c r="F157">
        <v>18.8</v>
      </c>
      <c r="G157">
        <v>12.14</v>
      </c>
      <c r="H157">
        <v>11.19</v>
      </c>
      <c r="I157">
        <v>11.97</v>
      </c>
      <c r="J157">
        <v>19.8</v>
      </c>
      <c r="K157">
        <v>19.72</v>
      </c>
      <c r="L157">
        <v>15.04</v>
      </c>
      <c r="M157">
        <v>12.42</v>
      </c>
      <c r="N157">
        <f t="shared" si="4"/>
        <v>1</v>
      </c>
      <c r="O157">
        <f t="shared" si="5"/>
        <v>11.19</v>
      </c>
    </row>
    <row r="158" spans="1:15" x14ac:dyDescent="0.25">
      <c r="A158" s="1">
        <v>42647</v>
      </c>
      <c r="B158" s="2">
        <v>8.4722222222222227E-2</v>
      </c>
      <c r="C158" s="3">
        <v>8.4722222222222227E-2</v>
      </c>
      <c r="D158">
        <v>16.5</v>
      </c>
      <c r="E158">
        <v>18.18</v>
      </c>
      <c r="F158">
        <v>15.63</v>
      </c>
      <c r="G158">
        <v>11.46</v>
      </c>
      <c r="H158">
        <v>17.399999999999999</v>
      </c>
      <c r="I158">
        <v>16.75</v>
      </c>
      <c r="J158">
        <v>11.85</v>
      </c>
      <c r="K158">
        <v>13.64</v>
      </c>
      <c r="L158">
        <v>10.43</v>
      </c>
      <c r="M158">
        <v>19.149999999999999</v>
      </c>
      <c r="N158">
        <f t="shared" si="4"/>
        <v>0</v>
      </c>
      <c r="O158" t="str">
        <f t="shared" si="5"/>
        <v/>
      </c>
    </row>
    <row r="159" spans="1:15" x14ac:dyDescent="0.25">
      <c r="A159" s="1">
        <v>42647</v>
      </c>
      <c r="B159" s="2">
        <v>0.4201388888888889</v>
      </c>
      <c r="C159" s="3">
        <v>0.4201388888888889</v>
      </c>
      <c r="D159">
        <v>14.76</v>
      </c>
      <c r="E159">
        <v>10.74</v>
      </c>
      <c r="F159">
        <v>16.3</v>
      </c>
      <c r="G159">
        <v>10.39</v>
      </c>
      <c r="H159">
        <v>11.24</v>
      </c>
      <c r="I159">
        <v>18.98</v>
      </c>
      <c r="J159">
        <v>15.79</v>
      </c>
      <c r="K159">
        <v>12.57</v>
      </c>
      <c r="L159">
        <v>19.2</v>
      </c>
      <c r="M159">
        <v>10.17</v>
      </c>
      <c r="N159">
        <f t="shared" si="4"/>
        <v>1</v>
      </c>
      <c r="O159">
        <f t="shared" si="5"/>
        <v>11.24</v>
      </c>
    </row>
    <row r="160" spans="1:15" x14ac:dyDescent="0.25">
      <c r="A160" s="1">
        <v>42650</v>
      </c>
      <c r="B160" s="2">
        <v>0.1701388888888889</v>
      </c>
      <c r="C160" s="3">
        <v>0.1701388888888889</v>
      </c>
      <c r="D160">
        <v>19.149999999999999</v>
      </c>
      <c r="E160">
        <v>15.35</v>
      </c>
      <c r="F160">
        <v>10.71</v>
      </c>
      <c r="G160">
        <v>14.76</v>
      </c>
      <c r="H160">
        <v>17.57</v>
      </c>
      <c r="I160">
        <v>16.05</v>
      </c>
      <c r="J160">
        <v>19.690000000000001</v>
      </c>
      <c r="K160">
        <v>15.96</v>
      </c>
      <c r="L160">
        <v>11.27</v>
      </c>
      <c r="M160">
        <v>11.72</v>
      </c>
      <c r="N160">
        <f t="shared" si="4"/>
        <v>0</v>
      </c>
      <c r="O160" t="str">
        <f t="shared" si="5"/>
        <v/>
      </c>
    </row>
    <row r="161" spans="1:15" x14ac:dyDescent="0.25">
      <c r="A161" s="1">
        <v>42653</v>
      </c>
      <c r="B161" s="2">
        <v>0.29236111111111113</v>
      </c>
      <c r="C161" s="3">
        <v>0.29236111111111113</v>
      </c>
      <c r="D161">
        <v>14.52</v>
      </c>
      <c r="E161">
        <v>15.36</v>
      </c>
      <c r="F161">
        <v>10.01</v>
      </c>
      <c r="G161">
        <v>19.440000000000001</v>
      </c>
      <c r="H161">
        <v>11.62</v>
      </c>
      <c r="I161">
        <v>17.75</v>
      </c>
      <c r="J161">
        <v>14.63</v>
      </c>
      <c r="K161">
        <v>11.83</v>
      </c>
      <c r="L161">
        <v>15.26</v>
      </c>
      <c r="M161">
        <v>11.75</v>
      </c>
      <c r="N161">
        <f t="shared" si="4"/>
        <v>1</v>
      </c>
      <c r="O161">
        <f t="shared" si="5"/>
        <v>11.62</v>
      </c>
    </row>
    <row r="162" spans="1:15" x14ac:dyDescent="0.25">
      <c r="A162" s="1">
        <v>42654</v>
      </c>
      <c r="B162" s="2">
        <v>4.9305555555555554E-2</v>
      </c>
      <c r="C162" s="3">
        <v>4.9305555555555554E-2</v>
      </c>
      <c r="D162">
        <v>14.04</v>
      </c>
      <c r="E162">
        <v>12.39</v>
      </c>
      <c r="F162">
        <v>16.54</v>
      </c>
      <c r="G162">
        <v>16.02</v>
      </c>
      <c r="H162">
        <v>10.46</v>
      </c>
      <c r="I162">
        <v>10.8</v>
      </c>
      <c r="J162">
        <v>13.25</v>
      </c>
      <c r="K162">
        <v>19.96</v>
      </c>
      <c r="L162">
        <v>19.989999999999998</v>
      </c>
      <c r="M162">
        <v>15.91</v>
      </c>
      <c r="N162">
        <f t="shared" si="4"/>
        <v>0</v>
      </c>
      <c r="O162" t="str">
        <f t="shared" si="5"/>
        <v/>
      </c>
    </row>
    <row r="163" spans="1:15" x14ac:dyDescent="0.25">
      <c r="A163" s="1">
        <v>42654</v>
      </c>
      <c r="B163" s="2">
        <v>8.4722222222222227E-2</v>
      </c>
      <c r="C163" s="3">
        <v>8.4722222222222227E-2</v>
      </c>
      <c r="D163">
        <v>15.75</v>
      </c>
      <c r="E163">
        <v>18.39</v>
      </c>
      <c r="F163">
        <v>13.61</v>
      </c>
      <c r="G163">
        <v>10.15</v>
      </c>
      <c r="H163">
        <v>19.989999999999998</v>
      </c>
      <c r="I163">
        <v>14.87</v>
      </c>
      <c r="J163">
        <v>14.72</v>
      </c>
      <c r="K163">
        <v>14.66</v>
      </c>
      <c r="L163">
        <v>19.100000000000001</v>
      </c>
      <c r="M163">
        <v>17.760000000000002</v>
      </c>
      <c r="N163">
        <f t="shared" si="4"/>
        <v>0</v>
      </c>
      <c r="O163" t="str">
        <f t="shared" si="5"/>
        <v/>
      </c>
    </row>
    <row r="164" spans="1:15" x14ac:dyDescent="0.25">
      <c r="A164" s="1">
        <v>42654</v>
      </c>
      <c r="B164" s="2">
        <v>0.25624999999999998</v>
      </c>
      <c r="C164" s="3">
        <v>0.25624999999999998</v>
      </c>
      <c r="D164">
        <v>14.16</v>
      </c>
      <c r="E164">
        <v>19.989999999999998</v>
      </c>
      <c r="F164">
        <v>15.52</v>
      </c>
      <c r="G164">
        <v>11.59</v>
      </c>
      <c r="H164">
        <v>13.63</v>
      </c>
      <c r="I164">
        <v>12.92</v>
      </c>
      <c r="J164">
        <v>13.18</v>
      </c>
      <c r="K164">
        <v>18.84</v>
      </c>
      <c r="L164">
        <v>10.7</v>
      </c>
      <c r="M164">
        <v>13.87</v>
      </c>
      <c r="N164">
        <f t="shared" si="4"/>
        <v>1</v>
      </c>
      <c r="O164">
        <f t="shared" si="5"/>
        <v>13.63</v>
      </c>
    </row>
    <row r="165" spans="1:15" x14ac:dyDescent="0.25">
      <c r="A165" s="1">
        <v>42655</v>
      </c>
      <c r="B165" s="2">
        <v>0.1673611111111111</v>
      </c>
      <c r="C165" s="3">
        <v>0.1673611111111111</v>
      </c>
      <c r="D165">
        <v>17.32</v>
      </c>
      <c r="E165">
        <v>10.029999999999999</v>
      </c>
      <c r="F165">
        <v>15.19</v>
      </c>
      <c r="G165">
        <v>17.38</v>
      </c>
      <c r="H165">
        <v>12.08</v>
      </c>
      <c r="I165">
        <v>19.09</v>
      </c>
      <c r="J165">
        <v>12.83</v>
      </c>
      <c r="K165">
        <v>18.420000000000002</v>
      </c>
      <c r="L165">
        <v>14.05</v>
      </c>
      <c r="M165">
        <v>13.27</v>
      </c>
      <c r="N165">
        <f t="shared" si="4"/>
        <v>0</v>
      </c>
      <c r="O165" t="str">
        <f t="shared" si="5"/>
        <v/>
      </c>
    </row>
    <row r="166" spans="1:15" x14ac:dyDescent="0.25">
      <c r="A166" s="1">
        <v>42657</v>
      </c>
      <c r="B166" s="2">
        <v>3.472222222222222E-3</v>
      </c>
      <c r="C166" s="3">
        <v>3.472222222222222E-3</v>
      </c>
      <c r="D166">
        <v>17.7</v>
      </c>
      <c r="E166">
        <v>12.05</v>
      </c>
      <c r="F166">
        <v>19.64</v>
      </c>
      <c r="G166">
        <v>15.73</v>
      </c>
      <c r="H166">
        <v>19.87</v>
      </c>
      <c r="I166">
        <v>16.72</v>
      </c>
      <c r="J166">
        <v>11.73</v>
      </c>
      <c r="K166">
        <v>16.41</v>
      </c>
      <c r="L166">
        <v>18.29</v>
      </c>
      <c r="M166">
        <v>18.22</v>
      </c>
      <c r="N166">
        <f t="shared" si="4"/>
        <v>0</v>
      </c>
      <c r="O166" t="str">
        <f t="shared" si="5"/>
        <v/>
      </c>
    </row>
    <row r="167" spans="1:15" x14ac:dyDescent="0.25">
      <c r="A167" s="1">
        <v>42660</v>
      </c>
      <c r="B167" s="2">
        <v>0.21249999999999999</v>
      </c>
      <c r="C167" s="3">
        <v>0.21249999999999999</v>
      </c>
      <c r="D167">
        <v>11.01</v>
      </c>
      <c r="E167">
        <v>14.84</v>
      </c>
      <c r="F167">
        <v>11.29</v>
      </c>
      <c r="G167">
        <v>17.72</v>
      </c>
      <c r="H167">
        <v>12.61</v>
      </c>
      <c r="I167">
        <v>16.55</v>
      </c>
      <c r="J167">
        <v>11.63</v>
      </c>
      <c r="K167">
        <v>12.88</v>
      </c>
      <c r="L167">
        <v>14.01</v>
      </c>
      <c r="M167">
        <v>12.67</v>
      </c>
      <c r="N167">
        <f t="shared" si="4"/>
        <v>1</v>
      </c>
      <c r="O167">
        <f t="shared" si="5"/>
        <v>12.61</v>
      </c>
    </row>
    <row r="168" spans="1:15" x14ac:dyDescent="0.25">
      <c r="A168" s="1">
        <v>42664</v>
      </c>
      <c r="B168" s="2">
        <v>0.21388888888888888</v>
      </c>
      <c r="C168" s="3">
        <v>0.21388888888888888</v>
      </c>
      <c r="D168">
        <v>11.11</v>
      </c>
      <c r="E168">
        <v>16.350000000000001</v>
      </c>
      <c r="F168">
        <v>13.97</v>
      </c>
      <c r="G168">
        <v>11.7</v>
      </c>
      <c r="H168">
        <v>18.649999999999999</v>
      </c>
      <c r="I168">
        <v>14.28</v>
      </c>
      <c r="J168">
        <v>17.690000000000001</v>
      </c>
      <c r="K168">
        <v>13.25</v>
      </c>
      <c r="L168">
        <v>10.69</v>
      </c>
      <c r="M168">
        <v>17.690000000000001</v>
      </c>
      <c r="N168">
        <f t="shared" si="4"/>
        <v>1</v>
      </c>
      <c r="O168">
        <f t="shared" si="5"/>
        <v>18.649999999999999</v>
      </c>
    </row>
    <row r="169" spans="1:15" x14ac:dyDescent="0.25">
      <c r="A169" s="1">
        <v>42666</v>
      </c>
      <c r="B169" s="2">
        <v>0.1701388888888889</v>
      </c>
      <c r="C169" s="3">
        <v>0.1701388888888889</v>
      </c>
      <c r="D169">
        <v>13.09</v>
      </c>
      <c r="E169">
        <v>15.83</v>
      </c>
      <c r="F169">
        <v>18.55</v>
      </c>
      <c r="G169">
        <v>17.37</v>
      </c>
      <c r="H169">
        <v>18.489999999999998</v>
      </c>
      <c r="I169">
        <v>14.59</v>
      </c>
      <c r="J169">
        <v>19.329999999999998</v>
      </c>
      <c r="K169">
        <v>13.54</v>
      </c>
      <c r="L169">
        <v>11.35</v>
      </c>
      <c r="M169">
        <v>18.43</v>
      </c>
      <c r="N169">
        <f t="shared" si="4"/>
        <v>0</v>
      </c>
      <c r="O169" t="str">
        <f t="shared" si="5"/>
        <v/>
      </c>
    </row>
    <row r="170" spans="1:15" x14ac:dyDescent="0.25">
      <c r="A170" s="1">
        <v>42666</v>
      </c>
      <c r="B170" s="2">
        <v>0.29791666666666666</v>
      </c>
      <c r="C170" s="3">
        <v>0.29791666666666666</v>
      </c>
      <c r="D170">
        <v>13.13</v>
      </c>
      <c r="E170">
        <v>12.77</v>
      </c>
      <c r="F170">
        <v>19</v>
      </c>
      <c r="G170">
        <v>10.71</v>
      </c>
      <c r="H170">
        <v>17.16</v>
      </c>
      <c r="I170">
        <v>16.100000000000001</v>
      </c>
      <c r="J170">
        <v>11.78</v>
      </c>
      <c r="K170">
        <v>18.670000000000002</v>
      </c>
      <c r="L170">
        <v>14.56</v>
      </c>
      <c r="M170">
        <v>19.170000000000002</v>
      </c>
      <c r="N170">
        <f t="shared" si="4"/>
        <v>1</v>
      </c>
      <c r="O170">
        <f t="shared" si="5"/>
        <v>17.16</v>
      </c>
    </row>
    <row r="171" spans="1:15" x14ac:dyDescent="0.25">
      <c r="A171" s="1">
        <v>42667</v>
      </c>
      <c r="B171" s="2">
        <v>0.21319444444444444</v>
      </c>
      <c r="C171" s="3">
        <v>0.21319444444444444</v>
      </c>
      <c r="D171">
        <v>12.13</v>
      </c>
      <c r="E171">
        <v>13.07</v>
      </c>
      <c r="F171">
        <v>15.72</v>
      </c>
      <c r="G171">
        <v>12.27</v>
      </c>
      <c r="H171">
        <v>13.41</v>
      </c>
      <c r="I171">
        <v>13.75</v>
      </c>
      <c r="J171">
        <v>12.79</v>
      </c>
      <c r="K171">
        <v>17.98</v>
      </c>
      <c r="L171">
        <v>18.2</v>
      </c>
      <c r="M171">
        <v>13.87</v>
      </c>
      <c r="N171">
        <f t="shared" si="4"/>
        <v>1</v>
      </c>
      <c r="O171">
        <f t="shared" si="5"/>
        <v>13.41</v>
      </c>
    </row>
    <row r="172" spans="1:15" x14ac:dyDescent="0.25">
      <c r="A172" s="1">
        <v>42668</v>
      </c>
      <c r="B172" s="2">
        <v>8.5416666666666669E-2</v>
      </c>
      <c r="C172" s="3">
        <v>8.5416666666666669E-2</v>
      </c>
      <c r="D172">
        <v>10.53</v>
      </c>
      <c r="E172">
        <v>15.53</v>
      </c>
      <c r="F172">
        <v>17.63</v>
      </c>
      <c r="G172">
        <v>19.84</v>
      </c>
      <c r="H172">
        <v>10.76</v>
      </c>
      <c r="I172">
        <v>14.15</v>
      </c>
      <c r="J172">
        <v>13.54</v>
      </c>
      <c r="K172">
        <v>11.75</v>
      </c>
      <c r="L172">
        <v>12.65</v>
      </c>
      <c r="M172">
        <v>13.57</v>
      </c>
      <c r="N172">
        <f t="shared" si="4"/>
        <v>0</v>
      </c>
      <c r="O172" t="str">
        <f t="shared" si="5"/>
        <v/>
      </c>
    </row>
    <row r="173" spans="1:15" x14ac:dyDescent="0.25">
      <c r="A173" s="1">
        <v>42668</v>
      </c>
      <c r="B173" s="2">
        <v>0.25069444444444444</v>
      </c>
      <c r="C173" s="3">
        <v>0.25069444444444444</v>
      </c>
      <c r="D173">
        <v>11.99</v>
      </c>
      <c r="E173">
        <v>13.44</v>
      </c>
      <c r="F173">
        <v>19.18</v>
      </c>
      <c r="G173">
        <v>11.19</v>
      </c>
      <c r="H173">
        <v>19.05</v>
      </c>
      <c r="I173">
        <v>15.07</v>
      </c>
      <c r="J173">
        <v>17.510000000000002</v>
      </c>
      <c r="K173">
        <v>18.72</v>
      </c>
      <c r="L173">
        <v>11.62</v>
      </c>
      <c r="M173">
        <v>11.08</v>
      </c>
      <c r="N173">
        <f t="shared" si="4"/>
        <v>1</v>
      </c>
      <c r="O173">
        <f t="shared" si="5"/>
        <v>19.05</v>
      </c>
    </row>
    <row r="174" spans="1:15" x14ac:dyDescent="0.25">
      <c r="A174" s="1">
        <v>42669</v>
      </c>
      <c r="B174" s="2">
        <v>4.791666666666667E-2</v>
      </c>
      <c r="C174" s="3">
        <v>4.791666666666667E-2</v>
      </c>
      <c r="D174">
        <v>11.42</v>
      </c>
      <c r="E174">
        <v>18.52</v>
      </c>
      <c r="F174">
        <v>13.52</v>
      </c>
      <c r="G174">
        <v>18.75</v>
      </c>
      <c r="H174">
        <v>11.07</v>
      </c>
      <c r="I174">
        <v>13.24</v>
      </c>
      <c r="J174">
        <v>16.14</v>
      </c>
      <c r="K174">
        <v>10.94</v>
      </c>
      <c r="L174">
        <v>13.13</v>
      </c>
      <c r="M174">
        <v>16.52</v>
      </c>
      <c r="N174">
        <f t="shared" si="4"/>
        <v>0</v>
      </c>
      <c r="O174" t="str">
        <f t="shared" si="5"/>
        <v/>
      </c>
    </row>
    <row r="175" spans="1:15" x14ac:dyDescent="0.25">
      <c r="A175" s="1">
        <v>42669</v>
      </c>
      <c r="B175" s="2">
        <v>0.375</v>
      </c>
      <c r="C175" s="3">
        <v>0.375</v>
      </c>
      <c r="D175">
        <v>13.11</v>
      </c>
      <c r="E175">
        <v>11.09</v>
      </c>
      <c r="F175">
        <v>13.22</v>
      </c>
      <c r="G175">
        <v>17.07</v>
      </c>
      <c r="H175">
        <v>16.09</v>
      </c>
      <c r="I175">
        <v>18.420000000000002</v>
      </c>
      <c r="J175">
        <v>12.03</v>
      </c>
      <c r="K175">
        <v>19.899999999999999</v>
      </c>
      <c r="L175">
        <v>13.54</v>
      </c>
      <c r="M175">
        <v>18.37</v>
      </c>
      <c r="N175">
        <f t="shared" si="4"/>
        <v>1</v>
      </c>
      <c r="O175">
        <f t="shared" si="5"/>
        <v>16.09</v>
      </c>
    </row>
    <row r="176" spans="1:15" x14ac:dyDescent="0.25">
      <c r="A176" s="1">
        <v>42675</v>
      </c>
      <c r="B176" s="2">
        <v>0.33541666666666664</v>
      </c>
      <c r="C176" s="3">
        <v>0.33541666666666664</v>
      </c>
      <c r="D176">
        <v>12.14</v>
      </c>
      <c r="E176">
        <v>12.99</v>
      </c>
      <c r="F176">
        <v>16.260000000000002</v>
      </c>
      <c r="G176">
        <v>17.68</v>
      </c>
      <c r="H176">
        <v>13.47</v>
      </c>
      <c r="I176">
        <v>18.79</v>
      </c>
      <c r="J176">
        <v>13.56</v>
      </c>
      <c r="K176">
        <v>12.8</v>
      </c>
      <c r="L176">
        <v>15.11</v>
      </c>
      <c r="M176">
        <v>19.760000000000002</v>
      </c>
      <c r="N176">
        <f t="shared" si="4"/>
        <v>1</v>
      </c>
      <c r="O176">
        <f t="shared" si="5"/>
        <v>13.47</v>
      </c>
    </row>
    <row r="177" spans="1:15" x14ac:dyDescent="0.25">
      <c r="A177" s="1">
        <v>42675</v>
      </c>
      <c r="B177" s="2">
        <v>0.34166666666666667</v>
      </c>
      <c r="C177" s="3">
        <v>0.34166666666666667</v>
      </c>
      <c r="D177">
        <v>16.190000000000001</v>
      </c>
      <c r="E177">
        <v>12.36</v>
      </c>
      <c r="F177">
        <v>10</v>
      </c>
      <c r="G177">
        <v>12.27</v>
      </c>
      <c r="H177">
        <v>18.2</v>
      </c>
      <c r="I177">
        <v>13.68</v>
      </c>
      <c r="J177">
        <v>19.16</v>
      </c>
      <c r="K177">
        <v>19.39</v>
      </c>
      <c r="L177">
        <v>11.01</v>
      </c>
      <c r="M177">
        <v>13.18</v>
      </c>
      <c r="N177">
        <f t="shared" si="4"/>
        <v>1</v>
      </c>
      <c r="O177">
        <f t="shared" si="5"/>
        <v>18.2</v>
      </c>
    </row>
    <row r="178" spans="1:15" x14ac:dyDescent="0.25">
      <c r="A178" s="1">
        <v>42676</v>
      </c>
      <c r="B178" s="2">
        <v>0.29791666666666666</v>
      </c>
      <c r="C178" s="3">
        <v>0.29791666666666666</v>
      </c>
      <c r="D178">
        <v>17.34</v>
      </c>
      <c r="E178">
        <v>12.39</v>
      </c>
      <c r="F178">
        <v>10.89</v>
      </c>
      <c r="G178">
        <v>11.43</v>
      </c>
      <c r="H178">
        <v>16.13</v>
      </c>
      <c r="I178">
        <v>11.48</v>
      </c>
      <c r="J178">
        <v>10.43</v>
      </c>
      <c r="K178">
        <v>16.149999999999999</v>
      </c>
      <c r="L178">
        <v>15.62</v>
      </c>
      <c r="M178">
        <v>17.09</v>
      </c>
      <c r="N178">
        <f t="shared" si="4"/>
        <v>1</v>
      </c>
      <c r="O178">
        <f t="shared" si="5"/>
        <v>16.13</v>
      </c>
    </row>
    <row r="179" spans="1:15" x14ac:dyDescent="0.25">
      <c r="A179" s="1">
        <v>42679</v>
      </c>
      <c r="B179" s="2">
        <v>0.33819444444444446</v>
      </c>
      <c r="C179" s="3">
        <v>0.33819444444444446</v>
      </c>
      <c r="D179">
        <v>19.46</v>
      </c>
      <c r="E179">
        <v>14.85</v>
      </c>
      <c r="F179">
        <v>15.99</v>
      </c>
      <c r="G179">
        <v>18.440000000000001</v>
      </c>
      <c r="H179">
        <v>10.42</v>
      </c>
      <c r="I179">
        <v>18.78</v>
      </c>
      <c r="J179">
        <v>11.05</v>
      </c>
      <c r="K179">
        <v>18.7</v>
      </c>
      <c r="L179">
        <v>10.35</v>
      </c>
      <c r="M179">
        <v>14.51</v>
      </c>
      <c r="N179">
        <f t="shared" si="4"/>
        <v>1</v>
      </c>
      <c r="O179">
        <f t="shared" si="5"/>
        <v>10.42</v>
      </c>
    </row>
    <row r="180" spans="1:15" x14ac:dyDescent="0.25">
      <c r="A180" s="1">
        <v>42682</v>
      </c>
      <c r="B180" s="2">
        <v>8.4722222222222227E-2</v>
      </c>
      <c r="C180" s="3">
        <v>8.4722222222222227E-2</v>
      </c>
      <c r="D180">
        <v>14.42</v>
      </c>
      <c r="E180">
        <v>19.23</v>
      </c>
      <c r="F180">
        <v>19.98</v>
      </c>
      <c r="G180">
        <v>11.87</v>
      </c>
      <c r="H180">
        <v>11.95</v>
      </c>
      <c r="I180">
        <v>10.7</v>
      </c>
      <c r="J180">
        <v>13.96</v>
      </c>
      <c r="K180">
        <v>11.65</v>
      </c>
      <c r="L180">
        <v>10.73</v>
      </c>
      <c r="M180">
        <v>19.25</v>
      </c>
      <c r="N180">
        <f t="shared" si="4"/>
        <v>0</v>
      </c>
      <c r="O180" t="str">
        <f t="shared" si="5"/>
        <v/>
      </c>
    </row>
    <row r="181" spans="1:15" x14ac:dyDescent="0.25">
      <c r="A181" s="1">
        <v>42685</v>
      </c>
      <c r="B181" s="2">
        <v>0.21597222222222223</v>
      </c>
      <c r="C181" s="3">
        <v>0.21597222222222223</v>
      </c>
      <c r="D181">
        <v>12.2</v>
      </c>
      <c r="E181">
        <v>14.35</v>
      </c>
      <c r="F181">
        <v>11.37</v>
      </c>
      <c r="G181">
        <v>12.07</v>
      </c>
      <c r="H181">
        <v>14.32</v>
      </c>
      <c r="I181">
        <v>13.34</v>
      </c>
      <c r="J181">
        <v>18.739999999999998</v>
      </c>
      <c r="K181">
        <v>15.82</v>
      </c>
      <c r="L181">
        <v>13.79</v>
      </c>
      <c r="M181">
        <v>19.36</v>
      </c>
      <c r="N181">
        <f t="shared" si="4"/>
        <v>1</v>
      </c>
      <c r="O181">
        <f t="shared" si="5"/>
        <v>14.32</v>
      </c>
    </row>
    <row r="182" spans="1:15" x14ac:dyDescent="0.25">
      <c r="A182" s="1">
        <v>42686</v>
      </c>
      <c r="B182" s="2">
        <v>4.7222222222222221E-2</v>
      </c>
      <c r="C182" s="3">
        <v>4.7222222222222221E-2</v>
      </c>
      <c r="D182">
        <v>10.3</v>
      </c>
      <c r="E182">
        <v>14.81</v>
      </c>
      <c r="F182">
        <v>12.96</v>
      </c>
      <c r="G182">
        <v>12.99</v>
      </c>
      <c r="H182">
        <v>19</v>
      </c>
      <c r="I182">
        <v>17.73</v>
      </c>
      <c r="J182">
        <v>12.97</v>
      </c>
      <c r="K182">
        <v>17.96</v>
      </c>
      <c r="L182">
        <v>19.07</v>
      </c>
      <c r="M182">
        <v>17.12</v>
      </c>
      <c r="N182">
        <f t="shared" si="4"/>
        <v>0</v>
      </c>
      <c r="O182" t="str">
        <f t="shared" si="5"/>
        <v/>
      </c>
    </row>
    <row r="183" spans="1:15" x14ac:dyDescent="0.25">
      <c r="A183" s="1">
        <v>42687</v>
      </c>
      <c r="B183" s="2">
        <v>0.13194444444444445</v>
      </c>
      <c r="C183" s="3">
        <v>0.13194444444444445</v>
      </c>
      <c r="D183">
        <v>10.029999999999999</v>
      </c>
      <c r="E183">
        <v>14.28</v>
      </c>
      <c r="F183">
        <v>11.97</v>
      </c>
      <c r="G183">
        <v>17.7</v>
      </c>
      <c r="H183">
        <v>18.2</v>
      </c>
      <c r="I183">
        <v>19.2</v>
      </c>
      <c r="J183">
        <v>17.43</v>
      </c>
      <c r="K183">
        <v>14.46</v>
      </c>
      <c r="L183">
        <v>16.48</v>
      </c>
      <c r="M183">
        <v>15.66</v>
      </c>
      <c r="N183">
        <f t="shared" si="4"/>
        <v>0</v>
      </c>
      <c r="O183" t="str">
        <f t="shared" si="5"/>
        <v/>
      </c>
    </row>
    <row r="184" spans="1:15" x14ac:dyDescent="0.25">
      <c r="A184" s="1">
        <v>42687</v>
      </c>
      <c r="B184" s="2">
        <v>0.34166666666666667</v>
      </c>
      <c r="C184" s="3">
        <v>0.34166666666666667</v>
      </c>
      <c r="D184">
        <v>14</v>
      </c>
      <c r="E184">
        <v>12.83</v>
      </c>
      <c r="F184">
        <v>18.72</v>
      </c>
      <c r="G184">
        <v>11.22</v>
      </c>
      <c r="H184">
        <v>13.79</v>
      </c>
      <c r="I184">
        <v>18.559999999999999</v>
      </c>
      <c r="J184">
        <v>11.19</v>
      </c>
      <c r="K184">
        <v>12.81</v>
      </c>
      <c r="L184">
        <v>14.5</v>
      </c>
      <c r="M184">
        <v>12.78</v>
      </c>
      <c r="N184">
        <f t="shared" si="4"/>
        <v>1</v>
      </c>
      <c r="O184">
        <f t="shared" si="5"/>
        <v>13.79</v>
      </c>
    </row>
    <row r="185" spans="1:15" x14ac:dyDescent="0.25">
      <c r="A185" s="1">
        <v>42691</v>
      </c>
      <c r="B185" s="2">
        <v>0.29583333333333334</v>
      </c>
      <c r="C185" s="3">
        <v>0.29583333333333334</v>
      </c>
      <c r="D185">
        <v>15.42</v>
      </c>
      <c r="E185">
        <v>10.37</v>
      </c>
      <c r="F185">
        <v>18.739999999999998</v>
      </c>
      <c r="G185">
        <v>18.670000000000002</v>
      </c>
      <c r="H185">
        <v>15.22</v>
      </c>
      <c r="I185">
        <v>12.83</v>
      </c>
      <c r="J185">
        <v>13.11</v>
      </c>
      <c r="K185">
        <v>11.77</v>
      </c>
      <c r="L185">
        <v>18.57</v>
      </c>
      <c r="M185">
        <v>10.33</v>
      </c>
      <c r="N185">
        <f t="shared" si="4"/>
        <v>1</v>
      </c>
      <c r="O185">
        <f t="shared" si="5"/>
        <v>15.22</v>
      </c>
    </row>
    <row r="186" spans="1:15" x14ac:dyDescent="0.25">
      <c r="A186" s="1">
        <v>42693</v>
      </c>
      <c r="B186" s="2">
        <v>0.46319444444444446</v>
      </c>
      <c r="C186" s="3">
        <v>0.46319444444444446</v>
      </c>
      <c r="D186">
        <v>15.98</v>
      </c>
      <c r="E186">
        <v>13.48</v>
      </c>
      <c r="F186">
        <v>10.69</v>
      </c>
      <c r="G186">
        <v>15.11</v>
      </c>
      <c r="H186">
        <v>14.51</v>
      </c>
      <c r="I186">
        <v>17.100000000000001</v>
      </c>
      <c r="J186">
        <v>15.65</v>
      </c>
      <c r="K186">
        <v>10.44</v>
      </c>
      <c r="L186">
        <v>13.73</v>
      </c>
      <c r="M186">
        <v>19.66</v>
      </c>
      <c r="N186">
        <f t="shared" si="4"/>
        <v>1</v>
      </c>
      <c r="O186">
        <f t="shared" si="5"/>
        <v>14.51</v>
      </c>
    </row>
    <row r="187" spans="1:15" x14ac:dyDescent="0.25">
      <c r="A187" s="1">
        <v>42695</v>
      </c>
      <c r="B187" s="2">
        <v>0.21388888888888888</v>
      </c>
      <c r="C187" s="3">
        <v>0.21388888888888888</v>
      </c>
      <c r="D187">
        <v>10.8</v>
      </c>
      <c r="E187">
        <v>16.079999999999998</v>
      </c>
      <c r="F187">
        <v>16.47</v>
      </c>
      <c r="G187">
        <v>12.88</v>
      </c>
      <c r="H187">
        <v>18.579999999999998</v>
      </c>
      <c r="I187">
        <v>13.96</v>
      </c>
      <c r="J187">
        <v>12.92</v>
      </c>
      <c r="K187">
        <v>10.74</v>
      </c>
      <c r="L187">
        <v>10.5</v>
      </c>
      <c r="M187">
        <v>10.62</v>
      </c>
      <c r="N187">
        <f t="shared" si="4"/>
        <v>1</v>
      </c>
      <c r="O187">
        <f t="shared" si="5"/>
        <v>18.579999999999998</v>
      </c>
    </row>
    <row r="188" spans="1:15" x14ac:dyDescent="0.25">
      <c r="A188" s="1">
        <v>42696</v>
      </c>
      <c r="B188" s="2">
        <v>0.4597222222222222</v>
      </c>
      <c r="C188" s="3">
        <v>0.4597222222222222</v>
      </c>
      <c r="D188">
        <v>10.61</v>
      </c>
      <c r="E188">
        <v>15.59</v>
      </c>
      <c r="F188">
        <v>10.52</v>
      </c>
      <c r="G188">
        <v>18.55</v>
      </c>
      <c r="H188">
        <v>11.33</v>
      </c>
      <c r="I188">
        <v>11.82</v>
      </c>
      <c r="J188">
        <v>18.579999999999998</v>
      </c>
      <c r="K188">
        <v>18.72</v>
      </c>
      <c r="L188">
        <v>11.95</v>
      </c>
      <c r="M188">
        <v>11.84</v>
      </c>
      <c r="N188">
        <f t="shared" si="4"/>
        <v>1</v>
      </c>
      <c r="O188">
        <f t="shared" si="5"/>
        <v>11.33</v>
      </c>
    </row>
    <row r="189" spans="1:15" x14ac:dyDescent="0.25">
      <c r="A189" s="1">
        <v>42698</v>
      </c>
      <c r="B189" s="2">
        <v>4.3055555555555555E-2</v>
      </c>
      <c r="C189" s="3">
        <v>4.3055555555555555E-2</v>
      </c>
      <c r="D189">
        <v>17.66</v>
      </c>
      <c r="E189">
        <v>15.83</v>
      </c>
      <c r="F189">
        <v>16.350000000000001</v>
      </c>
      <c r="G189">
        <v>13.72</v>
      </c>
      <c r="H189">
        <v>19.440000000000001</v>
      </c>
      <c r="I189">
        <v>18.989999999999998</v>
      </c>
      <c r="J189">
        <v>10.94</v>
      </c>
      <c r="K189">
        <v>10.47</v>
      </c>
      <c r="L189">
        <v>17.46</v>
      </c>
      <c r="M189">
        <v>17.690000000000001</v>
      </c>
      <c r="N189">
        <f t="shared" si="4"/>
        <v>0</v>
      </c>
      <c r="O189" t="str">
        <f t="shared" si="5"/>
        <v/>
      </c>
    </row>
    <row r="190" spans="1:15" x14ac:dyDescent="0.25">
      <c r="A190" s="1">
        <v>42702</v>
      </c>
      <c r="B190" s="2">
        <v>0.37638888888888888</v>
      </c>
      <c r="C190" s="3">
        <v>0.37638888888888888</v>
      </c>
      <c r="D190">
        <v>15.3</v>
      </c>
      <c r="E190">
        <v>13.83</v>
      </c>
      <c r="F190">
        <v>11.97</v>
      </c>
      <c r="G190">
        <v>15.5</v>
      </c>
      <c r="H190">
        <v>11.06</v>
      </c>
      <c r="I190">
        <v>14.22</v>
      </c>
      <c r="J190">
        <v>18.66</v>
      </c>
      <c r="K190">
        <v>18.95</v>
      </c>
      <c r="L190">
        <v>11.79</v>
      </c>
      <c r="M190">
        <v>16.760000000000002</v>
      </c>
      <c r="N190">
        <f t="shared" si="4"/>
        <v>1</v>
      </c>
      <c r="O190">
        <f t="shared" si="5"/>
        <v>11.06</v>
      </c>
    </row>
    <row r="191" spans="1:15" x14ac:dyDescent="0.25">
      <c r="A191" s="1">
        <v>42703</v>
      </c>
      <c r="B191" s="2">
        <v>0.50277777777777777</v>
      </c>
      <c r="C191" s="3">
        <v>0.50277777777777777</v>
      </c>
      <c r="D191">
        <v>10.77</v>
      </c>
      <c r="E191">
        <v>18.07</v>
      </c>
      <c r="F191">
        <v>17.87</v>
      </c>
      <c r="G191">
        <v>16.760000000000002</v>
      </c>
      <c r="H191">
        <v>19.04</v>
      </c>
      <c r="I191">
        <v>18.55</v>
      </c>
      <c r="J191">
        <v>15</v>
      </c>
      <c r="K191">
        <v>16.649999999999999</v>
      </c>
      <c r="L191">
        <v>11.24</v>
      </c>
      <c r="M191">
        <v>10.19</v>
      </c>
      <c r="N191">
        <f t="shared" si="4"/>
        <v>0</v>
      </c>
      <c r="O191" t="str">
        <f t="shared" si="5"/>
        <v/>
      </c>
    </row>
    <row r="192" spans="1:15" x14ac:dyDescent="0.25">
      <c r="A192" s="1">
        <v>42704</v>
      </c>
      <c r="B192" s="2">
        <v>0.12638888888888888</v>
      </c>
      <c r="C192" s="3">
        <v>0.12638888888888888</v>
      </c>
      <c r="D192">
        <v>15.81</v>
      </c>
      <c r="E192">
        <v>14.72</v>
      </c>
      <c r="F192">
        <v>18.12</v>
      </c>
      <c r="G192">
        <v>18.82</v>
      </c>
      <c r="H192">
        <v>15.14</v>
      </c>
      <c r="I192">
        <v>18.850000000000001</v>
      </c>
      <c r="J192">
        <v>17.940000000000001</v>
      </c>
      <c r="K192">
        <v>12.26</v>
      </c>
      <c r="L192">
        <v>19.34</v>
      </c>
      <c r="M192">
        <v>18.3</v>
      </c>
      <c r="N192">
        <f t="shared" si="4"/>
        <v>0</v>
      </c>
      <c r="O192" t="str">
        <f t="shared" si="5"/>
        <v/>
      </c>
    </row>
    <row r="193" spans="1:15" x14ac:dyDescent="0.25">
      <c r="A193" s="1">
        <v>42713</v>
      </c>
      <c r="B193" s="2">
        <v>0.12638888888888888</v>
      </c>
      <c r="C193" s="3">
        <v>0.12638888888888888</v>
      </c>
      <c r="D193">
        <v>-1.03</v>
      </c>
      <c r="E193">
        <v>8.4</v>
      </c>
      <c r="F193">
        <v>7.65</v>
      </c>
      <c r="G193">
        <v>-1.5</v>
      </c>
      <c r="H193">
        <v>-1.63</v>
      </c>
      <c r="I193">
        <v>8.16</v>
      </c>
      <c r="J193">
        <v>-4.8899999999999997</v>
      </c>
      <c r="K193">
        <v>-2.09</v>
      </c>
      <c r="L193">
        <v>-2.0299999999999998</v>
      </c>
      <c r="M193">
        <v>-0.74</v>
      </c>
      <c r="N193">
        <f t="shared" si="4"/>
        <v>0</v>
      </c>
      <c r="O193" t="str">
        <f t="shared" si="5"/>
        <v/>
      </c>
    </row>
    <row r="194" spans="1:15" x14ac:dyDescent="0.25">
      <c r="A194" s="1">
        <v>42715</v>
      </c>
      <c r="B194" s="2">
        <v>8.3333333333333332E-3</v>
      </c>
      <c r="C194" s="3">
        <v>8.3333333333333332E-3</v>
      </c>
      <c r="D194">
        <v>-0.64</v>
      </c>
      <c r="E194">
        <v>-3.46</v>
      </c>
      <c r="F194">
        <v>-4.01</v>
      </c>
      <c r="G194">
        <v>8.49</v>
      </c>
      <c r="H194">
        <v>-1.87</v>
      </c>
      <c r="I194">
        <v>-5.51</v>
      </c>
      <c r="J194">
        <v>6.22</v>
      </c>
      <c r="K194">
        <v>-5.76</v>
      </c>
      <c r="L194">
        <v>-2.0499999999999998</v>
      </c>
      <c r="M194">
        <v>-4.6100000000000003</v>
      </c>
      <c r="N194">
        <f t="shared" si="4"/>
        <v>0</v>
      </c>
      <c r="O194" t="str">
        <f t="shared" si="5"/>
        <v/>
      </c>
    </row>
    <row r="195" spans="1:15" x14ac:dyDescent="0.25">
      <c r="A195" s="1">
        <v>42716</v>
      </c>
      <c r="B195" s="2">
        <v>0.29930555555555555</v>
      </c>
      <c r="C195" s="3">
        <v>0.29930555555555555</v>
      </c>
      <c r="D195">
        <v>-4.66</v>
      </c>
      <c r="E195">
        <v>7.8</v>
      </c>
      <c r="F195">
        <v>-5.83</v>
      </c>
      <c r="G195">
        <v>8.77</v>
      </c>
      <c r="H195">
        <v>-1.64</v>
      </c>
      <c r="I195">
        <v>2.81</v>
      </c>
      <c r="J195">
        <v>5.64</v>
      </c>
      <c r="K195">
        <v>7.27</v>
      </c>
      <c r="L195">
        <v>0</v>
      </c>
      <c r="M195">
        <v>-1.52</v>
      </c>
      <c r="N195">
        <f t="shared" ref="N195:N201" si="6">IF(AND(C195&gt;=$R$2,C195&lt;=$R$3),1,0)</f>
        <v>1</v>
      </c>
      <c r="O195">
        <f t="shared" ref="O195:O201" si="7">IF(N195=1,H195,"")</f>
        <v>-1.64</v>
      </c>
    </row>
    <row r="196" spans="1:15" x14ac:dyDescent="0.25">
      <c r="A196" s="1">
        <v>42720</v>
      </c>
      <c r="B196" s="2">
        <v>4.1666666666666664E-2</v>
      </c>
      <c r="C196" s="3">
        <v>4.1666666666666664E-2</v>
      </c>
      <c r="D196">
        <v>5.58</v>
      </c>
      <c r="E196">
        <v>-4.47</v>
      </c>
      <c r="F196">
        <v>-4.4000000000000004</v>
      </c>
      <c r="G196">
        <v>-0.05</v>
      </c>
      <c r="H196">
        <v>6.51</v>
      </c>
      <c r="I196">
        <v>4.99</v>
      </c>
      <c r="J196">
        <v>-6.3</v>
      </c>
      <c r="K196">
        <v>0.7</v>
      </c>
      <c r="L196">
        <v>-6.74</v>
      </c>
      <c r="M196">
        <v>4.71</v>
      </c>
      <c r="N196">
        <f t="shared" si="6"/>
        <v>0</v>
      </c>
      <c r="O196" t="str">
        <f t="shared" si="7"/>
        <v/>
      </c>
    </row>
    <row r="197" spans="1:15" x14ac:dyDescent="0.25">
      <c r="A197" s="1">
        <v>42722</v>
      </c>
      <c r="B197" s="2">
        <v>0.37638888888888888</v>
      </c>
      <c r="C197" s="3">
        <v>0.37638888888888888</v>
      </c>
      <c r="D197">
        <v>3.23</v>
      </c>
      <c r="E197">
        <v>3.29</v>
      </c>
      <c r="F197">
        <v>-2.15</v>
      </c>
      <c r="G197">
        <v>-5.53</v>
      </c>
      <c r="H197">
        <v>-0.68</v>
      </c>
      <c r="I197">
        <v>-6.8</v>
      </c>
      <c r="J197">
        <v>6.96</v>
      </c>
      <c r="K197">
        <v>-3.33</v>
      </c>
      <c r="L197">
        <v>-7.14</v>
      </c>
      <c r="M197">
        <v>-5.82</v>
      </c>
      <c r="N197">
        <f t="shared" si="6"/>
        <v>1</v>
      </c>
      <c r="O197">
        <f t="shared" si="7"/>
        <v>-0.68</v>
      </c>
    </row>
    <row r="198" spans="1:15" x14ac:dyDescent="0.25">
      <c r="A198" s="1">
        <v>42727</v>
      </c>
      <c r="B198" s="2">
        <v>0.16944444444444445</v>
      </c>
      <c r="C198" s="3">
        <v>0.16944444444444445</v>
      </c>
      <c r="D198">
        <v>-1.46</v>
      </c>
      <c r="E198">
        <v>-7.76</v>
      </c>
      <c r="F198">
        <v>3.7</v>
      </c>
      <c r="G198">
        <v>4.9800000000000004</v>
      </c>
      <c r="H198">
        <v>-6.83</v>
      </c>
      <c r="I198">
        <v>7.9</v>
      </c>
      <c r="J198">
        <v>8.35</v>
      </c>
      <c r="K198">
        <v>0.16</v>
      </c>
      <c r="L198">
        <v>3.83</v>
      </c>
      <c r="M198">
        <v>0.14000000000000001</v>
      </c>
      <c r="N198">
        <f t="shared" si="6"/>
        <v>0</v>
      </c>
      <c r="O198" t="str">
        <f t="shared" si="7"/>
        <v/>
      </c>
    </row>
    <row r="199" spans="1:15" x14ac:dyDescent="0.25">
      <c r="A199" s="1">
        <v>42728</v>
      </c>
      <c r="B199" s="2">
        <v>0.29583333333333334</v>
      </c>
      <c r="C199" s="3">
        <v>0.29583333333333334</v>
      </c>
      <c r="D199">
        <v>-7.3</v>
      </c>
      <c r="E199">
        <v>-4.8600000000000003</v>
      </c>
      <c r="F199">
        <v>6.95</v>
      </c>
      <c r="G199">
        <v>-0.6</v>
      </c>
      <c r="H199">
        <v>-3.3</v>
      </c>
      <c r="I199">
        <v>-2.1</v>
      </c>
      <c r="J199">
        <v>3.44</v>
      </c>
      <c r="K199">
        <v>-6.38</v>
      </c>
      <c r="L199">
        <v>8.1</v>
      </c>
      <c r="M199">
        <v>8.58</v>
      </c>
      <c r="N199">
        <f t="shared" si="6"/>
        <v>1</v>
      </c>
      <c r="O199">
        <f t="shared" si="7"/>
        <v>-3.3</v>
      </c>
    </row>
    <row r="200" spans="1:15" x14ac:dyDescent="0.25">
      <c r="A200" s="1">
        <v>42731</v>
      </c>
      <c r="B200" s="2">
        <v>4.4444444444444446E-2</v>
      </c>
      <c r="C200" s="3">
        <v>4.4444444444444446E-2</v>
      </c>
      <c r="D200">
        <v>-2.37</v>
      </c>
      <c r="E200">
        <v>4.95</v>
      </c>
      <c r="F200">
        <v>2.2200000000000002</v>
      </c>
      <c r="G200">
        <v>-5.27</v>
      </c>
      <c r="H200">
        <v>1.52</v>
      </c>
      <c r="I200">
        <v>-3.35</v>
      </c>
      <c r="J200">
        <v>3.59</v>
      </c>
      <c r="K200">
        <v>-7.17</v>
      </c>
      <c r="L200">
        <v>2.2599999999999998</v>
      </c>
      <c r="M200">
        <v>-0.95</v>
      </c>
      <c r="N200">
        <f t="shared" si="6"/>
        <v>0</v>
      </c>
      <c r="O200" t="str">
        <f t="shared" si="7"/>
        <v/>
      </c>
    </row>
    <row r="201" spans="1:15" x14ac:dyDescent="0.25">
      <c r="A201" s="1">
        <v>42732</v>
      </c>
      <c r="B201" s="2">
        <v>4.3749999999999997E-2</v>
      </c>
      <c r="C201" s="3">
        <v>4.3749999999999997E-2</v>
      </c>
      <c r="D201">
        <v>-6.44</v>
      </c>
      <c r="E201">
        <v>6.45</v>
      </c>
      <c r="F201">
        <v>-6.08</v>
      </c>
      <c r="G201">
        <v>5.6</v>
      </c>
      <c r="H201">
        <v>-3.18</v>
      </c>
      <c r="I201">
        <v>-4.45</v>
      </c>
      <c r="J201">
        <v>-0.27</v>
      </c>
      <c r="K201">
        <v>3.14</v>
      </c>
      <c r="L201">
        <v>-6.82</v>
      </c>
      <c r="M201">
        <v>6.04</v>
      </c>
      <c r="N201">
        <f t="shared" si="6"/>
        <v>0</v>
      </c>
      <c r="O201" t="str">
        <f t="shared" si="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6594-C49E-4F06-9ED5-3B23E8B7F8FE}">
  <dimension ref="A1:Y201"/>
  <sheetViews>
    <sheetView topLeftCell="A170" zoomScale="115" zoomScaleNormal="115" workbookViewId="0">
      <selection sqref="A1:L201"/>
    </sheetView>
  </sheetViews>
  <sheetFormatPr defaultRowHeight="15" x14ac:dyDescent="0.25"/>
  <cols>
    <col min="1" max="1" width="10.85546875" bestFit="1" customWidth="1"/>
    <col min="2" max="2" width="7.85546875" bestFit="1" customWidth="1"/>
    <col min="24" max="24" width="16.5703125" bestFit="1" customWidth="1"/>
    <col min="25" max="25" width="15.42578125" bestFit="1" customWidth="1"/>
    <col min="26" max="33" width="1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</row>
    <row r="2" spans="1:25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  <c r="M2" s="7">
        <f>ROUNDDOWN(273.15+C2,0)</f>
        <v>273</v>
      </c>
      <c r="N2">
        <f>ROUNDDOWN(273.15+D2,0)</f>
        <v>268</v>
      </c>
      <c r="O2">
        <f>ROUNDDOWN(273.15+E2,0)</f>
        <v>271</v>
      </c>
      <c r="P2">
        <f t="shared" ref="N2:V17" si="0">ROUNDDOWN(273.15+F2,0)</f>
        <v>267</v>
      </c>
      <c r="Q2">
        <f t="shared" si="0"/>
        <v>270</v>
      </c>
      <c r="R2">
        <f t="shared" si="0"/>
        <v>276</v>
      </c>
      <c r="S2">
        <f t="shared" si="0"/>
        <v>275</v>
      </c>
      <c r="T2">
        <f t="shared" si="0"/>
        <v>271</v>
      </c>
      <c r="U2">
        <f t="shared" si="0"/>
        <v>274</v>
      </c>
      <c r="V2">
        <f t="shared" si="0"/>
        <v>277</v>
      </c>
      <c r="X2" s="6">
        <v>1</v>
      </c>
      <c r="Y2" s="6">
        <f>_xlfn.MODE.SNGL(M2:M201)</f>
        <v>287</v>
      </c>
    </row>
    <row r="3" spans="1:25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M3" s="7">
        <f t="shared" ref="M3:M66" si="1">ROUNDDOWN(273.15+C3,0)</f>
        <v>268</v>
      </c>
      <c r="N3">
        <f t="shared" ref="N3:N66" si="2">ROUNDDOWN(273.15+D3,0)</f>
        <v>275</v>
      </c>
      <c r="O3">
        <f t="shared" ref="O3:O66" si="3">ROUNDDOWN(273.15+E3,0)</f>
        <v>267</v>
      </c>
      <c r="P3">
        <f t="shared" ref="P3:P66" si="4">ROUNDDOWN(273.15+F3,0)</f>
        <v>267</v>
      </c>
      <c r="Q3">
        <f t="shared" ref="Q3:Q66" si="5">ROUNDDOWN(273.15+G3,0)</f>
        <v>267</v>
      </c>
      <c r="R3">
        <f t="shared" ref="R3:R66" si="6">ROUNDDOWN(273.15+H3,0)</f>
        <v>265</v>
      </c>
      <c r="S3">
        <f t="shared" ref="S3:S66" si="7">ROUNDDOWN(273.15+I3,0)</f>
        <v>270</v>
      </c>
      <c r="T3">
        <f t="shared" ref="T3:T66" si="8">ROUNDDOWN(273.15+J3,0)</f>
        <v>276</v>
      </c>
      <c r="U3">
        <f t="shared" ref="U3:U66" si="9">ROUNDDOWN(273.15+K3,0)</f>
        <v>267</v>
      </c>
      <c r="V3">
        <f t="shared" si="0"/>
        <v>273</v>
      </c>
      <c r="X3" s="6">
        <v>2</v>
      </c>
      <c r="Y3" s="6">
        <f>_xlfn.MODE.SNGL(N2:N201)</f>
        <v>288</v>
      </c>
    </row>
    <row r="4" spans="1:25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  <c r="M4" s="7">
        <f t="shared" si="1"/>
        <v>275</v>
      </c>
      <c r="N4">
        <f t="shared" si="2"/>
        <v>265</v>
      </c>
      <c r="O4">
        <f t="shared" si="3"/>
        <v>274</v>
      </c>
      <c r="P4">
        <f t="shared" si="4"/>
        <v>279</v>
      </c>
      <c r="Q4">
        <f t="shared" si="5"/>
        <v>277</v>
      </c>
      <c r="R4">
        <f t="shared" si="6"/>
        <v>265</v>
      </c>
      <c r="S4">
        <f t="shared" si="7"/>
        <v>277</v>
      </c>
      <c r="T4">
        <f t="shared" si="8"/>
        <v>268</v>
      </c>
      <c r="U4">
        <f t="shared" si="9"/>
        <v>269</v>
      </c>
      <c r="V4">
        <f t="shared" si="0"/>
        <v>268</v>
      </c>
      <c r="X4" s="6">
        <v>3</v>
      </c>
      <c r="Y4" s="6">
        <f>_xlfn.MODE.SNGL(O2:O201)</f>
        <v>283</v>
      </c>
    </row>
    <row r="5" spans="1:25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M5" s="7">
        <f t="shared" si="1"/>
        <v>280</v>
      </c>
      <c r="N5">
        <f t="shared" si="2"/>
        <v>265</v>
      </c>
      <c r="O5">
        <f t="shared" si="3"/>
        <v>272</v>
      </c>
      <c r="P5">
        <f t="shared" si="4"/>
        <v>270</v>
      </c>
      <c r="Q5">
        <f t="shared" si="5"/>
        <v>279</v>
      </c>
      <c r="R5">
        <f t="shared" si="6"/>
        <v>276</v>
      </c>
      <c r="S5">
        <f t="shared" si="7"/>
        <v>272</v>
      </c>
      <c r="T5">
        <f t="shared" si="8"/>
        <v>270</v>
      </c>
      <c r="U5">
        <f t="shared" si="9"/>
        <v>271</v>
      </c>
      <c r="V5">
        <f t="shared" si="0"/>
        <v>270</v>
      </c>
      <c r="X5" s="6">
        <v>4</v>
      </c>
      <c r="Y5" s="6">
        <f>_xlfn.MODE.SNGL(P2:P201)</f>
        <v>284</v>
      </c>
    </row>
    <row r="6" spans="1:25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M6" s="7">
        <f t="shared" si="1"/>
        <v>280</v>
      </c>
      <c r="N6">
        <f t="shared" si="2"/>
        <v>278</v>
      </c>
      <c r="O6">
        <f t="shared" si="3"/>
        <v>269</v>
      </c>
      <c r="P6">
        <f t="shared" si="4"/>
        <v>269</v>
      </c>
      <c r="Q6">
        <f t="shared" si="5"/>
        <v>281</v>
      </c>
      <c r="R6">
        <f t="shared" si="6"/>
        <v>267</v>
      </c>
      <c r="S6">
        <f t="shared" si="7"/>
        <v>272</v>
      </c>
      <c r="T6">
        <f t="shared" si="8"/>
        <v>274</v>
      </c>
      <c r="U6">
        <f t="shared" si="9"/>
        <v>267</v>
      </c>
      <c r="V6">
        <f t="shared" si="0"/>
        <v>269</v>
      </c>
      <c r="X6" s="6">
        <v>5</v>
      </c>
      <c r="Y6" s="6">
        <f>_xlfn.MODE.SNGL(Q2:Q201)</f>
        <v>284</v>
      </c>
    </row>
    <row r="7" spans="1:25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  <c r="M7" s="7">
        <f t="shared" si="1"/>
        <v>277</v>
      </c>
      <c r="N7">
        <f t="shared" si="2"/>
        <v>274</v>
      </c>
      <c r="O7">
        <f t="shared" si="3"/>
        <v>269</v>
      </c>
      <c r="P7">
        <f t="shared" si="4"/>
        <v>265</v>
      </c>
      <c r="Q7">
        <f t="shared" si="5"/>
        <v>276</v>
      </c>
      <c r="R7">
        <f t="shared" si="6"/>
        <v>269</v>
      </c>
      <c r="S7">
        <f t="shared" si="7"/>
        <v>269</v>
      </c>
      <c r="T7">
        <f t="shared" si="8"/>
        <v>274</v>
      </c>
      <c r="U7">
        <f t="shared" si="9"/>
        <v>269</v>
      </c>
      <c r="V7">
        <f t="shared" si="0"/>
        <v>277</v>
      </c>
      <c r="X7" s="6">
        <v>6</v>
      </c>
      <c r="Y7" s="6">
        <f>_xlfn.MODE.SNGL(R2:R201)</f>
        <v>287</v>
      </c>
    </row>
    <row r="8" spans="1:25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  <c r="M8" s="7">
        <f t="shared" si="1"/>
        <v>267</v>
      </c>
      <c r="N8">
        <f t="shared" si="2"/>
        <v>279</v>
      </c>
      <c r="O8">
        <f t="shared" si="3"/>
        <v>265</v>
      </c>
      <c r="P8">
        <f t="shared" si="4"/>
        <v>277</v>
      </c>
      <c r="Q8">
        <f t="shared" si="5"/>
        <v>275</v>
      </c>
      <c r="R8">
        <f t="shared" si="6"/>
        <v>280</v>
      </c>
      <c r="S8">
        <f t="shared" si="7"/>
        <v>268</v>
      </c>
      <c r="T8">
        <f t="shared" si="8"/>
        <v>266</v>
      </c>
      <c r="U8">
        <f t="shared" si="9"/>
        <v>265</v>
      </c>
      <c r="V8">
        <f t="shared" si="0"/>
        <v>280</v>
      </c>
      <c r="X8" s="6">
        <v>7</v>
      </c>
      <c r="Y8" s="6">
        <f>_xlfn.MODE.SNGL(S2:S201)</f>
        <v>286</v>
      </c>
    </row>
    <row r="9" spans="1:25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M9" s="7">
        <f t="shared" si="1"/>
        <v>276</v>
      </c>
      <c r="N9">
        <f t="shared" si="2"/>
        <v>266</v>
      </c>
      <c r="O9">
        <f t="shared" si="3"/>
        <v>266</v>
      </c>
      <c r="P9">
        <f t="shared" si="4"/>
        <v>270</v>
      </c>
      <c r="Q9">
        <f t="shared" si="5"/>
        <v>279</v>
      </c>
      <c r="R9">
        <f t="shared" si="6"/>
        <v>274</v>
      </c>
      <c r="S9">
        <f t="shared" si="7"/>
        <v>280</v>
      </c>
      <c r="T9">
        <f t="shared" si="8"/>
        <v>280</v>
      </c>
      <c r="U9">
        <f t="shared" si="9"/>
        <v>275</v>
      </c>
      <c r="V9">
        <f t="shared" si="0"/>
        <v>270</v>
      </c>
      <c r="X9" s="6">
        <v>8</v>
      </c>
      <c r="Y9" s="6">
        <f>_xlfn.MODE.SNGL(T2:T201)</f>
        <v>288</v>
      </c>
    </row>
    <row r="10" spans="1:25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  <c r="M10" s="7">
        <f t="shared" si="1"/>
        <v>275</v>
      </c>
      <c r="N10">
        <f t="shared" si="2"/>
        <v>274</v>
      </c>
      <c r="O10">
        <f t="shared" si="3"/>
        <v>271</v>
      </c>
      <c r="P10">
        <f t="shared" si="4"/>
        <v>267</v>
      </c>
      <c r="Q10">
        <f t="shared" si="5"/>
        <v>275</v>
      </c>
      <c r="R10">
        <f t="shared" si="6"/>
        <v>270</v>
      </c>
      <c r="S10">
        <f t="shared" si="7"/>
        <v>269</v>
      </c>
      <c r="T10">
        <f t="shared" si="8"/>
        <v>266</v>
      </c>
      <c r="U10">
        <f t="shared" si="9"/>
        <v>275</v>
      </c>
      <c r="V10">
        <f t="shared" si="0"/>
        <v>280</v>
      </c>
      <c r="X10" s="6">
        <v>9</v>
      </c>
      <c r="Y10" s="6">
        <f>_xlfn.MODE.SNGL(U2:U201)</f>
        <v>285</v>
      </c>
    </row>
    <row r="11" spans="1:25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  <c r="M11" s="7">
        <f t="shared" si="1"/>
        <v>281</v>
      </c>
      <c r="N11">
        <f t="shared" si="2"/>
        <v>271</v>
      </c>
      <c r="O11">
        <f t="shared" si="3"/>
        <v>275</v>
      </c>
      <c r="P11">
        <f t="shared" si="4"/>
        <v>274</v>
      </c>
      <c r="Q11">
        <f t="shared" si="5"/>
        <v>281</v>
      </c>
      <c r="R11">
        <f t="shared" si="6"/>
        <v>277</v>
      </c>
      <c r="S11">
        <f t="shared" si="7"/>
        <v>268</v>
      </c>
      <c r="T11">
        <f t="shared" si="8"/>
        <v>281</v>
      </c>
      <c r="U11">
        <f t="shared" si="9"/>
        <v>266</v>
      </c>
      <c r="V11">
        <f t="shared" si="0"/>
        <v>265</v>
      </c>
      <c r="X11" s="6">
        <v>10</v>
      </c>
      <c r="Y11" s="6">
        <f>_xlfn.MODE.SNGL(V2:V201)</f>
        <v>286</v>
      </c>
    </row>
    <row r="12" spans="1:25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  <c r="M12" s="7">
        <f t="shared" si="1"/>
        <v>277</v>
      </c>
      <c r="N12">
        <f t="shared" si="2"/>
        <v>266</v>
      </c>
      <c r="O12">
        <f t="shared" si="3"/>
        <v>275</v>
      </c>
      <c r="P12">
        <f t="shared" si="4"/>
        <v>271</v>
      </c>
      <c r="Q12">
        <f t="shared" si="5"/>
        <v>269</v>
      </c>
      <c r="R12">
        <f t="shared" si="6"/>
        <v>269</v>
      </c>
      <c r="S12">
        <f t="shared" si="7"/>
        <v>266</v>
      </c>
      <c r="T12">
        <f t="shared" si="8"/>
        <v>276</v>
      </c>
      <c r="U12">
        <f t="shared" si="9"/>
        <v>275</v>
      </c>
      <c r="V12">
        <f t="shared" si="0"/>
        <v>266</v>
      </c>
    </row>
    <row r="13" spans="1:25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  <c r="M13" s="7">
        <f t="shared" si="1"/>
        <v>268</v>
      </c>
      <c r="N13">
        <f t="shared" si="2"/>
        <v>278</v>
      </c>
      <c r="O13">
        <f t="shared" si="3"/>
        <v>266</v>
      </c>
      <c r="P13">
        <f t="shared" si="4"/>
        <v>269</v>
      </c>
      <c r="Q13">
        <f t="shared" si="5"/>
        <v>280</v>
      </c>
      <c r="R13">
        <f t="shared" si="6"/>
        <v>265</v>
      </c>
      <c r="S13">
        <f t="shared" si="7"/>
        <v>267</v>
      </c>
      <c r="T13">
        <f t="shared" si="8"/>
        <v>266</v>
      </c>
      <c r="U13">
        <f t="shared" si="9"/>
        <v>270</v>
      </c>
      <c r="V13">
        <f t="shared" si="0"/>
        <v>271</v>
      </c>
    </row>
    <row r="14" spans="1:25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  <c r="M14" s="7">
        <f t="shared" si="1"/>
        <v>267</v>
      </c>
      <c r="N14">
        <f t="shared" si="2"/>
        <v>278</v>
      </c>
      <c r="O14">
        <f t="shared" si="3"/>
        <v>270</v>
      </c>
      <c r="P14">
        <f t="shared" si="4"/>
        <v>267</v>
      </c>
      <c r="Q14">
        <f t="shared" si="5"/>
        <v>281</v>
      </c>
      <c r="R14">
        <f t="shared" si="6"/>
        <v>266</v>
      </c>
      <c r="S14">
        <f t="shared" si="7"/>
        <v>265</v>
      </c>
      <c r="T14">
        <f t="shared" si="8"/>
        <v>277</v>
      </c>
      <c r="U14">
        <f t="shared" si="9"/>
        <v>265</v>
      </c>
      <c r="V14">
        <f t="shared" si="0"/>
        <v>281</v>
      </c>
    </row>
    <row r="15" spans="1:25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  <c r="M15" s="7">
        <f t="shared" si="1"/>
        <v>281</v>
      </c>
      <c r="N15">
        <f t="shared" si="2"/>
        <v>281</v>
      </c>
      <c r="O15">
        <f t="shared" si="3"/>
        <v>265</v>
      </c>
      <c r="P15">
        <f t="shared" si="4"/>
        <v>270</v>
      </c>
      <c r="Q15">
        <f t="shared" si="5"/>
        <v>279</v>
      </c>
      <c r="R15">
        <f t="shared" si="6"/>
        <v>274</v>
      </c>
      <c r="S15">
        <f t="shared" si="7"/>
        <v>269</v>
      </c>
      <c r="T15">
        <f t="shared" si="8"/>
        <v>278</v>
      </c>
      <c r="U15">
        <f t="shared" si="9"/>
        <v>268</v>
      </c>
      <c r="V15">
        <f t="shared" si="0"/>
        <v>273</v>
      </c>
    </row>
    <row r="16" spans="1:25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  <c r="M16" s="7">
        <f t="shared" si="1"/>
        <v>280</v>
      </c>
      <c r="N16">
        <f t="shared" si="2"/>
        <v>281</v>
      </c>
      <c r="O16">
        <f t="shared" si="3"/>
        <v>273</v>
      </c>
      <c r="P16">
        <f t="shared" si="4"/>
        <v>270</v>
      </c>
      <c r="Q16">
        <f t="shared" si="5"/>
        <v>265</v>
      </c>
      <c r="R16">
        <f t="shared" si="6"/>
        <v>280</v>
      </c>
      <c r="S16">
        <f t="shared" si="7"/>
        <v>268</v>
      </c>
      <c r="T16">
        <f t="shared" si="8"/>
        <v>268</v>
      </c>
      <c r="U16">
        <f t="shared" si="9"/>
        <v>268</v>
      </c>
      <c r="V16">
        <f t="shared" si="0"/>
        <v>267</v>
      </c>
    </row>
    <row r="17" spans="1:22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  <c r="M17" s="7">
        <f t="shared" si="1"/>
        <v>265</v>
      </c>
      <c r="N17">
        <f t="shared" si="2"/>
        <v>275</v>
      </c>
      <c r="O17">
        <f t="shared" si="3"/>
        <v>272</v>
      </c>
      <c r="P17">
        <f t="shared" si="4"/>
        <v>268</v>
      </c>
      <c r="Q17">
        <f t="shared" si="5"/>
        <v>266</v>
      </c>
      <c r="R17">
        <f t="shared" si="6"/>
        <v>273</v>
      </c>
      <c r="S17">
        <f t="shared" si="7"/>
        <v>273</v>
      </c>
      <c r="T17">
        <f t="shared" si="8"/>
        <v>268</v>
      </c>
      <c r="U17">
        <f t="shared" si="9"/>
        <v>266</v>
      </c>
      <c r="V17">
        <f t="shared" si="0"/>
        <v>276</v>
      </c>
    </row>
    <row r="18" spans="1:22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  <c r="M18" s="7">
        <f t="shared" si="1"/>
        <v>280</v>
      </c>
      <c r="N18">
        <f t="shared" si="2"/>
        <v>274</v>
      </c>
      <c r="O18">
        <f t="shared" si="3"/>
        <v>267</v>
      </c>
      <c r="P18">
        <f t="shared" si="4"/>
        <v>270</v>
      </c>
      <c r="Q18">
        <f t="shared" si="5"/>
        <v>276</v>
      </c>
      <c r="R18">
        <f t="shared" si="6"/>
        <v>272</v>
      </c>
      <c r="S18">
        <f t="shared" si="7"/>
        <v>270</v>
      </c>
      <c r="T18">
        <f t="shared" si="8"/>
        <v>266</v>
      </c>
      <c r="U18">
        <f t="shared" si="9"/>
        <v>266</v>
      </c>
      <c r="V18">
        <f t="shared" ref="V18:V81" si="10">ROUNDDOWN(273.15+L18,0)</f>
        <v>276</v>
      </c>
    </row>
    <row r="19" spans="1:22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  <c r="M19" s="7">
        <f t="shared" si="1"/>
        <v>267</v>
      </c>
      <c r="N19">
        <f t="shared" si="2"/>
        <v>274</v>
      </c>
      <c r="O19">
        <f t="shared" si="3"/>
        <v>266</v>
      </c>
      <c r="P19">
        <f t="shared" si="4"/>
        <v>267</v>
      </c>
      <c r="Q19">
        <f t="shared" si="5"/>
        <v>274</v>
      </c>
      <c r="R19">
        <f t="shared" si="6"/>
        <v>274</v>
      </c>
      <c r="S19">
        <f t="shared" si="7"/>
        <v>281</v>
      </c>
      <c r="T19">
        <f t="shared" si="8"/>
        <v>273</v>
      </c>
      <c r="U19">
        <f t="shared" si="9"/>
        <v>274</v>
      </c>
      <c r="V19">
        <f t="shared" si="10"/>
        <v>269</v>
      </c>
    </row>
    <row r="20" spans="1:22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  <c r="M20" s="7">
        <f t="shared" si="1"/>
        <v>267</v>
      </c>
      <c r="N20">
        <f t="shared" si="2"/>
        <v>270</v>
      </c>
      <c r="O20">
        <f t="shared" si="3"/>
        <v>273</v>
      </c>
      <c r="P20">
        <f t="shared" si="4"/>
        <v>276</v>
      </c>
      <c r="Q20">
        <f t="shared" si="5"/>
        <v>278</v>
      </c>
      <c r="R20">
        <f t="shared" si="6"/>
        <v>272</v>
      </c>
      <c r="S20">
        <f t="shared" si="7"/>
        <v>277</v>
      </c>
      <c r="T20">
        <f t="shared" si="8"/>
        <v>275</v>
      </c>
      <c r="U20">
        <f t="shared" si="9"/>
        <v>274</v>
      </c>
      <c r="V20">
        <f t="shared" si="10"/>
        <v>281</v>
      </c>
    </row>
    <row r="21" spans="1:22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  <c r="M21" s="7">
        <f t="shared" si="1"/>
        <v>282</v>
      </c>
      <c r="N21">
        <f t="shared" si="2"/>
        <v>272</v>
      </c>
      <c r="O21">
        <f t="shared" si="3"/>
        <v>279</v>
      </c>
      <c r="P21">
        <f t="shared" si="4"/>
        <v>277</v>
      </c>
      <c r="Q21">
        <f t="shared" si="5"/>
        <v>274</v>
      </c>
      <c r="R21">
        <f t="shared" si="6"/>
        <v>272</v>
      </c>
      <c r="S21">
        <f t="shared" si="7"/>
        <v>277</v>
      </c>
      <c r="T21">
        <f t="shared" si="8"/>
        <v>276</v>
      </c>
      <c r="U21">
        <f t="shared" si="9"/>
        <v>271</v>
      </c>
      <c r="V21">
        <f t="shared" si="10"/>
        <v>271</v>
      </c>
    </row>
    <row r="22" spans="1:22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  <c r="M22" s="7">
        <f t="shared" si="1"/>
        <v>279</v>
      </c>
      <c r="N22">
        <f t="shared" si="2"/>
        <v>279</v>
      </c>
      <c r="O22">
        <f t="shared" si="3"/>
        <v>277</v>
      </c>
      <c r="P22">
        <f t="shared" si="4"/>
        <v>269</v>
      </c>
      <c r="Q22">
        <f t="shared" si="5"/>
        <v>270</v>
      </c>
      <c r="R22">
        <f t="shared" si="6"/>
        <v>278</v>
      </c>
      <c r="S22">
        <f t="shared" si="7"/>
        <v>271</v>
      </c>
      <c r="T22">
        <f t="shared" si="8"/>
        <v>277</v>
      </c>
      <c r="U22">
        <f t="shared" si="9"/>
        <v>270</v>
      </c>
      <c r="V22">
        <f t="shared" si="10"/>
        <v>275</v>
      </c>
    </row>
    <row r="23" spans="1:22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  <c r="M23" s="7">
        <f t="shared" si="1"/>
        <v>269</v>
      </c>
      <c r="N23">
        <f t="shared" si="2"/>
        <v>268</v>
      </c>
      <c r="O23">
        <f t="shared" si="3"/>
        <v>276</v>
      </c>
      <c r="P23">
        <f t="shared" si="4"/>
        <v>273</v>
      </c>
      <c r="Q23">
        <f t="shared" si="5"/>
        <v>269</v>
      </c>
      <c r="R23">
        <f t="shared" si="6"/>
        <v>270</v>
      </c>
      <c r="S23">
        <f t="shared" si="7"/>
        <v>273</v>
      </c>
      <c r="T23">
        <f t="shared" si="8"/>
        <v>269</v>
      </c>
      <c r="U23">
        <f t="shared" si="9"/>
        <v>269</v>
      </c>
      <c r="V23">
        <f t="shared" si="10"/>
        <v>270</v>
      </c>
    </row>
    <row r="24" spans="1:22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  <c r="M24" s="7">
        <f t="shared" si="1"/>
        <v>279</v>
      </c>
      <c r="N24">
        <f t="shared" si="2"/>
        <v>270</v>
      </c>
      <c r="O24">
        <f t="shared" si="3"/>
        <v>279</v>
      </c>
      <c r="P24">
        <f t="shared" si="4"/>
        <v>271</v>
      </c>
      <c r="Q24">
        <f t="shared" si="5"/>
        <v>275</v>
      </c>
      <c r="R24">
        <f t="shared" si="6"/>
        <v>279</v>
      </c>
      <c r="S24">
        <f t="shared" si="7"/>
        <v>265</v>
      </c>
      <c r="T24">
        <f t="shared" si="8"/>
        <v>280</v>
      </c>
      <c r="U24">
        <f t="shared" si="9"/>
        <v>280</v>
      </c>
      <c r="V24">
        <f t="shared" si="10"/>
        <v>266</v>
      </c>
    </row>
    <row r="25" spans="1:22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  <c r="M25" s="7">
        <f t="shared" si="1"/>
        <v>270</v>
      </c>
      <c r="N25">
        <f t="shared" si="2"/>
        <v>271</v>
      </c>
      <c r="O25">
        <f t="shared" si="3"/>
        <v>265</v>
      </c>
      <c r="P25">
        <f t="shared" si="4"/>
        <v>279</v>
      </c>
      <c r="Q25">
        <f t="shared" si="5"/>
        <v>268</v>
      </c>
      <c r="R25">
        <f t="shared" si="6"/>
        <v>265</v>
      </c>
      <c r="S25">
        <f t="shared" si="7"/>
        <v>276</v>
      </c>
      <c r="T25">
        <f t="shared" si="8"/>
        <v>270</v>
      </c>
      <c r="U25">
        <f t="shared" si="9"/>
        <v>279</v>
      </c>
      <c r="V25">
        <f t="shared" si="10"/>
        <v>270</v>
      </c>
    </row>
    <row r="26" spans="1:22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  <c r="M26" s="7">
        <f t="shared" si="1"/>
        <v>268</v>
      </c>
      <c r="N26">
        <f t="shared" si="2"/>
        <v>269</v>
      </c>
      <c r="O26">
        <f t="shared" si="3"/>
        <v>272</v>
      </c>
      <c r="P26">
        <f t="shared" si="4"/>
        <v>268</v>
      </c>
      <c r="Q26">
        <f t="shared" si="5"/>
        <v>272</v>
      </c>
      <c r="R26">
        <f t="shared" si="6"/>
        <v>274</v>
      </c>
      <c r="S26">
        <f t="shared" si="7"/>
        <v>279</v>
      </c>
      <c r="T26">
        <f t="shared" si="8"/>
        <v>270</v>
      </c>
      <c r="U26">
        <f t="shared" si="9"/>
        <v>278</v>
      </c>
      <c r="V26">
        <f t="shared" si="10"/>
        <v>282</v>
      </c>
    </row>
    <row r="27" spans="1:22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  <c r="M27" s="7">
        <f t="shared" si="1"/>
        <v>274</v>
      </c>
      <c r="N27">
        <f t="shared" si="2"/>
        <v>277</v>
      </c>
      <c r="O27">
        <f t="shared" si="3"/>
        <v>277</v>
      </c>
      <c r="P27">
        <f t="shared" si="4"/>
        <v>281</v>
      </c>
      <c r="Q27">
        <f t="shared" si="5"/>
        <v>271</v>
      </c>
      <c r="R27">
        <f t="shared" si="6"/>
        <v>272</v>
      </c>
      <c r="S27">
        <f t="shared" si="7"/>
        <v>281</v>
      </c>
      <c r="T27">
        <f t="shared" si="8"/>
        <v>272</v>
      </c>
      <c r="U27">
        <f t="shared" si="9"/>
        <v>274</v>
      </c>
      <c r="V27">
        <f t="shared" si="10"/>
        <v>272</v>
      </c>
    </row>
    <row r="28" spans="1:22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  <c r="M28" s="7">
        <f t="shared" si="1"/>
        <v>268</v>
      </c>
      <c r="N28">
        <f t="shared" si="2"/>
        <v>268</v>
      </c>
      <c r="O28">
        <f t="shared" si="3"/>
        <v>267</v>
      </c>
      <c r="P28">
        <f t="shared" si="4"/>
        <v>273</v>
      </c>
      <c r="Q28">
        <f t="shared" si="5"/>
        <v>269</v>
      </c>
      <c r="R28">
        <f t="shared" si="6"/>
        <v>267</v>
      </c>
      <c r="S28">
        <f t="shared" si="7"/>
        <v>265</v>
      </c>
      <c r="T28">
        <f t="shared" si="8"/>
        <v>274</v>
      </c>
      <c r="U28">
        <f t="shared" si="9"/>
        <v>275</v>
      </c>
      <c r="V28">
        <f t="shared" si="10"/>
        <v>280</v>
      </c>
    </row>
    <row r="29" spans="1:22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  <c r="M29" s="7">
        <f t="shared" si="1"/>
        <v>282</v>
      </c>
      <c r="N29">
        <f t="shared" si="2"/>
        <v>265</v>
      </c>
      <c r="O29">
        <f t="shared" si="3"/>
        <v>280</v>
      </c>
      <c r="P29">
        <f t="shared" si="4"/>
        <v>277</v>
      </c>
      <c r="Q29">
        <f t="shared" si="5"/>
        <v>269</v>
      </c>
      <c r="R29">
        <f t="shared" si="6"/>
        <v>265</v>
      </c>
      <c r="S29">
        <f t="shared" si="7"/>
        <v>276</v>
      </c>
      <c r="T29">
        <f t="shared" si="8"/>
        <v>269</v>
      </c>
      <c r="U29">
        <f t="shared" si="9"/>
        <v>276</v>
      </c>
      <c r="V29">
        <f t="shared" si="10"/>
        <v>279</v>
      </c>
    </row>
    <row r="30" spans="1:22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  <c r="M30" s="7">
        <f t="shared" si="1"/>
        <v>270</v>
      </c>
      <c r="N30">
        <f t="shared" si="2"/>
        <v>269</v>
      </c>
      <c r="O30">
        <f t="shared" si="3"/>
        <v>277</v>
      </c>
      <c r="P30">
        <f t="shared" si="4"/>
        <v>279</v>
      </c>
      <c r="Q30">
        <f t="shared" si="5"/>
        <v>265</v>
      </c>
      <c r="R30">
        <f t="shared" si="6"/>
        <v>281</v>
      </c>
      <c r="S30">
        <f t="shared" si="7"/>
        <v>266</v>
      </c>
      <c r="T30">
        <f t="shared" si="8"/>
        <v>267</v>
      </c>
      <c r="U30">
        <f t="shared" si="9"/>
        <v>265</v>
      </c>
      <c r="V30">
        <f t="shared" si="10"/>
        <v>270</v>
      </c>
    </row>
    <row r="31" spans="1:22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  <c r="M31" s="7">
        <f t="shared" si="1"/>
        <v>271</v>
      </c>
      <c r="N31">
        <f t="shared" si="2"/>
        <v>273</v>
      </c>
      <c r="O31">
        <f t="shared" si="3"/>
        <v>278</v>
      </c>
      <c r="P31">
        <f t="shared" si="4"/>
        <v>279</v>
      </c>
      <c r="Q31">
        <f t="shared" si="5"/>
        <v>270</v>
      </c>
      <c r="R31">
        <f t="shared" si="6"/>
        <v>280</v>
      </c>
      <c r="S31">
        <f t="shared" si="7"/>
        <v>265</v>
      </c>
      <c r="T31">
        <f t="shared" si="8"/>
        <v>281</v>
      </c>
      <c r="U31">
        <f t="shared" si="9"/>
        <v>277</v>
      </c>
      <c r="V31">
        <f t="shared" si="10"/>
        <v>281</v>
      </c>
    </row>
    <row r="32" spans="1:22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  <c r="M32" s="7">
        <f t="shared" si="1"/>
        <v>274</v>
      </c>
      <c r="N32">
        <f t="shared" si="2"/>
        <v>265</v>
      </c>
      <c r="O32">
        <f t="shared" si="3"/>
        <v>266</v>
      </c>
      <c r="P32">
        <f t="shared" si="4"/>
        <v>275</v>
      </c>
      <c r="Q32">
        <f t="shared" si="5"/>
        <v>277</v>
      </c>
      <c r="R32">
        <f t="shared" si="6"/>
        <v>274</v>
      </c>
      <c r="S32">
        <f t="shared" si="7"/>
        <v>278</v>
      </c>
      <c r="T32">
        <f t="shared" si="8"/>
        <v>266</v>
      </c>
      <c r="U32">
        <f t="shared" si="9"/>
        <v>269</v>
      </c>
      <c r="V32">
        <f t="shared" si="10"/>
        <v>265</v>
      </c>
    </row>
    <row r="33" spans="1:22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  <c r="M33" s="7">
        <f t="shared" si="1"/>
        <v>274</v>
      </c>
      <c r="N33">
        <f t="shared" si="2"/>
        <v>280</v>
      </c>
      <c r="O33">
        <f t="shared" si="3"/>
        <v>279</v>
      </c>
      <c r="P33">
        <f t="shared" si="4"/>
        <v>279</v>
      </c>
      <c r="Q33">
        <f t="shared" si="5"/>
        <v>273</v>
      </c>
      <c r="R33">
        <f t="shared" si="6"/>
        <v>270</v>
      </c>
      <c r="S33">
        <f t="shared" si="7"/>
        <v>267</v>
      </c>
      <c r="T33">
        <f t="shared" si="8"/>
        <v>278</v>
      </c>
      <c r="U33">
        <f t="shared" si="9"/>
        <v>278</v>
      </c>
      <c r="V33">
        <f t="shared" si="10"/>
        <v>281</v>
      </c>
    </row>
    <row r="34" spans="1:22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  <c r="M34" s="7">
        <f t="shared" si="1"/>
        <v>278</v>
      </c>
      <c r="N34">
        <f t="shared" si="2"/>
        <v>280</v>
      </c>
      <c r="O34">
        <f t="shared" si="3"/>
        <v>272</v>
      </c>
      <c r="P34">
        <f t="shared" si="4"/>
        <v>271</v>
      </c>
      <c r="Q34">
        <f t="shared" si="5"/>
        <v>277</v>
      </c>
      <c r="R34">
        <f t="shared" si="6"/>
        <v>265</v>
      </c>
      <c r="S34">
        <f t="shared" si="7"/>
        <v>266</v>
      </c>
      <c r="T34">
        <f t="shared" si="8"/>
        <v>268</v>
      </c>
      <c r="U34">
        <f t="shared" si="9"/>
        <v>276</v>
      </c>
      <c r="V34">
        <f t="shared" si="10"/>
        <v>275</v>
      </c>
    </row>
    <row r="35" spans="1:22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  <c r="M35" s="7">
        <f t="shared" si="1"/>
        <v>267</v>
      </c>
      <c r="N35">
        <f t="shared" si="2"/>
        <v>265</v>
      </c>
      <c r="O35">
        <f t="shared" si="3"/>
        <v>269</v>
      </c>
      <c r="P35">
        <f t="shared" si="4"/>
        <v>274</v>
      </c>
      <c r="Q35">
        <f t="shared" si="5"/>
        <v>272</v>
      </c>
      <c r="R35">
        <f t="shared" si="6"/>
        <v>270</v>
      </c>
      <c r="S35">
        <f t="shared" si="7"/>
        <v>276</v>
      </c>
      <c r="T35">
        <f t="shared" si="8"/>
        <v>270</v>
      </c>
      <c r="U35">
        <f t="shared" si="9"/>
        <v>277</v>
      </c>
      <c r="V35">
        <f t="shared" si="10"/>
        <v>267</v>
      </c>
    </row>
    <row r="36" spans="1:22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  <c r="M36" s="7">
        <f t="shared" si="1"/>
        <v>281</v>
      </c>
      <c r="N36">
        <f t="shared" si="2"/>
        <v>277</v>
      </c>
      <c r="O36">
        <f t="shared" si="3"/>
        <v>281</v>
      </c>
      <c r="P36">
        <f t="shared" si="4"/>
        <v>271</v>
      </c>
      <c r="Q36">
        <f t="shared" si="5"/>
        <v>277</v>
      </c>
      <c r="R36">
        <f t="shared" si="6"/>
        <v>270</v>
      </c>
      <c r="S36">
        <f t="shared" si="7"/>
        <v>267</v>
      </c>
      <c r="T36">
        <f t="shared" si="8"/>
        <v>276</v>
      </c>
      <c r="U36">
        <f t="shared" si="9"/>
        <v>266</v>
      </c>
      <c r="V36">
        <f t="shared" si="10"/>
        <v>280</v>
      </c>
    </row>
    <row r="37" spans="1:22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  <c r="M37" s="7">
        <f t="shared" si="1"/>
        <v>276</v>
      </c>
      <c r="N37">
        <f t="shared" si="2"/>
        <v>273</v>
      </c>
      <c r="O37">
        <f t="shared" si="3"/>
        <v>265</v>
      </c>
      <c r="P37">
        <f t="shared" si="4"/>
        <v>265</v>
      </c>
      <c r="Q37">
        <f t="shared" si="5"/>
        <v>274</v>
      </c>
      <c r="R37">
        <f t="shared" si="6"/>
        <v>278</v>
      </c>
      <c r="S37">
        <f t="shared" si="7"/>
        <v>269</v>
      </c>
      <c r="T37">
        <f t="shared" si="8"/>
        <v>279</v>
      </c>
      <c r="U37">
        <f t="shared" si="9"/>
        <v>267</v>
      </c>
      <c r="V37">
        <f t="shared" si="10"/>
        <v>274</v>
      </c>
    </row>
    <row r="38" spans="1:22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  <c r="M38" s="7">
        <f t="shared" si="1"/>
        <v>278</v>
      </c>
      <c r="N38">
        <f t="shared" si="2"/>
        <v>267</v>
      </c>
      <c r="O38">
        <f t="shared" si="3"/>
        <v>281</v>
      </c>
      <c r="P38">
        <f t="shared" si="4"/>
        <v>276</v>
      </c>
      <c r="Q38">
        <f t="shared" si="5"/>
        <v>280</v>
      </c>
      <c r="R38">
        <f t="shared" si="6"/>
        <v>272</v>
      </c>
      <c r="S38">
        <f t="shared" si="7"/>
        <v>281</v>
      </c>
      <c r="T38">
        <f t="shared" si="8"/>
        <v>266</v>
      </c>
      <c r="U38">
        <f t="shared" si="9"/>
        <v>267</v>
      </c>
      <c r="V38">
        <f t="shared" si="10"/>
        <v>268</v>
      </c>
    </row>
    <row r="39" spans="1:22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  <c r="M39" s="7">
        <f t="shared" si="1"/>
        <v>269</v>
      </c>
      <c r="N39">
        <f t="shared" si="2"/>
        <v>267</v>
      </c>
      <c r="O39">
        <f t="shared" si="3"/>
        <v>281</v>
      </c>
      <c r="P39">
        <f t="shared" si="4"/>
        <v>272</v>
      </c>
      <c r="Q39">
        <f t="shared" si="5"/>
        <v>277</v>
      </c>
      <c r="R39">
        <f t="shared" si="6"/>
        <v>268</v>
      </c>
      <c r="S39">
        <f t="shared" si="7"/>
        <v>280</v>
      </c>
      <c r="T39">
        <f t="shared" si="8"/>
        <v>279</v>
      </c>
      <c r="U39">
        <f t="shared" si="9"/>
        <v>272</v>
      </c>
      <c r="V39">
        <f t="shared" si="10"/>
        <v>280</v>
      </c>
    </row>
    <row r="40" spans="1:22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  <c r="M40" s="7">
        <f t="shared" si="1"/>
        <v>268</v>
      </c>
      <c r="N40">
        <f t="shared" si="2"/>
        <v>271</v>
      </c>
      <c r="O40">
        <f t="shared" si="3"/>
        <v>266</v>
      </c>
      <c r="P40">
        <f t="shared" si="4"/>
        <v>278</v>
      </c>
      <c r="Q40">
        <f t="shared" si="5"/>
        <v>279</v>
      </c>
      <c r="R40">
        <f t="shared" si="6"/>
        <v>280</v>
      </c>
      <c r="S40">
        <f t="shared" si="7"/>
        <v>268</v>
      </c>
      <c r="T40">
        <f t="shared" si="8"/>
        <v>270</v>
      </c>
      <c r="U40">
        <f t="shared" si="9"/>
        <v>273</v>
      </c>
      <c r="V40">
        <f t="shared" si="10"/>
        <v>281</v>
      </c>
    </row>
    <row r="41" spans="1:22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  <c r="M41" s="7">
        <f t="shared" si="1"/>
        <v>270</v>
      </c>
      <c r="N41">
        <f t="shared" si="2"/>
        <v>271</v>
      </c>
      <c r="O41">
        <f t="shared" si="3"/>
        <v>275</v>
      </c>
      <c r="P41">
        <f t="shared" si="4"/>
        <v>277</v>
      </c>
      <c r="Q41">
        <f t="shared" si="5"/>
        <v>280</v>
      </c>
      <c r="R41">
        <f t="shared" si="6"/>
        <v>273</v>
      </c>
      <c r="S41">
        <f t="shared" si="7"/>
        <v>272</v>
      </c>
      <c r="T41">
        <f t="shared" si="8"/>
        <v>278</v>
      </c>
      <c r="U41">
        <f t="shared" si="9"/>
        <v>266</v>
      </c>
      <c r="V41">
        <f t="shared" si="10"/>
        <v>279</v>
      </c>
    </row>
    <row r="42" spans="1:22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  <c r="M42" s="7">
        <f t="shared" si="1"/>
        <v>271</v>
      </c>
      <c r="N42">
        <f t="shared" si="2"/>
        <v>266</v>
      </c>
      <c r="O42">
        <f t="shared" si="3"/>
        <v>277</v>
      </c>
      <c r="P42">
        <f t="shared" si="4"/>
        <v>277</v>
      </c>
      <c r="Q42">
        <f t="shared" si="5"/>
        <v>276</v>
      </c>
      <c r="R42">
        <f t="shared" si="6"/>
        <v>270</v>
      </c>
      <c r="S42">
        <f t="shared" si="7"/>
        <v>278</v>
      </c>
      <c r="T42">
        <f t="shared" si="8"/>
        <v>267</v>
      </c>
      <c r="U42">
        <f t="shared" si="9"/>
        <v>276</v>
      </c>
      <c r="V42">
        <f t="shared" si="10"/>
        <v>274</v>
      </c>
    </row>
    <row r="43" spans="1:22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  <c r="M43" s="7">
        <f t="shared" si="1"/>
        <v>283</v>
      </c>
      <c r="N43">
        <f t="shared" si="2"/>
        <v>285</v>
      </c>
      <c r="O43">
        <f t="shared" si="3"/>
        <v>283</v>
      </c>
      <c r="P43">
        <f t="shared" si="4"/>
        <v>287</v>
      </c>
      <c r="Q43">
        <f t="shared" si="5"/>
        <v>283</v>
      </c>
      <c r="R43">
        <f t="shared" si="6"/>
        <v>287</v>
      </c>
      <c r="S43">
        <f t="shared" si="7"/>
        <v>288</v>
      </c>
      <c r="T43">
        <f t="shared" si="8"/>
        <v>286</v>
      </c>
      <c r="U43">
        <f t="shared" si="9"/>
        <v>287</v>
      </c>
      <c r="V43">
        <f t="shared" si="10"/>
        <v>286</v>
      </c>
    </row>
    <row r="44" spans="1:22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  <c r="M44" s="7">
        <f t="shared" si="1"/>
        <v>287</v>
      </c>
      <c r="N44">
        <f t="shared" si="2"/>
        <v>288</v>
      </c>
      <c r="O44">
        <f t="shared" si="3"/>
        <v>286</v>
      </c>
      <c r="P44">
        <f t="shared" si="4"/>
        <v>285</v>
      </c>
      <c r="Q44">
        <f t="shared" si="5"/>
        <v>286</v>
      </c>
      <c r="R44">
        <f t="shared" si="6"/>
        <v>285</v>
      </c>
      <c r="S44">
        <f t="shared" si="7"/>
        <v>283</v>
      </c>
      <c r="T44">
        <f t="shared" si="8"/>
        <v>284</v>
      </c>
      <c r="U44">
        <f t="shared" si="9"/>
        <v>286</v>
      </c>
      <c r="V44">
        <f t="shared" si="10"/>
        <v>287</v>
      </c>
    </row>
    <row r="45" spans="1:22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  <c r="M45" s="7">
        <f t="shared" si="1"/>
        <v>284</v>
      </c>
      <c r="N45">
        <f t="shared" si="2"/>
        <v>287</v>
      </c>
      <c r="O45">
        <f t="shared" si="3"/>
        <v>288</v>
      </c>
      <c r="P45">
        <f t="shared" si="4"/>
        <v>283</v>
      </c>
      <c r="Q45">
        <f t="shared" si="5"/>
        <v>288</v>
      </c>
      <c r="R45">
        <f t="shared" si="6"/>
        <v>289</v>
      </c>
      <c r="S45">
        <f t="shared" si="7"/>
        <v>284</v>
      </c>
      <c r="T45">
        <f t="shared" si="8"/>
        <v>288</v>
      </c>
      <c r="U45">
        <f t="shared" si="9"/>
        <v>289</v>
      </c>
      <c r="V45">
        <f t="shared" si="10"/>
        <v>286</v>
      </c>
    </row>
    <row r="46" spans="1:22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  <c r="M46" s="7">
        <f t="shared" si="1"/>
        <v>287</v>
      </c>
      <c r="N46">
        <f t="shared" si="2"/>
        <v>286</v>
      </c>
      <c r="O46">
        <f t="shared" si="3"/>
        <v>287</v>
      </c>
      <c r="P46">
        <f t="shared" si="4"/>
        <v>287</v>
      </c>
      <c r="Q46">
        <f t="shared" si="5"/>
        <v>288</v>
      </c>
      <c r="R46">
        <f t="shared" si="6"/>
        <v>284</v>
      </c>
      <c r="S46">
        <f t="shared" si="7"/>
        <v>285</v>
      </c>
      <c r="T46">
        <f t="shared" si="8"/>
        <v>285</v>
      </c>
      <c r="U46">
        <f t="shared" si="9"/>
        <v>285</v>
      </c>
      <c r="V46">
        <f t="shared" si="10"/>
        <v>285</v>
      </c>
    </row>
    <row r="47" spans="1:22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  <c r="M47" s="7">
        <f t="shared" si="1"/>
        <v>284</v>
      </c>
      <c r="N47">
        <f t="shared" si="2"/>
        <v>285</v>
      </c>
      <c r="O47">
        <f t="shared" si="3"/>
        <v>283</v>
      </c>
      <c r="P47">
        <f t="shared" si="4"/>
        <v>288</v>
      </c>
      <c r="Q47">
        <f t="shared" si="5"/>
        <v>288</v>
      </c>
      <c r="R47">
        <f t="shared" si="6"/>
        <v>286</v>
      </c>
      <c r="S47">
        <f t="shared" si="7"/>
        <v>285</v>
      </c>
      <c r="T47">
        <f t="shared" si="8"/>
        <v>287</v>
      </c>
      <c r="U47">
        <f t="shared" si="9"/>
        <v>287</v>
      </c>
      <c r="V47">
        <f t="shared" si="10"/>
        <v>283</v>
      </c>
    </row>
    <row r="48" spans="1:22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  <c r="M48" s="7">
        <f t="shared" si="1"/>
        <v>288</v>
      </c>
      <c r="N48">
        <f t="shared" si="2"/>
        <v>286</v>
      </c>
      <c r="O48">
        <f t="shared" si="3"/>
        <v>285</v>
      </c>
      <c r="P48">
        <f t="shared" si="4"/>
        <v>287</v>
      </c>
      <c r="Q48">
        <f t="shared" si="5"/>
        <v>285</v>
      </c>
      <c r="R48">
        <f t="shared" si="6"/>
        <v>285</v>
      </c>
      <c r="S48">
        <f t="shared" si="7"/>
        <v>287</v>
      </c>
      <c r="T48">
        <f t="shared" si="8"/>
        <v>287</v>
      </c>
      <c r="U48">
        <f t="shared" si="9"/>
        <v>286</v>
      </c>
      <c r="V48">
        <f t="shared" si="10"/>
        <v>286</v>
      </c>
    </row>
    <row r="49" spans="1:22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  <c r="M49" s="7">
        <f t="shared" si="1"/>
        <v>284</v>
      </c>
      <c r="N49">
        <f t="shared" si="2"/>
        <v>288</v>
      </c>
      <c r="O49">
        <f t="shared" si="3"/>
        <v>284</v>
      </c>
      <c r="P49">
        <f t="shared" si="4"/>
        <v>286</v>
      </c>
      <c r="Q49">
        <f t="shared" si="5"/>
        <v>283</v>
      </c>
      <c r="R49">
        <f t="shared" si="6"/>
        <v>289</v>
      </c>
      <c r="S49">
        <f t="shared" si="7"/>
        <v>287</v>
      </c>
      <c r="T49">
        <f t="shared" si="8"/>
        <v>287</v>
      </c>
      <c r="U49">
        <f t="shared" si="9"/>
        <v>288</v>
      </c>
      <c r="V49">
        <f t="shared" si="10"/>
        <v>286</v>
      </c>
    </row>
    <row r="50" spans="1:22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  <c r="M50" s="7">
        <f t="shared" si="1"/>
        <v>283</v>
      </c>
      <c r="N50">
        <f t="shared" si="2"/>
        <v>286</v>
      </c>
      <c r="O50">
        <f t="shared" si="3"/>
        <v>285</v>
      </c>
      <c r="P50">
        <f t="shared" si="4"/>
        <v>283</v>
      </c>
      <c r="Q50">
        <f t="shared" si="5"/>
        <v>285</v>
      </c>
      <c r="R50">
        <f t="shared" si="6"/>
        <v>287</v>
      </c>
      <c r="S50">
        <f t="shared" si="7"/>
        <v>286</v>
      </c>
      <c r="T50">
        <f t="shared" si="8"/>
        <v>286</v>
      </c>
      <c r="U50">
        <f t="shared" si="9"/>
        <v>288</v>
      </c>
      <c r="V50">
        <f t="shared" si="10"/>
        <v>286</v>
      </c>
    </row>
    <row r="51" spans="1:22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  <c r="M51" s="7">
        <f t="shared" si="1"/>
        <v>288</v>
      </c>
      <c r="N51">
        <f t="shared" si="2"/>
        <v>284</v>
      </c>
      <c r="O51">
        <f t="shared" si="3"/>
        <v>283</v>
      </c>
      <c r="P51">
        <f t="shared" si="4"/>
        <v>286</v>
      </c>
      <c r="Q51">
        <f t="shared" si="5"/>
        <v>284</v>
      </c>
      <c r="R51">
        <f t="shared" si="6"/>
        <v>284</v>
      </c>
      <c r="S51">
        <f t="shared" si="7"/>
        <v>283</v>
      </c>
      <c r="T51">
        <f t="shared" si="8"/>
        <v>285</v>
      </c>
      <c r="U51">
        <f t="shared" si="9"/>
        <v>285</v>
      </c>
      <c r="V51">
        <f t="shared" si="10"/>
        <v>285</v>
      </c>
    </row>
    <row r="52" spans="1:22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  <c r="M52" s="7">
        <f t="shared" si="1"/>
        <v>285</v>
      </c>
      <c r="N52">
        <f t="shared" si="2"/>
        <v>286</v>
      </c>
      <c r="O52">
        <f t="shared" si="3"/>
        <v>283</v>
      </c>
      <c r="P52">
        <f t="shared" si="4"/>
        <v>285</v>
      </c>
      <c r="Q52">
        <f t="shared" si="5"/>
        <v>283</v>
      </c>
      <c r="R52">
        <f t="shared" si="6"/>
        <v>287</v>
      </c>
      <c r="S52">
        <f t="shared" si="7"/>
        <v>287</v>
      </c>
      <c r="T52">
        <f t="shared" si="8"/>
        <v>288</v>
      </c>
      <c r="U52">
        <f t="shared" si="9"/>
        <v>287</v>
      </c>
      <c r="V52">
        <f t="shared" si="10"/>
        <v>287</v>
      </c>
    </row>
    <row r="53" spans="1:22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  <c r="M53" s="7">
        <f t="shared" si="1"/>
        <v>287</v>
      </c>
      <c r="N53">
        <f t="shared" si="2"/>
        <v>286</v>
      </c>
      <c r="O53">
        <f t="shared" si="3"/>
        <v>283</v>
      </c>
      <c r="P53">
        <f t="shared" si="4"/>
        <v>284</v>
      </c>
      <c r="Q53">
        <f t="shared" si="5"/>
        <v>284</v>
      </c>
      <c r="R53">
        <f t="shared" si="6"/>
        <v>284</v>
      </c>
      <c r="S53">
        <f t="shared" si="7"/>
        <v>286</v>
      </c>
      <c r="T53">
        <f t="shared" si="8"/>
        <v>285</v>
      </c>
      <c r="U53">
        <f t="shared" si="9"/>
        <v>283</v>
      </c>
      <c r="V53">
        <f t="shared" si="10"/>
        <v>285</v>
      </c>
    </row>
    <row r="54" spans="1:22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  <c r="M54" s="7">
        <f t="shared" si="1"/>
        <v>284</v>
      </c>
      <c r="N54">
        <f t="shared" si="2"/>
        <v>283</v>
      </c>
      <c r="O54">
        <f t="shared" si="3"/>
        <v>287</v>
      </c>
      <c r="P54">
        <f t="shared" si="4"/>
        <v>288</v>
      </c>
      <c r="Q54">
        <f t="shared" si="5"/>
        <v>286</v>
      </c>
      <c r="R54">
        <f t="shared" si="6"/>
        <v>287</v>
      </c>
      <c r="S54">
        <f t="shared" si="7"/>
        <v>284</v>
      </c>
      <c r="T54">
        <f t="shared" si="8"/>
        <v>285</v>
      </c>
      <c r="U54">
        <f t="shared" si="9"/>
        <v>286</v>
      </c>
      <c r="V54">
        <f t="shared" si="10"/>
        <v>284</v>
      </c>
    </row>
    <row r="55" spans="1:22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  <c r="M55" s="7">
        <f t="shared" si="1"/>
        <v>286</v>
      </c>
      <c r="N55">
        <f t="shared" si="2"/>
        <v>284</v>
      </c>
      <c r="O55">
        <f t="shared" si="3"/>
        <v>286</v>
      </c>
      <c r="P55">
        <f t="shared" si="4"/>
        <v>284</v>
      </c>
      <c r="Q55">
        <f t="shared" si="5"/>
        <v>284</v>
      </c>
      <c r="R55">
        <f t="shared" si="6"/>
        <v>283</v>
      </c>
      <c r="S55">
        <f t="shared" si="7"/>
        <v>284</v>
      </c>
      <c r="T55">
        <f t="shared" si="8"/>
        <v>288</v>
      </c>
      <c r="U55">
        <f t="shared" si="9"/>
        <v>285</v>
      </c>
      <c r="V55">
        <f t="shared" si="10"/>
        <v>286</v>
      </c>
    </row>
    <row r="56" spans="1:22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  <c r="M56" s="7">
        <f t="shared" si="1"/>
        <v>284</v>
      </c>
      <c r="N56">
        <f t="shared" si="2"/>
        <v>285</v>
      </c>
      <c r="O56">
        <f t="shared" si="3"/>
        <v>284</v>
      </c>
      <c r="P56">
        <f t="shared" si="4"/>
        <v>288</v>
      </c>
      <c r="Q56">
        <f t="shared" si="5"/>
        <v>287</v>
      </c>
      <c r="R56">
        <f t="shared" si="6"/>
        <v>284</v>
      </c>
      <c r="S56">
        <f t="shared" si="7"/>
        <v>286</v>
      </c>
      <c r="T56">
        <f t="shared" si="8"/>
        <v>285</v>
      </c>
      <c r="U56">
        <f t="shared" si="9"/>
        <v>286</v>
      </c>
      <c r="V56">
        <f t="shared" si="10"/>
        <v>288</v>
      </c>
    </row>
    <row r="57" spans="1:22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  <c r="M57" s="7">
        <f t="shared" si="1"/>
        <v>286</v>
      </c>
      <c r="N57">
        <f t="shared" si="2"/>
        <v>288</v>
      </c>
      <c r="O57">
        <f t="shared" si="3"/>
        <v>288</v>
      </c>
      <c r="P57">
        <f t="shared" si="4"/>
        <v>287</v>
      </c>
      <c r="Q57">
        <f t="shared" si="5"/>
        <v>283</v>
      </c>
      <c r="R57">
        <f t="shared" si="6"/>
        <v>287</v>
      </c>
      <c r="S57">
        <f t="shared" si="7"/>
        <v>286</v>
      </c>
      <c r="T57">
        <f t="shared" si="8"/>
        <v>284</v>
      </c>
      <c r="U57">
        <f t="shared" si="9"/>
        <v>286</v>
      </c>
      <c r="V57">
        <f t="shared" si="10"/>
        <v>285</v>
      </c>
    </row>
    <row r="58" spans="1:22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  <c r="M58" s="7">
        <f t="shared" si="1"/>
        <v>283</v>
      </c>
      <c r="N58">
        <f t="shared" si="2"/>
        <v>283</v>
      </c>
      <c r="O58">
        <f t="shared" si="3"/>
        <v>288</v>
      </c>
      <c r="P58">
        <f t="shared" si="4"/>
        <v>285</v>
      </c>
      <c r="Q58">
        <f t="shared" si="5"/>
        <v>284</v>
      </c>
      <c r="R58">
        <f t="shared" si="6"/>
        <v>288</v>
      </c>
      <c r="S58">
        <f t="shared" si="7"/>
        <v>287</v>
      </c>
      <c r="T58">
        <f t="shared" si="8"/>
        <v>287</v>
      </c>
      <c r="U58">
        <f t="shared" si="9"/>
        <v>284</v>
      </c>
      <c r="V58">
        <f t="shared" si="10"/>
        <v>288</v>
      </c>
    </row>
    <row r="59" spans="1:22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  <c r="M59" s="7">
        <f t="shared" si="1"/>
        <v>285</v>
      </c>
      <c r="N59">
        <f t="shared" si="2"/>
        <v>285</v>
      </c>
      <c r="O59">
        <f t="shared" si="3"/>
        <v>285</v>
      </c>
      <c r="P59">
        <f t="shared" si="4"/>
        <v>288</v>
      </c>
      <c r="Q59">
        <f t="shared" si="5"/>
        <v>288</v>
      </c>
      <c r="R59">
        <f t="shared" si="6"/>
        <v>288</v>
      </c>
      <c r="S59">
        <f t="shared" si="7"/>
        <v>285</v>
      </c>
      <c r="T59">
        <f t="shared" si="8"/>
        <v>284</v>
      </c>
      <c r="U59">
        <f t="shared" si="9"/>
        <v>286</v>
      </c>
      <c r="V59">
        <f t="shared" si="10"/>
        <v>283</v>
      </c>
    </row>
    <row r="60" spans="1:22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  <c r="M60" s="7">
        <f t="shared" si="1"/>
        <v>287</v>
      </c>
      <c r="N60">
        <f t="shared" si="2"/>
        <v>284</v>
      </c>
      <c r="O60">
        <f t="shared" si="3"/>
        <v>287</v>
      </c>
      <c r="P60">
        <f t="shared" si="4"/>
        <v>285</v>
      </c>
      <c r="Q60">
        <f t="shared" si="5"/>
        <v>283</v>
      </c>
      <c r="R60">
        <f t="shared" si="6"/>
        <v>288</v>
      </c>
      <c r="S60">
        <f t="shared" si="7"/>
        <v>286</v>
      </c>
      <c r="T60">
        <f t="shared" si="8"/>
        <v>288</v>
      </c>
      <c r="U60">
        <f t="shared" si="9"/>
        <v>285</v>
      </c>
      <c r="V60">
        <f t="shared" si="10"/>
        <v>285</v>
      </c>
    </row>
    <row r="61" spans="1:22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  <c r="M61" s="7">
        <f t="shared" si="1"/>
        <v>287</v>
      </c>
      <c r="N61">
        <f t="shared" si="2"/>
        <v>283</v>
      </c>
      <c r="O61">
        <f t="shared" si="3"/>
        <v>288</v>
      </c>
      <c r="P61">
        <f t="shared" si="4"/>
        <v>284</v>
      </c>
      <c r="Q61">
        <f t="shared" si="5"/>
        <v>284</v>
      </c>
      <c r="R61">
        <f t="shared" si="6"/>
        <v>286</v>
      </c>
      <c r="S61">
        <f t="shared" si="7"/>
        <v>289</v>
      </c>
      <c r="T61">
        <f t="shared" si="8"/>
        <v>288</v>
      </c>
      <c r="U61">
        <f t="shared" si="9"/>
        <v>284</v>
      </c>
      <c r="V61">
        <f t="shared" si="10"/>
        <v>288</v>
      </c>
    </row>
    <row r="62" spans="1:22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  <c r="M62" s="7">
        <f t="shared" si="1"/>
        <v>286</v>
      </c>
      <c r="N62">
        <f t="shared" si="2"/>
        <v>286</v>
      </c>
      <c r="O62">
        <f t="shared" si="3"/>
        <v>285</v>
      </c>
      <c r="P62">
        <f t="shared" si="4"/>
        <v>289</v>
      </c>
      <c r="Q62">
        <f t="shared" si="5"/>
        <v>286</v>
      </c>
      <c r="R62">
        <f t="shared" si="6"/>
        <v>287</v>
      </c>
      <c r="S62">
        <f t="shared" si="7"/>
        <v>288</v>
      </c>
      <c r="T62">
        <f t="shared" si="8"/>
        <v>284</v>
      </c>
      <c r="U62">
        <f t="shared" si="9"/>
        <v>283</v>
      </c>
      <c r="V62">
        <f t="shared" si="10"/>
        <v>286</v>
      </c>
    </row>
    <row r="63" spans="1:22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  <c r="M63" s="7">
        <f t="shared" si="1"/>
        <v>285</v>
      </c>
      <c r="N63">
        <f t="shared" si="2"/>
        <v>288</v>
      </c>
      <c r="O63">
        <f t="shared" si="3"/>
        <v>287</v>
      </c>
      <c r="P63">
        <f t="shared" si="4"/>
        <v>287</v>
      </c>
      <c r="Q63">
        <f t="shared" si="5"/>
        <v>285</v>
      </c>
      <c r="R63">
        <f t="shared" si="6"/>
        <v>288</v>
      </c>
      <c r="S63">
        <f t="shared" si="7"/>
        <v>284</v>
      </c>
      <c r="T63">
        <f t="shared" si="8"/>
        <v>287</v>
      </c>
      <c r="U63">
        <f t="shared" si="9"/>
        <v>288</v>
      </c>
      <c r="V63">
        <f t="shared" si="10"/>
        <v>284</v>
      </c>
    </row>
    <row r="64" spans="1:22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  <c r="M64" s="7">
        <f t="shared" si="1"/>
        <v>288</v>
      </c>
      <c r="N64">
        <f t="shared" si="2"/>
        <v>287</v>
      </c>
      <c r="O64">
        <f t="shared" si="3"/>
        <v>283</v>
      </c>
      <c r="P64">
        <f t="shared" si="4"/>
        <v>284</v>
      </c>
      <c r="Q64">
        <f t="shared" si="5"/>
        <v>288</v>
      </c>
      <c r="R64">
        <f t="shared" si="6"/>
        <v>284</v>
      </c>
      <c r="S64">
        <f t="shared" si="7"/>
        <v>284</v>
      </c>
      <c r="T64">
        <f t="shared" si="8"/>
        <v>288</v>
      </c>
      <c r="U64">
        <f t="shared" si="9"/>
        <v>288</v>
      </c>
      <c r="V64">
        <f t="shared" si="10"/>
        <v>284</v>
      </c>
    </row>
    <row r="65" spans="1:22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  <c r="M65" s="7">
        <f t="shared" si="1"/>
        <v>285</v>
      </c>
      <c r="N65">
        <f t="shared" si="2"/>
        <v>287</v>
      </c>
      <c r="O65">
        <f t="shared" si="3"/>
        <v>288</v>
      </c>
      <c r="P65">
        <f t="shared" si="4"/>
        <v>285</v>
      </c>
      <c r="Q65">
        <f t="shared" si="5"/>
        <v>285</v>
      </c>
      <c r="R65">
        <f t="shared" si="6"/>
        <v>287</v>
      </c>
      <c r="S65">
        <f t="shared" si="7"/>
        <v>285</v>
      </c>
      <c r="T65">
        <f t="shared" si="8"/>
        <v>287</v>
      </c>
      <c r="U65">
        <f t="shared" si="9"/>
        <v>283</v>
      </c>
      <c r="V65">
        <f t="shared" si="10"/>
        <v>287</v>
      </c>
    </row>
    <row r="66" spans="1:22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  <c r="M66" s="7">
        <f t="shared" si="1"/>
        <v>288</v>
      </c>
      <c r="N66">
        <f t="shared" si="2"/>
        <v>286</v>
      </c>
      <c r="O66">
        <f t="shared" si="3"/>
        <v>286</v>
      </c>
      <c r="P66">
        <f t="shared" si="4"/>
        <v>283</v>
      </c>
      <c r="Q66">
        <f t="shared" si="5"/>
        <v>287</v>
      </c>
      <c r="R66">
        <f t="shared" si="6"/>
        <v>284</v>
      </c>
      <c r="S66">
        <f t="shared" si="7"/>
        <v>283</v>
      </c>
      <c r="T66">
        <f t="shared" si="8"/>
        <v>288</v>
      </c>
      <c r="U66">
        <f t="shared" si="9"/>
        <v>285</v>
      </c>
      <c r="V66">
        <f t="shared" si="10"/>
        <v>283</v>
      </c>
    </row>
    <row r="67" spans="1:22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  <c r="M67" s="7">
        <f t="shared" ref="M67:M130" si="11">ROUNDDOWN(273.15+C67,0)</f>
        <v>284</v>
      </c>
      <c r="N67">
        <f t="shared" ref="N67:N130" si="12">ROUNDDOWN(273.15+D67,0)</f>
        <v>283</v>
      </c>
      <c r="O67">
        <f t="shared" ref="O67:O130" si="13">ROUNDDOWN(273.15+E67,0)</f>
        <v>283</v>
      </c>
      <c r="P67">
        <f t="shared" ref="P67:P130" si="14">ROUNDDOWN(273.15+F67,0)</f>
        <v>286</v>
      </c>
      <c r="Q67">
        <f t="shared" ref="Q67:Q130" si="15">ROUNDDOWN(273.15+G67,0)</f>
        <v>287</v>
      </c>
      <c r="R67">
        <f t="shared" ref="R67:R130" si="16">ROUNDDOWN(273.15+H67,0)</f>
        <v>285</v>
      </c>
      <c r="S67">
        <f t="shared" ref="S67:S130" si="17">ROUNDDOWN(273.15+I67,0)</f>
        <v>286</v>
      </c>
      <c r="T67">
        <f t="shared" ref="T67:T130" si="18">ROUNDDOWN(273.15+J67,0)</f>
        <v>288</v>
      </c>
      <c r="U67">
        <f t="shared" ref="U67:U130" si="19">ROUNDDOWN(273.15+K67,0)</f>
        <v>286</v>
      </c>
      <c r="V67">
        <f t="shared" si="10"/>
        <v>286</v>
      </c>
    </row>
    <row r="68" spans="1:22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  <c r="M68" s="7">
        <f t="shared" si="11"/>
        <v>284</v>
      </c>
      <c r="N68">
        <f t="shared" si="12"/>
        <v>284</v>
      </c>
      <c r="O68">
        <f t="shared" si="13"/>
        <v>286</v>
      </c>
      <c r="P68">
        <f t="shared" si="14"/>
        <v>289</v>
      </c>
      <c r="Q68">
        <f t="shared" si="15"/>
        <v>288</v>
      </c>
      <c r="R68">
        <f t="shared" si="16"/>
        <v>285</v>
      </c>
      <c r="S68">
        <f t="shared" si="17"/>
        <v>286</v>
      </c>
      <c r="T68">
        <f t="shared" si="18"/>
        <v>288</v>
      </c>
      <c r="U68">
        <f t="shared" si="19"/>
        <v>285</v>
      </c>
      <c r="V68">
        <f t="shared" si="10"/>
        <v>288</v>
      </c>
    </row>
    <row r="69" spans="1:22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  <c r="M69" s="7">
        <f t="shared" si="11"/>
        <v>283</v>
      </c>
      <c r="N69">
        <f t="shared" si="12"/>
        <v>288</v>
      </c>
      <c r="O69">
        <f t="shared" si="13"/>
        <v>284</v>
      </c>
      <c r="P69">
        <f t="shared" si="14"/>
        <v>287</v>
      </c>
      <c r="Q69">
        <f t="shared" si="15"/>
        <v>284</v>
      </c>
      <c r="R69">
        <f t="shared" si="16"/>
        <v>284</v>
      </c>
      <c r="S69">
        <f t="shared" si="17"/>
        <v>285</v>
      </c>
      <c r="T69">
        <f t="shared" si="18"/>
        <v>285</v>
      </c>
      <c r="U69">
        <f t="shared" si="19"/>
        <v>288</v>
      </c>
      <c r="V69">
        <f t="shared" si="10"/>
        <v>288</v>
      </c>
    </row>
    <row r="70" spans="1:22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  <c r="M70" s="7">
        <f t="shared" si="11"/>
        <v>289</v>
      </c>
      <c r="N70">
        <f t="shared" si="12"/>
        <v>286</v>
      </c>
      <c r="O70">
        <f t="shared" si="13"/>
        <v>284</v>
      </c>
      <c r="P70">
        <f t="shared" si="14"/>
        <v>284</v>
      </c>
      <c r="Q70">
        <f t="shared" si="15"/>
        <v>286</v>
      </c>
      <c r="R70">
        <f t="shared" si="16"/>
        <v>288</v>
      </c>
      <c r="S70">
        <f t="shared" si="17"/>
        <v>288</v>
      </c>
      <c r="T70">
        <f t="shared" si="18"/>
        <v>285</v>
      </c>
      <c r="U70">
        <f t="shared" si="19"/>
        <v>283</v>
      </c>
      <c r="V70">
        <f t="shared" si="10"/>
        <v>288</v>
      </c>
    </row>
    <row r="71" spans="1:22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  <c r="M71" s="7">
        <f t="shared" si="11"/>
        <v>283</v>
      </c>
      <c r="N71">
        <f t="shared" si="12"/>
        <v>287</v>
      </c>
      <c r="O71">
        <f t="shared" si="13"/>
        <v>283</v>
      </c>
      <c r="P71">
        <f t="shared" si="14"/>
        <v>286</v>
      </c>
      <c r="Q71">
        <f t="shared" si="15"/>
        <v>283</v>
      </c>
      <c r="R71">
        <f t="shared" si="16"/>
        <v>288</v>
      </c>
      <c r="S71">
        <f t="shared" si="17"/>
        <v>287</v>
      </c>
      <c r="T71">
        <f t="shared" si="18"/>
        <v>286</v>
      </c>
      <c r="U71">
        <f t="shared" si="19"/>
        <v>287</v>
      </c>
      <c r="V71">
        <f t="shared" si="10"/>
        <v>287</v>
      </c>
    </row>
    <row r="72" spans="1:22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  <c r="M72" s="7">
        <f t="shared" si="11"/>
        <v>287</v>
      </c>
      <c r="N72">
        <f t="shared" si="12"/>
        <v>284</v>
      </c>
      <c r="O72">
        <f t="shared" si="13"/>
        <v>284</v>
      </c>
      <c r="P72">
        <f t="shared" si="14"/>
        <v>287</v>
      </c>
      <c r="Q72">
        <f t="shared" si="15"/>
        <v>284</v>
      </c>
      <c r="R72">
        <f t="shared" si="16"/>
        <v>283</v>
      </c>
      <c r="S72">
        <f t="shared" si="17"/>
        <v>287</v>
      </c>
      <c r="T72">
        <f t="shared" si="18"/>
        <v>285</v>
      </c>
      <c r="U72">
        <f t="shared" si="19"/>
        <v>285</v>
      </c>
      <c r="V72">
        <f t="shared" si="10"/>
        <v>287</v>
      </c>
    </row>
    <row r="73" spans="1:22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  <c r="M73" s="7">
        <f t="shared" si="11"/>
        <v>288</v>
      </c>
      <c r="N73">
        <f t="shared" si="12"/>
        <v>286</v>
      </c>
      <c r="O73">
        <f t="shared" si="13"/>
        <v>288</v>
      </c>
      <c r="P73">
        <f t="shared" si="14"/>
        <v>285</v>
      </c>
      <c r="Q73">
        <f t="shared" si="15"/>
        <v>283</v>
      </c>
      <c r="R73">
        <f t="shared" si="16"/>
        <v>288</v>
      </c>
      <c r="S73">
        <f t="shared" si="17"/>
        <v>285</v>
      </c>
      <c r="T73">
        <f t="shared" si="18"/>
        <v>286</v>
      </c>
      <c r="U73">
        <f t="shared" si="19"/>
        <v>285</v>
      </c>
      <c r="V73">
        <f t="shared" si="10"/>
        <v>284</v>
      </c>
    </row>
    <row r="74" spans="1:22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  <c r="M74" s="7">
        <f t="shared" si="11"/>
        <v>287</v>
      </c>
      <c r="N74">
        <f t="shared" si="12"/>
        <v>285</v>
      </c>
      <c r="O74">
        <f t="shared" si="13"/>
        <v>285</v>
      </c>
      <c r="P74">
        <f t="shared" si="14"/>
        <v>283</v>
      </c>
      <c r="Q74">
        <f t="shared" si="15"/>
        <v>288</v>
      </c>
      <c r="R74">
        <f t="shared" si="16"/>
        <v>288</v>
      </c>
      <c r="S74">
        <f t="shared" si="17"/>
        <v>288</v>
      </c>
      <c r="T74">
        <f t="shared" si="18"/>
        <v>288</v>
      </c>
      <c r="U74">
        <f t="shared" si="19"/>
        <v>286</v>
      </c>
      <c r="V74">
        <f t="shared" si="10"/>
        <v>288</v>
      </c>
    </row>
    <row r="75" spans="1:22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  <c r="M75" s="7">
        <f t="shared" si="11"/>
        <v>292</v>
      </c>
      <c r="N75">
        <f t="shared" si="12"/>
        <v>285</v>
      </c>
      <c r="O75">
        <f t="shared" si="13"/>
        <v>284</v>
      </c>
      <c r="P75">
        <f t="shared" si="14"/>
        <v>289</v>
      </c>
      <c r="Q75">
        <f t="shared" si="15"/>
        <v>288</v>
      </c>
      <c r="R75">
        <f t="shared" si="16"/>
        <v>290</v>
      </c>
      <c r="S75">
        <f t="shared" si="17"/>
        <v>285</v>
      </c>
      <c r="T75">
        <f t="shared" si="18"/>
        <v>285</v>
      </c>
      <c r="U75">
        <f t="shared" si="19"/>
        <v>286</v>
      </c>
      <c r="V75">
        <f t="shared" si="10"/>
        <v>292</v>
      </c>
    </row>
    <row r="76" spans="1:22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  <c r="M76" s="7">
        <f t="shared" si="11"/>
        <v>283</v>
      </c>
      <c r="N76">
        <f t="shared" si="12"/>
        <v>283</v>
      </c>
      <c r="O76">
        <f t="shared" si="13"/>
        <v>292</v>
      </c>
      <c r="P76">
        <f t="shared" si="14"/>
        <v>288</v>
      </c>
      <c r="Q76">
        <f t="shared" si="15"/>
        <v>291</v>
      </c>
      <c r="R76">
        <f t="shared" si="16"/>
        <v>287</v>
      </c>
      <c r="S76">
        <f t="shared" si="17"/>
        <v>288</v>
      </c>
      <c r="T76">
        <f t="shared" si="18"/>
        <v>285</v>
      </c>
      <c r="U76">
        <f t="shared" si="19"/>
        <v>285</v>
      </c>
      <c r="V76">
        <f t="shared" si="10"/>
        <v>286</v>
      </c>
    </row>
    <row r="77" spans="1:22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  <c r="M77" s="7">
        <f t="shared" si="11"/>
        <v>284</v>
      </c>
      <c r="N77">
        <f t="shared" si="12"/>
        <v>288</v>
      </c>
      <c r="O77">
        <f t="shared" si="13"/>
        <v>292</v>
      </c>
      <c r="P77">
        <f t="shared" si="14"/>
        <v>283</v>
      </c>
      <c r="Q77">
        <f t="shared" si="15"/>
        <v>284</v>
      </c>
      <c r="R77">
        <f t="shared" si="16"/>
        <v>283</v>
      </c>
      <c r="S77">
        <f t="shared" si="17"/>
        <v>290</v>
      </c>
      <c r="T77">
        <f t="shared" si="18"/>
        <v>290</v>
      </c>
      <c r="U77">
        <f t="shared" si="19"/>
        <v>292</v>
      </c>
      <c r="V77">
        <f t="shared" si="10"/>
        <v>285</v>
      </c>
    </row>
    <row r="78" spans="1:22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  <c r="M78" s="7">
        <f t="shared" si="11"/>
        <v>287</v>
      </c>
      <c r="N78">
        <f t="shared" si="12"/>
        <v>288</v>
      </c>
      <c r="O78">
        <f t="shared" si="13"/>
        <v>284</v>
      </c>
      <c r="P78">
        <f t="shared" si="14"/>
        <v>291</v>
      </c>
      <c r="Q78">
        <f t="shared" si="15"/>
        <v>284</v>
      </c>
      <c r="R78">
        <f t="shared" si="16"/>
        <v>287</v>
      </c>
      <c r="S78">
        <f t="shared" si="17"/>
        <v>287</v>
      </c>
      <c r="T78">
        <f t="shared" si="18"/>
        <v>291</v>
      </c>
      <c r="U78">
        <f t="shared" si="19"/>
        <v>288</v>
      </c>
      <c r="V78">
        <f t="shared" si="10"/>
        <v>291</v>
      </c>
    </row>
    <row r="79" spans="1:22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  <c r="M79" s="7">
        <f t="shared" si="11"/>
        <v>290</v>
      </c>
      <c r="N79">
        <f t="shared" si="12"/>
        <v>288</v>
      </c>
      <c r="O79">
        <f t="shared" si="13"/>
        <v>284</v>
      </c>
      <c r="P79">
        <f t="shared" si="14"/>
        <v>288</v>
      </c>
      <c r="Q79">
        <f t="shared" si="15"/>
        <v>289</v>
      </c>
      <c r="R79">
        <f t="shared" si="16"/>
        <v>285</v>
      </c>
      <c r="S79">
        <f t="shared" si="17"/>
        <v>286</v>
      </c>
      <c r="T79">
        <f t="shared" si="18"/>
        <v>287</v>
      </c>
      <c r="U79">
        <f t="shared" si="19"/>
        <v>288</v>
      </c>
      <c r="V79">
        <f t="shared" si="10"/>
        <v>286</v>
      </c>
    </row>
    <row r="80" spans="1:22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  <c r="M80" s="7">
        <f t="shared" si="11"/>
        <v>286</v>
      </c>
      <c r="N80">
        <f t="shared" si="12"/>
        <v>285</v>
      </c>
      <c r="O80">
        <f t="shared" si="13"/>
        <v>284</v>
      </c>
      <c r="P80">
        <f t="shared" si="14"/>
        <v>284</v>
      </c>
      <c r="Q80">
        <f t="shared" si="15"/>
        <v>289</v>
      </c>
      <c r="R80">
        <f t="shared" si="16"/>
        <v>292</v>
      </c>
      <c r="S80">
        <f t="shared" si="17"/>
        <v>290</v>
      </c>
      <c r="T80">
        <f t="shared" si="18"/>
        <v>288</v>
      </c>
      <c r="U80">
        <f t="shared" si="19"/>
        <v>285</v>
      </c>
      <c r="V80">
        <f t="shared" si="10"/>
        <v>289</v>
      </c>
    </row>
    <row r="81" spans="1:22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  <c r="M81" s="7">
        <f t="shared" si="11"/>
        <v>283</v>
      </c>
      <c r="N81">
        <f t="shared" si="12"/>
        <v>286</v>
      </c>
      <c r="O81">
        <f t="shared" si="13"/>
        <v>284</v>
      </c>
      <c r="P81">
        <f t="shared" si="14"/>
        <v>287</v>
      </c>
      <c r="Q81">
        <f t="shared" si="15"/>
        <v>285</v>
      </c>
      <c r="R81">
        <f t="shared" si="16"/>
        <v>289</v>
      </c>
      <c r="S81">
        <f t="shared" si="17"/>
        <v>286</v>
      </c>
      <c r="T81">
        <f t="shared" si="18"/>
        <v>287</v>
      </c>
      <c r="U81">
        <f t="shared" si="19"/>
        <v>283</v>
      </c>
      <c r="V81">
        <f t="shared" si="10"/>
        <v>284</v>
      </c>
    </row>
    <row r="82" spans="1:22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  <c r="M82" s="7">
        <f t="shared" si="11"/>
        <v>286</v>
      </c>
      <c r="N82">
        <f t="shared" si="12"/>
        <v>290</v>
      </c>
      <c r="O82">
        <f t="shared" si="13"/>
        <v>286</v>
      </c>
      <c r="P82">
        <f t="shared" si="14"/>
        <v>292</v>
      </c>
      <c r="Q82">
        <f t="shared" si="15"/>
        <v>290</v>
      </c>
      <c r="R82">
        <f t="shared" si="16"/>
        <v>286</v>
      </c>
      <c r="S82">
        <f t="shared" si="17"/>
        <v>290</v>
      </c>
      <c r="T82">
        <f t="shared" si="18"/>
        <v>291</v>
      </c>
      <c r="U82">
        <f t="shared" si="19"/>
        <v>285</v>
      </c>
      <c r="V82">
        <f t="shared" ref="V82:V145" si="20">ROUNDDOWN(273.15+L82,0)</f>
        <v>289</v>
      </c>
    </row>
    <row r="83" spans="1:22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  <c r="M83" s="7">
        <f t="shared" si="11"/>
        <v>290</v>
      </c>
      <c r="N83">
        <f t="shared" si="12"/>
        <v>291</v>
      </c>
      <c r="O83">
        <f t="shared" si="13"/>
        <v>291</v>
      </c>
      <c r="P83">
        <f t="shared" si="14"/>
        <v>291</v>
      </c>
      <c r="Q83">
        <f t="shared" si="15"/>
        <v>290</v>
      </c>
      <c r="R83">
        <f t="shared" si="16"/>
        <v>289</v>
      </c>
      <c r="S83">
        <f t="shared" si="17"/>
        <v>287</v>
      </c>
      <c r="T83">
        <f t="shared" si="18"/>
        <v>291</v>
      </c>
      <c r="U83">
        <f t="shared" si="19"/>
        <v>288</v>
      </c>
      <c r="V83">
        <f t="shared" si="20"/>
        <v>283</v>
      </c>
    </row>
    <row r="84" spans="1:22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  <c r="M84" s="7">
        <f t="shared" si="11"/>
        <v>284</v>
      </c>
      <c r="N84">
        <f t="shared" si="12"/>
        <v>290</v>
      </c>
      <c r="O84">
        <f t="shared" si="13"/>
        <v>285</v>
      </c>
      <c r="P84">
        <f t="shared" si="14"/>
        <v>283</v>
      </c>
      <c r="Q84">
        <f t="shared" si="15"/>
        <v>290</v>
      </c>
      <c r="R84">
        <f t="shared" si="16"/>
        <v>291</v>
      </c>
      <c r="S84">
        <f t="shared" si="17"/>
        <v>283</v>
      </c>
      <c r="T84">
        <f t="shared" si="18"/>
        <v>286</v>
      </c>
      <c r="U84">
        <f t="shared" si="19"/>
        <v>285</v>
      </c>
      <c r="V84">
        <f t="shared" si="20"/>
        <v>287</v>
      </c>
    </row>
    <row r="85" spans="1:22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  <c r="M85" s="7">
        <f t="shared" si="11"/>
        <v>285</v>
      </c>
      <c r="N85">
        <f t="shared" si="12"/>
        <v>286</v>
      </c>
      <c r="O85">
        <f t="shared" si="13"/>
        <v>285</v>
      </c>
      <c r="P85">
        <f t="shared" si="14"/>
        <v>288</v>
      </c>
      <c r="Q85">
        <f t="shared" si="15"/>
        <v>293</v>
      </c>
      <c r="R85">
        <f t="shared" si="16"/>
        <v>292</v>
      </c>
      <c r="S85">
        <f t="shared" si="17"/>
        <v>284</v>
      </c>
      <c r="T85">
        <f t="shared" si="18"/>
        <v>287</v>
      </c>
      <c r="U85">
        <f t="shared" si="19"/>
        <v>288</v>
      </c>
      <c r="V85">
        <f t="shared" si="20"/>
        <v>285</v>
      </c>
    </row>
    <row r="86" spans="1:22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  <c r="M86" s="7">
        <f t="shared" si="11"/>
        <v>286</v>
      </c>
      <c r="N86">
        <f t="shared" si="12"/>
        <v>290</v>
      </c>
      <c r="O86">
        <f t="shared" si="13"/>
        <v>292</v>
      </c>
      <c r="P86">
        <f t="shared" si="14"/>
        <v>283</v>
      </c>
      <c r="Q86">
        <f t="shared" si="15"/>
        <v>284</v>
      </c>
      <c r="R86">
        <f t="shared" si="16"/>
        <v>284</v>
      </c>
      <c r="S86">
        <f t="shared" si="17"/>
        <v>287</v>
      </c>
      <c r="T86">
        <f t="shared" si="18"/>
        <v>290</v>
      </c>
      <c r="U86">
        <f t="shared" si="19"/>
        <v>291</v>
      </c>
      <c r="V86">
        <f t="shared" si="20"/>
        <v>288</v>
      </c>
    </row>
    <row r="87" spans="1:22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  <c r="M87" s="7">
        <f t="shared" si="11"/>
        <v>292</v>
      </c>
      <c r="N87">
        <f t="shared" si="12"/>
        <v>286</v>
      </c>
      <c r="O87">
        <f t="shared" si="13"/>
        <v>287</v>
      </c>
      <c r="P87">
        <f t="shared" si="14"/>
        <v>284</v>
      </c>
      <c r="Q87">
        <f t="shared" si="15"/>
        <v>292</v>
      </c>
      <c r="R87">
        <f t="shared" si="16"/>
        <v>288</v>
      </c>
      <c r="S87">
        <f t="shared" si="17"/>
        <v>284</v>
      </c>
      <c r="T87">
        <f t="shared" si="18"/>
        <v>290</v>
      </c>
      <c r="U87">
        <f t="shared" si="19"/>
        <v>284</v>
      </c>
      <c r="V87">
        <f t="shared" si="20"/>
        <v>287</v>
      </c>
    </row>
    <row r="88" spans="1:22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  <c r="M88" s="7">
        <f t="shared" si="11"/>
        <v>290</v>
      </c>
      <c r="N88">
        <f t="shared" si="12"/>
        <v>286</v>
      </c>
      <c r="O88">
        <f t="shared" si="13"/>
        <v>289</v>
      </c>
      <c r="P88">
        <f t="shared" si="14"/>
        <v>292</v>
      </c>
      <c r="Q88">
        <f t="shared" si="15"/>
        <v>287</v>
      </c>
      <c r="R88">
        <f t="shared" si="16"/>
        <v>283</v>
      </c>
      <c r="S88">
        <f t="shared" si="17"/>
        <v>287</v>
      </c>
      <c r="T88">
        <f t="shared" si="18"/>
        <v>288</v>
      </c>
      <c r="U88">
        <f t="shared" si="19"/>
        <v>288</v>
      </c>
      <c r="V88">
        <f t="shared" si="20"/>
        <v>292</v>
      </c>
    </row>
    <row r="89" spans="1:22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  <c r="M89" s="7">
        <f t="shared" si="11"/>
        <v>288</v>
      </c>
      <c r="N89">
        <f t="shared" si="12"/>
        <v>291</v>
      </c>
      <c r="O89">
        <f t="shared" si="13"/>
        <v>291</v>
      </c>
      <c r="P89">
        <f t="shared" si="14"/>
        <v>283</v>
      </c>
      <c r="Q89">
        <f t="shared" si="15"/>
        <v>289</v>
      </c>
      <c r="R89">
        <f t="shared" si="16"/>
        <v>289</v>
      </c>
      <c r="S89">
        <f t="shared" si="17"/>
        <v>291</v>
      </c>
      <c r="T89">
        <f t="shared" si="18"/>
        <v>284</v>
      </c>
      <c r="U89">
        <f t="shared" si="19"/>
        <v>283</v>
      </c>
      <c r="V89">
        <f t="shared" si="20"/>
        <v>290</v>
      </c>
    </row>
    <row r="90" spans="1:22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  <c r="M90" s="7">
        <f t="shared" si="11"/>
        <v>288</v>
      </c>
      <c r="N90">
        <f t="shared" si="12"/>
        <v>289</v>
      </c>
      <c r="O90">
        <f t="shared" si="13"/>
        <v>283</v>
      </c>
      <c r="P90">
        <f t="shared" si="14"/>
        <v>286</v>
      </c>
      <c r="Q90">
        <f t="shared" si="15"/>
        <v>284</v>
      </c>
      <c r="R90">
        <f t="shared" si="16"/>
        <v>290</v>
      </c>
      <c r="S90">
        <f t="shared" si="17"/>
        <v>286</v>
      </c>
      <c r="T90">
        <f t="shared" si="18"/>
        <v>290</v>
      </c>
      <c r="U90">
        <f t="shared" si="19"/>
        <v>287</v>
      </c>
      <c r="V90">
        <f t="shared" si="20"/>
        <v>285</v>
      </c>
    </row>
    <row r="91" spans="1:22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  <c r="M91" s="7">
        <f t="shared" si="11"/>
        <v>285</v>
      </c>
      <c r="N91">
        <f t="shared" si="12"/>
        <v>287</v>
      </c>
      <c r="O91">
        <f t="shared" si="13"/>
        <v>293</v>
      </c>
      <c r="P91">
        <f t="shared" si="14"/>
        <v>292</v>
      </c>
      <c r="Q91">
        <f t="shared" si="15"/>
        <v>285</v>
      </c>
      <c r="R91">
        <f t="shared" si="16"/>
        <v>287</v>
      </c>
      <c r="S91">
        <f t="shared" si="17"/>
        <v>290</v>
      </c>
      <c r="T91">
        <f t="shared" si="18"/>
        <v>285</v>
      </c>
      <c r="U91">
        <f t="shared" si="19"/>
        <v>285</v>
      </c>
      <c r="V91">
        <f t="shared" si="20"/>
        <v>285</v>
      </c>
    </row>
    <row r="92" spans="1:22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  <c r="M92" s="7">
        <f t="shared" si="11"/>
        <v>289</v>
      </c>
      <c r="N92">
        <f t="shared" si="12"/>
        <v>283</v>
      </c>
      <c r="O92">
        <f t="shared" si="13"/>
        <v>290</v>
      </c>
      <c r="P92">
        <f t="shared" si="14"/>
        <v>292</v>
      </c>
      <c r="Q92">
        <f t="shared" si="15"/>
        <v>290</v>
      </c>
      <c r="R92">
        <f t="shared" si="16"/>
        <v>289</v>
      </c>
      <c r="S92">
        <f t="shared" si="17"/>
        <v>288</v>
      </c>
      <c r="T92">
        <f t="shared" si="18"/>
        <v>283</v>
      </c>
      <c r="U92">
        <f t="shared" si="19"/>
        <v>283</v>
      </c>
      <c r="V92">
        <f t="shared" si="20"/>
        <v>285</v>
      </c>
    </row>
    <row r="93" spans="1:22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  <c r="M93" s="7">
        <f t="shared" si="11"/>
        <v>289</v>
      </c>
      <c r="N93">
        <f t="shared" si="12"/>
        <v>285</v>
      </c>
      <c r="O93">
        <f t="shared" si="13"/>
        <v>291</v>
      </c>
      <c r="P93">
        <f t="shared" si="14"/>
        <v>284</v>
      </c>
      <c r="Q93">
        <f t="shared" si="15"/>
        <v>288</v>
      </c>
      <c r="R93">
        <f t="shared" si="16"/>
        <v>291</v>
      </c>
      <c r="S93">
        <f t="shared" si="17"/>
        <v>285</v>
      </c>
      <c r="T93">
        <f t="shared" si="18"/>
        <v>291</v>
      </c>
      <c r="U93">
        <f t="shared" si="19"/>
        <v>287</v>
      </c>
      <c r="V93">
        <f t="shared" si="20"/>
        <v>289</v>
      </c>
    </row>
    <row r="94" spans="1:22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  <c r="M94" s="7">
        <f t="shared" si="11"/>
        <v>292</v>
      </c>
      <c r="N94">
        <f t="shared" si="12"/>
        <v>292</v>
      </c>
      <c r="O94">
        <f t="shared" si="13"/>
        <v>285</v>
      </c>
      <c r="P94">
        <f t="shared" si="14"/>
        <v>289</v>
      </c>
      <c r="Q94">
        <f t="shared" si="15"/>
        <v>286</v>
      </c>
      <c r="R94">
        <f t="shared" si="16"/>
        <v>293</v>
      </c>
      <c r="S94">
        <f t="shared" si="17"/>
        <v>292</v>
      </c>
      <c r="T94">
        <f t="shared" si="18"/>
        <v>288</v>
      </c>
      <c r="U94">
        <f t="shared" si="19"/>
        <v>288</v>
      </c>
      <c r="V94">
        <f t="shared" si="20"/>
        <v>286</v>
      </c>
    </row>
    <row r="95" spans="1:22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  <c r="M95" s="7">
        <f t="shared" si="11"/>
        <v>287</v>
      </c>
      <c r="N95">
        <f t="shared" si="12"/>
        <v>284</v>
      </c>
      <c r="O95">
        <f t="shared" si="13"/>
        <v>286</v>
      </c>
      <c r="P95">
        <f t="shared" si="14"/>
        <v>291</v>
      </c>
      <c r="Q95">
        <f t="shared" si="15"/>
        <v>291</v>
      </c>
      <c r="R95">
        <f t="shared" si="16"/>
        <v>285</v>
      </c>
      <c r="S95">
        <f t="shared" si="17"/>
        <v>289</v>
      </c>
      <c r="T95">
        <f t="shared" si="18"/>
        <v>283</v>
      </c>
      <c r="U95">
        <f t="shared" si="19"/>
        <v>291</v>
      </c>
      <c r="V95">
        <f t="shared" si="20"/>
        <v>287</v>
      </c>
    </row>
    <row r="96" spans="1:22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  <c r="M96" s="7">
        <f t="shared" si="11"/>
        <v>284</v>
      </c>
      <c r="N96">
        <f t="shared" si="12"/>
        <v>284</v>
      </c>
      <c r="O96">
        <f t="shared" si="13"/>
        <v>285</v>
      </c>
      <c r="P96">
        <f t="shared" si="14"/>
        <v>289</v>
      </c>
      <c r="Q96">
        <f t="shared" si="15"/>
        <v>284</v>
      </c>
      <c r="R96">
        <f t="shared" si="16"/>
        <v>292</v>
      </c>
      <c r="S96">
        <f t="shared" si="17"/>
        <v>285</v>
      </c>
      <c r="T96">
        <f t="shared" si="18"/>
        <v>284</v>
      </c>
      <c r="U96">
        <f t="shared" si="19"/>
        <v>287</v>
      </c>
      <c r="V96">
        <f t="shared" si="20"/>
        <v>287</v>
      </c>
    </row>
    <row r="97" spans="1:22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  <c r="M97" s="7">
        <f t="shared" si="11"/>
        <v>283</v>
      </c>
      <c r="N97">
        <f t="shared" si="12"/>
        <v>284</v>
      </c>
      <c r="O97">
        <f t="shared" si="13"/>
        <v>290</v>
      </c>
      <c r="P97">
        <f t="shared" si="14"/>
        <v>286</v>
      </c>
      <c r="Q97">
        <f t="shared" si="15"/>
        <v>289</v>
      </c>
      <c r="R97">
        <f t="shared" si="16"/>
        <v>285</v>
      </c>
      <c r="S97">
        <f t="shared" si="17"/>
        <v>284</v>
      </c>
      <c r="T97">
        <f t="shared" si="18"/>
        <v>289</v>
      </c>
      <c r="U97">
        <f t="shared" si="19"/>
        <v>285</v>
      </c>
      <c r="V97">
        <f t="shared" si="20"/>
        <v>284</v>
      </c>
    </row>
    <row r="98" spans="1:22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  <c r="M98" s="7">
        <f t="shared" si="11"/>
        <v>288</v>
      </c>
      <c r="N98">
        <f t="shared" si="12"/>
        <v>290</v>
      </c>
      <c r="O98">
        <f t="shared" si="13"/>
        <v>285</v>
      </c>
      <c r="P98">
        <f t="shared" si="14"/>
        <v>283</v>
      </c>
      <c r="Q98">
        <f t="shared" si="15"/>
        <v>286</v>
      </c>
      <c r="R98">
        <f t="shared" si="16"/>
        <v>286</v>
      </c>
      <c r="S98">
        <f t="shared" si="17"/>
        <v>284</v>
      </c>
      <c r="T98">
        <f t="shared" si="18"/>
        <v>283</v>
      </c>
      <c r="U98">
        <f t="shared" si="19"/>
        <v>284</v>
      </c>
      <c r="V98">
        <f t="shared" si="20"/>
        <v>291</v>
      </c>
    </row>
    <row r="99" spans="1:22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  <c r="M99" s="7">
        <f t="shared" si="11"/>
        <v>295</v>
      </c>
      <c r="N99">
        <f t="shared" si="12"/>
        <v>298</v>
      </c>
      <c r="O99">
        <f t="shared" si="13"/>
        <v>296</v>
      </c>
      <c r="P99">
        <f t="shared" si="14"/>
        <v>294</v>
      </c>
      <c r="Q99">
        <f t="shared" si="15"/>
        <v>296</v>
      </c>
      <c r="R99">
        <f t="shared" si="16"/>
        <v>293</v>
      </c>
      <c r="S99">
        <f t="shared" si="17"/>
        <v>296</v>
      </c>
      <c r="T99">
        <f t="shared" si="18"/>
        <v>297</v>
      </c>
      <c r="U99">
        <f t="shared" si="19"/>
        <v>296</v>
      </c>
      <c r="V99">
        <f t="shared" si="20"/>
        <v>294</v>
      </c>
    </row>
    <row r="100" spans="1:22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  <c r="M100" s="7">
        <f t="shared" si="11"/>
        <v>294</v>
      </c>
      <c r="N100">
        <f t="shared" si="12"/>
        <v>297</v>
      </c>
      <c r="O100">
        <f t="shared" si="13"/>
        <v>293</v>
      </c>
      <c r="P100">
        <f t="shared" si="14"/>
        <v>293</v>
      </c>
      <c r="Q100">
        <f t="shared" si="15"/>
        <v>297</v>
      </c>
      <c r="R100">
        <f t="shared" si="16"/>
        <v>296</v>
      </c>
      <c r="S100">
        <f t="shared" si="17"/>
        <v>297</v>
      </c>
      <c r="T100">
        <f t="shared" si="18"/>
        <v>295</v>
      </c>
      <c r="U100">
        <f t="shared" si="19"/>
        <v>294</v>
      </c>
      <c r="V100">
        <f t="shared" si="20"/>
        <v>297</v>
      </c>
    </row>
    <row r="101" spans="1:22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  <c r="M101" s="7">
        <f t="shared" si="11"/>
        <v>295</v>
      </c>
      <c r="N101">
        <f t="shared" si="12"/>
        <v>295</v>
      </c>
      <c r="O101">
        <f t="shared" si="13"/>
        <v>296</v>
      </c>
      <c r="P101">
        <f t="shared" si="14"/>
        <v>293</v>
      </c>
      <c r="Q101">
        <f t="shared" si="15"/>
        <v>294</v>
      </c>
      <c r="R101">
        <f t="shared" si="16"/>
        <v>294</v>
      </c>
      <c r="S101">
        <f t="shared" si="17"/>
        <v>294</v>
      </c>
      <c r="T101">
        <f t="shared" si="18"/>
        <v>297</v>
      </c>
      <c r="U101">
        <f t="shared" si="19"/>
        <v>297</v>
      </c>
      <c r="V101">
        <f t="shared" si="20"/>
        <v>296</v>
      </c>
    </row>
    <row r="102" spans="1:22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  <c r="M102" s="7">
        <f t="shared" si="11"/>
        <v>293</v>
      </c>
      <c r="N102">
        <f t="shared" si="12"/>
        <v>294</v>
      </c>
      <c r="O102">
        <f t="shared" si="13"/>
        <v>295</v>
      </c>
      <c r="P102">
        <f t="shared" si="14"/>
        <v>293</v>
      </c>
      <c r="Q102">
        <f t="shared" si="15"/>
        <v>296</v>
      </c>
      <c r="R102">
        <f t="shared" si="16"/>
        <v>296</v>
      </c>
      <c r="S102">
        <f t="shared" si="17"/>
        <v>296</v>
      </c>
      <c r="T102">
        <f t="shared" si="18"/>
        <v>294</v>
      </c>
      <c r="U102">
        <f t="shared" si="19"/>
        <v>297</v>
      </c>
      <c r="V102">
        <f t="shared" si="20"/>
        <v>294</v>
      </c>
    </row>
    <row r="103" spans="1:22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  <c r="M103" s="7">
        <f t="shared" si="11"/>
        <v>293</v>
      </c>
      <c r="N103">
        <f t="shared" si="12"/>
        <v>293</v>
      </c>
      <c r="O103">
        <f t="shared" si="13"/>
        <v>296</v>
      </c>
      <c r="P103">
        <f t="shared" si="14"/>
        <v>295</v>
      </c>
      <c r="Q103">
        <f t="shared" si="15"/>
        <v>296</v>
      </c>
      <c r="R103">
        <f t="shared" si="16"/>
        <v>298</v>
      </c>
      <c r="S103">
        <f t="shared" si="17"/>
        <v>294</v>
      </c>
      <c r="T103">
        <f t="shared" si="18"/>
        <v>293</v>
      </c>
      <c r="U103">
        <f t="shared" si="19"/>
        <v>296</v>
      </c>
      <c r="V103">
        <f t="shared" si="20"/>
        <v>293</v>
      </c>
    </row>
    <row r="104" spans="1:22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  <c r="M104" s="7">
        <f t="shared" si="11"/>
        <v>297</v>
      </c>
      <c r="N104">
        <f t="shared" si="12"/>
        <v>293</v>
      </c>
      <c r="O104">
        <f t="shared" si="13"/>
        <v>296</v>
      </c>
      <c r="P104">
        <f t="shared" si="14"/>
        <v>294</v>
      </c>
      <c r="Q104">
        <f t="shared" si="15"/>
        <v>295</v>
      </c>
      <c r="R104">
        <f t="shared" si="16"/>
        <v>294</v>
      </c>
      <c r="S104">
        <f t="shared" si="17"/>
        <v>294</v>
      </c>
      <c r="T104">
        <f t="shared" si="18"/>
        <v>298</v>
      </c>
      <c r="U104">
        <f t="shared" si="19"/>
        <v>295</v>
      </c>
      <c r="V104">
        <f t="shared" si="20"/>
        <v>293</v>
      </c>
    </row>
    <row r="105" spans="1:22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  <c r="M105" s="7">
        <f t="shared" si="11"/>
        <v>296</v>
      </c>
      <c r="N105">
        <f t="shared" si="12"/>
        <v>295</v>
      </c>
      <c r="O105">
        <f t="shared" si="13"/>
        <v>298</v>
      </c>
      <c r="P105">
        <f t="shared" si="14"/>
        <v>295</v>
      </c>
      <c r="Q105">
        <f t="shared" si="15"/>
        <v>293</v>
      </c>
      <c r="R105">
        <f t="shared" si="16"/>
        <v>296</v>
      </c>
      <c r="S105">
        <f t="shared" si="17"/>
        <v>294</v>
      </c>
      <c r="T105">
        <f t="shared" si="18"/>
        <v>293</v>
      </c>
      <c r="U105">
        <f t="shared" si="19"/>
        <v>297</v>
      </c>
      <c r="V105">
        <f t="shared" si="20"/>
        <v>293</v>
      </c>
    </row>
    <row r="106" spans="1:22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  <c r="M106" s="7">
        <f t="shared" si="11"/>
        <v>296</v>
      </c>
      <c r="N106">
        <f t="shared" si="12"/>
        <v>293</v>
      </c>
      <c r="O106">
        <f t="shared" si="13"/>
        <v>293</v>
      </c>
      <c r="P106">
        <f t="shared" si="14"/>
        <v>293</v>
      </c>
      <c r="Q106">
        <f t="shared" si="15"/>
        <v>293</v>
      </c>
      <c r="R106">
        <f t="shared" si="16"/>
        <v>294</v>
      </c>
      <c r="S106">
        <f t="shared" si="17"/>
        <v>297</v>
      </c>
      <c r="T106">
        <f t="shared" si="18"/>
        <v>294</v>
      </c>
      <c r="U106">
        <f t="shared" si="19"/>
        <v>296</v>
      </c>
      <c r="V106">
        <f t="shared" si="20"/>
        <v>295</v>
      </c>
    </row>
    <row r="107" spans="1:22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  <c r="M107" s="7">
        <f t="shared" si="11"/>
        <v>294</v>
      </c>
      <c r="N107">
        <f t="shared" si="12"/>
        <v>295</v>
      </c>
      <c r="O107">
        <f t="shared" si="13"/>
        <v>294</v>
      </c>
      <c r="P107">
        <f t="shared" si="14"/>
        <v>293</v>
      </c>
      <c r="Q107">
        <f t="shared" si="15"/>
        <v>297</v>
      </c>
      <c r="R107">
        <f t="shared" si="16"/>
        <v>295</v>
      </c>
      <c r="S107">
        <f t="shared" si="17"/>
        <v>297</v>
      </c>
      <c r="T107">
        <f t="shared" si="18"/>
        <v>294</v>
      </c>
      <c r="U107">
        <f t="shared" si="19"/>
        <v>296</v>
      </c>
      <c r="V107">
        <f t="shared" si="20"/>
        <v>295</v>
      </c>
    </row>
    <row r="108" spans="1:22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  <c r="M108" s="7">
        <f t="shared" si="11"/>
        <v>296</v>
      </c>
      <c r="N108">
        <f t="shared" si="12"/>
        <v>295</v>
      </c>
      <c r="O108">
        <f t="shared" si="13"/>
        <v>297</v>
      </c>
      <c r="P108">
        <f t="shared" si="14"/>
        <v>296</v>
      </c>
      <c r="Q108">
        <f t="shared" si="15"/>
        <v>293</v>
      </c>
      <c r="R108">
        <f t="shared" si="16"/>
        <v>295</v>
      </c>
      <c r="S108">
        <f t="shared" si="17"/>
        <v>293</v>
      </c>
      <c r="T108">
        <f t="shared" si="18"/>
        <v>295</v>
      </c>
      <c r="U108">
        <f t="shared" si="19"/>
        <v>297</v>
      </c>
      <c r="V108">
        <f t="shared" si="20"/>
        <v>296</v>
      </c>
    </row>
    <row r="109" spans="1:22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  <c r="M109" s="7">
        <f t="shared" si="11"/>
        <v>294</v>
      </c>
      <c r="N109">
        <f t="shared" si="12"/>
        <v>294</v>
      </c>
      <c r="O109">
        <f t="shared" si="13"/>
        <v>295</v>
      </c>
      <c r="P109">
        <f t="shared" si="14"/>
        <v>295</v>
      </c>
      <c r="Q109">
        <f t="shared" si="15"/>
        <v>293</v>
      </c>
      <c r="R109">
        <f t="shared" si="16"/>
        <v>296</v>
      </c>
      <c r="S109">
        <f t="shared" si="17"/>
        <v>296</v>
      </c>
      <c r="T109">
        <f t="shared" si="18"/>
        <v>293</v>
      </c>
      <c r="U109">
        <f t="shared" si="19"/>
        <v>294</v>
      </c>
      <c r="V109">
        <f t="shared" si="20"/>
        <v>297</v>
      </c>
    </row>
    <row r="110" spans="1:22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  <c r="M110" s="7">
        <f t="shared" si="11"/>
        <v>293</v>
      </c>
      <c r="N110">
        <f t="shared" si="12"/>
        <v>297</v>
      </c>
      <c r="O110">
        <f t="shared" si="13"/>
        <v>297</v>
      </c>
      <c r="P110">
        <f t="shared" si="14"/>
        <v>293</v>
      </c>
      <c r="Q110">
        <f t="shared" si="15"/>
        <v>294</v>
      </c>
      <c r="R110">
        <f t="shared" si="16"/>
        <v>295</v>
      </c>
      <c r="S110">
        <f t="shared" si="17"/>
        <v>296</v>
      </c>
      <c r="T110">
        <f t="shared" si="18"/>
        <v>296</v>
      </c>
      <c r="U110">
        <f t="shared" si="19"/>
        <v>296</v>
      </c>
      <c r="V110">
        <f t="shared" si="20"/>
        <v>294</v>
      </c>
    </row>
    <row r="111" spans="1:22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  <c r="M111" s="7">
        <f t="shared" si="11"/>
        <v>297</v>
      </c>
      <c r="N111">
        <f t="shared" si="12"/>
        <v>297</v>
      </c>
      <c r="O111">
        <f t="shared" si="13"/>
        <v>297</v>
      </c>
      <c r="P111">
        <f t="shared" si="14"/>
        <v>293</v>
      </c>
      <c r="Q111">
        <f t="shared" si="15"/>
        <v>296</v>
      </c>
      <c r="R111">
        <f t="shared" si="16"/>
        <v>296</v>
      </c>
      <c r="S111">
        <f t="shared" si="17"/>
        <v>298</v>
      </c>
      <c r="T111">
        <f t="shared" si="18"/>
        <v>297</v>
      </c>
      <c r="U111">
        <f t="shared" si="19"/>
        <v>297</v>
      </c>
      <c r="V111">
        <f t="shared" si="20"/>
        <v>295</v>
      </c>
    </row>
    <row r="112" spans="1:22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  <c r="M112" s="7">
        <f t="shared" si="11"/>
        <v>293</v>
      </c>
      <c r="N112">
        <f t="shared" si="12"/>
        <v>294</v>
      </c>
      <c r="O112">
        <f t="shared" si="13"/>
        <v>296</v>
      </c>
      <c r="P112">
        <f t="shared" si="14"/>
        <v>296</v>
      </c>
      <c r="Q112">
        <f t="shared" si="15"/>
        <v>295</v>
      </c>
      <c r="R112">
        <f t="shared" si="16"/>
        <v>296</v>
      </c>
      <c r="S112">
        <f t="shared" si="17"/>
        <v>294</v>
      </c>
      <c r="T112">
        <f t="shared" si="18"/>
        <v>295</v>
      </c>
      <c r="U112">
        <f t="shared" si="19"/>
        <v>296</v>
      </c>
      <c r="V112">
        <f t="shared" si="20"/>
        <v>295</v>
      </c>
    </row>
    <row r="113" spans="1:22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  <c r="M113" s="7">
        <f t="shared" si="11"/>
        <v>298</v>
      </c>
      <c r="N113">
        <f t="shared" si="12"/>
        <v>296</v>
      </c>
      <c r="O113">
        <f t="shared" si="13"/>
        <v>298</v>
      </c>
      <c r="P113">
        <f t="shared" si="14"/>
        <v>294</v>
      </c>
      <c r="Q113">
        <f t="shared" si="15"/>
        <v>296</v>
      </c>
      <c r="R113">
        <f t="shared" si="16"/>
        <v>296</v>
      </c>
      <c r="S113">
        <f t="shared" si="17"/>
        <v>295</v>
      </c>
      <c r="T113">
        <f t="shared" si="18"/>
        <v>295</v>
      </c>
      <c r="U113">
        <f t="shared" si="19"/>
        <v>295</v>
      </c>
      <c r="V113">
        <f t="shared" si="20"/>
        <v>295</v>
      </c>
    </row>
    <row r="114" spans="1:22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  <c r="M114" s="7">
        <f t="shared" si="11"/>
        <v>297</v>
      </c>
      <c r="N114">
        <f t="shared" si="12"/>
        <v>295</v>
      </c>
      <c r="O114">
        <f t="shared" si="13"/>
        <v>297</v>
      </c>
      <c r="P114">
        <f t="shared" si="14"/>
        <v>296</v>
      </c>
      <c r="Q114">
        <f t="shared" si="15"/>
        <v>297</v>
      </c>
      <c r="R114">
        <f t="shared" si="16"/>
        <v>297</v>
      </c>
      <c r="S114">
        <f t="shared" si="17"/>
        <v>295</v>
      </c>
      <c r="T114">
        <f t="shared" si="18"/>
        <v>294</v>
      </c>
      <c r="U114">
        <f t="shared" si="19"/>
        <v>293</v>
      </c>
      <c r="V114">
        <f t="shared" si="20"/>
        <v>297</v>
      </c>
    </row>
    <row r="115" spans="1:22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  <c r="M115" s="7">
        <f t="shared" si="11"/>
        <v>294</v>
      </c>
      <c r="N115">
        <f t="shared" si="12"/>
        <v>295</v>
      </c>
      <c r="O115">
        <f t="shared" si="13"/>
        <v>294</v>
      </c>
      <c r="P115">
        <f t="shared" si="14"/>
        <v>297</v>
      </c>
      <c r="Q115">
        <f t="shared" si="15"/>
        <v>295</v>
      </c>
      <c r="R115">
        <f t="shared" si="16"/>
        <v>297</v>
      </c>
      <c r="S115">
        <f t="shared" si="17"/>
        <v>295</v>
      </c>
      <c r="T115">
        <f t="shared" si="18"/>
        <v>293</v>
      </c>
      <c r="U115">
        <f t="shared" si="19"/>
        <v>293</v>
      </c>
      <c r="V115">
        <f t="shared" si="20"/>
        <v>295</v>
      </c>
    </row>
    <row r="116" spans="1:22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  <c r="M116" s="7">
        <f t="shared" si="11"/>
        <v>296</v>
      </c>
      <c r="N116">
        <f t="shared" si="12"/>
        <v>297</v>
      </c>
      <c r="O116">
        <f t="shared" si="13"/>
        <v>297</v>
      </c>
      <c r="P116">
        <f t="shared" si="14"/>
        <v>296</v>
      </c>
      <c r="Q116">
        <f t="shared" si="15"/>
        <v>297</v>
      </c>
      <c r="R116">
        <f t="shared" si="16"/>
        <v>296</v>
      </c>
      <c r="S116">
        <f t="shared" si="17"/>
        <v>296</v>
      </c>
      <c r="T116">
        <f t="shared" si="18"/>
        <v>294</v>
      </c>
      <c r="U116">
        <f t="shared" si="19"/>
        <v>294</v>
      </c>
      <c r="V116">
        <f t="shared" si="20"/>
        <v>295</v>
      </c>
    </row>
    <row r="117" spans="1:22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  <c r="M117" s="7">
        <f t="shared" si="11"/>
        <v>295</v>
      </c>
      <c r="N117">
        <f t="shared" si="12"/>
        <v>297</v>
      </c>
      <c r="O117">
        <f t="shared" si="13"/>
        <v>295</v>
      </c>
      <c r="P117">
        <f t="shared" si="14"/>
        <v>297</v>
      </c>
      <c r="Q117">
        <f t="shared" si="15"/>
        <v>296</v>
      </c>
      <c r="R117">
        <f t="shared" si="16"/>
        <v>297</v>
      </c>
      <c r="S117">
        <f t="shared" si="17"/>
        <v>296</v>
      </c>
      <c r="T117">
        <f t="shared" si="18"/>
        <v>294</v>
      </c>
      <c r="U117">
        <f t="shared" si="19"/>
        <v>294</v>
      </c>
      <c r="V117">
        <f t="shared" si="20"/>
        <v>294</v>
      </c>
    </row>
    <row r="118" spans="1:22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  <c r="M118" s="7">
        <f t="shared" si="11"/>
        <v>294</v>
      </c>
      <c r="N118">
        <f t="shared" si="12"/>
        <v>293</v>
      </c>
      <c r="O118">
        <f t="shared" si="13"/>
        <v>295</v>
      </c>
      <c r="P118">
        <f t="shared" si="14"/>
        <v>296</v>
      </c>
      <c r="Q118">
        <f t="shared" si="15"/>
        <v>294</v>
      </c>
      <c r="R118">
        <f t="shared" si="16"/>
        <v>296</v>
      </c>
      <c r="S118">
        <f t="shared" si="17"/>
        <v>297</v>
      </c>
      <c r="T118">
        <f t="shared" si="18"/>
        <v>295</v>
      </c>
      <c r="U118">
        <f t="shared" si="19"/>
        <v>294</v>
      </c>
      <c r="V118">
        <f t="shared" si="20"/>
        <v>293</v>
      </c>
    </row>
    <row r="119" spans="1:22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  <c r="M119" s="7">
        <f t="shared" si="11"/>
        <v>297</v>
      </c>
      <c r="N119">
        <f t="shared" si="12"/>
        <v>294</v>
      </c>
      <c r="O119">
        <f t="shared" si="13"/>
        <v>293</v>
      </c>
      <c r="P119">
        <f t="shared" si="14"/>
        <v>294</v>
      </c>
      <c r="Q119">
        <f t="shared" si="15"/>
        <v>296</v>
      </c>
      <c r="R119">
        <f t="shared" si="16"/>
        <v>294</v>
      </c>
      <c r="S119">
        <f t="shared" si="17"/>
        <v>294</v>
      </c>
      <c r="T119">
        <f t="shared" si="18"/>
        <v>295</v>
      </c>
      <c r="U119">
        <f t="shared" si="19"/>
        <v>297</v>
      </c>
      <c r="V119">
        <f t="shared" si="20"/>
        <v>295</v>
      </c>
    </row>
    <row r="120" spans="1:22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  <c r="M120" s="7">
        <f t="shared" si="11"/>
        <v>293</v>
      </c>
      <c r="N120">
        <f t="shared" si="12"/>
        <v>293</v>
      </c>
      <c r="O120">
        <f t="shared" si="13"/>
        <v>297</v>
      </c>
      <c r="P120">
        <f t="shared" si="14"/>
        <v>294</v>
      </c>
      <c r="Q120">
        <f t="shared" si="15"/>
        <v>293</v>
      </c>
      <c r="R120">
        <f t="shared" si="16"/>
        <v>296</v>
      </c>
      <c r="S120">
        <f t="shared" si="17"/>
        <v>297</v>
      </c>
      <c r="T120">
        <f t="shared" si="18"/>
        <v>293</v>
      </c>
      <c r="U120">
        <f t="shared" si="19"/>
        <v>293</v>
      </c>
      <c r="V120">
        <f t="shared" si="20"/>
        <v>296</v>
      </c>
    </row>
    <row r="121" spans="1:22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  <c r="M121" s="7">
        <f t="shared" si="11"/>
        <v>297</v>
      </c>
      <c r="N121">
        <f t="shared" si="12"/>
        <v>293</v>
      </c>
      <c r="O121">
        <f t="shared" si="13"/>
        <v>296</v>
      </c>
      <c r="P121">
        <f t="shared" si="14"/>
        <v>294</v>
      </c>
      <c r="Q121">
        <f t="shared" si="15"/>
        <v>295</v>
      </c>
      <c r="R121">
        <f t="shared" si="16"/>
        <v>296</v>
      </c>
      <c r="S121">
        <f t="shared" si="17"/>
        <v>297</v>
      </c>
      <c r="T121">
        <f t="shared" si="18"/>
        <v>295</v>
      </c>
      <c r="U121">
        <f t="shared" si="19"/>
        <v>296</v>
      </c>
      <c r="V121">
        <f t="shared" si="20"/>
        <v>296</v>
      </c>
    </row>
    <row r="122" spans="1:22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  <c r="M122" s="7">
        <f t="shared" si="11"/>
        <v>296</v>
      </c>
      <c r="N122">
        <f t="shared" si="12"/>
        <v>294</v>
      </c>
      <c r="O122">
        <f t="shared" si="13"/>
        <v>295</v>
      </c>
      <c r="P122">
        <f t="shared" si="14"/>
        <v>293</v>
      </c>
      <c r="Q122">
        <f t="shared" si="15"/>
        <v>294</v>
      </c>
      <c r="R122">
        <f t="shared" si="16"/>
        <v>295</v>
      </c>
      <c r="S122">
        <f t="shared" si="17"/>
        <v>297</v>
      </c>
      <c r="T122">
        <f t="shared" si="18"/>
        <v>297</v>
      </c>
      <c r="U122">
        <f t="shared" si="19"/>
        <v>297</v>
      </c>
      <c r="V122">
        <f t="shared" si="20"/>
        <v>294</v>
      </c>
    </row>
    <row r="123" spans="1:22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  <c r="M123" s="7">
        <f t="shared" si="11"/>
        <v>296</v>
      </c>
      <c r="N123">
        <f t="shared" si="12"/>
        <v>295</v>
      </c>
      <c r="O123">
        <f t="shared" si="13"/>
        <v>295</v>
      </c>
      <c r="P123">
        <f t="shared" si="14"/>
        <v>296</v>
      </c>
      <c r="Q123">
        <f t="shared" si="15"/>
        <v>297</v>
      </c>
      <c r="R123">
        <f t="shared" si="16"/>
        <v>296</v>
      </c>
      <c r="S123">
        <f t="shared" si="17"/>
        <v>293</v>
      </c>
      <c r="T123">
        <f t="shared" si="18"/>
        <v>293</v>
      </c>
      <c r="U123">
        <f t="shared" si="19"/>
        <v>297</v>
      </c>
      <c r="V123">
        <f t="shared" si="20"/>
        <v>297</v>
      </c>
    </row>
    <row r="124" spans="1:22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  <c r="M124" s="7">
        <f t="shared" si="11"/>
        <v>295</v>
      </c>
      <c r="N124">
        <f t="shared" si="12"/>
        <v>294</v>
      </c>
      <c r="O124">
        <f t="shared" si="13"/>
        <v>295</v>
      </c>
      <c r="P124">
        <f t="shared" si="14"/>
        <v>297</v>
      </c>
      <c r="Q124">
        <f t="shared" si="15"/>
        <v>295</v>
      </c>
      <c r="R124">
        <f t="shared" si="16"/>
        <v>294</v>
      </c>
      <c r="S124">
        <f t="shared" si="17"/>
        <v>293</v>
      </c>
      <c r="T124">
        <f t="shared" si="18"/>
        <v>296</v>
      </c>
      <c r="U124">
        <f t="shared" si="19"/>
        <v>296</v>
      </c>
      <c r="V124">
        <f t="shared" si="20"/>
        <v>297</v>
      </c>
    </row>
    <row r="125" spans="1:22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  <c r="M125" s="7">
        <f t="shared" si="11"/>
        <v>294</v>
      </c>
      <c r="N125">
        <f t="shared" si="12"/>
        <v>295</v>
      </c>
      <c r="O125">
        <f t="shared" si="13"/>
        <v>295</v>
      </c>
      <c r="P125">
        <f t="shared" si="14"/>
        <v>295</v>
      </c>
      <c r="Q125">
        <f t="shared" si="15"/>
        <v>295</v>
      </c>
      <c r="R125">
        <f t="shared" si="16"/>
        <v>296</v>
      </c>
      <c r="S125">
        <f t="shared" si="17"/>
        <v>295</v>
      </c>
      <c r="T125">
        <f t="shared" si="18"/>
        <v>293</v>
      </c>
      <c r="U125">
        <f t="shared" si="19"/>
        <v>295</v>
      </c>
      <c r="V125">
        <f t="shared" si="20"/>
        <v>295</v>
      </c>
    </row>
    <row r="126" spans="1:22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  <c r="M126" s="7">
        <f t="shared" si="11"/>
        <v>295</v>
      </c>
      <c r="N126">
        <f t="shared" si="12"/>
        <v>296</v>
      </c>
      <c r="O126">
        <f t="shared" si="13"/>
        <v>293</v>
      </c>
      <c r="P126">
        <f t="shared" si="14"/>
        <v>295</v>
      </c>
      <c r="Q126">
        <f t="shared" si="15"/>
        <v>297</v>
      </c>
      <c r="R126">
        <f t="shared" si="16"/>
        <v>295</v>
      </c>
      <c r="S126">
        <f t="shared" si="17"/>
        <v>294</v>
      </c>
      <c r="T126">
        <f t="shared" si="18"/>
        <v>297</v>
      </c>
      <c r="U126">
        <f t="shared" si="19"/>
        <v>294</v>
      </c>
      <c r="V126">
        <f t="shared" si="20"/>
        <v>293</v>
      </c>
    </row>
    <row r="127" spans="1:22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  <c r="M127" s="7">
        <f t="shared" si="11"/>
        <v>295</v>
      </c>
      <c r="N127">
        <f t="shared" si="12"/>
        <v>293</v>
      </c>
      <c r="O127">
        <f t="shared" si="13"/>
        <v>297</v>
      </c>
      <c r="P127">
        <f t="shared" si="14"/>
        <v>297</v>
      </c>
      <c r="Q127">
        <f t="shared" si="15"/>
        <v>295</v>
      </c>
      <c r="R127">
        <f t="shared" si="16"/>
        <v>297</v>
      </c>
      <c r="S127">
        <f t="shared" si="17"/>
        <v>293</v>
      </c>
      <c r="T127">
        <f t="shared" si="18"/>
        <v>297</v>
      </c>
      <c r="U127">
        <f t="shared" si="19"/>
        <v>294</v>
      </c>
      <c r="V127">
        <f t="shared" si="20"/>
        <v>297</v>
      </c>
    </row>
    <row r="128" spans="1:22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  <c r="M128" s="7">
        <f t="shared" si="11"/>
        <v>297</v>
      </c>
      <c r="N128">
        <f t="shared" si="12"/>
        <v>294</v>
      </c>
      <c r="O128">
        <f t="shared" si="13"/>
        <v>297</v>
      </c>
      <c r="P128">
        <f t="shared" si="14"/>
        <v>295</v>
      </c>
      <c r="Q128">
        <f t="shared" si="15"/>
        <v>294</v>
      </c>
      <c r="R128">
        <f t="shared" si="16"/>
        <v>293</v>
      </c>
      <c r="S128">
        <f t="shared" si="17"/>
        <v>296</v>
      </c>
      <c r="T128">
        <f t="shared" si="18"/>
        <v>295</v>
      </c>
      <c r="U128">
        <f t="shared" si="19"/>
        <v>295</v>
      </c>
      <c r="V128">
        <f t="shared" si="20"/>
        <v>295</v>
      </c>
    </row>
    <row r="129" spans="1:22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  <c r="M129" s="7">
        <f t="shared" si="11"/>
        <v>295</v>
      </c>
      <c r="N129">
        <f t="shared" si="12"/>
        <v>293</v>
      </c>
      <c r="O129">
        <f t="shared" si="13"/>
        <v>297</v>
      </c>
      <c r="P129">
        <f t="shared" si="14"/>
        <v>297</v>
      </c>
      <c r="Q129">
        <f t="shared" si="15"/>
        <v>296</v>
      </c>
      <c r="R129">
        <f t="shared" si="16"/>
        <v>296</v>
      </c>
      <c r="S129">
        <f t="shared" si="17"/>
        <v>293</v>
      </c>
      <c r="T129">
        <f t="shared" si="18"/>
        <v>295</v>
      </c>
      <c r="U129">
        <f t="shared" si="19"/>
        <v>294</v>
      </c>
      <c r="V129">
        <f t="shared" si="20"/>
        <v>296</v>
      </c>
    </row>
    <row r="130" spans="1:22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  <c r="M130" s="7">
        <f t="shared" si="11"/>
        <v>294</v>
      </c>
      <c r="N130">
        <f t="shared" si="12"/>
        <v>293</v>
      </c>
      <c r="O130">
        <f t="shared" si="13"/>
        <v>296</v>
      </c>
      <c r="P130">
        <f t="shared" si="14"/>
        <v>295</v>
      </c>
      <c r="Q130">
        <f t="shared" si="15"/>
        <v>293</v>
      </c>
      <c r="R130">
        <f t="shared" si="16"/>
        <v>295</v>
      </c>
      <c r="S130">
        <f t="shared" si="17"/>
        <v>295</v>
      </c>
      <c r="T130">
        <f t="shared" si="18"/>
        <v>294</v>
      </c>
      <c r="U130">
        <f t="shared" si="19"/>
        <v>296</v>
      </c>
      <c r="V130">
        <f t="shared" si="20"/>
        <v>293</v>
      </c>
    </row>
    <row r="131" spans="1:22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  <c r="M131" s="7">
        <f t="shared" ref="M131:M194" si="21">ROUNDDOWN(273.15+C131,0)</f>
        <v>294</v>
      </c>
      <c r="N131">
        <f t="shared" ref="N131:N194" si="22">ROUNDDOWN(273.15+D131,0)</f>
        <v>295</v>
      </c>
      <c r="O131">
        <f t="shared" ref="O131:O194" si="23">ROUNDDOWN(273.15+E131,0)</f>
        <v>293</v>
      </c>
      <c r="P131">
        <f t="shared" ref="P131:P194" si="24">ROUNDDOWN(273.15+F131,0)</f>
        <v>297</v>
      </c>
      <c r="Q131">
        <f t="shared" ref="Q131:Q194" si="25">ROUNDDOWN(273.15+G131,0)</f>
        <v>297</v>
      </c>
      <c r="R131">
        <f t="shared" ref="R131:R194" si="26">ROUNDDOWN(273.15+H131,0)</f>
        <v>298</v>
      </c>
      <c r="S131">
        <f t="shared" ref="S131:S194" si="27">ROUNDDOWN(273.15+I131,0)</f>
        <v>295</v>
      </c>
      <c r="T131">
        <f t="shared" ref="T131:T194" si="28">ROUNDDOWN(273.15+J131,0)</f>
        <v>297</v>
      </c>
      <c r="U131">
        <f t="shared" ref="U131:U194" si="29">ROUNDDOWN(273.15+K131,0)</f>
        <v>294</v>
      </c>
      <c r="V131">
        <f t="shared" si="20"/>
        <v>293</v>
      </c>
    </row>
    <row r="132" spans="1:22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  <c r="M132" s="7">
        <f t="shared" si="21"/>
        <v>296</v>
      </c>
      <c r="N132">
        <f t="shared" si="22"/>
        <v>294</v>
      </c>
      <c r="O132">
        <f t="shared" si="23"/>
        <v>295</v>
      </c>
      <c r="P132">
        <f t="shared" si="24"/>
        <v>295</v>
      </c>
      <c r="Q132">
        <f t="shared" si="25"/>
        <v>294</v>
      </c>
      <c r="R132">
        <f t="shared" si="26"/>
        <v>297</v>
      </c>
      <c r="S132">
        <f t="shared" si="27"/>
        <v>297</v>
      </c>
      <c r="T132">
        <f t="shared" si="28"/>
        <v>293</v>
      </c>
      <c r="U132">
        <f t="shared" si="29"/>
        <v>296</v>
      </c>
      <c r="V132">
        <f t="shared" si="20"/>
        <v>296</v>
      </c>
    </row>
    <row r="133" spans="1:22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  <c r="M133" s="7">
        <f t="shared" si="21"/>
        <v>293</v>
      </c>
      <c r="N133">
        <f t="shared" si="22"/>
        <v>296</v>
      </c>
      <c r="O133">
        <f t="shared" si="23"/>
        <v>297</v>
      </c>
      <c r="P133">
        <f t="shared" si="24"/>
        <v>293</v>
      </c>
      <c r="Q133">
        <f t="shared" si="25"/>
        <v>295</v>
      </c>
      <c r="R133">
        <f t="shared" si="26"/>
        <v>297</v>
      </c>
      <c r="S133">
        <f t="shared" si="27"/>
        <v>294</v>
      </c>
      <c r="T133">
        <f t="shared" si="28"/>
        <v>298</v>
      </c>
      <c r="U133">
        <f t="shared" si="29"/>
        <v>293</v>
      </c>
      <c r="V133">
        <f t="shared" si="20"/>
        <v>297</v>
      </c>
    </row>
    <row r="134" spans="1:22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  <c r="M134" s="7">
        <f t="shared" si="21"/>
        <v>296</v>
      </c>
      <c r="N134">
        <f t="shared" si="22"/>
        <v>294</v>
      </c>
      <c r="O134">
        <f t="shared" si="23"/>
        <v>293</v>
      </c>
      <c r="P134">
        <f t="shared" si="24"/>
        <v>293</v>
      </c>
      <c r="Q134">
        <f t="shared" si="25"/>
        <v>294</v>
      </c>
      <c r="R134">
        <f t="shared" si="26"/>
        <v>296</v>
      </c>
      <c r="S134">
        <f t="shared" si="27"/>
        <v>295</v>
      </c>
      <c r="T134">
        <f t="shared" si="28"/>
        <v>296</v>
      </c>
      <c r="U134">
        <f t="shared" si="29"/>
        <v>297</v>
      </c>
      <c r="V134">
        <f t="shared" si="20"/>
        <v>294</v>
      </c>
    </row>
    <row r="135" spans="1:22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  <c r="M135" s="7">
        <f t="shared" si="21"/>
        <v>295</v>
      </c>
      <c r="N135">
        <f t="shared" si="22"/>
        <v>295</v>
      </c>
      <c r="O135">
        <f t="shared" si="23"/>
        <v>296</v>
      </c>
      <c r="P135">
        <f t="shared" si="24"/>
        <v>294</v>
      </c>
      <c r="Q135">
        <f t="shared" si="25"/>
        <v>296</v>
      </c>
      <c r="R135">
        <f t="shared" si="26"/>
        <v>296</v>
      </c>
      <c r="S135">
        <f t="shared" si="27"/>
        <v>297</v>
      </c>
      <c r="T135">
        <f t="shared" si="28"/>
        <v>294</v>
      </c>
      <c r="U135">
        <f t="shared" si="29"/>
        <v>298</v>
      </c>
      <c r="V135">
        <f t="shared" si="20"/>
        <v>293</v>
      </c>
    </row>
    <row r="136" spans="1:22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  <c r="M136" s="7">
        <f t="shared" si="21"/>
        <v>295</v>
      </c>
      <c r="N136">
        <f t="shared" si="22"/>
        <v>293</v>
      </c>
      <c r="O136">
        <f t="shared" si="23"/>
        <v>295</v>
      </c>
      <c r="P136">
        <f t="shared" si="24"/>
        <v>294</v>
      </c>
      <c r="Q136">
        <f t="shared" si="25"/>
        <v>295</v>
      </c>
      <c r="R136">
        <f t="shared" si="26"/>
        <v>295</v>
      </c>
      <c r="S136">
        <f t="shared" si="27"/>
        <v>293</v>
      </c>
      <c r="T136">
        <f t="shared" si="28"/>
        <v>294</v>
      </c>
      <c r="U136">
        <f t="shared" si="29"/>
        <v>295</v>
      </c>
      <c r="V136">
        <f t="shared" si="20"/>
        <v>293</v>
      </c>
    </row>
    <row r="137" spans="1:22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  <c r="M137" s="7">
        <f t="shared" si="21"/>
        <v>293</v>
      </c>
      <c r="N137">
        <f t="shared" si="22"/>
        <v>294</v>
      </c>
      <c r="O137">
        <f t="shared" si="23"/>
        <v>296</v>
      </c>
      <c r="P137">
        <f t="shared" si="24"/>
        <v>296</v>
      </c>
      <c r="Q137">
        <f t="shared" si="25"/>
        <v>295</v>
      </c>
      <c r="R137">
        <f t="shared" si="26"/>
        <v>293</v>
      </c>
      <c r="S137">
        <f t="shared" si="27"/>
        <v>297</v>
      </c>
      <c r="T137">
        <f t="shared" si="28"/>
        <v>296</v>
      </c>
      <c r="U137">
        <f t="shared" si="29"/>
        <v>294</v>
      </c>
      <c r="V137">
        <f t="shared" si="20"/>
        <v>296</v>
      </c>
    </row>
    <row r="138" spans="1:22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  <c r="M138" s="7">
        <f t="shared" si="21"/>
        <v>294</v>
      </c>
      <c r="N138">
        <f t="shared" si="22"/>
        <v>296</v>
      </c>
      <c r="O138">
        <f t="shared" si="23"/>
        <v>296</v>
      </c>
      <c r="P138">
        <f t="shared" si="24"/>
        <v>294</v>
      </c>
      <c r="Q138">
        <f t="shared" si="25"/>
        <v>295</v>
      </c>
      <c r="R138">
        <f t="shared" si="26"/>
        <v>296</v>
      </c>
      <c r="S138">
        <f t="shared" si="27"/>
        <v>296</v>
      </c>
      <c r="T138">
        <f t="shared" si="28"/>
        <v>296</v>
      </c>
      <c r="U138">
        <f t="shared" si="29"/>
        <v>296</v>
      </c>
      <c r="V138">
        <f t="shared" si="20"/>
        <v>295</v>
      </c>
    </row>
    <row r="139" spans="1:22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  <c r="M139" s="7">
        <f t="shared" si="21"/>
        <v>293</v>
      </c>
      <c r="N139">
        <f t="shared" si="22"/>
        <v>295</v>
      </c>
      <c r="O139">
        <f t="shared" si="23"/>
        <v>296</v>
      </c>
      <c r="P139">
        <f t="shared" si="24"/>
        <v>293</v>
      </c>
      <c r="Q139">
        <f t="shared" si="25"/>
        <v>296</v>
      </c>
      <c r="R139">
        <f t="shared" si="26"/>
        <v>294</v>
      </c>
      <c r="S139">
        <f t="shared" si="27"/>
        <v>297</v>
      </c>
      <c r="T139">
        <f t="shared" si="28"/>
        <v>293</v>
      </c>
      <c r="U139">
        <f t="shared" si="29"/>
        <v>295</v>
      </c>
      <c r="V139">
        <f t="shared" si="20"/>
        <v>294</v>
      </c>
    </row>
    <row r="140" spans="1:22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  <c r="M140" s="7">
        <f t="shared" si="21"/>
        <v>294</v>
      </c>
      <c r="N140">
        <f t="shared" si="22"/>
        <v>296</v>
      </c>
      <c r="O140">
        <f t="shared" si="23"/>
        <v>294</v>
      </c>
      <c r="P140">
        <f t="shared" si="24"/>
        <v>296</v>
      </c>
      <c r="Q140">
        <f t="shared" si="25"/>
        <v>296</v>
      </c>
      <c r="R140">
        <f t="shared" si="26"/>
        <v>297</v>
      </c>
      <c r="S140">
        <f t="shared" si="27"/>
        <v>296</v>
      </c>
      <c r="T140">
        <f t="shared" si="28"/>
        <v>293</v>
      </c>
      <c r="U140">
        <f t="shared" si="29"/>
        <v>293</v>
      </c>
      <c r="V140">
        <f t="shared" si="20"/>
        <v>293</v>
      </c>
    </row>
    <row r="141" spans="1:22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  <c r="M141" s="7">
        <f t="shared" si="21"/>
        <v>294</v>
      </c>
      <c r="N141">
        <f t="shared" si="22"/>
        <v>293</v>
      </c>
      <c r="O141">
        <f t="shared" si="23"/>
        <v>296</v>
      </c>
      <c r="P141">
        <f t="shared" si="24"/>
        <v>294</v>
      </c>
      <c r="Q141">
        <f t="shared" si="25"/>
        <v>296</v>
      </c>
      <c r="R141">
        <f t="shared" si="26"/>
        <v>293</v>
      </c>
      <c r="S141">
        <f t="shared" si="27"/>
        <v>297</v>
      </c>
      <c r="T141">
        <f t="shared" si="28"/>
        <v>294</v>
      </c>
      <c r="U141">
        <f t="shared" si="29"/>
        <v>294</v>
      </c>
      <c r="V141">
        <f t="shared" si="20"/>
        <v>295</v>
      </c>
    </row>
    <row r="142" spans="1:22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  <c r="M142" s="7">
        <f t="shared" si="21"/>
        <v>289</v>
      </c>
      <c r="N142">
        <f t="shared" si="22"/>
        <v>288</v>
      </c>
      <c r="O142">
        <f t="shared" si="23"/>
        <v>283</v>
      </c>
      <c r="P142">
        <f t="shared" si="24"/>
        <v>287</v>
      </c>
      <c r="Q142">
        <f t="shared" si="25"/>
        <v>292</v>
      </c>
      <c r="R142">
        <f t="shared" si="26"/>
        <v>283</v>
      </c>
      <c r="S142">
        <f t="shared" si="27"/>
        <v>283</v>
      </c>
      <c r="T142">
        <f t="shared" si="28"/>
        <v>288</v>
      </c>
      <c r="U142">
        <f t="shared" si="29"/>
        <v>285</v>
      </c>
      <c r="V142">
        <f t="shared" si="20"/>
        <v>287</v>
      </c>
    </row>
    <row r="143" spans="1:22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  <c r="M143" s="7">
        <f t="shared" si="21"/>
        <v>289</v>
      </c>
      <c r="N143">
        <f t="shared" si="22"/>
        <v>285</v>
      </c>
      <c r="O143">
        <f t="shared" si="23"/>
        <v>289</v>
      </c>
      <c r="P143">
        <f t="shared" si="24"/>
        <v>288</v>
      </c>
      <c r="Q143">
        <f t="shared" si="25"/>
        <v>290</v>
      </c>
      <c r="R143">
        <f t="shared" si="26"/>
        <v>289</v>
      </c>
      <c r="S143">
        <f t="shared" si="27"/>
        <v>284</v>
      </c>
      <c r="T143">
        <f t="shared" si="28"/>
        <v>290</v>
      </c>
      <c r="U143">
        <f t="shared" si="29"/>
        <v>287</v>
      </c>
      <c r="V143">
        <f t="shared" si="20"/>
        <v>288</v>
      </c>
    </row>
    <row r="144" spans="1:22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  <c r="M144" s="7">
        <f t="shared" si="21"/>
        <v>287</v>
      </c>
      <c r="N144">
        <f t="shared" si="22"/>
        <v>288</v>
      </c>
      <c r="O144">
        <f t="shared" si="23"/>
        <v>286</v>
      </c>
      <c r="P144">
        <f t="shared" si="24"/>
        <v>288</v>
      </c>
      <c r="Q144">
        <f t="shared" si="25"/>
        <v>289</v>
      </c>
      <c r="R144">
        <f t="shared" si="26"/>
        <v>287</v>
      </c>
      <c r="S144">
        <f t="shared" si="27"/>
        <v>293</v>
      </c>
      <c r="T144">
        <f t="shared" si="28"/>
        <v>287</v>
      </c>
      <c r="U144">
        <f t="shared" si="29"/>
        <v>285</v>
      </c>
      <c r="V144">
        <f t="shared" si="20"/>
        <v>284</v>
      </c>
    </row>
    <row r="145" spans="1:22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  <c r="M145" s="7">
        <f t="shared" si="21"/>
        <v>283</v>
      </c>
      <c r="N145">
        <f t="shared" si="22"/>
        <v>291</v>
      </c>
      <c r="O145">
        <f t="shared" si="23"/>
        <v>288</v>
      </c>
      <c r="P145">
        <f t="shared" si="24"/>
        <v>287</v>
      </c>
      <c r="Q145">
        <f t="shared" si="25"/>
        <v>284</v>
      </c>
      <c r="R145">
        <f t="shared" si="26"/>
        <v>289</v>
      </c>
      <c r="S145">
        <f t="shared" si="27"/>
        <v>293</v>
      </c>
      <c r="T145">
        <f t="shared" si="28"/>
        <v>290</v>
      </c>
      <c r="U145">
        <f t="shared" si="29"/>
        <v>289</v>
      </c>
      <c r="V145">
        <f t="shared" si="20"/>
        <v>290</v>
      </c>
    </row>
    <row r="146" spans="1:22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  <c r="M146" s="7">
        <f t="shared" si="21"/>
        <v>290</v>
      </c>
      <c r="N146">
        <f t="shared" si="22"/>
        <v>287</v>
      </c>
      <c r="O146">
        <f t="shared" si="23"/>
        <v>285</v>
      </c>
      <c r="P146">
        <f t="shared" si="24"/>
        <v>291</v>
      </c>
      <c r="Q146">
        <f t="shared" si="25"/>
        <v>288</v>
      </c>
      <c r="R146">
        <f t="shared" si="26"/>
        <v>284</v>
      </c>
      <c r="S146">
        <f t="shared" si="27"/>
        <v>289</v>
      </c>
      <c r="T146">
        <f t="shared" si="28"/>
        <v>291</v>
      </c>
      <c r="U146">
        <f t="shared" si="29"/>
        <v>287</v>
      </c>
      <c r="V146">
        <f t="shared" ref="V146:V201" si="30">ROUNDDOWN(273.15+L146,0)</f>
        <v>292</v>
      </c>
    </row>
    <row r="147" spans="1:22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  <c r="M147" s="7">
        <f t="shared" si="21"/>
        <v>286</v>
      </c>
      <c r="N147">
        <f t="shared" si="22"/>
        <v>284</v>
      </c>
      <c r="O147">
        <f t="shared" si="23"/>
        <v>284</v>
      </c>
      <c r="P147">
        <f t="shared" si="24"/>
        <v>292</v>
      </c>
      <c r="Q147">
        <f t="shared" si="25"/>
        <v>289</v>
      </c>
      <c r="R147">
        <f t="shared" si="26"/>
        <v>286</v>
      </c>
      <c r="S147">
        <f t="shared" si="27"/>
        <v>290</v>
      </c>
      <c r="T147">
        <f t="shared" si="28"/>
        <v>286</v>
      </c>
      <c r="U147">
        <f t="shared" si="29"/>
        <v>287</v>
      </c>
      <c r="V147">
        <f t="shared" si="30"/>
        <v>289</v>
      </c>
    </row>
    <row r="148" spans="1:22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  <c r="M148" s="7">
        <f t="shared" si="21"/>
        <v>285</v>
      </c>
      <c r="N148">
        <f t="shared" si="22"/>
        <v>291</v>
      </c>
      <c r="O148">
        <f t="shared" si="23"/>
        <v>292</v>
      </c>
      <c r="P148">
        <f t="shared" si="24"/>
        <v>291</v>
      </c>
      <c r="Q148">
        <f t="shared" si="25"/>
        <v>291</v>
      </c>
      <c r="R148">
        <f t="shared" si="26"/>
        <v>292</v>
      </c>
      <c r="S148">
        <f t="shared" si="27"/>
        <v>285</v>
      </c>
      <c r="T148">
        <f t="shared" si="28"/>
        <v>293</v>
      </c>
      <c r="U148">
        <f t="shared" si="29"/>
        <v>283</v>
      </c>
      <c r="V148">
        <f t="shared" si="30"/>
        <v>293</v>
      </c>
    </row>
    <row r="149" spans="1:22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  <c r="M149" s="7">
        <f t="shared" si="21"/>
        <v>287</v>
      </c>
      <c r="N149">
        <f t="shared" si="22"/>
        <v>291</v>
      </c>
      <c r="O149">
        <f t="shared" si="23"/>
        <v>287</v>
      </c>
      <c r="P149">
        <f t="shared" si="24"/>
        <v>286</v>
      </c>
      <c r="Q149">
        <f t="shared" si="25"/>
        <v>284</v>
      </c>
      <c r="R149">
        <f t="shared" si="26"/>
        <v>290</v>
      </c>
      <c r="S149">
        <f t="shared" si="27"/>
        <v>289</v>
      </c>
      <c r="T149">
        <f t="shared" si="28"/>
        <v>286</v>
      </c>
      <c r="U149">
        <f t="shared" si="29"/>
        <v>288</v>
      </c>
      <c r="V149">
        <f t="shared" si="30"/>
        <v>283</v>
      </c>
    </row>
    <row r="150" spans="1:22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  <c r="M150" s="7">
        <f t="shared" si="21"/>
        <v>287</v>
      </c>
      <c r="N150">
        <f t="shared" si="22"/>
        <v>283</v>
      </c>
      <c r="O150">
        <f t="shared" si="23"/>
        <v>292</v>
      </c>
      <c r="P150">
        <f t="shared" si="24"/>
        <v>284</v>
      </c>
      <c r="Q150">
        <f t="shared" si="25"/>
        <v>285</v>
      </c>
      <c r="R150">
        <f t="shared" si="26"/>
        <v>284</v>
      </c>
      <c r="S150">
        <f t="shared" si="27"/>
        <v>289</v>
      </c>
      <c r="T150">
        <f t="shared" si="28"/>
        <v>288</v>
      </c>
      <c r="U150">
        <f t="shared" si="29"/>
        <v>289</v>
      </c>
      <c r="V150">
        <f t="shared" si="30"/>
        <v>290</v>
      </c>
    </row>
    <row r="151" spans="1:22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  <c r="M151" s="7">
        <f t="shared" si="21"/>
        <v>292</v>
      </c>
      <c r="N151">
        <f t="shared" si="22"/>
        <v>292</v>
      </c>
      <c r="O151">
        <f t="shared" si="23"/>
        <v>290</v>
      </c>
      <c r="P151">
        <f t="shared" si="24"/>
        <v>285</v>
      </c>
      <c r="Q151">
        <f t="shared" si="25"/>
        <v>291</v>
      </c>
      <c r="R151">
        <f t="shared" si="26"/>
        <v>291</v>
      </c>
      <c r="S151">
        <f t="shared" si="27"/>
        <v>290</v>
      </c>
      <c r="T151">
        <f t="shared" si="28"/>
        <v>286</v>
      </c>
      <c r="U151">
        <f t="shared" si="29"/>
        <v>289</v>
      </c>
      <c r="V151">
        <f t="shared" si="30"/>
        <v>290</v>
      </c>
    </row>
    <row r="152" spans="1:22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  <c r="M152" s="7">
        <f t="shared" si="21"/>
        <v>289</v>
      </c>
      <c r="N152">
        <f t="shared" si="22"/>
        <v>291</v>
      </c>
      <c r="O152">
        <f t="shared" si="23"/>
        <v>285</v>
      </c>
      <c r="P152">
        <f t="shared" si="24"/>
        <v>288</v>
      </c>
      <c r="Q152">
        <f t="shared" si="25"/>
        <v>285</v>
      </c>
      <c r="R152">
        <f t="shared" si="26"/>
        <v>291</v>
      </c>
      <c r="S152">
        <f t="shared" si="27"/>
        <v>283</v>
      </c>
      <c r="T152">
        <f t="shared" si="28"/>
        <v>292</v>
      </c>
      <c r="U152">
        <f t="shared" si="29"/>
        <v>285</v>
      </c>
      <c r="V152">
        <f t="shared" si="30"/>
        <v>289</v>
      </c>
    </row>
    <row r="153" spans="1:22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  <c r="M153" s="7">
        <f t="shared" si="21"/>
        <v>291</v>
      </c>
      <c r="N153">
        <f t="shared" si="22"/>
        <v>292</v>
      </c>
      <c r="O153">
        <f t="shared" si="23"/>
        <v>288</v>
      </c>
      <c r="P153">
        <f t="shared" si="24"/>
        <v>291</v>
      </c>
      <c r="Q153">
        <f t="shared" si="25"/>
        <v>291</v>
      </c>
      <c r="R153">
        <f t="shared" si="26"/>
        <v>287</v>
      </c>
      <c r="S153">
        <f t="shared" si="27"/>
        <v>289</v>
      </c>
      <c r="T153">
        <f t="shared" si="28"/>
        <v>291</v>
      </c>
      <c r="U153">
        <f t="shared" si="29"/>
        <v>285</v>
      </c>
      <c r="V153">
        <f t="shared" si="30"/>
        <v>291</v>
      </c>
    </row>
    <row r="154" spans="1:22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  <c r="M154" s="7">
        <f t="shared" si="21"/>
        <v>286</v>
      </c>
      <c r="N154">
        <f t="shared" si="22"/>
        <v>285</v>
      </c>
      <c r="O154">
        <f t="shared" si="23"/>
        <v>289</v>
      </c>
      <c r="P154">
        <f t="shared" si="24"/>
        <v>292</v>
      </c>
      <c r="Q154">
        <f t="shared" si="25"/>
        <v>288</v>
      </c>
      <c r="R154">
        <f t="shared" si="26"/>
        <v>290</v>
      </c>
      <c r="S154">
        <f t="shared" si="27"/>
        <v>284</v>
      </c>
      <c r="T154">
        <f t="shared" si="28"/>
        <v>292</v>
      </c>
      <c r="U154">
        <f t="shared" si="29"/>
        <v>286</v>
      </c>
      <c r="V154">
        <f t="shared" si="30"/>
        <v>288</v>
      </c>
    </row>
    <row r="155" spans="1:22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  <c r="M155" s="7">
        <f t="shared" si="21"/>
        <v>283</v>
      </c>
      <c r="N155">
        <f t="shared" si="22"/>
        <v>288</v>
      </c>
      <c r="O155">
        <f t="shared" si="23"/>
        <v>290</v>
      </c>
      <c r="P155">
        <f t="shared" si="24"/>
        <v>290</v>
      </c>
      <c r="Q155">
        <f t="shared" si="25"/>
        <v>285</v>
      </c>
      <c r="R155">
        <f t="shared" si="26"/>
        <v>288</v>
      </c>
      <c r="S155">
        <f t="shared" si="27"/>
        <v>285</v>
      </c>
      <c r="T155">
        <f t="shared" si="28"/>
        <v>286</v>
      </c>
      <c r="U155">
        <f t="shared" si="29"/>
        <v>290</v>
      </c>
      <c r="V155">
        <f t="shared" si="30"/>
        <v>288</v>
      </c>
    </row>
    <row r="156" spans="1:22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  <c r="M156" s="7">
        <f t="shared" si="21"/>
        <v>291</v>
      </c>
      <c r="N156">
        <f t="shared" si="22"/>
        <v>283</v>
      </c>
      <c r="O156">
        <f t="shared" si="23"/>
        <v>288</v>
      </c>
      <c r="P156">
        <f t="shared" si="24"/>
        <v>287</v>
      </c>
      <c r="Q156">
        <f t="shared" si="25"/>
        <v>288</v>
      </c>
      <c r="R156">
        <f t="shared" si="26"/>
        <v>291</v>
      </c>
      <c r="S156">
        <f t="shared" si="27"/>
        <v>286</v>
      </c>
      <c r="T156">
        <f t="shared" si="28"/>
        <v>290</v>
      </c>
      <c r="U156">
        <f t="shared" si="29"/>
        <v>285</v>
      </c>
      <c r="V156">
        <f t="shared" si="30"/>
        <v>288</v>
      </c>
    </row>
    <row r="157" spans="1:22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  <c r="M157" s="7">
        <f t="shared" si="21"/>
        <v>284</v>
      </c>
      <c r="N157">
        <f t="shared" si="22"/>
        <v>292</v>
      </c>
      <c r="O157">
        <f t="shared" si="23"/>
        <v>291</v>
      </c>
      <c r="P157">
        <f t="shared" si="24"/>
        <v>285</v>
      </c>
      <c r="Q157">
        <f t="shared" si="25"/>
        <v>284</v>
      </c>
      <c r="R157">
        <f t="shared" si="26"/>
        <v>285</v>
      </c>
      <c r="S157">
        <f t="shared" si="27"/>
        <v>292</v>
      </c>
      <c r="T157">
        <f t="shared" si="28"/>
        <v>292</v>
      </c>
      <c r="U157">
        <f t="shared" si="29"/>
        <v>288</v>
      </c>
      <c r="V157">
        <f t="shared" si="30"/>
        <v>285</v>
      </c>
    </row>
    <row r="158" spans="1:22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  <c r="M158" s="7">
        <f t="shared" si="21"/>
        <v>289</v>
      </c>
      <c r="N158">
        <f t="shared" si="22"/>
        <v>291</v>
      </c>
      <c r="O158">
        <f t="shared" si="23"/>
        <v>288</v>
      </c>
      <c r="P158">
        <f t="shared" si="24"/>
        <v>284</v>
      </c>
      <c r="Q158">
        <f t="shared" si="25"/>
        <v>290</v>
      </c>
      <c r="R158">
        <f t="shared" si="26"/>
        <v>289</v>
      </c>
      <c r="S158">
        <f t="shared" si="27"/>
        <v>285</v>
      </c>
      <c r="T158">
        <f t="shared" si="28"/>
        <v>286</v>
      </c>
      <c r="U158">
        <f t="shared" si="29"/>
        <v>283</v>
      </c>
      <c r="V158">
        <f t="shared" si="30"/>
        <v>292</v>
      </c>
    </row>
    <row r="159" spans="1:22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  <c r="M159" s="7">
        <f t="shared" si="21"/>
        <v>287</v>
      </c>
      <c r="N159">
        <f t="shared" si="22"/>
        <v>283</v>
      </c>
      <c r="O159">
        <f t="shared" si="23"/>
        <v>289</v>
      </c>
      <c r="P159">
        <f t="shared" si="24"/>
        <v>283</v>
      </c>
      <c r="Q159">
        <f t="shared" si="25"/>
        <v>284</v>
      </c>
      <c r="R159">
        <f t="shared" si="26"/>
        <v>292</v>
      </c>
      <c r="S159">
        <f t="shared" si="27"/>
        <v>288</v>
      </c>
      <c r="T159">
        <f t="shared" si="28"/>
        <v>285</v>
      </c>
      <c r="U159">
        <f t="shared" si="29"/>
        <v>292</v>
      </c>
      <c r="V159">
        <f t="shared" si="30"/>
        <v>283</v>
      </c>
    </row>
    <row r="160" spans="1:22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  <c r="M160" s="7">
        <f t="shared" si="21"/>
        <v>292</v>
      </c>
      <c r="N160">
        <f t="shared" si="22"/>
        <v>288</v>
      </c>
      <c r="O160">
        <f t="shared" si="23"/>
        <v>283</v>
      </c>
      <c r="P160">
        <f t="shared" si="24"/>
        <v>287</v>
      </c>
      <c r="Q160">
        <f t="shared" si="25"/>
        <v>290</v>
      </c>
      <c r="R160">
        <f t="shared" si="26"/>
        <v>289</v>
      </c>
      <c r="S160">
        <f t="shared" si="27"/>
        <v>292</v>
      </c>
      <c r="T160">
        <f t="shared" si="28"/>
        <v>289</v>
      </c>
      <c r="U160">
        <f t="shared" si="29"/>
        <v>284</v>
      </c>
      <c r="V160">
        <f t="shared" si="30"/>
        <v>284</v>
      </c>
    </row>
    <row r="161" spans="1:22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  <c r="M161" s="7">
        <f t="shared" si="21"/>
        <v>287</v>
      </c>
      <c r="N161">
        <f t="shared" si="22"/>
        <v>288</v>
      </c>
      <c r="O161">
        <f t="shared" si="23"/>
        <v>283</v>
      </c>
      <c r="P161">
        <f t="shared" si="24"/>
        <v>292</v>
      </c>
      <c r="Q161">
        <f t="shared" si="25"/>
        <v>284</v>
      </c>
      <c r="R161">
        <f t="shared" si="26"/>
        <v>290</v>
      </c>
      <c r="S161">
        <f t="shared" si="27"/>
        <v>287</v>
      </c>
      <c r="T161">
        <f t="shared" si="28"/>
        <v>284</v>
      </c>
      <c r="U161">
        <f t="shared" si="29"/>
        <v>288</v>
      </c>
      <c r="V161">
        <f t="shared" si="30"/>
        <v>284</v>
      </c>
    </row>
    <row r="162" spans="1:22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  <c r="M162" s="7">
        <f t="shared" si="21"/>
        <v>287</v>
      </c>
      <c r="N162">
        <f t="shared" si="22"/>
        <v>285</v>
      </c>
      <c r="O162">
        <f t="shared" si="23"/>
        <v>289</v>
      </c>
      <c r="P162">
        <f t="shared" si="24"/>
        <v>289</v>
      </c>
      <c r="Q162">
        <f t="shared" si="25"/>
        <v>283</v>
      </c>
      <c r="R162">
        <f t="shared" si="26"/>
        <v>283</v>
      </c>
      <c r="S162">
        <f t="shared" si="27"/>
        <v>286</v>
      </c>
      <c r="T162">
        <f t="shared" si="28"/>
        <v>293</v>
      </c>
      <c r="U162">
        <f t="shared" si="29"/>
        <v>293</v>
      </c>
      <c r="V162">
        <f t="shared" si="30"/>
        <v>289</v>
      </c>
    </row>
    <row r="163" spans="1:22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  <c r="M163" s="7">
        <f t="shared" si="21"/>
        <v>288</v>
      </c>
      <c r="N163">
        <f t="shared" si="22"/>
        <v>291</v>
      </c>
      <c r="O163">
        <f t="shared" si="23"/>
        <v>286</v>
      </c>
      <c r="P163">
        <f t="shared" si="24"/>
        <v>283</v>
      </c>
      <c r="Q163">
        <f t="shared" si="25"/>
        <v>293</v>
      </c>
      <c r="R163">
        <f t="shared" si="26"/>
        <v>288</v>
      </c>
      <c r="S163">
        <f t="shared" si="27"/>
        <v>287</v>
      </c>
      <c r="T163">
        <f t="shared" si="28"/>
        <v>287</v>
      </c>
      <c r="U163">
        <f t="shared" si="29"/>
        <v>292</v>
      </c>
      <c r="V163">
        <f t="shared" si="30"/>
        <v>290</v>
      </c>
    </row>
    <row r="164" spans="1:22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  <c r="M164" s="7">
        <f t="shared" si="21"/>
        <v>287</v>
      </c>
      <c r="N164">
        <f t="shared" si="22"/>
        <v>293</v>
      </c>
      <c r="O164">
        <f t="shared" si="23"/>
        <v>288</v>
      </c>
      <c r="P164">
        <f t="shared" si="24"/>
        <v>284</v>
      </c>
      <c r="Q164">
        <f t="shared" si="25"/>
        <v>286</v>
      </c>
      <c r="R164">
        <f t="shared" si="26"/>
        <v>286</v>
      </c>
      <c r="S164">
        <f t="shared" si="27"/>
        <v>286</v>
      </c>
      <c r="T164">
        <f t="shared" si="28"/>
        <v>291</v>
      </c>
      <c r="U164">
        <f t="shared" si="29"/>
        <v>283</v>
      </c>
      <c r="V164">
        <f t="shared" si="30"/>
        <v>287</v>
      </c>
    </row>
    <row r="165" spans="1:22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  <c r="M165" s="7">
        <f t="shared" si="21"/>
        <v>290</v>
      </c>
      <c r="N165">
        <f t="shared" si="22"/>
        <v>283</v>
      </c>
      <c r="O165">
        <f t="shared" si="23"/>
        <v>288</v>
      </c>
      <c r="P165">
        <f t="shared" si="24"/>
        <v>290</v>
      </c>
      <c r="Q165">
        <f t="shared" si="25"/>
        <v>285</v>
      </c>
      <c r="R165">
        <f t="shared" si="26"/>
        <v>292</v>
      </c>
      <c r="S165">
        <f t="shared" si="27"/>
        <v>285</v>
      </c>
      <c r="T165">
        <f t="shared" si="28"/>
        <v>291</v>
      </c>
      <c r="U165">
        <f t="shared" si="29"/>
        <v>287</v>
      </c>
      <c r="V165">
        <f t="shared" si="30"/>
        <v>286</v>
      </c>
    </row>
    <row r="166" spans="1:22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  <c r="M166" s="7">
        <f t="shared" si="21"/>
        <v>290</v>
      </c>
      <c r="N166">
        <f t="shared" si="22"/>
        <v>285</v>
      </c>
      <c r="O166">
        <f t="shared" si="23"/>
        <v>292</v>
      </c>
      <c r="P166">
        <f t="shared" si="24"/>
        <v>288</v>
      </c>
      <c r="Q166">
        <f t="shared" si="25"/>
        <v>293</v>
      </c>
      <c r="R166">
        <f t="shared" si="26"/>
        <v>289</v>
      </c>
      <c r="S166">
        <f t="shared" si="27"/>
        <v>284</v>
      </c>
      <c r="T166">
        <f t="shared" si="28"/>
        <v>289</v>
      </c>
      <c r="U166">
        <f t="shared" si="29"/>
        <v>291</v>
      </c>
      <c r="V166">
        <f t="shared" si="30"/>
        <v>291</v>
      </c>
    </row>
    <row r="167" spans="1:22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  <c r="M167" s="7">
        <f t="shared" si="21"/>
        <v>284</v>
      </c>
      <c r="N167">
        <f t="shared" si="22"/>
        <v>287</v>
      </c>
      <c r="O167">
        <f t="shared" si="23"/>
        <v>284</v>
      </c>
      <c r="P167">
        <f t="shared" si="24"/>
        <v>290</v>
      </c>
      <c r="Q167">
        <f t="shared" si="25"/>
        <v>285</v>
      </c>
      <c r="R167">
        <f t="shared" si="26"/>
        <v>289</v>
      </c>
      <c r="S167">
        <f t="shared" si="27"/>
        <v>284</v>
      </c>
      <c r="T167">
        <f t="shared" si="28"/>
        <v>286</v>
      </c>
      <c r="U167">
        <f t="shared" si="29"/>
        <v>287</v>
      </c>
      <c r="V167">
        <f t="shared" si="30"/>
        <v>285</v>
      </c>
    </row>
    <row r="168" spans="1:22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  <c r="M168" s="7">
        <f t="shared" si="21"/>
        <v>284</v>
      </c>
      <c r="N168">
        <f t="shared" si="22"/>
        <v>289</v>
      </c>
      <c r="O168">
        <f t="shared" si="23"/>
        <v>287</v>
      </c>
      <c r="P168">
        <f t="shared" si="24"/>
        <v>284</v>
      </c>
      <c r="Q168">
        <f t="shared" si="25"/>
        <v>291</v>
      </c>
      <c r="R168">
        <f t="shared" si="26"/>
        <v>287</v>
      </c>
      <c r="S168">
        <f t="shared" si="27"/>
        <v>290</v>
      </c>
      <c r="T168">
        <f t="shared" si="28"/>
        <v>286</v>
      </c>
      <c r="U168">
        <f t="shared" si="29"/>
        <v>283</v>
      </c>
      <c r="V168">
        <f t="shared" si="30"/>
        <v>290</v>
      </c>
    </row>
    <row r="169" spans="1:22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  <c r="M169" s="7">
        <f t="shared" si="21"/>
        <v>286</v>
      </c>
      <c r="N169">
        <f t="shared" si="22"/>
        <v>288</v>
      </c>
      <c r="O169">
        <f t="shared" si="23"/>
        <v>291</v>
      </c>
      <c r="P169">
        <f t="shared" si="24"/>
        <v>290</v>
      </c>
      <c r="Q169">
        <f t="shared" si="25"/>
        <v>291</v>
      </c>
      <c r="R169">
        <f t="shared" si="26"/>
        <v>287</v>
      </c>
      <c r="S169">
        <f t="shared" si="27"/>
        <v>292</v>
      </c>
      <c r="T169">
        <f t="shared" si="28"/>
        <v>286</v>
      </c>
      <c r="U169">
        <f t="shared" si="29"/>
        <v>284</v>
      </c>
      <c r="V169">
        <f t="shared" si="30"/>
        <v>291</v>
      </c>
    </row>
    <row r="170" spans="1:22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  <c r="M170" s="7">
        <f t="shared" si="21"/>
        <v>286</v>
      </c>
      <c r="N170">
        <f t="shared" si="22"/>
        <v>285</v>
      </c>
      <c r="O170">
        <f t="shared" si="23"/>
        <v>292</v>
      </c>
      <c r="P170">
        <f t="shared" si="24"/>
        <v>283</v>
      </c>
      <c r="Q170">
        <f t="shared" si="25"/>
        <v>290</v>
      </c>
      <c r="R170">
        <f t="shared" si="26"/>
        <v>289</v>
      </c>
      <c r="S170">
        <f t="shared" si="27"/>
        <v>284</v>
      </c>
      <c r="T170">
        <f t="shared" si="28"/>
        <v>291</v>
      </c>
      <c r="U170">
        <f t="shared" si="29"/>
        <v>287</v>
      </c>
      <c r="V170">
        <f t="shared" si="30"/>
        <v>292</v>
      </c>
    </row>
    <row r="171" spans="1:22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  <c r="M171" s="7">
        <f t="shared" si="21"/>
        <v>285</v>
      </c>
      <c r="N171">
        <f t="shared" si="22"/>
        <v>286</v>
      </c>
      <c r="O171">
        <f t="shared" si="23"/>
        <v>288</v>
      </c>
      <c r="P171">
        <f t="shared" si="24"/>
        <v>285</v>
      </c>
      <c r="Q171">
        <f t="shared" si="25"/>
        <v>286</v>
      </c>
      <c r="R171">
        <f t="shared" si="26"/>
        <v>286</v>
      </c>
      <c r="S171">
        <f t="shared" si="27"/>
        <v>285</v>
      </c>
      <c r="T171">
        <f t="shared" si="28"/>
        <v>291</v>
      </c>
      <c r="U171">
        <f t="shared" si="29"/>
        <v>291</v>
      </c>
      <c r="V171">
        <f t="shared" si="30"/>
        <v>287</v>
      </c>
    </row>
    <row r="172" spans="1:22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  <c r="M172" s="7">
        <f t="shared" si="21"/>
        <v>283</v>
      </c>
      <c r="N172">
        <f t="shared" si="22"/>
        <v>288</v>
      </c>
      <c r="O172">
        <f t="shared" si="23"/>
        <v>290</v>
      </c>
      <c r="P172">
        <f t="shared" si="24"/>
        <v>292</v>
      </c>
      <c r="Q172">
        <f t="shared" si="25"/>
        <v>283</v>
      </c>
      <c r="R172">
        <f t="shared" si="26"/>
        <v>287</v>
      </c>
      <c r="S172">
        <f t="shared" si="27"/>
        <v>286</v>
      </c>
      <c r="T172">
        <f t="shared" si="28"/>
        <v>284</v>
      </c>
      <c r="U172">
        <f t="shared" si="29"/>
        <v>285</v>
      </c>
      <c r="V172">
        <f t="shared" si="30"/>
        <v>286</v>
      </c>
    </row>
    <row r="173" spans="1:22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  <c r="M173" s="7">
        <f t="shared" si="21"/>
        <v>285</v>
      </c>
      <c r="N173">
        <f t="shared" si="22"/>
        <v>286</v>
      </c>
      <c r="O173">
        <f t="shared" si="23"/>
        <v>292</v>
      </c>
      <c r="P173">
        <f t="shared" si="24"/>
        <v>284</v>
      </c>
      <c r="Q173">
        <f t="shared" si="25"/>
        <v>292</v>
      </c>
      <c r="R173">
        <f t="shared" si="26"/>
        <v>288</v>
      </c>
      <c r="S173">
        <f t="shared" si="27"/>
        <v>290</v>
      </c>
      <c r="T173">
        <f t="shared" si="28"/>
        <v>291</v>
      </c>
      <c r="U173">
        <f t="shared" si="29"/>
        <v>284</v>
      </c>
      <c r="V173">
        <f t="shared" si="30"/>
        <v>284</v>
      </c>
    </row>
    <row r="174" spans="1:22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  <c r="M174" s="7">
        <f t="shared" si="21"/>
        <v>284</v>
      </c>
      <c r="N174">
        <f t="shared" si="22"/>
        <v>291</v>
      </c>
      <c r="O174">
        <f t="shared" si="23"/>
        <v>286</v>
      </c>
      <c r="P174">
        <f t="shared" si="24"/>
        <v>291</v>
      </c>
      <c r="Q174">
        <f t="shared" si="25"/>
        <v>284</v>
      </c>
      <c r="R174">
        <f t="shared" si="26"/>
        <v>286</v>
      </c>
      <c r="S174">
        <f t="shared" si="27"/>
        <v>289</v>
      </c>
      <c r="T174">
        <f t="shared" si="28"/>
        <v>284</v>
      </c>
      <c r="U174">
        <f t="shared" si="29"/>
        <v>286</v>
      </c>
      <c r="V174">
        <f t="shared" si="30"/>
        <v>289</v>
      </c>
    </row>
    <row r="175" spans="1:22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  <c r="M175" s="7">
        <f t="shared" si="21"/>
        <v>286</v>
      </c>
      <c r="N175">
        <f t="shared" si="22"/>
        <v>284</v>
      </c>
      <c r="O175">
        <f t="shared" si="23"/>
        <v>286</v>
      </c>
      <c r="P175">
        <f t="shared" si="24"/>
        <v>290</v>
      </c>
      <c r="Q175">
        <f t="shared" si="25"/>
        <v>289</v>
      </c>
      <c r="R175">
        <f t="shared" si="26"/>
        <v>291</v>
      </c>
      <c r="S175">
        <f t="shared" si="27"/>
        <v>285</v>
      </c>
      <c r="T175">
        <f t="shared" si="28"/>
        <v>293</v>
      </c>
      <c r="U175">
        <f t="shared" si="29"/>
        <v>286</v>
      </c>
      <c r="V175">
        <f t="shared" si="30"/>
        <v>291</v>
      </c>
    </row>
    <row r="176" spans="1:22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  <c r="M176" s="7">
        <f t="shared" si="21"/>
        <v>285</v>
      </c>
      <c r="N176">
        <f t="shared" si="22"/>
        <v>286</v>
      </c>
      <c r="O176">
        <f t="shared" si="23"/>
        <v>289</v>
      </c>
      <c r="P176">
        <f t="shared" si="24"/>
        <v>290</v>
      </c>
      <c r="Q176">
        <f t="shared" si="25"/>
        <v>286</v>
      </c>
      <c r="R176">
        <f t="shared" si="26"/>
        <v>291</v>
      </c>
      <c r="S176">
        <f t="shared" si="27"/>
        <v>286</v>
      </c>
      <c r="T176">
        <f t="shared" si="28"/>
        <v>285</v>
      </c>
      <c r="U176">
        <f t="shared" si="29"/>
        <v>288</v>
      </c>
      <c r="V176">
        <f t="shared" si="30"/>
        <v>292</v>
      </c>
    </row>
    <row r="177" spans="1:22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  <c r="M177" s="7">
        <f t="shared" si="21"/>
        <v>289</v>
      </c>
      <c r="N177">
        <f t="shared" si="22"/>
        <v>285</v>
      </c>
      <c r="O177">
        <f t="shared" si="23"/>
        <v>283</v>
      </c>
      <c r="P177">
        <f t="shared" si="24"/>
        <v>285</v>
      </c>
      <c r="Q177">
        <f t="shared" si="25"/>
        <v>291</v>
      </c>
      <c r="R177">
        <f t="shared" si="26"/>
        <v>286</v>
      </c>
      <c r="S177">
        <f t="shared" si="27"/>
        <v>292</v>
      </c>
      <c r="T177">
        <f t="shared" si="28"/>
        <v>292</v>
      </c>
      <c r="U177">
        <f t="shared" si="29"/>
        <v>284</v>
      </c>
      <c r="V177">
        <f t="shared" si="30"/>
        <v>286</v>
      </c>
    </row>
    <row r="178" spans="1:22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  <c r="M178" s="7">
        <f t="shared" si="21"/>
        <v>290</v>
      </c>
      <c r="N178">
        <f t="shared" si="22"/>
        <v>285</v>
      </c>
      <c r="O178">
        <f t="shared" si="23"/>
        <v>284</v>
      </c>
      <c r="P178">
        <f t="shared" si="24"/>
        <v>284</v>
      </c>
      <c r="Q178">
        <f t="shared" si="25"/>
        <v>289</v>
      </c>
      <c r="R178">
        <f t="shared" si="26"/>
        <v>284</v>
      </c>
      <c r="S178">
        <f t="shared" si="27"/>
        <v>283</v>
      </c>
      <c r="T178">
        <f t="shared" si="28"/>
        <v>289</v>
      </c>
      <c r="U178">
        <f t="shared" si="29"/>
        <v>288</v>
      </c>
      <c r="V178">
        <f t="shared" si="30"/>
        <v>290</v>
      </c>
    </row>
    <row r="179" spans="1:22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  <c r="M179" s="7">
        <f t="shared" si="21"/>
        <v>292</v>
      </c>
      <c r="N179">
        <f t="shared" si="22"/>
        <v>288</v>
      </c>
      <c r="O179">
        <f t="shared" si="23"/>
        <v>289</v>
      </c>
      <c r="P179">
        <f t="shared" si="24"/>
        <v>291</v>
      </c>
      <c r="Q179">
        <f t="shared" si="25"/>
        <v>283</v>
      </c>
      <c r="R179">
        <f t="shared" si="26"/>
        <v>291</v>
      </c>
      <c r="S179">
        <f t="shared" si="27"/>
        <v>284</v>
      </c>
      <c r="T179">
        <f t="shared" si="28"/>
        <v>291</v>
      </c>
      <c r="U179">
        <f t="shared" si="29"/>
        <v>283</v>
      </c>
      <c r="V179">
        <f t="shared" si="30"/>
        <v>287</v>
      </c>
    </row>
    <row r="180" spans="1:22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  <c r="M180" s="7">
        <f t="shared" si="21"/>
        <v>287</v>
      </c>
      <c r="N180">
        <f t="shared" si="22"/>
        <v>292</v>
      </c>
      <c r="O180">
        <f t="shared" si="23"/>
        <v>293</v>
      </c>
      <c r="P180">
        <f t="shared" si="24"/>
        <v>285</v>
      </c>
      <c r="Q180">
        <f t="shared" si="25"/>
        <v>285</v>
      </c>
      <c r="R180">
        <f t="shared" si="26"/>
        <v>283</v>
      </c>
      <c r="S180">
        <f t="shared" si="27"/>
        <v>287</v>
      </c>
      <c r="T180">
        <f t="shared" si="28"/>
        <v>284</v>
      </c>
      <c r="U180">
        <f t="shared" si="29"/>
        <v>283</v>
      </c>
      <c r="V180">
        <f t="shared" si="30"/>
        <v>292</v>
      </c>
    </row>
    <row r="181" spans="1:22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  <c r="M181" s="7">
        <f t="shared" si="21"/>
        <v>285</v>
      </c>
      <c r="N181">
        <f t="shared" si="22"/>
        <v>287</v>
      </c>
      <c r="O181">
        <f t="shared" si="23"/>
        <v>284</v>
      </c>
      <c r="P181">
        <f t="shared" si="24"/>
        <v>285</v>
      </c>
      <c r="Q181">
        <f t="shared" si="25"/>
        <v>287</v>
      </c>
      <c r="R181">
        <f t="shared" si="26"/>
        <v>286</v>
      </c>
      <c r="S181">
        <f t="shared" si="27"/>
        <v>291</v>
      </c>
      <c r="T181">
        <f t="shared" si="28"/>
        <v>288</v>
      </c>
      <c r="U181">
        <f t="shared" si="29"/>
        <v>286</v>
      </c>
      <c r="V181">
        <f t="shared" si="30"/>
        <v>292</v>
      </c>
    </row>
    <row r="182" spans="1:22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  <c r="M182" s="7">
        <f t="shared" si="21"/>
        <v>283</v>
      </c>
      <c r="N182">
        <f t="shared" si="22"/>
        <v>287</v>
      </c>
      <c r="O182">
        <f t="shared" si="23"/>
        <v>286</v>
      </c>
      <c r="P182">
        <f t="shared" si="24"/>
        <v>286</v>
      </c>
      <c r="Q182">
        <f t="shared" si="25"/>
        <v>292</v>
      </c>
      <c r="R182">
        <f t="shared" si="26"/>
        <v>290</v>
      </c>
      <c r="S182">
        <f t="shared" si="27"/>
        <v>286</v>
      </c>
      <c r="T182">
        <f t="shared" si="28"/>
        <v>291</v>
      </c>
      <c r="U182">
        <f t="shared" si="29"/>
        <v>292</v>
      </c>
      <c r="V182">
        <f t="shared" si="30"/>
        <v>290</v>
      </c>
    </row>
    <row r="183" spans="1:22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  <c r="M183" s="7">
        <f t="shared" si="21"/>
        <v>283</v>
      </c>
      <c r="N183">
        <f t="shared" si="22"/>
        <v>287</v>
      </c>
      <c r="O183">
        <f t="shared" si="23"/>
        <v>285</v>
      </c>
      <c r="P183">
        <f t="shared" si="24"/>
        <v>290</v>
      </c>
      <c r="Q183">
        <f t="shared" si="25"/>
        <v>291</v>
      </c>
      <c r="R183">
        <f t="shared" si="26"/>
        <v>292</v>
      </c>
      <c r="S183">
        <f t="shared" si="27"/>
        <v>290</v>
      </c>
      <c r="T183">
        <f t="shared" si="28"/>
        <v>287</v>
      </c>
      <c r="U183">
        <f t="shared" si="29"/>
        <v>289</v>
      </c>
      <c r="V183">
        <f t="shared" si="30"/>
        <v>288</v>
      </c>
    </row>
    <row r="184" spans="1:22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  <c r="M184" s="7">
        <f t="shared" si="21"/>
        <v>287</v>
      </c>
      <c r="N184">
        <f t="shared" si="22"/>
        <v>285</v>
      </c>
      <c r="O184">
        <f t="shared" si="23"/>
        <v>291</v>
      </c>
      <c r="P184">
        <f t="shared" si="24"/>
        <v>284</v>
      </c>
      <c r="Q184">
        <f t="shared" si="25"/>
        <v>286</v>
      </c>
      <c r="R184">
        <f t="shared" si="26"/>
        <v>291</v>
      </c>
      <c r="S184">
        <f t="shared" si="27"/>
        <v>284</v>
      </c>
      <c r="T184">
        <f t="shared" si="28"/>
        <v>285</v>
      </c>
      <c r="U184">
        <f t="shared" si="29"/>
        <v>287</v>
      </c>
      <c r="V184">
        <f t="shared" si="30"/>
        <v>285</v>
      </c>
    </row>
    <row r="185" spans="1:22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  <c r="M185" s="7">
        <f t="shared" si="21"/>
        <v>288</v>
      </c>
      <c r="N185">
        <f t="shared" si="22"/>
        <v>283</v>
      </c>
      <c r="O185">
        <f t="shared" si="23"/>
        <v>291</v>
      </c>
      <c r="P185">
        <f t="shared" si="24"/>
        <v>291</v>
      </c>
      <c r="Q185">
        <f t="shared" si="25"/>
        <v>288</v>
      </c>
      <c r="R185">
        <f t="shared" si="26"/>
        <v>285</v>
      </c>
      <c r="S185">
        <f t="shared" si="27"/>
        <v>286</v>
      </c>
      <c r="T185">
        <f t="shared" si="28"/>
        <v>284</v>
      </c>
      <c r="U185">
        <f t="shared" si="29"/>
        <v>291</v>
      </c>
      <c r="V185">
        <f t="shared" si="30"/>
        <v>283</v>
      </c>
    </row>
    <row r="186" spans="1:22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  <c r="M186" s="7">
        <f t="shared" si="21"/>
        <v>289</v>
      </c>
      <c r="N186">
        <f t="shared" si="22"/>
        <v>286</v>
      </c>
      <c r="O186">
        <f t="shared" si="23"/>
        <v>283</v>
      </c>
      <c r="P186">
        <f t="shared" si="24"/>
        <v>288</v>
      </c>
      <c r="Q186">
        <f t="shared" si="25"/>
        <v>287</v>
      </c>
      <c r="R186">
        <f t="shared" si="26"/>
        <v>290</v>
      </c>
      <c r="S186">
        <f t="shared" si="27"/>
        <v>288</v>
      </c>
      <c r="T186">
        <f t="shared" si="28"/>
        <v>283</v>
      </c>
      <c r="U186">
        <f t="shared" si="29"/>
        <v>286</v>
      </c>
      <c r="V186">
        <f t="shared" si="30"/>
        <v>292</v>
      </c>
    </row>
    <row r="187" spans="1:22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  <c r="M187" s="7">
        <f t="shared" si="21"/>
        <v>283</v>
      </c>
      <c r="N187">
        <f t="shared" si="22"/>
        <v>289</v>
      </c>
      <c r="O187">
        <f t="shared" si="23"/>
        <v>289</v>
      </c>
      <c r="P187">
        <f t="shared" si="24"/>
        <v>286</v>
      </c>
      <c r="Q187">
        <f t="shared" si="25"/>
        <v>291</v>
      </c>
      <c r="R187">
        <f t="shared" si="26"/>
        <v>287</v>
      </c>
      <c r="S187">
        <f t="shared" si="27"/>
        <v>286</v>
      </c>
      <c r="T187">
        <f t="shared" si="28"/>
        <v>283</v>
      </c>
      <c r="U187">
        <f t="shared" si="29"/>
        <v>283</v>
      </c>
      <c r="V187">
        <f t="shared" si="30"/>
        <v>283</v>
      </c>
    </row>
    <row r="188" spans="1:22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  <c r="M188" s="7">
        <f t="shared" si="21"/>
        <v>283</v>
      </c>
      <c r="N188">
        <f t="shared" si="22"/>
        <v>288</v>
      </c>
      <c r="O188">
        <f t="shared" si="23"/>
        <v>283</v>
      </c>
      <c r="P188">
        <f t="shared" si="24"/>
        <v>291</v>
      </c>
      <c r="Q188">
        <f t="shared" si="25"/>
        <v>284</v>
      </c>
      <c r="R188">
        <f t="shared" si="26"/>
        <v>284</v>
      </c>
      <c r="S188">
        <f t="shared" si="27"/>
        <v>291</v>
      </c>
      <c r="T188">
        <f t="shared" si="28"/>
        <v>291</v>
      </c>
      <c r="U188">
        <f t="shared" si="29"/>
        <v>285</v>
      </c>
      <c r="V188">
        <f t="shared" si="30"/>
        <v>284</v>
      </c>
    </row>
    <row r="189" spans="1:22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  <c r="M189" s="7">
        <f t="shared" si="21"/>
        <v>290</v>
      </c>
      <c r="N189">
        <f t="shared" si="22"/>
        <v>288</v>
      </c>
      <c r="O189">
        <f t="shared" si="23"/>
        <v>289</v>
      </c>
      <c r="P189">
        <f t="shared" si="24"/>
        <v>286</v>
      </c>
      <c r="Q189">
        <f t="shared" si="25"/>
        <v>292</v>
      </c>
      <c r="R189">
        <f t="shared" si="26"/>
        <v>292</v>
      </c>
      <c r="S189">
        <f t="shared" si="27"/>
        <v>284</v>
      </c>
      <c r="T189">
        <f t="shared" si="28"/>
        <v>283</v>
      </c>
      <c r="U189">
        <f t="shared" si="29"/>
        <v>290</v>
      </c>
      <c r="V189">
        <f t="shared" si="30"/>
        <v>290</v>
      </c>
    </row>
    <row r="190" spans="1:22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  <c r="M190" s="7">
        <f t="shared" si="21"/>
        <v>288</v>
      </c>
      <c r="N190">
        <f t="shared" si="22"/>
        <v>286</v>
      </c>
      <c r="O190">
        <f t="shared" si="23"/>
        <v>285</v>
      </c>
      <c r="P190">
        <f t="shared" si="24"/>
        <v>288</v>
      </c>
      <c r="Q190">
        <f t="shared" si="25"/>
        <v>284</v>
      </c>
      <c r="R190">
        <f t="shared" si="26"/>
        <v>287</v>
      </c>
      <c r="S190">
        <f t="shared" si="27"/>
        <v>291</v>
      </c>
      <c r="T190">
        <f t="shared" si="28"/>
        <v>292</v>
      </c>
      <c r="U190">
        <f t="shared" si="29"/>
        <v>284</v>
      </c>
      <c r="V190">
        <f t="shared" si="30"/>
        <v>289</v>
      </c>
    </row>
    <row r="191" spans="1:22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  <c r="M191" s="7">
        <f t="shared" si="21"/>
        <v>283</v>
      </c>
      <c r="N191">
        <f t="shared" si="22"/>
        <v>291</v>
      </c>
      <c r="O191">
        <f t="shared" si="23"/>
        <v>291</v>
      </c>
      <c r="P191">
        <f t="shared" si="24"/>
        <v>289</v>
      </c>
      <c r="Q191">
        <f t="shared" si="25"/>
        <v>292</v>
      </c>
      <c r="R191">
        <f t="shared" si="26"/>
        <v>291</v>
      </c>
      <c r="S191">
        <f t="shared" si="27"/>
        <v>288</v>
      </c>
      <c r="T191">
        <f t="shared" si="28"/>
        <v>289</v>
      </c>
      <c r="U191">
        <f t="shared" si="29"/>
        <v>284</v>
      </c>
      <c r="V191">
        <f t="shared" si="30"/>
        <v>283</v>
      </c>
    </row>
    <row r="192" spans="1:22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  <c r="M192" s="7">
        <f t="shared" si="21"/>
        <v>288</v>
      </c>
      <c r="N192">
        <f t="shared" si="22"/>
        <v>287</v>
      </c>
      <c r="O192">
        <f t="shared" si="23"/>
        <v>291</v>
      </c>
      <c r="P192">
        <f t="shared" si="24"/>
        <v>291</v>
      </c>
      <c r="Q192">
        <f t="shared" si="25"/>
        <v>288</v>
      </c>
      <c r="R192">
        <f t="shared" si="26"/>
        <v>292</v>
      </c>
      <c r="S192">
        <f t="shared" si="27"/>
        <v>291</v>
      </c>
      <c r="T192">
        <f t="shared" si="28"/>
        <v>285</v>
      </c>
      <c r="U192">
        <f t="shared" si="29"/>
        <v>292</v>
      </c>
      <c r="V192">
        <f t="shared" si="30"/>
        <v>291</v>
      </c>
    </row>
    <row r="193" spans="1:22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  <c r="M193" s="7">
        <f t="shared" si="21"/>
        <v>272</v>
      </c>
      <c r="N193">
        <f t="shared" si="22"/>
        <v>281</v>
      </c>
      <c r="O193">
        <f t="shared" si="23"/>
        <v>280</v>
      </c>
      <c r="P193">
        <f t="shared" si="24"/>
        <v>271</v>
      </c>
      <c r="Q193">
        <f t="shared" si="25"/>
        <v>271</v>
      </c>
      <c r="R193">
        <f t="shared" si="26"/>
        <v>281</v>
      </c>
      <c r="S193">
        <f t="shared" si="27"/>
        <v>268</v>
      </c>
      <c r="T193">
        <f t="shared" si="28"/>
        <v>271</v>
      </c>
      <c r="U193">
        <f t="shared" si="29"/>
        <v>271</v>
      </c>
      <c r="V193">
        <f t="shared" si="30"/>
        <v>272</v>
      </c>
    </row>
    <row r="194" spans="1:22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  <c r="M194" s="7">
        <f t="shared" si="21"/>
        <v>272</v>
      </c>
      <c r="N194">
        <f t="shared" si="22"/>
        <v>269</v>
      </c>
      <c r="O194">
        <f t="shared" si="23"/>
        <v>269</v>
      </c>
      <c r="P194">
        <f t="shared" si="24"/>
        <v>281</v>
      </c>
      <c r="Q194">
        <f t="shared" si="25"/>
        <v>271</v>
      </c>
      <c r="R194">
        <f t="shared" si="26"/>
        <v>267</v>
      </c>
      <c r="S194">
        <f t="shared" si="27"/>
        <v>279</v>
      </c>
      <c r="T194">
        <f t="shared" si="28"/>
        <v>267</v>
      </c>
      <c r="U194">
        <f t="shared" si="29"/>
        <v>271</v>
      </c>
      <c r="V194">
        <f t="shared" si="30"/>
        <v>268</v>
      </c>
    </row>
    <row r="195" spans="1:22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  <c r="M195" s="7">
        <f t="shared" ref="M195:M201" si="31">ROUNDDOWN(273.15+C195,0)</f>
        <v>268</v>
      </c>
      <c r="N195">
        <f t="shared" ref="N195:N201" si="32">ROUNDDOWN(273.15+D195,0)</f>
        <v>280</v>
      </c>
      <c r="O195">
        <f t="shared" ref="O195:O201" si="33">ROUNDDOWN(273.15+E195,0)</f>
        <v>267</v>
      </c>
      <c r="P195">
        <f t="shared" ref="P195:P201" si="34">ROUNDDOWN(273.15+F195,0)</f>
        <v>281</v>
      </c>
      <c r="Q195">
        <f t="shared" ref="Q195:Q201" si="35">ROUNDDOWN(273.15+G195,0)</f>
        <v>271</v>
      </c>
      <c r="R195">
        <f t="shared" ref="R195:R201" si="36">ROUNDDOWN(273.15+H195,0)</f>
        <v>275</v>
      </c>
      <c r="S195">
        <f t="shared" ref="S195:S201" si="37">ROUNDDOWN(273.15+I195,0)</f>
        <v>278</v>
      </c>
      <c r="T195">
        <f t="shared" ref="T195:T201" si="38">ROUNDDOWN(273.15+J195,0)</f>
        <v>280</v>
      </c>
      <c r="U195">
        <f t="shared" ref="U195:U201" si="39">ROUNDDOWN(273.15+K195,0)</f>
        <v>273</v>
      </c>
      <c r="V195">
        <f t="shared" si="30"/>
        <v>271</v>
      </c>
    </row>
    <row r="196" spans="1:22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  <c r="M196" s="7">
        <f t="shared" si="31"/>
        <v>278</v>
      </c>
      <c r="N196">
        <f t="shared" si="32"/>
        <v>268</v>
      </c>
      <c r="O196">
        <f t="shared" si="33"/>
        <v>268</v>
      </c>
      <c r="P196">
        <f t="shared" si="34"/>
        <v>273</v>
      </c>
      <c r="Q196">
        <f t="shared" si="35"/>
        <v>279</v>
      </c>
      <c r="R196">
        <f t="shared" si="36"/>
        <v>278</v>
      </c>
      <c r="S196">
        <f t="shared" si="37"/>
        <v>266</v>
      </c>
      <c r="T196">
        <f t="shared" si="38"/>
        <v>273</v>
      </c>
      <c r="U196">
        <f t="shared" si="39"/>
        <v>266</v>
      </c>
      <c r="V196">
        <f t="shared" si="30"/>
        <v>277</v>
      </c>
    </row>
    <row r="197" spans="1:22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  <c r="M197" s="7">
        <f t="shared" si="31"/>
        <v>276</v>
      </c>
      <c r="N197">
        <f t="shared" si="32"/>
        <v>276</v>
      </c>
      <c r="O197">
        <f t="shared" si="33"/>
        <v>271</v>
      </c>
      <c r="P197">
        <f t="shared" si="34"/>
        <v>267</v>
      </c>
      <c r="Q197">
        <f t="shared" si="35"/>
        <v>272</v>
      </c>
      <c r="R197">
        <f t="shared" si="36"/>
        <v>266</v>
      </c>
      <c r="S197">
        <f t="shared" si="37"/>
        <v>280</v>
      </c>
      <c r="T197">
        <f t="shared" si="38"/>
        <v>269</v>
      </c>
      <c r="U197">
        <f t="shared" si="39"/>
        <v>266</v>
      </c>
      <c r="V197">
        <f t="shared" si="30"/>
        <v>267</v>
      </c>
    </row>
    <row r="198" spans="1:22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  <c r="M198" s="7">
        <f t="shared" si="31"/>
        <v>271</v>
      </c>
      <c r="N198">
        <f t="shared" si="32"/>
        <v>265</v>
      </c>
      <c r="O198">
        <f t="shared" si="33"/>
        <v>276</v>
      </c>
      <c r="P198">
        <f t="shared" si="34"/>
        <v>278</v>
      </c>
      <c r="Q198">
        <f t="shared" si="35"/>
        <v>266</v>
      </c>
      <c r="R198">
        <f t="shared" si="36"/>
        <v>281</v>
      </c>
      <c r="S198">
        <f t="shared" si="37"/>
        <v>281</v>
      </c>
      <c r="T198">
        <f t="shared" si="38"/>
        <v>273</v>
      </c>
      <c r="U198">
        <f t="shared" si="39"/>
        <v>276</v>
      </c>
      <c r="V198">
        <f t="shared" si="30"/>
        <v>273</v>
      </c>
    </row>
    <row r="199" spans="1:22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  <c r="M199" s="7">
        <f t="shared" si="31"/>
        <v>265</v>
      </c>
      <c r="N199">
        <f t="shared" si="32"/>
        <v>268</v>
      </c>
      <c r="O199">
        <f t="shared" si="33"/>
        <v>280</v>
      </c>
      <c r="P199">
        <f t="shared" si="34"/>
        <v>272</v>
      </c>
      <c r="Q199">
        <f t="shared" si="35"/>
        <v>269</v>
      </c>
      <c r="R199">
        <f t="shared" si="36"/>
        <v>271</v>
      </c>
      <c r="S199">
        <f t="shared" si="37"/>
        <v>276</v>
      </c>
      <c r="T199">
        <f t="shared" si="38"/>
        <v>266</v>
      </c>
      <c r="U199">
        <f t="shared" si="39"/>
        <v>281</v>
      </c>
      <c r="V199">
        <f t="shared" si="30"/>
        <v>281</v>
      </c>
    </row>
    <row r="200" spans="1:22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  <c r="M200" s="7">
        <f t="shared" si="31"/>
        <v>270</v>
      </c>
      <c r="N200">
        <f t="shared" si="32"/>
        <v>278</v>
      </c>
      <c r="O200">
        <f t="shared" si="33"/>
        <v>275</v>
      </c>
      <c r="P200">
        <f t="shared" si="34"/>
        <v>267</v>
      </c>
      <c r="Q200">
        <f t="shared" si="35"/>
        <v>274</v>
      </c>
      <c r="R200">
        <f t="shared" si="36"/>
        <v>269</v>
      </c>
      <c r="S200">
        <f t="shared" si="37"/>
        <v>276</v>
      </c>
      <c r="T200">
        <f t="shared" si="38"/>
        <v>265</v>
      </c>
      <c r="U200">
        <f t="shared" si="39"/>
        <v>275</v>
      </c>
      <c r="V200">
        <f t="shared" si="30"/>
        <v>272</v>
      </c>
    </row>
    <row r="201" spans="1:22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  <c r="M201" s="7">
        <f t="shared" si="31"/>
        <v>266</v>
      </c>
      <c r="N201">
        <f t="shared" si="32"/>
        <v>279</v>
      </c>
      <c r="O201">
        <f t="shared" si="33"/>
        <v>267</v>
      </c>
      <c r="P201">
        <f t="shared" si="34"/>
        <v>278</v>
      </c>
      <c r="Q201">
        <f t="shared" si="35"/>
        <v>269</v>
      </c>
      <c r="R201">
        <f t="shared" si="36"/>
        <v>268</v>
      </c>
      <c r="S201">
        <f t="shared" si="37"/>
        <v>272</v>
      </c>
      <c r="T201">
        <f t="shared" si="38"/>
        <v>276</v>
      </c>
      <c r="U201">
        <f t="shared" si="39"/>
        <v>266</v>
      </c>
      <c r="V201">
        <f t="shared" si="30"/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BF01-999B-459A-85B2-C451B5409D30}">
  <dimension ref="A1:G201"/>
  <sheetViews>
    <sheetView zoomScale="130" zoomScaleNormal="130" workbookViewId="0">
      <selection activeCell="E10" sqref="E10"/>
    </sheetView>
  </sheetViews>
  <sheetFormatPr defaultRowHeight="15" x14ac:dyDescent="0.25"/>
  <cols>
    <col min="1" max="1" width="10.85546875" bestFit="1" customWidth="1"/>
    <col min="6" max="6" width="17.7109375" bestFit="1" customWidth="1"/>
    <col min="7" max="7" width="17.85546875" bestFit="1" customWidth="1"/>
  </cols>
  <sheetData>
    <row r="1" spans="1:7" x14ac:dyDescent="0.25">
      <c r="A1" t="s">
        <v>0</v>
      </c>
      <c r="B1" t="s">
        <v>11</v>
      </c>
      <c r="C1" t="s">
        <v>20</v>
      </c>
    </row>
    <row r="2" spans="1:7" x14ac:dyDescent="0.25">
      <c r="A2" s="1">
        <v>42374</v>
      </c>
      <c r="B2">
        <v>4.53</v>
      </c>
      <c r="C2" s="3">
        <f>MONTH(A2)</f>
        <v>1</v>
      </c>
      <c r="F2" s="4" t="s">
        <v>12</v>
      </c>
      <c r="G2" t="s">
        <v>21</v>
      </c>
    </row>
    <row r="3" spans="1:7" x14ac:dyDescent="0.25">
      <c r="A3" s="1">
        <v>42377</v>
      </c>
      <c r="B3">
        <v>0.03</v>
      </c>
      <c r="C3" s="3">
        <f t="shared" ref="C3:C66" si="0">MONTH(A3)</f>
        <v>1</v>
      </c>
      <c r="F3" s="5">
        <v>1</v>
      </c>
      <c r="G3" s="8">
        <v>0.90857142857142859</v>
      </c>
    </row>
    <row r="4" spans="1:7" x14ac:dyDescent="0.25">
      <c r="A4" s="1">
        <v>42387</v>
      </c>
      <c r="B4">
        <v>-4.25</v>
      </c>
      <c r="C4" s="3">
        <f t="shared" si="0"/>
        <v>1</v>
      </c>
      <c r="F4" s="5">
        <v>2</v>
      </c>
      <c r="G4" s="8">
        <v>0.1573333333333333</v>
      </c>
    </row>
    <row r="5" spans="1:7" x14ac:dyDescent="0.25">
      <c r="A5" s="1">
        <v>42389</v>
      </c>
      <c r="B5">
        <v>-2.96</v>
      </c>
      <c r="C5" s="3">
        <f t="shared" si="0"/>
        <v>1</v>
      </c>
      <c r="F5" s="5">
        <v>3</v>
      </c>
      <c r="G5" s="8">
        <v>2.2973684210526319</v>
      </c>
    </row>
    <row r="6" spans="1:7" x14ac:dyDescent="0.25">
      <c r="A6" s="1">
        <v>42390</v>
      </c>
      <c r="B6">
        <v>-3.49</v>
      </c>
      <c r="C6" s="3">
        <f t="shared" si="0"/>
        <v>1</v>
      </c>
      <c r="F6" s="5">
        <v>4</v>
      </c>
      <c r="G6" s="8">
        <v>12.842307692307694</v>
      </c>
    </row>
    <row r="7" spans="1:7" x14ac:dyDescent="0.25">
      <c r="A7" s="1">
        <v>42391</v>
      </c>
      <c r="B7">
        <v>4.67</v>
      </c>
      <c r="C7" s="3">
        <f t="shared" si="0"/>
        <v>1</v>
      </c>
      <c r="F7" s="5">
        <v>5</v>
      </c>
      <c r="G7" s="8">
        <v>13.564210526315788</v>
      </c>
    </row>
    <row r="8" spans="1:7" x14ac:dyDescent="0.25">
      <c r="A8" s="1">
        <v>42399</v>
      </c>
      <c r="B8">
        <v>7.83</v>
      </c>
      <c r="C8" s="3">
        <f t="shared" si="0"/>
        <v>1</v>
      </c>
      <c r="F8" s="5">
        <v>6</v>
      </c>
      <c r="G8" s="8">
        <v>14.542499999999997</v>
      </c>
    </row>
    <row r="9" spans="1:7" x14ac:dyDescent="0.25">
      <c r="A9" s="1">
        <v>42405</v>
      </c>
      <c r="B9">
        <v>-2.82</v>
      </c>
      <c r="C9" s="3">
        <f t="shared" si="0"/>
        <v>2</v>
      </c>
      <c r="F9" s="5">
        <v>7</v>
      </c>
      <c r="G9" s="8">
        <v>22.222631578947368</v>
      </c>
    </row>
    <row r="10" spans="1:7" x14ac:dyDescent="0.25">
      <c r="A10" s="1">
        <v>42406</v>
      </c>
      <c r="B10">
        <v>7.35</v>
      </c>
      <c r="C10" s="3">
        <f t="shared" si="0"/>
        <v>2</v>
      </c>
      <c r="F10" s="5">
        <v>8</v>
      </c>
      <c r="G10" s="8">
        <v>22.228750000000002</v>
      </c>
    </row>
    <row r="11" spans="1:7" x14ac:dyDescent="0.25">
      <c r="A11" s="1">
        <v>42406</v>
      </c>
      <c r="B11">
        <v>-7.35</v>
      </c>
      <c r="C11" s="3">
        <f t="shared" si="0"/>
        <v>2</v>
      </c>
      <c r="F11" s="5">
        <v>9</v>
      </c>
      <c r="G11" s="8">
        <v>16.025333333333332</v>
      </c>
    </row>
    <row r="12" spans="1:7" x14ac:dyDescent="0.25">
      <c r="A12" s="1">
        <v>42409</v>
      </c>
      <c r="B12">
        <v>-6.66</v>
      </c>
      <c r="C12" s="3">
        <f t="shared" si="0"/>
        <v>2</v>
      </c>
      <c r="F12" s="5">
        <v>10</v>
      </c>
      <c r="G12" s="8">
        <v>15.032105263157895</v>
      </c>
    </row>
    <row r="13" spans="1:7" x14ac:dyDescent="0.25">
      <c r="A13" s="1">
        <v>42410</v>
      </c>
      <c r="B13">
        <v>-1.43</v>
      </c>
      <c r="C13" s="3">
        <f t="shared" si="0"/>
        <v>2</v>
      </c>
      <c r="F13" s="5">
        <v>11</v>
      </c>
      <c r="G13" s="8">
        <v>15.53529411764706</v>
      </c>
    </row>
    <row r="14" spans="1:7" x14ac:dyDescent="0.25">
      <c r="A14" s="1">
        <v>42410</v>
      </c>
      <c r="B14">
        <v>8.5299999999999994</v>
      </c>
      <c r="C14" s="3">
        <f t="shared" si="0"/>
        <v>2</v>
      </c>
      <c r="F14" s="5">
        <v>12</v>
      </c>
      <c r="G14" s="8">
        <v>0.64777777777777756</v>
      </c>
    </row>
    <row r="15" spans="1:7" x14ac:dyDescent="0.25">
      <c r="A15" s="1">
        <v>42413</v>
      </c>
      <c r="B15">
        <v>0.5</v>
      </c>
      <c r="C15" s="3">
        <f t="shared" si="0"/>
        <v>2</v>
      </c>
      <c r="F15" s="5" t="s">
        <v>13</v>
      </c>
      <c r="G15" s="8">
        <v>12.888500000000001</v>
      </c>
    </row>
    <row r="16" spans="1:7" x14ac:dyDescent="0.25">
      <c r="A16" s="1">
        <v>42415</v>
      </c>
      <c r="B16">
        <v>-5.55</v>
      </c>
      <c r="C16" s="3">
        <f t="shared" si="0"/>
        <v>2</v>
      </c>
    </row>
    <row r="17" spans="1:7" x14ac:dyDescent="0.25">
      <c r="A17" s="1">
        <v>42415</v>
      </c>
      <c r="B17">
        <v>3.43</v>
      </c>
      <c r="C17" s="3">
        <f t="shared" si="0"/>
        <v>2</v>
      </c>
      <c r="F17" s="6" t="s">
        <v>22</v>
      </c>
      <c r="G17" s="6" t="s">
        <v>23</v>
      </c>
    </row>
    <row r="18" spans="1:7" x14ac:dyDescent="0.25">
      <c r="A18" s="1">
        <v>42418</v>
      </c>
      <c r="B18">
        <v>3.21</v>
      </c>
      <c r="C18" s="3">
        <f t="shared" si="0"/>
        <v>2</v>
      </c>
      <c r="F18" s="9">
        <v>1</v>
      </c>
      <c r="G18" s="10">
        <v>0.90857142857142859</v>
      </c>
    </row>
    <row r="19" spans="1:7" x14ac:dyDescent="0.25">
      <c r="A19" s="1">
        <v>42418</v>
      </c>
      <c r="B19">
        <v>-3.25</v>
      </c>
      <c r="C19" s="3">
        <f t="shared" si="0"/>
        <v>2</v>
      </c>
      <c r="F19" s="9">
        <v>2</v>
      </c>
      <c r="G19" s="10">
        <v>0.1573333333333333</v>
      </c>
    </row>
    <row r="20" spans="1:7" x14ac:dyDescent="0.25">
      <c r="A20" s="1">
        <v>42418</v>
      </c>
      <c r="B20">
        <v>8.69</v>
      </c>
      <c r="C20" s="3">
        <f t="shared" si="0"/>
        <v>2</v>
      </c>
      <c r="F20" s="9">
        <v>3</v>
      </c>
      <c r="G20" s="10">
        <v>2.2973684210526319</v>
      </c>
    </row>
    <row r="21" spans="1:7" x14ac:dyDescent="0.25">
      <c r="A21" s="1">
        <v>42420</v>
      </c>
      <c r="B21">
        <v>-2.02</v>
      </c>
      <c r="C21" s="3">
        <f t="shared" si="0"/>
        <v>2</v>
      </c>
      <c r="F21" s="9">
        <v>4</v>
      </c>
      <c r="G21" s="10">
        <v>12.842307692307694</v>
      </c>
    </row>
    <row r="22" spans="1:7" x14ac:dyDescent="0.25">
      <c r="A22" s="1">
        <v>42421</v>
      </c>
      <c r="B22">
        <v>2.82</v>
      </c>
      <c r="C22" s="3">
        <f t="shared" si="0"/>
        <v>2</v>
      </c>
      <c r="F22" s="9">
        <v>5</v>
      </c>
      <c r="G22" s="10">
        <v>13.564210526315788</v>
      </c>
    </row>
    <row r="23" spans="1:7" x14ac:dyDescent="0.25">
      <c r="A23" s="1">
        <v>42424</v>
      </c>
      <c r="B23">
        <v>-3.09</v>
      </c>
      <c r="C23" s="3">
        <f t="shared" si="0"/>
        <v>2</v>
      </c>
      <c r="F23" s="9">
        <v>6</v>
      </c>
      <c r="G23" s="10">
        <v>14.542499999999997</v>
      </c>
    </row>
    <row r="24" spans="1:7" x14ac:dyDescent="0.25">
      <c r="A24" s="1">
        <v>42430</v>
      </c>
      <c r="B24">
        <v>-6.44</v>
      </c>
      <c r="C24" s="3">
        <f t="shared" si="0"/>
        <v>3</v>
      </c>
      <c r="F24" s="9">
        <v>7</v>
      </c>
      <c r="G24" s="10">
        <v>22.222631578947368</v>
      </c>
    </row>
    <row r="25" spans="1:7" x14ac:dyDescent="0.25">
      <c r="A25" s="1">
        <v>42431</v>
      </c>
      <c r="B25">
        <v>-2.61</v>
      </c>
      <c r="C25" s="3">
        <f t="shared" si="0"/>
        <v>3</v>
      </c>
      <c r="F25" s="9">
        <v>8</v>
      </c>
      <c r="G25" s="10">
        <v>22.228750000000002</v>
      </c>
    </row>
    <row r="26" spans="1:7" x14ac:dyDescent="0.25">
      <c r="A26" s="1">
        <v>42433</v>
      </c>
      <c r="B26">
        <v>8.8699999999999992</v>
      </c>
      <c r="C26" s="3">
        <f t="shared" si="0"/>
        <v>3</v>
      </c>
      <c r="F26" s="9">
        <v>9</v>
      </c>
      <c r="G26" s="10">
        <v>16.025333333333332</v>
      </c>
    </row>
    <row r="27" spans="1:7" x14ac:dyDescent="0.25">
      <c r="A27" s="1">
        <v>42435</v>
      </c>
      <c r="B27">
        <v>-1.1200000000000001</v>
      </c>
      <c r="C27" s="3">
        <f t="shared" si="0"/>
        <v>3</v>
      </c>
      <c r="F27" s="9">
        <v>10</v>
      </c>
      <c r="G27" s="10">
        <v>15.032105263157895</v>
      </c>
    </row>
    <row r="28" spans="1:7" x14ac:dyDescent="0.25">
      <c r="A28" s="1">
        <v>42436</v>
      </c>
      <c r="B28">
        <v>7.82</v>
      </c>
      <c r="C28" s="3">
        <f t="shared" si="0"/>
        <v>3</v>
      </c>
      <c r="F28" s="9">
        <v>11</v>
      </c>
      <c r="G28" s="10">
        <v>15.53529411764706</v>
      </c>
    </row>
    <row r="29" spans="1:7" x14ac:dyDescent="0.25">
      <c r="A29" s="1">
        <v>42439</v>
      </c>
      <c r="B29">
        <v>6.28</v>
      </c>
      <c r="C29" s="3">
        <f t="shared" si="0"/>
        <v>3</v>
      </c>
      <c r="F29" s="9">
        <v>12</v>
      </c>
      <c r="G29" s="10">
        <v>0.64777777777777756</v>
      </c>
    </row>
    <row r="30" spans="1:7" x14ac:dyDescent="0.25">
      <c r="A30" s="1">
        <v>42441</v>
      </c>
      <c r="B30">
        <v>-2.5099999999999998</v>
      </c>
      <c r="C30" s="3">
        <f t="shared" si="0"/>
        <v>3</v>
      </c>
    </row>
    <row r="31" spans="1:7" x14ac:dyDescent="0.25">
      <c r="A31" s="1">
        <v>42444</v>
      </c>
      <c r="B31">
        <v>8.17</v>
      </c>
      <c r="C31" s="3">
        <f t="shared" si="0"/>
        <v>3</v>
      </c>
    </row>
    <row r="32" spans="1:7" x14ac:dyDescent="0.25">
      <c r="A32" s="1">
        <v>42447</v>
      </c>
      <c r="B32">
        <v>-7.39</v>
      </c>
      <c r="C32" s="3">
        <f t="shared" si="0"/>
        <v>3</v>
      </c>
    </row>
    <row r="33" spans="1:3" x14ac:dyDescent="0.25">
      <c r="A33" s="1">
        <v>42450</v>
      </c>
      <c r="B33">
        <v>8.25</v>
      </c>
      <c r="C33" s="3">
        <f t="shared" si="0"/>
        <v>3</v>
      </c>
    </row>
    <row r="34" spans="1:3" x14ac:dyDescent="0.25">
      <c r="A34" s="1">
        <v>42451</v>
      </c>
      <c r="B34">
        <v>2.69</v>
      </c>
      <c r="C34" s="3">
        <f t="shared" si="0"/>
        <v>3</v>
      </c>
    </row>
    <row r="35" spans="1:3" x14ac:dyDescent="0.25">
      <c r="A35" s="1">
        <v>42452</v>
      </c>
      <c r="B35">
        <v>-5.94</v>
      </c>
      <c r="C35" s="3">
        <f t="shared" si="0"/>
        <v>3</v>
      </c>
    </row>
    <row r="36" spans="1:3" x14ac:dyDescent="0.25">
      <c r="A36" s="1">
        <v>42452</v>
      </c>
      <c r="B36">
        <v>7.75</v>
      </c>
      <c r="C36" s="3">
        <f t="shared" si="0"/>
        <v>3</v>
      </c>
    </row>
    <row r="37" spans="1:3" x14ac:dyDescent="0.25">
      <c r="A37" s="1">
        <v>42454</v>
      </c>
      <c r="B37">
        <v>1.39</v>
      </c>
      <c r="C37" s="3">
        <f t="shared" si="0"/>
        <v>3</v>
      </c>
    </row>
    <row r="38" spans="1:3" x14ac:dyDescent="0.25">
      <c r="A38" s="1">
        <v>42455</v>
      </c>
      <c r="B38">
        <v>-4.67</v>
      </c>
      <c r="C38" s="3">
        <f t="shared" si="0"/>
        <v>3</v>
      </c>
    </row>
    <row r="39" spans="1:3" x14ac:dyDescent="0.25">
      <c r="A39" s="1">
        <v>42455</v>
      </c>
      <c r="B39">
        <v>7.28</v>
      </c>
      <c r="C39" s="3">
        <f t="shared" si="0"/>
        <v>3</v>
      </c>
    </row>
    <row r="40" spans="1:3" x14ac:dyDescent="0.25">
      <c r="A40" s="1">
        <v>42456</v>
      </c>
      <c r="B40">
        <v>7.99</v>
      </c>
      <c r="C40" s="3">
        <f t="shared" si="0"/>
        <v>3</v>
      </c>
    </row>
    <row r="41" spans="1:3" x14ac:dyDescent="0.25">
      <c r="A41" s="1">
        <v>42457</v>
      </c>
      <c r="B41">
        <v>6.48</v>
      </c>
      <c r="C41" s="3">
        <f t="shared" si="0"/>
        <v>3</v>
      </c>
    </row>
    <row r="42" spans="1:3" x14ac:dyDescent="0.25">
      <c r="A42" s="1">
        <v>42458</v>
      </c>
      <c r="B42">
        <v>1.36</v>
      </c>
      <c r="C42" s="3">
        <f t="shared" si="0"/>
        <v>3</v>
      </c>
    </row>
    <row r="43" spans="1:3" x14ac:dyDescent="0.25">
      <c r="A43" s="1">
        <v>42468</v>
      </c>
      <c r="B43">
        <v>13.78</v>
      </c>
      <c r="C43" s="3">
        <f t="shared" si="0"/>
        <v>4</v>
      </c>
    </row>
    <row r="44" spans="1:3" x14ac:dyDescent="0.25">
      <c r="A44" s="1">
        <v>42470</v>
      </c>
      <c r="B44">
        <v>14.21</v>
      </c>
      <c r="C44" s="3">
        <f t="shared" si="0"/>
        <v>4</v>
      </c>
    </row>
    <row r="45" spans="1:3" x14ac:dyDescent="0.25">
      <c r="A45" s="1">
        <v>42472</v>
      </c>
      <c r="B45">
        <v>12.9</v>
      </c>
      <c r="C45" s="3">
        <f t="shared" si="0"/>
        <v>4</v>
      </c>
    </row>
    <row r="46" spans="1:3" x14ac:dyDescent="0.25">
      <c r="A46" s="1">
        <v>42475</v>
      </c>
      <c r="B46">
        <v>12.1</v>
      </c>
      <c r="C46" s="3">
        <f t="shared" si="0"/>
        <v>4</v>
      </c>
    </row>
    <row r="47" spans="1:3" x14ac:dyDescent="0.25">
      <c r="A47" s="1">
        <v>42478</v>
      </c>
      <c r="B47">
        <v>10.08</v>
      </c>
      <c r="C47" s="3">
        <f t="shared" si="0"/>
        <v>4</v>
      </c>
    </row>
    <row r="48" spans="1:3" x14ac:dyDescent="0.25">
      <c r="A48" s="1">
        <v>42479</v>
      </c>
      <c r="B48">
        <v>13.6</v>
      </c>
      <c r="C48" s="3">
        <f t="shared" si="0"/>
        <v>4</v>
      </c>
    </row>
    <row r="49" spans="1:3" x14ac:dyDescent="0.25">
      <c r="A49" s="1">
        <v>42480</v>
      </c>
      <c r="B49">
        <v>13.03</v>
      </c>
      <c r="C49" s="3">
        <f t="shared" si="0"/>
        <v>4</v>
      </c>
    </row>
    <row r="50" spans="1:3" x14ac:dyDescent="0.25">
      <c r="A50" s="1">
        <v>42480</v>
      </c>
      <c r="B50">
        <v>13.14</v>
      </c>
      <c r="C50" s="3">
        <f t="shared" si="0"/>
        <v>4</v>
      </c>
    </row>
    <row r="51" spans="1:3" x14ac:dyDescent="0.25">
      <c r="A51" s="1">
        <v>42484</v>
      </c>
      <c r="B51">
        <v>12.33</v>
      </c>
      <c r="C51" s="3">
        <f t="shared" si="0"/>
        <v>4</v>
      </c>
    </row>
    <row r="52" spans="1:3" x14ac:dyDescent="0.25">
      <c r="A52" s="1">
        <v>42485</v>
      </c>
      <c r="B52">
        <v>14.16</v>
      </c>
      <c r="C52" s="3">
        <f t="shared" si="0"/>
        <v>4</v>
      </c>
    </row>
    <row r="53" spans="1:3" x14ac:dyDescent="0.25">
      <c r="A53" s="1">
        <v>42485</v>
      </c>
      <c r="B53">
        <v>12.8</v>
      </c>
      <c r="C53" s="3">
        <f t="shared" si="0"/>
        <v>4</v>
      </c>
    </row>
    <row r="54" spans="1:3" x14ac:dyDescent="0.25">
      <c r="A54" s="1">
        <v>42487</v>
      </c>
      <c r="B54">
        <v>11.15</v>
      </c>
      <c r="C54" s="3">
        <f t="shared" si="0"/>
        <v>4</v>
      </c>
    </row>
    <row r="55" spans="1:3" x14ac:dyDescent="0.25">
      <c r="A55" s="1">
        <v>42489</v>
      </c>
      <c r="B55">
        <v>13.67</v>
      </c>
      <c r="C55" s="3">
        <f t="shared" si="0"/>
        <v>4</v>
      </c>
    </row>
    <row r="56" spans="1:3" x14ac:dyDescent="0.25">
      <c r="A56" s="1">
        <v>42492</v>
      </c>
      <c r="B56">
        <v>15.37</v>
      </c>
      <c r="C56" s="3">
        <f t="shared" si="0"/>
        <v>5</v>
      </c>
    </row>
    <row r="57" spans="1:3" x14ac:dyDescent="0.25">
      <c r="A57" s="1">
        <v>42493</v>
      </c>
      <c r="B57">
        <v>12.52</v>
      </c>
      <c r="C57" s="3">
        <f t="shared" si="0"/>
        <v>5</v>
      </c>
    </row>
    <row r="58" spans="1:3" x14ac:dyDescent="0.25">
      <c r="A58" s="1">
        <v>42495</v>
      </c>
      <c r="B58">
        <v>15.58</v>
      </c>
      <c r="C58" s="3">
        <f t="shared" si="0"/>
        <v>5</v>
      </c>
    </row>
    <row r="59" spans="1:3" x14ac:dyDescent="0.25">
      <c r="A59" s="1">
        <v>42495</v>
      </c>
      <c r="B59">
        <v>10.47</v>
      </c>
      <c r="C59" s="3">
        <f t="shared" si="0"/>
        <v>5</v>
      </c>
    </row>
    <row r="60" spans="1:3" x14ac:dyDescent="0.25">
      <c r="A60" s="1">
        <v>42495</v>
      </c>
      <c r="B60">
        <v>11.93</v>
      </c>
      <c r="C60" s="3">
        <f t="shared" si="0"/>
        <v>5</v>
      </c>
    </row>
    <row r="61" spans="1:3" x14ac:dyDescent="0.25">
      <c r="A61" s="1">
        <v>42496</v>
      </c>
      <c r="B61">
        <v>15.53</v>
      </c>
      <c r="C61" s="3">
        <f t="shared" si="0"/>
        <v>5</v>
      </c>
    </row>
    <row r="62" spans="1:3" x14ac:dyDescent="0.25">
      <c r="A62" s="1">
        <v>42498</v>
      </c>
      <c r="B62">
        <v>13.61</v>
      </c>
      <c r="C62" s="3">
        <f t="shared" si="0"/>
        <v>5</v>
      </c>
    </row>
    <row r="63" spans="1:3" x14ac:dyDescent="0.25">
      <c r="A63" s="1">
        <v>42498</v>
      </c>
      <c r="B63">
        <v>10.97</v>
      </c>
      <c r="C63" s="3">
        <f t="shared" si="0"/>
        <v>5</v>
      </c>
    </row>
    <row r="64" spans="1:3" x14ac:dyDescent="0.25">
      <c r="A64" s="1">
        <v>42499</v>
      </c>
      <c r="B64">
        <v>11.55</v>
      </c>
      <c r="C64" s="3">
        <f t="shared" si="0"/>
        <v>5</v>
      </c>
    </row>
    <row r="65" spans="1:3" x14ac:dyDescent="0.25">
      <c r="A65" s="1">
        <v>42500</v>
      </c>
      <c r="B65">
        <v>13.95</v>
      </c>
      <c r="C65" s="3">
        <f t="shared" si="0"/>
        <v>5</v>
      </c>
    </row>
    <row r="66" spans="1:3" x14ac:dyDescent="0.25">
      <c r="A66" s="1">
        <v>42501</v>
      </c>
      <c r="B66">
        <v>10.54</v>
      </c>
      <c r="C66" s="3">
        <f t="shared" si="0"/>
        <v>5</v>
      </c>
    </row>
    <row r="67" spans="1:3" x14ac:dyDescent="0.25">
      <c r="A67" s="1">
        <v>42502</v>
      </c>
      <c r="B67">
        <v>13.55</v>
      </c>
      <c r="C67" s="3">
        <f t="shared" ref="C67:C130" si="1">MONTH(A67)</f>
        <v>5</v>
      </c>
    </row>
    <row r="68" spans="1:3" x14ac:dyDescent="0.25">
      <c r="A68" s="1">
        <v>42504</v>
      </c>
      <c r="B68">
        <v>15.42</v>
      </c>
      <c r="C68" s="3">
        <f t="shared" si="1"/>
        <v>5</v>
      </c>
    </row>
    <row r="69" spans="1:3" x14ac:dyDescent="0.25">
      <c r="A69" s="1">
        <v>42505</v>
      </c>
      <c r="B69">
        <v>15.34</v>
      </c>
      <c r="C69" s="3">
        <f t="shared" si="1"/>
        <v>5</v>
      </c>
    </row>
    <row r="70" spans="1:3" x14ac:dyDescent="0.25">
      <c r="A70" s="1">
        <v>42508</v>
      </c>
      <c r="B70">
        <v>15.72</v>
      </c>
      <c r="C70" s="3">
        <f t="shared" si="1"/>
        <v>5</v>
      </c>
    </row>
    <row r="71" spans="1:3" x14ac:dyDescent="0.25">
      <c r="A71" s="1">
        <v>42511</v>
      </c>
      <c r="B71">
        <v>14.15</v>
      </c>
      <c r="C71" s="3">
        <f t="shared" si="1"/>
        <v>5</v>
      </c>
    </row>
    <row r="72" spans="1:3" x14ac:dyDescent="0.25">
      <c r="A72" s="1">
        <v>42512</v>
      </c>
      <c r="B72">
        <v>14.67</v>
      </c>
      <c r="C72" s="3">
        <f t="shared" si="1"/>
        <v>5</v>
      </c>
    </row>
    <row r="73" spans="1:3" x14ac:dyDescent="0.25">
      <c r="A73" s="1">
        <v>42517</v>
      </c>
      <c r="B73">
        <v>11.17</v>
      </c>
      <c r="C73" s="3">
        <f t="shared" si="1"/>
        <v>5</v>
      </c>
    </row>
    <row r="74" spans="1:3" x14ac:dyDescent="0.25">
      <c r="A74" s="1">
        <v>42518</v>
      </c>
      <c r="B74">
        <v>15.68</v>
      </c>
      <c r="C74" s="3">
        <f t="shared" si="1"/>
        <v>5</v>
      </c>
    </row>
    <row r="75" spans="1:3" x14ac:dyDescent="0.25">
      <c r="A75" s="1">
        <v>42523</v>
      </c>
      <c r="B75">
        <v>19.329999999999998</v>
      </c>
      <c r="C75" s="3">
        <f t="shared" si="1"/>
        <v>6</v>
      </c>
    </row>
    <row r="76" spans="1:3" x14ac:dyDescent="0.25">
      <c r="A76" s="1">
        <v>42526</v>
      </c>
      <c r="B76">
        <v>12.94</v>
      </c>
      <c r="C76" s="3">
        <f t="shared" si="1"/>
        <v>6</v>
      </c>
    </row>
    <row r="77" spans="1:3" x14ac:dyDescent="0.25">
      <c r="A77" s="1">
        <v>42529</v>
      </c>
      <c r="B77">
        <v>12.24</v>
      </c>
      <c r="C77" s="3">
        <f t="shared" si="1"/>
        <v>6</v>
      </c>
    </row>
    <row r="78" spans="1:3" x14ac:dyDescent="0.25">
      <c r="A78" s="1">
        <v>42530</v>
      </c>
      <c r="B78">
        <v>18.690000000000001</v>
      </c>
      <c r="C78" s="3">
        <f t="shared" si="1"/>
        <v>6</v>
      </c>
    </row>
    <row r="79" spans="1:3" x14ac:dyDescent="0.25">
      <c r="A79" s="1">
        <v>42532</v>
      </c>
      <c r="B79">
        <v>13.19</v>
      </c>
      <c r="C79" s="3">
        <f t="shared" si="1"/>
        <v>6</v>
      </c>
    </row>
    <row r="80" spans="1:3" x14ac:dyDescent="0.25">
      <c r="A80" s="1">
        <v>42532</v>
      </c>
      <c r="B80">
        <v>15.91</v>
      </c>
      <c r="C80" s="3">
        <f t="shared" si="1"/>
        <v>6</v>
      </c>
    </row>
    <row r="81" spans="1:3" x14ac:dyDescent="0.25">
      <c r="A81" s="1">
        <v>42534</v>
      </c>
      <c r="B81">
        <v>11.46</v>
      </c>
      <c r="C81" s="3">
        <f t="shared" si="1"/>
        <v>6</v>
      </c>
    </row>
    <row r="82" spans="1:3" x14ac:dyDescent="0.25">
      <c r="A82" s="1">
        <v>42534</v>
      </c>
      <c r="B82">
        <v>16.47</v>
      </c>
      <c r="C82" s="3">
        <f t="shared" si="1"/>
        <v>6</v>
      </c>
    </row>
    <row r="83" spans="1:3" x14ac:dyDescent="0.25">
      <c r="A83" s="1">
        <v>42536</v>
      </c>
      <c r="B83">
        <v>10.26</v>
      </c>
      <c r="C83" s="3">
        <f t="shared" si="1"/>
        <v>6</v>
      </c>
    </row>
    <row r="84" spans="1:3" x14ac:dyDescent="0.25">
      <c r="A84" s="1">
        <v>42536</v>
      </c>
      <c r="B84">
        <v>14.58</v>
      </c>
      <c r="C84" s="3">
        <f t="shared" si="1"/>
        <v>6</v>
      </c>
    </row>
    <row r="85" spans="1:3" x14ac:dyDescent="0.25">
      <c r="A85" s="1">
        <v>42537</v>
      </c>
      <c r="B85">
        <v>12.66</v>
      </c>
      <c r="C85" s="3">
        <f t="shared" si="1"/>
        <v>6</v>
      </c>
    </row>
    <row r="86" spans="1:3" x14ac:dyDescent="0.25">
      <c r="A86" s="1">
        <v>42540</v>
      </c>
      <c r="B86">
        <v>15.76</v>
      </c>
      <c r="C86" s="3">
        <f t="shared" si="1"/>
        <v>6</v>
      </c>
    </row>
    <row r="87" spans="1:3" x14ac:dyDescent="0.25">
      <c r="A87" s="1">
        <v>42540</v>
      </c>
      <c r="B87">
        <v>14.23</v>
      </c>
      <c r="C87" s="3">
        <f t="shared" si="1"/>
        <v>6</v>
      </c>
    </row>
    <row r="88" spans="1:3" x14ac:dyDescent="0.25">
      <c r="A88" s="1">
        <v>42541</v>
      </c>
      <c r="B88">
        <v>19.73</v>
      </c>
      <c r="C88" s="3">
        <f t="shared" si="1"/>
        <v>6</v>
      </c>
    </row>
    <row r="89" spans="1:3" x14ac:dyDescent="0.25">
      <c r="A89" s="1">
        <v>42542</v>
      </c>
      <c r="B89">
        <v>17.22</v>
      </c>
      <c r="C89" s="3">
        <f t="shared" si="1"/>
        <v>6</v>
      </c>
    </row>
    <row r="90" spans="1:3" x14ac:dyDescent="0.25">
      <c r="A90" s="1">
        <v>42545</v>
      </c>
      <c r="B90">
        <v>12.5</v>
      </c>
      <c r="C90" s="3">
        <f t="shared" si="1"/>
        <v>6</v>
      </c>
    </row>
    <row r="91" spans="1:3" x14ac:dyDescent="0.25">
      <c r="A91" s="1">
        <v>42545</v>
      </c>
      <c r="B91">
        <v>12.04</v>
      </c>
      <c r="C91" s="3">
        <f t="shared" si="1"/>
        <v>6</v>
      </c>
    </row>
    <row r="92" spans="1:3" x14ac:dyDescent="0.25">
      <c r="A92" s="1">
        <v>42546</v>
      </c>
      <c r="B92">
        <v>12.04</v>
      </c>
      <c r="C92" s="3">
        <f t="shared" si="1"/>
        <v>6</v>
      </c>
    </row>
    <row r="93" spans="1:3" x14ac:dyDescent="0.25">
      <c r="A93" s="1">
        <v>42547</v>
      </c>
      <c r="B93">
        <v>15.9</v>
      </c>
      <c r="C93" s="3">
        <f t="shared" si="1"/>
        <v>6</v>
      </c>
    </row>
    <row r="94" spans="1:3" x14ac:dyDescent="0.25">
      <c r="A94" s="1">
        <v>42547</v>
      </c>
      <c r="B94">
        <v>13.54</v>
      </c>
      <c r="C94" s="3">
        <f t="shared" si="1"/>
        <v>6</v>
      </c>
    </row>
    <row r="95" spans="1:3" x14ac:dyDescent="0.25">
      <c r="A95" s="1">
        <v>42547</v>
      </c>
      <c r="B95">
        <v>14.5</v>
      </c>
      <c r="C95" s="3">
        <f t="shared" si="1"/>
        <v>6</v>
      </c>
    </row>
    <row r="96" spans="1:3" x14ac:dyDescent="0.25">
      <c r="A96" s="1">
        <v>42548</v>
      </c>
      <c r="B96">
        <v>13.96</v>
      </c>
      <c r="C96" s="3">
        <f t="shared" si="1"/>
        <v>6</v>
      </c>
    </row>
    <row r="97" spans="1:3" x14ac:dyDescent="0.25">
      <c r="A97" s="1">
        <v>42549</v>
      </c>
      <c r="B97">
        <v>11.35</v>
      </c>
      <c r="C97" s="3">
        <f t="shared" si="1"/>
        <v>6</v>
      </c>
    </row>
    <row r="98" spans="1:3" x14ac:dyDescent="0.25">
      <c r="A98" s="1">
        <v>42551</v>
      </c>
      <c r="B98">
        <v>18.52</v>
      </c>
      <c r="C98" s="3">
        <f t="shared" si="1"/>
        <v>6</v>
      </c>
    </row>
    <row r="99" spans="1:3" x14ac:dyDescent="0.25">
      <c r="A99" s="1">
        <v>42553</v>
      </c>
      <c r="B99">
        <v>21.31</v>
      </c>
      <c r="C99" s="3">
        <f t="shared" si="1"/>
        <v>7</v>
      </c>
    </row>
    <row r="100" spans="1:3" x14ac:dyDescent="0.25">
      <c r="A100" s="1">
        <v>42554</v>
      </c>
      <c r="B100">
        <v>23.87</v>
      </c>
      <c r="C100" s="3">
        <f t="shared" si="1"/>
        <v>7</v>
      </c>
    </row>
    <row r="101" spans="1:3" x14ac:dyDescent="0.25">
      <c r="A101" s="1">
        <v>42556</v>
      </c>
      <c r="B101">
        <v>23.77</v>
      </c>
      <c r="C101" s="3">
        <f t="shared" si="1"/>
        <v>7</v>
      </c>
    </row>
    <row r="102" spans="1:3" x14ac:dyDescent="0.25">
      <c r="A102" s="1">
        <v>42557</v>
      </c>
      <c r="B102">
        <v>21.13</v>
      </c>
      <c r="C102" s="3">
        <f t="shared" si="1"/>
        <v>7</v>
      </c>
    </row>
    <row r="103" spans="1:3" x14ac:dyDescent="0.25">
      <c r="A103" s="1">
        <v>42557</v>
      </c>
      <c r="B103">
        <v>20.04</v>
      </c>
      <c r="C103" s="3">
        <f t="shared" si="1"/>
        <v>7</v>
      </c>
    </row>
    <row r="104" spans="1:3" x14ac:dyDescent="0.25">
      <c r="A104" s="1">
        <v>42558</v>
      </c>
      <c r="B104">
        <v>20.5</v>
      </c>
      <c r="C104" s="3">
        <f t="shared" si="1"/>
        <v>7</v>
      </c>
    </row>
    <row r="105" spans="1:3" x14ac:dyDescent="0.25">
      <c r="A105" s="1">
        <v>42558</v>
      </c>
      <c r="B105">
        <v>20.49</v>
      </c>
      <c r="C105" s="3">
        <f t="shared" si="1"/>
        <v>7</v>
      </c>
    </row>
    <row r="106" spans="1:3" x14ac:dyDescent="0.25">
      <c r="A106" s="1">
        <v>42558</v>
      </c>
      <c r="B106">
        <v>22.53</v>
      </c>
      <c r="C106" s="3">
        <f t="shared" si="1"/>
        <v>7</v>
      </c>
    </row>
    <row r="107" spans="1:3" x14ac:dyDescent="0.25">
      <c r="A107" s="1">
        <v>42558</v>
      </c>
      <c r="B107">
        <v>22.54</v>
      </c>
      <c r="C107" s="3">
        <f t="shared" si="1"/>
        <v>7</v>
      </c>
    </row>
    <row r="108" spans="1:3" x14ac:dyDescent="0.25">
      <c r="A108" s="1">
        <v>42561</v>
      </c>
      <c r="B108">
        <v>23.03</v>
      </c>
      <c r="C108" s="3">
        <f t="shared" si="1"/>
        <v>7</v>
      </c>
    </row>
    <row r="109" spans="1:3" x14ac:dyDescent="0.25">
      <c r="A109" s="1">
        <v>42565</v>
      </c>
      <c r="B109">
        <v>24.8</v>
      </c>
      <c r="C109" s="3">
        <f t="shared" si="1"/>
        <v>7</v>
      </c>
    </row>
    <row r="110" spans="1:3" x14ac:dyDescent="0.25">
      <c r="A110" s="1">
        <v>42567</v>
      </c>
      <c r="B110">
        <v>21.42</v>
      </c>
      <c r="C110" s="3">
        <f t="shared" si="1"/>
        <v>7</v>
      </c>
    </row>
    <row r="111" spans="1:3" x14ac:dyDescent="0.25">
      <c r="A111" s="1">
        <v>42568</v>
      </c>
      <c r="B111">
        <v>22.32</v>
      </c>
      <c r="C111" s="3">
        <f t="shared" si="1"/>
        <v>7</v>
      </c>
    </row>
    <row r="112" spans="1:3" x14ac:dyDescent="0.25">
      <c r="A112" s="1">
        <v>42571</v>
      </c>
      <c r="B112">
        <v>22.3</v>
      </c>
      <c r="C112" s="3">
        <f t="shared" si="1"/>
        <v>7</v>
      </c>
    </row>
    <row r="113" spans="1:3" x14ac:dyDescent="0.25">
      <c r="A113" s="1">
        <v>42571</v>
      </c>
      <c r="B113">
        <v>22.02</v>
      </c>
      <c r="C113" s="3">
        <f t="shared" si="1"/>
        <v>7</v>
      </c>
    </row>
    <row r="114" spans="1:3" x14ac:dyDescent="0.25">
      <c r="A114" s="1">
        <v>42572</v>
      </c>
      <c r="B114">
        <v>24.51</v>
      </c>
      <c r="C114" s="3">
        <f t="shared" si="1"/>
        <v>7</v>
      </c>
    </row>
    <row r="115" spans="1:3" x14ac:dyDescent="0.25">
      <c r="A115" s="1">
        <v>42573</v>
      </c>
      <c r="B115">
        <v>21.9</v>
      </c>
      <c r="C115" s="3">
        <f t="shared" si="1"/>
        <v>7</v>
      </c>
    </row>
    <row r="116" spans="1:3" x14ac:dyDescent="0.25">
      <c r="A116" s="1">
        <v>42576</v>
      </c>
      <c r="B116">
        <v>22.09</v>
      </c>
      <c r="C116" s="3">
        <f t="shared" si="1"/>
        <v>7</v>
      </c>
    </row>
    <row r="117" spans="1:3" x14ac:dyDescent="0.25">
      <c r="A117" s="1">
        <v>42581</v>
      </c>
      <c r="B117">
        <v>21.66</v>
      </c>
      <c r="C117" s="3">
        <f t="shared" si="1"/>
        <v>7</v>
      </c>
    </row>
    <row r="118" spans="1:3" x14ac:dyDescent="0.25">
      <c r="A118" s="1">
        <v>42583</v>
      </c>
      <c r="B118">
        <v>20.73</v>
      </c>
      <c r="C118" s="3">
        <f t="shared" si="1"/>
        <v>8</v>
      </c>
    </row>
    <row r="119" spans="1:3" x14ac:dyDescent="0.25">
      <c r="A119" s="1">
        <v>42585</v>
      </c>
      <c r="B119">
        <v>21.93</v>
      </c>
      <c r="C119" s="3">
        <f t="shared" si="1"/>
        <v>8</v>
      </c>
    </row>
    <row r="120" spans="1:3" x14ac:dyDescent="0.25">
      <c r="A120" s="1">
        <v>42587</v>
      </c>
      <c r="B120">
        <v>23.53</v>
      </c>
      <c r="C120" s="3">
        <f t="shared" si="1"/>
        <v>8</v>
      </c>
    </row>
    <row r="121" spans="1:3" x14ac:dyDescent="0.25">
      <c r="A121" s="1">
        <v>42588</v>
      </c>
      <c r="B121">
        <v>23.21</v>
      </c>
      <c r="C121" s="3">
        <f t="shared" si="1"/>
        <v>8</v>
      </c>
    </row>
    <row r="122" spans="1:3" x14ac:dyDescent="0.25">
      <c r="A122" s="1">
        <v>42590</v>
      </c>
      <c r="B122">
        <v>20.98</v>
      </c>
      <c r="C122" s="3">
        <f t="shared" si="1"/>
        <v>8</v>
      </c>
    </row>
    <row r="123" spans="1:3" x14ac:dyDescent="0.25">
      <c r="A123" s="1">
        <v>42591</v>
      </c>
      <c r="B123">
        <v>24.53</v>
      </c>
      <c r="C123" s="3">
        <f t="shared" si="1"/>
        <v>8</v>
      </c>
    </row>
    <row r="124" spans="1:3" x14ac:dyDescent="0.25">
      <c r="A124" s="1">
        <v>42594</v>
      </c>
      <c r="B124">
        <v>24.22</v>
      </c>
      <c r="C124" s="3">
        <f t="shared" si="1"/>
        <v>8</v>
      </c>
    </row>
    <row r="125" spans="1:3" x14ac:dyDescent="0.25">
      <c r="A125" s="1">
        <v>42594</v>
      </c>
      <c r="B125">
        <v>22.78</v>
      </c>
      <c r="C125" s="3">
        <f t="shared" si="1"/>
        <v>8</v>
      </c>
    </row>
    <row r="126" spans="1:3" x14ac:dyDescent="0.25">
      <c r="A126" s="1">
        <v>42596</v>
      </c>
      <c r="B126">
        <v>20.05</v>
      </c>
      <c r="C126" s="3">
        <f t="shared" si="1"/>
        <v>8</v>
      </c>
    </row>
    <row r="127" spans="1:3" x14ac:dyDescent="0.25">
      <c r="A127" s="1">
        <v>42599</v>
      </c>
      <c r="B127">
        <v>24.76</v>
      </c>
      <c r="C127" s="3">
        <f t="shared" si="1"/>
        <v>8</v>
      </c>
    </row>
    <row r="128" spans="1:3" x14ac:dyDescent="0.25">
      <c r="A128" s="1">
        <v>42601</v>
      </c>
      <c r="B128">
        <v>22.84</v>
      </c>
      <c r="C128" s="3">
        <f t="shared" si="1"/>
        <v>8</v>
      </c>
    </row>
    <row r="129" spans="1:3" x14ac:dyDescent="0.25">
      <c r="A129" s="1">
        <v>42601</v>
      </c>
      <c r="B129">
        <v>23.02</v>
      </c>
      <c r="C129" s="3">
        <f t="shared" si="1"/>
        <v>8</v>
      </c>
    </row>
    <row r="130" spans="1:3" x14ac:dyDescent="0.25">
      <c r="A130" s="1">
        <v>42601</v>
      </c>
      <c r="B130">
        <v>20.5</v>
      </c>
      <c r="C130" s="3">
        <f t="shared" si="1"/>
        <v>8</v>
      </c>
    </row>
    <row r="131" spans="1:3" x14ac:dyDescent="0.25">
      <c r="A131" s="1">
        <v>42603</v>
      </c>
      <c r="B131">
        <v>20.36</v>
      </c>
      <c r="C131" s="3">
        <f t="shared" ref="C131:C194" si="2">MONTH(A131)</f>
        <v>8</v>
      </c>
    </row>
    <row r="132" spans="1:3" x14ac:dyDescent="0.25">
      <c r="A132" s="1">
        <v>42603</v>
      </c>
      <c r="B132">
        <v>23.09</v>
      </c>
      <c r="C132" s="3">
        <f t="shared" si="2"/>
        <v>8</v>
      </c>
    </row>
    <row r="133" spans="1:3" x14ac:dyDescent="0.25">
      <c r="A133" s="1">
        <v>42605</v>
      </c>
      <c r="B133">
        <v>24.1</v>
      </c>
      <c r="C133" s="3">
        <f t="shared" si="2"/>
        <v>8</v>
      </c>
    </row>
    <row r="134" spans="1:3" x14ac:dyDescent="0.25">
      <c r="A134" s="1">
        <v>42606</v>
      </c>
      <c r="B134">
        <v>20.99</v>
      </c>
      <c r="C134" s="3">
        <f t="shared" si="2"/>
        <v>8</v>
      </c>
    </row>
    <row r="135" spans="1:3" x14ac:dyDescent="0.25">
      <c r="A135" s="1">
        <v>42606</v>
      </c>
      <c r="B135">
        <v>20.260000000000002</v>
      </c>
      <c r="C135" s="3">
        <f t="shared" si="2"/>
        <v>8</v>
      </c>
    </row>
    <row r="136" spans="1:3" x14ac:dyDescent="0.25">
      <c r="A136" s="1">
        <v>42607</v>
      </c>
      <c r="B136">
        <v>20.71</v>
      </c>
      <c r="C136" s="3">
        <f t="shared" si="2"/>
        <v>8</v>
      </c>
    </row>
    <row r="137" spans="1:3" x14ac:dyDescent="0.25">
      <c r="A137" s="1">
        <v>42609</v>
      </c>
      <c r="B137">
        <v>23.78</v>
      </c>
      <c r="C137" s="3">
        <f t="shared" si="2"/>
        <v>8</v>
      </c>
    </row>
    <row r="138" spans="1:3" x14ac:dyDescent="0.25">
      <c r="A138" s="1">
        <v>42609</v>
      </c>
      <c r="B138">
        <v>22.48</v>
      </c>
      <c r="C138" s="3">
        <f t="shared" si="2"/>
        <v>8</v>
      </c>
    </row>
    <row r="139" spans="1:3" x14ac:dyDescent="0.25">
      <c r="A139" s="1">
        <v>42610</v>
      </c>
      <c r="B139">
        <v>21.43</v>
      </c>
      <c r="C139" s="3">
        <f t="shared" si="2"/>
        <v>8</v>
      </c>
    </row>
    <row r="140" spans="1:3" x14ac:dyDescent="0.25">
      <c r="A140" s="1">
        <v>42611</v>
      </c>
      <c r="B140">
        <v>20.8</v>
      </c>
      <c r="C140" s="3">
        <f t="shared" si="2"/>
        <v>8</v>
      </c>
    </row>
    <row r="141" spans="1:3" x14ac:dyDescent="0.25">
      <c r="A141" s="1">
        <v>42611</v>
      </c>
      <c r="B141">
        <v>22.41</v>
      </c>
      <c r="C141" s="3">
        <f t="shared" si="2"/>
        <v>8</v>
      </c>
    </row>
    <row r="142" spans="1:3" x14ac:dyDescent="0.25">
      <c r="A142" s="1">
        <v>42616</v>
      </c>
      <c r="B142">
        <v>14.37</v>
      </c>
      <c r="C142" s="3">
        <f t="shared" si="2"/>
        <v>9</v>
      </c>
    </row>
    <row r="143" spans="1:3" x14ac:dyDescent="0.25">
      <c r="A143" s="1">
        <v>42616</v>
      </c>
      <c r="B143">
        <v>15.82</v>
      </c>
      <c r="C143" s="3">
        <f t="shared" si="2"/>
        <v>9</v>
      </c>
    </row>
    <row r="144" spans="1:3" x14ac:dyDescent="0.25">
      <c r="A144" s="1">
        <v>42617</v>
      </c>
      <c r="B144">
        <v>11.12</v>
      </c>
      <c r="C144" s="3">
        <f t="shared" si="2"/>
        <v>9</v>
      </c>
    </row>
    <row r="145" spans="1:3" x14ac:dyDescent="0.25">
      <c r="A145" s="1">
        <v>42619</v>
      </c>
      <c r="B145">
        <v>17.64</v>
      </c>
      <c r="C145" s="3">
        <f t="shared" si="2"/>
        <v>9</v>
      </c>
    </row>
    <row r="146" spans="1:3" x14ac:dyDescent="0.25">
      <c r="A146" s="1">
        <v>42619</v>
      </c>
      <c r="B146">
        <v>19.510000000000002</v>
      </c>
      <c r="C146" s="3">
        <f t="shared" si="2"/>
        <v>9</v>
      </c>
    </row>
    <row r="147" spans="1:3" x14ac:dyDescent="0.25">
      <c r="A147" s="1">
        <v>42626</v>
      </c>
      <c r="B147">
        <v>16.04</v>
      </c>
      <c r="C147" s="3">
        <f t="shared" si="2"/>
        <v>9</v>
      </c>
    </row>
    <row r="148" spans="1:3" x14ac:dyDescent="0.25">
      <c r="A148" s="1">
        <v>42627</v>
      </c>
      <c r="B148">
        <v>19.96</v>
      </c>
      <c r="C148" s="3">
        <f t="shared" si="2"/>
        <v>9</v>
      </c>
    </row>
    <row r="149" spans="1:3" x14ac:dyDescent="0.25">
      <c r="A149" s="1">
        <v>42628</v>
      </c>
      <c r="B149">
        <v>10.44</v>
      </c>
      <c r="C149" s="3">
        <f t="shared" si="2"/>
        <v>9</v>
      </c>
    </row>
    <row r="150" spans="1:3" x14ac:dyDescent="0.25">
      <c r="A150" s="1">
        <v>42631</v>
      </c>
      <c r="B150">
        <v>17.690000000000001</v>
      </c>
      <c r="C150" s="3">
        <f t="shared" si="2"/>
        <v>9</v>
      </c>
    </row>
    <row r="151" spans="1:3" x14ac:dyDescent="0.25">
      <c r="A151" s="1">
        <v>42634</v>
      </c>
      <c r="B151">
        <v>16.95</v>
      </c>
      <c r="C151" s="3">
        <f t="shared" si="2"/>
        <v>9</v>
      </c>
    </row>
    <row r="152" spans="1:3" x14ac:dyDescent="0.25">
      <c r="A152" s="1">
        <v>42635</v>
      </c>
      <c r="B152">
        <v>16.170000000000002</v>
      </c>
      <c r="C152" s="3">
        <f t="shared" si="2"/>
        <v>9</v>
      </c>
    </row>
    <row r="153" spans="1:3" x14ac:dyDescent="0.25">
      <c r="A153" s="1">
        <v>42635</v>
      </c>
      <c r="B153">
        <v>18.489999999999998</v>
      </c>
      <c r="C153" s="3">
        <f t="shared" si="2"/>
        <v>9</v>
      </c>
    </row>
    <row r="154" spans="1:3" x14ac:dyDescent="0.25">
      <c r="A154" s="1">
        <v>42636</v>
      </c>
      <c r="B154">
        <v>15.46</v>
      </c>
      <c r="C154" s="3">
        <f t="shared" si="2"/>
        <v>9</v>
      </c>
    </row>
    <row r="155" spans="1:3" x14ac:dyDescent="0.25">
      <c r="A155" s="1">
        <v>42639</v>
      </c>
      <c r="B155">
        <v>15.46</v>
      </c>
      <c r="C155" s="3">
        <f t="shared" si="2"/>
        <v>9</v>
      </c>
    </row>
    <row r="156" spans="1:3" x14ac:dyDescent="0.25">
      <c r="A156" s="1">
        <v>42641</v>
      </c>
      <c r="B156">
        <v>15.26</v>
      </c>
      <c r="C156" s="3">
        <f t="shared" si="2"/>
        <v>9</v>
      </c>
    </row>
    <row r="157" spans="1:3" x14ac:dyDescent="0.25">
      <c r="A157" s="1">
        <v>42645</v>
      </c>
      <c r="B157">
        <v>12.42</v>
      </c>
      <c r="C157" s="3">
        <f t="shared" si="2"/>
        <v>10</v>
      </c>
    </row>
    <row r="158" spans="1:3" x14ac:dyDescent="0.25">
      <c r="A158" s="1">
        <v>42647</v>
      </c>
      <c r="B158">
        <v>19.149999999999999</v>
      </c>
      <c r="C158" s="3">
        <f t="shared" si="2"/>
        <v>10</v>
      </c>
    </row>
    <row r="159" spans="1:3" x14ac:dyDescent="0.25">
      <c r="A159" s="1">
        <v>42647</v>
      </c>
      <c r="B159">
        <v>10.17</v>
      </c>
      <c r="C159" s="3">
        <f t="shared" si="2"/>
        <v>10</v>
      </c>
    </row>
    <row r="160" spans="1:3" x14ac:dyDescent="0.25">
      <c r="A160" s="1">
        <v>42650</v>
      </c>
      <c r="B160">
        <v>11.72</v>
      </c>
      <c r="C160" s="3">
        <f t="shared" si="2"/>
        <v>10</v>
      </c>
    </row>
    <row r="161" spans="1:3" x14ac:dyDescent="0.25">
      <c r="A161" s="1">
        <v>42653</v>
      </c>
      <c r="B161">
        <v>11.75</v>
      </c>
      <c r="C161" s="3">
        <f t="shared" si="2"/>
        <v>10</v>
      </c>
    </row>
    <row r="162" spans="1:3" x14ac:dyDescent="0.25">
      <c r="A162" s="1">
        <v>42654</v>
      </c>
      <c r="B162">
        <v>15.91</v>
      </c>
      <c r="C162" s="3">
        <f t="shared" si="2"/>
        <v>10</v>
      </c>
    </row>
    <row r="163" spans="1:3" x14ac:dyDescent="0.25">
      <c r="A163" s="1">
        <v>42654</v>
      </c>
      <c r="B163">
        <v>17.760000000000002</v>
      </c>
      <c r="C163" s="3">
        <f t="shared" si="2"/>
        <v>10</v>
      </c>
    </row>
    <row r="164" spans="1:3" x14ac:dyDescent="0.25">
      <c r="A164" s="1">
        <v>42654</v>
      </c>
      <c r="B164">
        <v>13.87</v>
      </c>
      <c r="C164" s="3">
        <f t="shared" si="2"/>
        <v>10</v>
      </c>
    </row>
    <row r="165" spans="1:3" x14ac:dyDescent="0.25">
      <c r="A165" s="1">
        <v>42655</v>
      </c>
      <c r="B165">
        <v>13.27</v>
      </c>
      <c r="C165" s="3">
        <f t="shared" si="2"/>
        <v>10</v>
      </c>
    </row>
    <row r="166" spans="1:3" x14ac:dyDescent="0.25">
      <c r="A166" s="1">
        <v>42657</v>
      </c>
      <c r="B166">
        <v>18.22</v>
      </c>
      <c r="C166" s="3">
        <f t="shared" si="2"/>
        <v>10</v>
      </c>
    </row>
    <row r="167" spans="1:3" x14ac:dyDescent="0.25">
      <c r="A167" s="1">
        <v>42660</v>
      </c>
      <c r="B167">
        <v>12.67</v>
      </c>
      <c r="C167" s="3">
        <f t="shared" si="2"/>
        <v>10</v>
      </c>
    </row>
    <row r="168" spans="1:3" x14ac:dyDescent="0.25">
      <c r="A168" s="1">
        <v>42664</v>
      </c>
      <c r="B168">
        <v>17.690000000000001</v>
      </c>
      <c r="C168" s="3">
        <f t="shared" si="2"/>
        <v>10</v>
      </c>
    </row>
    <row r="169" spans="1:3" x14ac:dyDescent="0.25">
      <c r="A169" s="1">
        <v>42666</v>
      </c>
      <c r="B169">
        <v>18.43</v>
      </c>
      <c r="C169" s="3">
        <f t="shared" si="2"/>
        <v>10</v>
      </c>
    </row>
    <row r="170" spans="1:3" x14ac:dyDescent="0.25">
      <c r="A170" s="1">
        <v>42666</v>
      </c>
      <c r="B170">
        <v>19.170000000000002</v>
      </c>
      <c r="C170" s="3">
        <f t="shared" si="2"/>
        <v>10</v>
      </c>
    </row>
    <row r="171" spans="1:3" x14ac:dyDescent="0.25">
      <c r="A171" s="1">
        <v>42667</v>
      </c>
      <c r="B171">
        <v>13.87</v>
      </c>
      <c r="C171" s="3">
        <f t="shared" si="2"/>
        <v>10</v>
      </c>
    </row>
    <row r="172" spans="1:3" x14ac:dyDescent="0.25">
      <c r="A172" s="1">
        <v>42668</v>
      </c>
      <c r="B172">
        <v>13.57</v>
      </c>
      <c r="C172" s="3">
        <f t="shared" si="2"/>
        <v>10</v>
      </c>
    </row>
    <row r="173" spans="1:3" x14ac:dyDescent="0.25">
      <c r="A173" s="1">
        <v>42668</v>
      </c>
      <c r="B173">
        <v>11.08</v>
      </c>
      <c r="C173" s="3">
        <f t="shared" si="2"/>
        <v>10</v>
      </c>
    </row>
    <row r="174" spans="1:3" x14ac:dyDescent="0.25">
      <c r="A174" s="1">
        <v>42669</v>
      </c>
      <c r="B174">
        <v>16.52</v>
      </c>
      <c r="C174" s="3">
        <f t="shared" si="2"/>
        <v>10</v>
      </c>
    </row>
    <row r="175" spans="1:3" x14ac:dyDescent="0.25">
      <c r="A175" s="1">
        <v>42669</v>
      </c>
      <c r="B175">
        <v>18.37</v>
      </c>
      <c r="C175" s="3">
        <f t="shared" si="2"/>
        <v>10</v>
      </c>
    </row>
    <row r="176" spans="1:3" x14ac:dyDescent="0.25">
      <c r="A176" s="1">
        <v>42675</v>
      </c>
      <c r="B176">
        <v>19.760000000000002</v>
      </c>
      <c r="C176" s="3">
        <f t="shared" si="2"/>
        <v>11</v>
      </c>
    </row>
    <row r="177" spans="1:3" x14ac:dyDescent="0.25">
      <c r="A177" s="1">
        <v>42675</v>
      </c>
      <c r="B177">
        <v>13.18</v>
      </c>
      <c r="C177" s="3">
        <f t="shared" si="2"/>
        <v>11</v>
      </c>
    </row>
    <row r="178" spans="1:3" x14ac:dyDescent="0.25">
      <c r="A178" s="1">
        <v>42676</v>
      </c>
      <c r="B178">
        <v>17.09</v>
      </c>
      <c r="C178" s="3">
        <f t="shared" si="2"/>
        <v>11</v>
      </c>
    </row>
    <row r="179" spans="1:3" x14ac:dyDescent="0.25">
      <c r="A179" s="1">
        <v>42679</v>
      </c>
      <c r="B179">
        <v>14.51</v>
      </c>
      <c r="C179" s="3">
        <f t="shared" si="2"/>
        <v>11</v>
      </c>
    </row>
    <row r="180" spans="1:3" x14ac:dyDescent="0.25">
      <c r="A180" s="1">
        <v>42682</v>
      </c>
      <c r="B180">
        <v>19.25</v>
      </c>
      <c r="C180" s="3">
        <f t="shared" si="2"/>
        <v>11</v>
      </c>
    </row>
    <row r="181" spans="1:3" x14ac:dyDescent="0.25">
      <c r="A181" s="1">
        <v>42685</v>
      </c>
      <c r="B181">
        <v>19.36</v>
      </c>
      <c r="C181" s="3">
        <f t="shared" si="2"/>
        <v>11</v>
      </c>
    </row>
    <row r="182" spans="1:3" x14ac:dyDescent="0.25">
      <c r="A182" s="1">
        <v>42686</v>
      </c>
      <c r="B182">
        <v>17.12</v>
      </c>
      <c r="C182" s="3">
        <f t="shared" si="2"/>
        <v>11</v>
      </c>
    </row>
    <row r="183" spans="1:3" x14ac:dyDescent="0.25">
      <c r="A183" s="1">
        <v>42687</v>
      </c>
      <c r="B183">
        <v>15.66</v>
      </c>
      <c r="C183" s="3">
        <f t="shared" si="2"/>
        <v>11</v>
      </c>
    </row>
    <row r="184" spans="1:3" x14ac:dyDescent="0.25">
      <c r="A184" s="1">
        <v>42687</v>
      </c>
      <c r="B184">
        <v>12.78</v>
      </c>
      <c r="C184" s="3">
        <f t="shared" si="2"/>
        <v>11</v>
      </c>
    </row>
    <row r="185" spans="1:3" x14ac:dyDescent="0.25">
      <c r="A185" s="1">
        <v>42691</v>
      </c>
      <c r="B185">
        <v>10.33</v>
      </c>
      <c r="C185" s="3">
        <f t="shared" si="2"/>
        <v>11</v>
      </c>
    </row>
    <row r="186" spans="1:3" x14ac:dyDescent="0.25">
      <c r="A186" s="1">
        <v>42693</v>
      </c>
      <c r="B186">
        <v>19.66</v>
      </c>
      <c r="C186" s="3">
        <f t="shared" si="2"/>
        <v>11</v>
      </c>
    </row>
    <row r="187" spans="1:3" x14ac:dyDescent="0.25">
      <c r="A187" s="1">
        <v>42695</v>
      </c>
      <c r="B187">
        <v>10.62</v>
      </c>
      <c r="C187" s="3">
        <f t="shared" si="2"/>
        <v>11</v>
      </c>
    </row>
    <row r="188" spans="1:3" x14ac:dyDescent="0.25">
      <c r="A188" s="1">
        <v>42696</v>
      </c>
      <c r="B188">
        <v>11.84</v>
      </c>
      <c r="C188" s="3">
        <f t="shared" si="2"/>
        <v>11</v>
      </c>
    </row>
    <row r="189" spans="1:3" x14ac:dyDescent="0.25">
      <c r="A189" s="1">
        <v>42698</v>
      </c>
      <c r="B189">
        <v>17.690000000000001</v>
      </c>
      <c r="C189" s="3">
        <f t="shared" si="2"/>
        <v>11</v>
      </c>
    </row>
    <row r="190" spans="1:3" x14ac:dyDescent="0.25">
      <c r="A190" s="1">
        <v>42702</v>
      </c>
      <c r="B190">
        <v>16.760000000000002</v>
      </c>
      <c r="C190" s="3">
        <f t="shared" si="2"/>
        <v>11</v>
      </c>
    </row>
    <row r="191" spans="1:3" x14ac:dyDescent="0.25">
      <c r="A191" s="1">
        <v>42703</v>
      </c>
      <c r="B191">
        <v>10.19</v>
      </c>
      <c r="C191" s="3">
        <f t="shared" si="2"/>
        <v>11</v>
      </c>
    </row>
    <row r="192" spans="1:3" x14ac:dyDescent="0.25">
      <c r="A192" s="1">
        <v>42704</v>
      </c>
      <c r="B192">
        <v>18.3</v>
      </c>
      <c r="C192" s="3">
        <f t="shared" si="2"/>
        <v>11</v>
      </c>
    </row>
    <row r="193" spans="1:3" x14ac:dyDescent="0.25">
      <c r="A193" s="1">
        <v>42713</v>
      </c>
      <c r="B193">
        <v>-0.74</v>
      </c>
      <c r="C193" s="3">
        <f t="shared" si="2"/>
        <v>12</v>
      </c>
    </row>
    <row r="194" spans="1:3" x14ac:dyDescent="0.25">
      <c r="A194" s="1">
        <v>42715</v>
      </c>
      <c r="B194">
        <v>-4.6100000000000003</v>
      </c>
      <c r="C194" s="3">
        <f t="shared" si="2"/>
        <v>12</v>
      </c>
    </row>
    <row r="195" spans="1:3" x14ac:dyDescent="0.25">
      <c r="A195" s="1">
        <v>42716</v>
      </c>
      <c r="B195">
        <v>-1.52</v>
      </c>
      <c r="C195" s="3">
        <f t="shared" ref="C195:C201" si="3">MONTH(A195)</f>
        <v>12</v>
      </c>
    </row>
    <row r="196" spans="1:3" x14ac:dyDescent="0.25">
      <c r="A196" s="1">
        <v>42720</v>
      </c>
      <c r="B196">
        <v>4.71</v>
      </c>
      <c r="C196" s="3">
        <f t="shared" si="3"/>
        <v>12</v>
      </c>
    </row>
    <row r="197" spans="1:3" x14ac:dyDescent="0.25">
      <c r="A197" s="1">
        <v>42722</v>
      </c>
      <c r="B197">
        <v>-5.82</v>
      </c>
      <c r="C197" s="3">
        <f t="shared" si="3"/>
        <v>12</v>
      </c>
    </row>
    <row r="198" spans="1:3" x14ac:dyDescent="0.25">
      <c r="A198" s="1">
        <v>42727</v>
      </c>
      <c r="B198">
        <v>0.14000000000000001</v>
      </c>
      <c r="C198" s="3">
        <f t="shared" si="3"/>
        <v>12</v>
      </c>
    </row>
    <row r="199" spans="1:3" x14ac:dyDescent="0.25">
      <c r="A199" s="1">
        <v>42728</v>
      </c>
      <c r="B199">
        <v>8.58</v>
      </c>
      <c r="C199" s="3">
        <f t="shared" si="3"/>
        <v>12</v>
      </c>
    </row>
    <row r="200" spans="1:3" x14ac:dyDescent="0.25">
      <c r="A200" s="1">
        <v>42731</v>
      </c>
      <c r="B200">
        <v>-0.95</v>
      </c>
      <c r="C200" s="3">
        <f t="shared" si="3"/>
        <v>12</v>
      </c>
    </row>
    <row r="201" spans="1:3" x14ac:dyDescent="0.25">
      <c r="A201" s="1">
        <v>42732</v>
      </c>
      <c r="B201">
        <v>6.04</v>
      </c>
      <c r="C201" s="3">
        <f t="shared" si="3"/>
        <v>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74C9-7BEF-4399-8DDC-983CB4447D22}">
  <dimension ref="A1:M201"/>
  <sheetViews>
    <sheetView zoomScale="130" zoomScaleNormal="130" workbookViewId="0">
      <selection activeCell="N4" sqref="N4"/>
    </sheetView>
  </sheetViews>
  <sheetFormatPr defaultRowHeight="15" x14ac:dyDescent="0.25"/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3" x14ac:dyDescent="0.25">
      <c r="A2">
        <v>0.61</v>
      </c>
      <c r="B2">
        <v>-4.9800000000000004</v>
      </c>
      <c r="C2">
        <v>-1.56</v>
      </c>
      <c r="D2">
        <v>-5.59</v>
      </c>
      <c r="E2">
        <v>-2.8</v>
      </c>
      <c r="F2">
        <v>3.39</v>
      </c>
      <c r="G2">
        <v>2.81</v>
      </c>
      <c r="H2">
        <v>-1.6</v>
      </c>
      <c r="I2">
        <v>1.71</v>
      </c>
      <c r="J2">
        <v>4.53</v>
      </c>
      <c r="L2" s="6">
        <f>COUNTIFS(A2:J201,"&gt;-10",A2:J201,"&lt;=15")</f>
        <v>1150</v>
      </c>
      <c r="M2" s="6" t="s">
        <v>24</v>
      </c>
    </row>
    <row r="3" spans="1:13" x14ac:dyDescent="0.25">
      <c r="A3">
        <v>-4.5</v>
      </c>
      <c r="B3">
        <v>2.56</v>
      </c>
      <c r="C3">
        <v>-5.28</v>
      </c>
      <c r="D3">
        <v>-6.02</v>
      </c>
      <c r="E3">
        <v>-5.78</v>
      </c>
      <c r="F3">
        <v>-7.56</v>
      </c>
      <c r="G3">
        <v>-2.48</v>
      </c>
      <c r="H3">
        <v>3.31</v>
      </c>
      <c r="I3">
        <v>-5.4</v>
      </c>
      <c r="J3">
        <v>0.03</v>
      </c>
      <c r="L3" s="11">
        <f>COUNTIFS(A3:J202,"&gt;15",A3:J202,"&lt;=20")</f>
        <v>421</v>
      </c>
      <c r="M3" t="s">
        <v>25</v>
      </c>
    </row>
    <row r="4" spans="1:13" x14ac:dyDescent="0.25">
      <c r="A4">
        <v>2.59</v>
      </c>
      <c r="B4">
        <v>-7.29</v>
      </c>
      <c r="C4">
        <v>1.55</v>
      </c>
      <c r="D4">
        <v>6.79</v>
      </c>
      <c r="E4">
        <v>3.87</v>
      </c>
      <c r="F4">
        <v>-7.74</v>
      </c>
      <c r="G4">
        <v>4.5199999999999996</v>
      </c>
      <c r="H4">
        <v>-4.7699999999999996</v>
      </c>
      <c r="I4">
        <v>-3.88</v>
      </c>
      <c r="J4">
        <v>-4.25</v>
      </c>
    </row>
    <row r="5" spans="1:13" x14ac:dyDescent="0.25">
      <c r="A5">
        <v>7.76</v>
      </c>
      <c r="B5">
        <v>-7.18</v>
      </c>
      <c r="C5">
        <v>-0.49</v>
      </c>
      <c r="D5">
        <v>-2.23</v>
      </c>
      <c r="E5">
        <v>6.46</v>
      </c>
      <c r="F5">
        <v>3.09</v>
      </c>
      <c r="G5">
        <v>-0.48</v>
      </c>
      <c r="H5">
        <v>-2.84</v>
      </c>
      <c r="I5">
        <v>-1.31</v>
      </c>
      <c r="J5">
        <v>-2.96</v>
      </c>
    </row>
    <row r="6" spans="1:13" x14ac:dyDescent="0.25">
      <c r="A6">
        <v>7.12</v>
      </c>
      <c r="B6">
        <v>5.13</v>
      </c>
      <c r="C6">
        <v>-3.67</v>
      </c>
      <c r="D6">
        <v>-3.5</v>
      </c>
      <c r="E6">
        <v>8.14</v>
      </c>
      <c r="F6">
        <v>-5.31</v>
      </c>
      <c r="G6">
        <v>-0.44</v>
      </c>
      <c r="H6">
        <v>0.87</v>
      </c>
      <c r="I6">
        <v>-5.21</v>
      </c>
      <c r="J6">
        <v>-3.49</v>
      </c>
    </row>
    <row r="7" spans="1:13" x14ac:dyDescent="0.25">
      <c r="A7">
        <v>4.1100000000000003</v>
      </c>
      <c r="B7">
        <v>0.85</v>
      </c>
      <c r="C7">
        <v>-3.78</v>
      </c>
      <c r="D7">
        <v>-7.4</v>
      </c>
      <c r="E7">
        <v>3.55</v>
      </c>
      <c r="F7">
        <v>-3.54</v>
      </c>
      <c r="G7">
        <v>-3.92</v>
      </c>
      <c r="H7">
        <v>1.5</v>
      </c>
      <c r="I7">
        <v>-3.41</v>
      </c>
      <c r="J7">
        <v>4.67</v>
      </c>
    </row>
    <row r="8" spans="1:13" x14ac:dyDescent="0.25">
      <c r="A8">
        <v>-5.38</v>
      </c>
      <c r="B8">
        <v>5.93</v>
      </c>
      <c r="C8">
        <v>-7.57</v>
      </c>
      <c r="D8">
        <v>4.72</v>
      </c>
      <c r="E8">
        <v>2.64</v>
      </c>
      <c r="F8">
        <v>7.75</v>
      </c>
      <c r="G8">
        <v>-4.3499999999999996</v>
      </c>
      <c r="H8">
        <v>-6.59</v>
      </c>
      <c r="I8">
        <v>-7.28</v>
      </c>
      <c r="J8">
        <v>7.83</v>
      </c>
    </row>
    <row r="9" spans="1:13" x14ac:dyDescent="0.25">
      <c r="A9">
        <v>3.21</v>
      </c>
      <c r="B9">
        <v>-7.03</v>
      </c>
      <c r="C9">
        <v>-6.63</v>
      </c>
      <c r="D9">
        <v>-2.59</v>
      </c>
      <c r="E9">
        <v>6.44</v>
      </c>
      <c r="F9">
        <v>1.67</v>
      </c>
      <c r="G9">
        <v>7.34</v>
      </c>
      <c r="H9">
        <v>7.78</v>
      </c>
      <c r="I9">
        <v>2.48</v>
      </c>
      <c r="J9">
        <v>-2.82</v>
      </c>
    </row>
    <row r="10" spans="1:13" x14ac:dyDescent="0.25">
      <c r="A10">
        <v>1.94</v>
      </c>
      <c r="B10">
        <v>1.72</v>
      </c>
      <c r="C10">
        <v>-1.91</v>
      </c>
      <c r="D10">
        <v>-5.44</v>
      </c>
      <c r="E10">
        <v>2.11</v>
      </c>
      <c r="F10">
        <v>-2.93</v>
      </c>
      <c r="G10">
        <v>-3.28</v>
      </c>
      <c r="H10">
        <v>-7.12</v>
      </c>
      <c r="I10">
        <v>2.12</v>
      </c>
      <c r="J10">
        <v>7.35</v>
      </c>
    </row>
    <row r="11" spans="1:13" x14ac:dyDescent="0.25">
      <c r="A11">
        <v>8.81</v>
      </c>
      <c r="B11">
        <v>-1.66</v>
      </c>
      <c r="C11">
        <v>2.0099999999999998</v>
      </c>
      <c r="D11">
        <v>1.63</v>
      </c>
      <c r="E11">
        <v>8.82</v>
      </c>
      <c r="F11">
        <v>4.05</v>
      </c>
      <c r="G11">
        <v>-5.04</v>
      </c>
      <c r="H11">
        <v>8.32</v>
      </c>
      <c r="I11">
        <v>-6.62</v>
      </c>
      <c r="J11">
        <v>-7.35</v>
      </c>
    </row>
    <row r="12" spans="1:13" x14ac:dyDescent="0.25">
      <c r="A12">
        <v>4</v>
      </c>
      <c r="B12">
        <v>-6.72</v>
      </c>
      <c r="C12">
        <v>2.4300000000000002</v>
      </c>
      <c r="D12">
        <v>-2.0299999999999998</v>
      </c>
      <c r="E12">
        <v>-3.87</v>
      </c>
      <c r="F12">
        <v>-3.7</v>
      </c>
      <c r="G12">
        <v>-7.09</v>
      </c>
      <c r="H12">
        <v>2.88</v>
      </c>
      <c r="I12">
        <v>2.58</v>
      </c>
      <c r="J12">
        <v>-6.66</v>
      </c>
    </row>
    <row r="13" spans="1:13" x14ac:dyDescent="0.25">
      <c r="A13">
        <v>-4.59</v>
      </c>
      <c r="B13">
        <v>5.74</v>
      </c>
      <c r="C13">
        <v>-6.21</v>
      </c>
      <c r="D13">
        <v>-3.63</v>
      </c>
      <c r="E13">
        <v>7.35</v>
      </c>
      <c r="F13">
        <v>-7.64</v>
      </c>
      <c r="G13">
        <v>-5.73</v>
      </c>
      <c r="H13">
        <v>-6.54</v>
      </c>
      <c r="I13">
        <v>-2.4300000000000002</v>
      </c>
      <c r="J13">
        <v>-1.43</v>
      </c>
    </row>
    <row r="14" spans="1:13" x14ac:dyDescent="0.25">
      <c r="A14">
        <v>-5.82</v>
      </c>
      <c r="B14">
        <v>5.44</v>
      </c>
      <c r="C14">
        <v>-2.4700000000000002</v>
      </c>
      <c r="D14">
        <v>-5.69</v>
      </c>
      <c r="E14">
        <v>8.43</v>
      </c>
      <c r="F14">
        <v>-6.41</v>
      </c>
      <c r="G14">
        <v>-7.59</v>
      </c>
      <c r="H14">
        <v>4.29</v>
      </c>
      <c r="I14">
        <v>-7.29</v>
      </c>
      <c r="J14">
        <v>8.5299999999999994</v>
      </c>
    </row>
    <row r="15" spans="1:13" x14ac:dyDescent="0.25">
      <c r="A15">
        <v>8.26</v>
      </c>
      <c r="B15">
        <v>8.5</v>
      </c>
      <c r="C15">
        <v>-7.75</v>
      </c>
      <c r="D15">
        <v>-2.67</v>
      </c>
      <c r="E15">
        <v>6.6</v>
      </c>
      <c r="F15">
        <v>1.58</v>
      </c>
      <c r="G15">
        <v>-3.2</v>
      </c>
      <c r="H15">
        <v>5.46</v>
      </c>
      <c r="I15">
        <v>-4.66</v>
      </c>
      <c r="J15">
        <v>0.5</v>
      </c>
    </row>
    <row r="16" spans="1:13" x14ac:dyDescent="0.25">
      <c r="A16">
        <v>7.43</v>
      </c>
      <c r="B16">
        <v>7.88</v>
      </c>
      <c r="C16">
        <v>-0.11</v>
      </c>
      <c r="D16">
        <v>-2.4700000000000002</v>
      </c>
      <c r="E16">
        <v>-7.25</v>
      </c>
      <c r="F16">
        <v>7.27</v>
      </c>
      <c r="G16">
        <v>-5.15</v>
      </c>
      <c r="H16">
        <v>-4.8499999999999996</v>
      </c>
      <c r="I16">
        <v>-4.21</v>
      </c>
      <c r="J16">
        <v>-5.55</v>
      </c>
    </row>
    <row r="17" spans="1:10" x14ac:dyDescent="0.25">
      <c r="A17">
        <v>-7.37</v>
      </c>
      <c r="B17">
        <v>2.31</v>
      </c>
      <c r="C17">
        <v>-0.37</v>
      </c>
      <c r="D17">
        <v>-4.1900000000000004</v>
      </c>
      <c r="E17">
        <v>-6.75</v>
      </c>
      <c r="F17">
        <v>0.15</v>
      </c>
      <c r="G17">
        <v>0.08</v>
      </c>
      <c r="H17">
        <v>-4.58</v>
      </c>
      <c r="I17">
        <v>-6.18</v>
      </c>
      <c r="J17">
        <v>3.43</v>
      </c>
    </row>
    <row r="18" spans="1:10" x14ac:dyDescent="0.25">
      <c r="A18">
        <v>7.78</v>
      </c>
      <c r="B18">
        <v>1.59</v>
      </c>
      <c r="C18">
        <v>-5.23</v>
      </c>
      <c r="D18">
        <v>-2.54</v>
      </c>
      <c r="E18">
        <v>3.66</v>
      </c>
      <c r="F18">
        <v>-0.8</v>
      </c>
      <c r="G18">
        <v>-2.56</v>
      </c>
      <c r="H18">
        <v>-6.56</v>
      </c>
      <c r="I18">
        <v>-6.35</v>
      </c>
      <c r="J18">
        <v>3.21</v>
      </c>
    </row>
    <row r="19" spans="1:10" x14ac:dyDescent="0.25">
      <c r="A19">
        <v>-5.59</v>
      </c>
      <c r="B19">
        <v>1.44</v>
      </c>
      <c r="C19">
        <v>-6.2</v>
      </c>
      <c r="D19">
        <v>-5.44</v>
      </c>
      <c r="E19">
        <v>1.63</v>
      </c>
      <c r="F19">
        <v>1.55</v>
      </c>
      <c r="G19">
        <v>8.8000000000000007</v>
      </c>
      <c r="H19">
        <v>0.74</v>
      </c>
      <c r="I19">
        <v>1.7</v>
      </c>
      <c r="J19">
        <v>-3.25</v>
      </c>
    </row>
    <row r="20" spans="1:10" x14ac:dyDescent="0.25">
      <c r="A20">
        <v>-5.61</v>
      </c>
      <c r="B20">
        <v>-2.42</v>
      </c>
      <c r="C20">
        <v>0.12</v>
      </c>
      <c r="D20">
        <v>3.36</v>
      </c>
      <c r="E20">
        <v>5.61</v>
      </c>
      <c r="F20">
        <v>-1.1399999999999999</v>
      </c>
      <c r="G20">
        <v>4.45</v>
      </c>
      <c r="H20">
        <v>2.27</v>
      </c>
      <c r="I20">
        <v>1.38</v>
      </c>
      <c r="J20">
        <v>8.69</v>
      </c>
    </row>
    <row r="21" spans="1:10" x14ac:dyDescent="0.25">
      <c r="A21">
        <v>8.91</v>
      </c>
      <c r="B21">
        <v>-0.83</v>
      </c>
      <c r="C21">
        <v>6.24</v>
      </c>
      <c r="D21">
        <v>4.74</v>
      </c>
      <c r="E21">
        <v>1.06</v>
      </c>
      <c r="F21">
        <v>-0.73</v>
      </c>
      <c r="G21">
        <v>4.0199999999999996</v>
      </c>
      <c r="H21">
        <v>2.9</v>
      </c>
      <c r="I21">
        <v>-2.0099999999999998</v>
      </c>
      <c r="J21">
        <v>-2.02</v>
      </c>
    </row>
    <row r="22" spans="1:10" x14ac:dyDescent="0.25">
      <c r="A22">
        <v>6.18</v>
      </c>
      <c r="B22">
        <v>6.14</v>
      </c>
      <c r="C22">
        <v>4.24</v>
      </c>
      <c r="D22">
        <v>-4</v>
      </c>
      <c r="E22">
        <v>-2.92</v>
      </c>
      <c r="F22">
        <v>5.0599999999999996</v>
      </c>
      <c r="G22">
        <v>-1.26</v>
      </c>
      <c r="H22">
        <v>4.6399999999999997</v>
      </c>
      <c r="I22">
        <v>-2.96</v>
      </c>
      <c r="J22">
        <v>2.82</v>
      </c>
    </row>
    <row r="23" spans="1:10" x14ac:dyDescent="0.25">
      <c r="A23">
        <v>-3.2</v>
      </c>
      <c r="B23">
        <v>-4.18</v>
      </c>
      <c r="C23">
        <v>2.99</v>
      </c>
      <c r="D23">
        <v>0.22</v>
      </c>
      <c r="E23">
        <v>-3.48</v>
      </c>
      <c r="F23">
        <v>-2.68</v>
      </c>
      <c r="G23">
        <v>0.11</v>
      </c>
      <c r="H23">
        <v>-3.65</v>
      </c>
      <c r="I23">
        <v>-4.0999999999999996</v>
      </c>
      <c r="J23">
        <v>-3.09</v>
      </c>
    </row>
    <row r="24" spans="1:10" x14ac:dyDescent="0.25">
      <c r="A24">
        <v>6.8</v>
      </c>
      <c r="B24">
        <v>-2.64</v>
      </c>
      <c r="C24">
        <v>5.9</v>
      </c>
      <c r="D24">
        <v>-2.1</v>
      </c>
      <c r="E24">
        <v>1.89</v>
      </c>
      <c r="F24">
        <v>6.73</v>
      </c>
      <c r="G24">
        <v>-7.96</v>
      </c>
      <c r="H24">
        <v>7.18</v>
      </c>
      <c r="I24">
        <v>7.33</v>
      </c>
      <c r="J24">
        <v>-6.44</v>
      </c>
    </row>
    <row r="25" spans="1:10" x14ac:dyDescent="0.25">
      <c r="A25">
        <v>-3.15</v>
      </c>
      <c r="B25">
        <v>-1.58</v>
      </c>
      <c r="C25">
        <v>-7.5</v>
      </c>
      <c r="D25">
        <v>6.68</v>
      </c>
      <c r="E25">
        <v>-4.1900000000000004</v>
      </c>
      <c r="F25">
        <v>-7.39</v>
      </c>
      <c r="G25">
        <v>3.37</v>
      </c>
      <c r="H25">
        <v>-2.67</v>
      </c>
      <c r="I25">
        <v>6.36</v>
      </c>
      <c r="J25">
        <v>-2.61</v>
      </c>
    </row>
    <row r="26" spans="1:10" x14ac:dyDescent="0.25">
      <c r="A26">
        <v>-4.3899999999999997</v>
      </c>
      <c r="B26">
        <v>-3.86</v>
      </c>
      <c r="C26">
        <v>-0.97</v>
      </c>
      <c r="D26">
        <v>-4.82</v>
      </c>
      <c r="E26">
        <v>-1.0900000000000001</v>
      </c>
      <c r="F26">
        <v>1.4</v>
      </c>
      <c r="G26">
        <v>6.56</v>
      </c>
      <c r="H26">
        <v>-2.7</v>
      </c>
      <c r="I26">
        <v>5.24</v>
      </c>
      <c r="J26">
        <v>8.8699999999999992</v>
      </c>
    </row>
    <row r="27" spans="1:10" x14ac:dyDescent="0.25">
      <c r="A27">
        <v>1.07</v>
      </c>
      <c r="B27">
        <v>4.49</v>
      </c>
      <c r="C27">
        <v>4.04</v>
      </c>
      <c r="D27">
        <v>7.86</v>
      </c>
      <c r="E27">
        <v>-1.99</v>
      </c>
      <c r="F27">
        <v>-0.56999999999999995</v>
      </c>
      <c r="G27">
        <v>8.09</v>
      </c>
      <c r="H27">
        <v>-0.82</v>
      </c>
      <c r="I27">
        <v>1.63</v>
      </c>
      <c r="J27">
        <v>-1.1200000000000001</v>
      </c>
    </row>
    <row r="28" spans="1:10" x14ac:dyDescent="0.25">
      <c r="A28">
        <v>-4.32</v>
      </c>
      <c r="B28">
        <v>-4.3</v>
      </c>
      <c r="C28">
        <v>-6.06</v>
      </c>
      <c r="D28">
        <v>0.23</v>
      </c>
      <c r="E28">
        <v>-3.83</v>
      </c>
      <c r="F28">
        <v>-6.11</v>
      </c>
      <c r="G28">
        <v>-7.52</v>
      </c>
      <c r="H28">
        <v>1.75</v>
      </c>
      <c r="I28">
        <v>2.57</v>
      </c>
      <c r="J28">
        <v>7.82</v>
      </c>
    </row>
    <row r="29" spans="1:10" x14ac:dyDescent="0.25">
      <c r="A29">
        <v>8.94</v>
      </c>
      <c r="B29">
        <v>-7.98</v>
      </c>
      <c r="C29">
        <v>7.41</v>
      </c>
      <c r="D29">
        <v>4.46</v>
      </c>
      <c r="E29">
        <v>-3.8</v>
      </c>
      <c r="F29">
        <v>-7.71</v>
      </c>
      <c r="G29">
        <v>3.58</v>
      </c>
      <c r="H29">
        <v>-3.33</v>
      </c>
      <c r="I29">
        <v>3.39</v>
      </c>
      <c r="J29">
        <v>6.28</v>
      </c>
    </row>
    <row r="30" spans="1:10" x14ac:dyDescent="0.25">
      <c r="A30">
        <v>-2.84</v>
      </c>
      <c r="B30">
        <v>-3.79</v>
      </c>
      <c r="C30">
        <v>4.34</v>
      </c>
      <c r="D30">
        <v>6.3</v>
      </c>
      <c r="E30">
        <v>-7.58</v>
      </c>
      <c r="F30">
        <v>8.26</v>
      </c>
      <c r="G30">
        <v>-6.5</v>
      </c>
      <c r="H30">
        <v>-5.8</v>
      </c>
      <c r="I30">
        <v>-7.56</v>
      </c>
      <c r="J30">
        <v>-2.5099999999999998</v>
      </c>
    </row>
    <row r="31" spans="1:10" x14ac:dyDescent="0.25">
      <c r="A31">
        <v>-2.0099999999999998</v>
      </c>
      <c r="B31">
        <v>0.62</v>
      </c>
      <c r="C31">
        <v>4.95</v>
      </c>
      <c r="D31">
        <v>6.62</v>
      </c>
      <c r="E31">
        <v>-2.5</v>
      </c>
      <c r="F31">
        <v>7.05</v>
      </c>
      <c r="G31">
        <v>-7.33</v>
      </c>
      <c r="H31">
        <v>7.96</v>
      </c>
      <c r="I31">
        <v>4.51</v>
      </c>
      <c r="J31">
        <v>8.17</v>
      </c>
    </row>
    <row r="32" spans="1:10" x14ac:dyDescent="0.25">
      <c r="A32">
        <v>1.44</v>
      </c>
      <c r="B32">
        <v>-7.21</v>
      </c>
      <c r="C32">
        <v>-6.65</v>
      </c>
      <c r="D32">
        <v>2.21</v>
      </c>
      <c r="E32">
        <v>4.62</v>
      </c>
      <c r="F32">
        <v>1.66</v>
      </c>
      <c r="G32">
        <v>5.0999999999999996</v>
      </c>
      <c r="H32">
        <v>-6.89</v>
      </c>
      <c r="I32">
        <v>-3.19</v>
      </c>
      <c r="J32">
        <v>-7.39</v>
      </c>
    </row>
    <row r="33" spans="1:10" x14ac:dyDescent="0.25">
      <c r="A33">
        <v>0.98</v>
      </c>
      <c r="B33">
        <v>7.64</v>
      </c>
      <c r="C33">
        <v>6.1</v>
      </c>
      <c r="D33">
        <v>6.46</v>
      </c>
      <c r="E33">
        <v>-7.0000000000000007E-2</v>
      </c>
      <c r="F33">
        <v>-2.93</v>
      </c>
      <c r="G33">
        <v>-5.81</v>
      </c>
      <c r="H33">
        <v>5.65</v>
      </c>
      <c r="I33">
        <v>5.0999999999999996</v>
      </c>
      <c r="J33">
        <v>8.25</v>
      </c>
    </row>
    <row r="34" spans="1:10" x14ac:dyDescent="0.25">
      <c r="A34">
        <v>5.83</v>
      </c>
      <c r="B34">
        <v>7.18</v>
      </c>
      <c r="C34">
        <v>-0.19</v>
      </c>
      <c r="D34">
        <v>-2.12</v>
      </c>
      <c r="E34">
        <v>4.26</v>
      </c>
      <c r="F34">
        <v>-7.55</v>
      </c>
      <c r="G34">
        <v>-6.66</v>
      </c>
      <c r="H34">
        <v>-4.8</v>
      </c>
      <c r="I34">
        <v>2.92</v>
      </c>
      <c r="J34">
        <v>2.69</v>
      </c>
    </row>
    <row r="35" spans="1:10" x14ac:dyDescent="0.25">
      <c r="A35">
        <v>-5.39</v>
      </c>
      <c r="B35">
        <v>-7.41</v>
      </c>
      <c r="C35">
        <v>-3.6</v>
      </c>
      <c r="D35">
        <v>0.98</v>
      </c>
      <c r="E35">
        <v>-0.56000000000000005</v>
      </c>
      <c r="F35">
        <v>-2.33</v>
      </c>
      <c r="G35">
        <v>3.28</v>
      </c>
      <c r="H35">
        <v>-2.19</v>
      </c>
      <c r="I35">
        <v>4.6100000000000003</v>
      </c>
      <c r="J35">
        <v>-5.94</v>
      </c>
    </row>
    <row r="36" spans="1:10" x14ac:dyDescent="0.25">
      <c r="A36">
        <v>7.98</v>
      </c>
      <c r="B36">
        <v>4.6100000000000003</v>
      </c>
      <c r="C36">
        <v>7.87</v>
      </c>
      <c r="D36">
        <v>-1.44</v>
      </c>
      <c r="E36">
        <v>4.1500000000000004</v>
      </c>
      <c r="F36">
        <v>-2.5299999999999998</v>
      </c>
      <c r="G36">
        <v>-5.96</v>
      </c>
      <c r="H36">
        <v>3.23</v>
      </c>
      <c r="I36">
        <v>-7.13</v>
      </c>
      <c r="J36">
        <v>7.75</v>
      </c>
    </row>
    <row r="37" spans="1:10" x14ac:dyDescent="0.25">
      <c r="A37">
        <v>2.92</v>
      </c>
      <c r="B37">
        <v>0.43</v>
      </c>
      <c r="C37">
        <v>-7.83</v>
      </c>
      <c r="D37">
        <v>-7.67</v>
      </c>
      <c r="E37">
        <v>1.19</v>
      </c>
      <c r="F37">
        <v>5.35</v>
      </c>
      <c r="G37">
        <v>-4.1500000000000004</v>
      </c>
      <c r="H37">
        <v>6.34</v>
      </c>
      <c r="I37">
        <v>-5.17</v>
      </c>
      <c r="J37">
        <v>1.39</v>
      </c>
    </row>
    <row r="38" spans="1:10" x14ac:dyDescent="0.25">
      <c r="A38">
        <v>5.68</v>
      </c>
      <c r="B38">
        <v>-5.18</v>
      </c>
      <c r="C38">
        <v>8.6199999999999992</v>
      </c>
      <c r="D38">
        <v>3.66</v>
      </c>
      <c r="E38">
        <v>7.27</v>
      </c>
      <c r="F38">
        <v>-0.88</v>
      </c>
      <c r="G38">
        <v>8.69</v>
      </c>
      <c r="H38">
        <v>-6.24</v>
      </c>
      <c r="I38">
        <v>-5.52</v>
      </c>
      <c r="J38">
        <v>-4.67</v>
      </c>
    </row>
    <row r="39" spans="1:10" x14ac:dyDescent="0.25">
      <c r="A39">
        <v>-3.88</v>
      </c>
      <c r="B39">
        <v>-5.21</v>
      </c>
      <c r="C39">
        <v>8.26</v>
      </c>
      <c r="D39">
        <v>-0.96</v>
      </c>
      <c r="E39">
        <v>4.05</v>
      </c>
      <c r="F39">
        <v>-4.3099999999999996</v>
      </c>
      <c r="G39">
        <v>7.8</v>
      </c>
      <c r="H39">
        <v>6.75</v>
      </c>
      <c r="I39">
        <v>-0.73</v>
      </c>
      <c r="J39">
        <v>7.28</v>
      </c>
    </row>
    <row r="40" spans="1:10" x14ac:dyDescent="0.25">
      <c r="A40">
        <v>-4.4800000000000004</v>
      </c>
      <c r="B40">
        <v>-2.0499999999999998</v>
      </c>
      <c r="C40">
        <v>-7.14</v>
      </c>
      <c r="D40">
        <v>5.1100000000000003</v>
      </c>
      <c r="E40">
        <v>6.37</v>
      </c>
      <c r="F40">
        <v>7.34</v>
      </c>
      <c r="G40">
        <v>-4.9000000000000004</v>
      </c>
      <c r="H40">
        <v>-2.2599999999999998</v>
      </c>
      <c r="I40">
        <v>0.23</v>
      </c>
      <c r="J40">
        <v>7.99</v>
      </c>
    </row>
    <row r="41" spans="1:10" x14ac:dyDescent="0.25">
      <c r="A41">
        <v>-3.04</v>
      </c>
      <c r="B41">
        <v>-1.24</v>
      </c>
      <c r="C41">
        <v>2.62</v>
      </c>
      <c r="D41">
        <v>4.42</v>
      </c>
      <c r="E41">
        <v>7.46</v>
      </c>
      <c r="F41">
        <v>0.77</v>
      </c>
      <c r="G41">
        <v>-0.67</v>
      </c>
      <c r="H41">
        <v>5.8</v>
      </c>
      <c r="I41">
        <v>-7.14</v>
      </c>
      <c r="J41">
        <v>6.48</v>
      </c>
    </row>
    <row r="42" spans="1:10" x14ac:dyDescent="0.25">
      <c r="A42">
        <v>-2.12</v>
      </c>
      <c r="B42">
        <v>-6.19</v>
      </c>
      <c r="C42">
        <v>4.76</v>
      </c>
      <c r="D42">
        <v>4.5599999999999996</v>
      </c>
      <c r="E42">
        <v>3.19</v>
      </c>
      <c r="F42">
        <v>-2.29</v>
      </c>
      <c r="G42">
        <v>5.0999999999999996</v>
      </c>
      <c r="H42">
        <v>-5.75</v>
      </c>
      <c r="I42">
        <v>3.63</v>
      </c>
      <c r="J42">
        <v>1.36</v>
      </c>
    </row>
    <row r="43" spans="1:10" x14ac:dyDescent="0.25">
      <c r="A43">
        <v>10.07</v>
      </c>
      <c r="B43">
        <v>12.84</v>
      </c>
      <c r="C43">
        <v>10.24</v>
      </c>
      <c r="D43">
        <v>13.91</v>
      </c>
      <c r="E43">
        <v>10.67</v>
      </c>
      <c r="F43">
        <v>14.11</v>
      </c>
      <c r="G43">
        <v>15.18</v>
      </c>
      <c r="H43">
        <v>13.07</v>
      </c>
      <c r="I43">
        <v>14.39</v>
      </c>
      <c r="J43">
        <v>13.78</v>
      </c>
    </row>
    <row r="44" spans="1:10" x14ac:dyDescent="0.25">
      <c r="A44">
        <v>14.14</v>
      </c>
      <c r="B44">
        <v>15.33</v>
      </c>
      <c r="C44">
        <v>13.07</v>
      </c>
      <c r="D44">
        <v>12.04</v>
      </c>
      <c r="E44">
        <v>13.18</v>
      </c>
      <c r="F44">
        <v>12.65</v>
      </c>
      <c r="G44">
        <v>10.72</v>
      </c>
      <c r="H44">
        <v>11.66</v>
      </c>
      <c r="I44">
        <v>13</v>
      </c>
      <c r="J44">
        <v>14.21</v>
      </c>
    </row>
    <row r="45" spans="1:10" x14ac:dyDescent="0.25">
      <c r="A45">
        <v>11.6</v>
      </c>
      <c r="B45">
        <v>13.95</v>
      </c>
      <c r="C45">
        <v>15.13</v>
      </c>
      <c r="D45">
        <v>10.73</v>
      </c>
      <c r="E45">
        <v>15.09</v>
      </c>
      <c r="F45">
        <v>15.98</v>
      </c>
      <c r="G45">
        <v>11.74</v>
      </c>
      <c r="H45">
        <v>15.38</v>
      </c>
      <c r="I45">
        <v>15.98</v>
      </c>
      <c r="J45">
        <v>12.9</v>
      </c>
    </row>
    <row r="46" spans="1:10" x14ac:dyDescent="0.25">
      <c r="A46">
        <v>14.13</v>
      </c>
      <c r="B46">
        <v>13.61</v>
      </c>
      <c r="C46">
        <v>14.61</v>
      </c>
      <c r="D46">
        <v>13.88</v>
      </c>
      <c r="E46">
        <v>15.76</v>
      </c>
      <c r="F46">
        <v>10.85</v>
      </c>
      <c r="G46">
        <v>12.11</v>
      </c>
      <c r="H46">
        <v>12.05</v>
      </c>
      <c r="I46">
        <v>11.87</v>
      </c>
      <c r="J46">
        <v>12.1</v>
      </c>
    </row>
    <row r="47" spans="1:10" x14ac:dyDescent="0.25">
      <c r="A47">
        <v>10.88</v>
      </c>
      <c r="B47">
        <v>12.02</v>
      </c>
      <c r="C47">
        <v>10.26</v>
      </c>
      <c r="D47">
        <v>15.41</v>
      </c>
      <c r="E47">
        <v>15.57</v>
      </c>
      <c r="F47">
        <v>13.27</v>
      </c>
      <c r="G47">
        <v>12.18</v>
      </c>
      <c r="H47">
        <v>13.91</v>
      </c>
      <c r="I47">
        <v>13.86</v>
      </c>
      <c r="J47">
        <v>10.08</v>
      </c>
    </row>
    <row r="48" spans="1:10" x14ac:dyDescent="0.25">
      <c r="A48">
        <v>15.28</v>
      </c>
      <c r="B48">
        <v>13.58</v>
      </c>
      <c r="C48">
        <v>12.71</v>
      </c>
      <c r="D48">
        <v>14.72</v>
      </c>
      <c r="E48">
        <v>12.47</v>
      </c>
      <c r="F48">
        <v>12.44</v>
      </c>
      <c r="G48">
        <v>14.64</v>
      </c>
      <c r="H48">
        <v>14.58</v>
      </c>
      <c r="I48">
        <v>13.66</v>
      </c>
      <c r="J48">
        <v>13.6</v>
      </c>
    </row>
    <row r="49" spans="1:10" x14ac:dyDescent="0.25">
      <c r="A49">
        <v>11.09</v>
      </c>
      <c r="B49">
        <v>15.36</v>
      </c>
      <c r="C49">
        <v>11.14</v>
      </c>
      <c r="D49">
        <v>13.51</v>
      </c>
      <c r="E49">
        <v>10.08</v>
      </c>
      <c r="F49">
        <v>15.95</v>
      </c>
      <c r="G49">
        <v>14.45</v>
      </c>
      <c r="H49">
        <v>13.94</v>
      </c>
      <c r="I49">
        <v>15.76</v>
      </c>
      <c r="J49">
        <v>13.03</v>
      </c>
    </row>
    <row r="50" spans="1:10" x14ac:dyDescent="0.25">
      <c r="A50">
        <v>10.38</v>
      </c>
      <c r="B50">
        <v>13.04</v>
      </c>
      <c r="C50">
        <v>11.9</v>
      </c>
      <c r="D50">
        <v>10.14</v>
      </c>
      <c r="E50">
        <v>12.18</v>
      </c>
      <c r="F50">
        <v>14.79</v>
      </c>
      <c r="G50">
        <v>13.13</v>
      </c>
      <c r="H50">
        <v>13.52</v>
      </c>
      <c r="I50">
        <v>15.54</v>
      </c>
      <c r="J50">
        <v>13.14</v>
      </c>
    </row>
    <row r="51" spans="1:10" x14ac:dyDescent="0.25">
      <c r="A51">
        <v>15.66</v>
      </c>
      <c r="B51">
        <v>10.97</v>
      </c>
      <c r="C51">
        <v>10.1</v>
      </c>
      <c r="D51">
        <v>12.99</v>
      </c>
      <c r="E51">
        <v>11.07</v>
      </c>
      <c r="F51">
        <v>11.1</v>
      </c>
      <c r="G51">
        <v>10.64</v>
      </c>
      <c r="H51">
        <v>12.18</v>
      </c>
      <c r="I51">
        <v>12.63</v>
      </c>
      <c r="J51">
        <v>12.33</v>
      </c>
    </row>
    <row r="52" spans="1:10" x14ac:dyDescent="0.25">
      <c r="A52">
        <v>11.94</v>
      </c>
      <c r="B52">
        <v>13.57</v>
      </c>
      <c r="C52">
        <v>10.050000000000001</v>
      </c>
      <c r="D52">
        <v>11.85</v>
      </c>
      <c r="E52">
        <v>10.59</v>
      </c>
      <c r="F52">
        <v>14.12</v>
      </c>
      <c r="G52">
        <v>14.27</v>
      </c>
      <c r="H52">
        <v>15.81</v>
      </c>
      <c r="I52">
        <v>14</v>
      </c>
      <c r="J52">
        <v>14.16</v>
      </c>
    </row>
    <row r="53" spans="1:10" x14ac:dyDescent="0.25">
      <c r="A53">
        <v>14.53</v>
      </c>
      <c r="B53">
        <v>13.21</v>
      </c>
      <c r="C53">
        <v>10.84</v>
      </c>
      <c r="D53">
        <v>10.95</v>
      </c>
      <c r="E53">
        <v>11.65</v>
      </c>
      <c r="F53">
        <v>11.34</v>
      </c>
      <c r="G53">
        <v>13.76</v>
      </c>
      <c r="H53">
        <v>12.75</v>
      </c>
      <c r="I53">
        <v>10.43</v>
      </c>
      <c r="J53">
        <v>12.8</v>
      </c>
    </row>
    <row r="54" spans="1:10" x14ac:dyDescent="0.25">
      <c r="A54">
        <v>10.98</v>
      </c>
      <c r="B54">
        <v>10.53</v>
      </c>
      <c r="C54">
        <v>14.64</v>
      </c>
      <c r="D54">
        <v>15.37</v>
      </c>
      <c r="E54">
        <v>13.4</v>
      </c>
      <c r="F54">
        <v>14.22</v>
      </c>
      <c r="G54">
        <v>11.15</v>
      </c>
      <c r="H54">
        <v>12.45</v>
      </c>
      <c r="I54">
        <v>12.96</v>
      </c>
      <c r="J54">
        <v>11.15</v>
      </c>
    </row>
    <row r="55" spans="1:10" x14ac:dyDescent="0.25">
      <c r="A55">
        <v>12.88</v>
      </c>
      <c r="B55">
        <v>11.25</v>
      </c>
      <c r="C55">
        <v>12.97</v>
      </c>
      <c r="D55">
        <v>11.16</v>
      </c>
      <c r="E55">
        <v>10.89</v>
      </c>
      <c r="F55">
        <v>10.210000000000001</v>
      </c>
      <c r="G55">
        <v>11.49</v>
      </c>
      <c r="H55">
        <v>15.32</v>
      </c>
      <c r="I55">
        <v>12.4</v>
      </c>
      <c r="J55">
        <v>13.67</v>
      </c>
    </row>
    <row r="56" spans="1:10" x14ac:dyDescent="0.25">
      <c r="A56">
        <v>11.74</v>
      </c>
      <c r="B56">
        <v>12.79</v>
      </c>
      <c r="C56">
        <v>11.07</v>
      </c>
      <c r="D56">
        <v>15.77</v>
      </c>
      <c r="E56">
        <v>14.3</v>
      </c>
      <c r="F56">
        <v>11.61</v>
      </c>
      <c r="G56">
        <v>12.88</v>
      </c>
      <c r="H56">
        <v>12.58</v>
      </c>
      <c r="I56">
        <v>13.63</v>
      </c>
      <c r="J56">
        <v>15.37</v>
      </c>
    </row>
    <row r="57" spans="1:10" x14ac:dyDescent="0.25">
      <c r="A57">
        <v>13.25</v>
      </c>
      <c r="B57">
        <v>14.97</v>
      </c>
      <c r="C57">
        <v>14.88</v>
      </c>
      <c r="D57">
        <v>14.41</v>
      </c>
      <c r="E57">
        <v>10.82</v>
      </c>
      <c r="F57">
        <v>14.32</v>
      </c>
      <c r="G57">
        <v>13.72</v>
      </c>
      <c r="H57">
        <v>10.88</v>
      </c>
      <c r="I57">
        <v>12.95</v>
      </c>
      <c r="J57">
        <v>12.52</v>
      </c>
    </row>
    <row r="58" spans="1:10" x14ac:dyDescent="0.25">
      <c r="A58">
        <v>10.66</v>
      </c>
      <c r="B58">
        <v>10.59</v>
      </c>
      <c r="C58">
        <v>15.14</v>
      </c>
      <c r="D58">
        <v>12.6</v>
      </c>
      <c r="E58">
        <v>11.47</v>
      </c>
      <c r="F58">
        <v>14.91</v>
      </c>
      <c r="G58">
        <v>14.33</v>
      </c>
      <c r="H58">
        <v>14.52</v>
      </c>
      <c r="I58">
        <v>11.65</v>
      </c>
      <c r="J58">
        <v>15.58</v>
      </c>
    </row>
    <row r="59" spans="1:10" x14ac:dyDescent="0.25">
      <c r="A59">
        <v>12.4</v>
      </c>
      <c r="B59">
        <v>11.85</v>
      </c>
      <c r="C59">
        <v>12.06</v>
      </c>
      <c r="D59">
        <v>14.95</v>
      </c>
      <c r="E59">
        <v>15.02</v>
      </c>
      <c r="F59">
        <v>15.09</v>
      </c>
      <c r="G59">
        <v>12.53</v>
      </c>
      <c r="H59">
        <v>11.35</v>
      </c>
      <c r="I59">
        <v>13.64</v>
      </c>
      <c r="J59">
        <v>10.47</v>
      </c>
    </row>
    <row r="60" spans="1:10" x14ac:dyDescent="0.25">
      <c r="A60">
        <v>14.22</v>
      </c>
      <c r="B60">
        <v>11.25</v>
      </c>
      <c r="C60">
        <v>14.05</v>
      </c>
      <c r="D60">
        <v>12.08</v>
      </c>
      <c r="E60">
        <v>10.1</v>
      </c>
      <c r="F60">
        <v>15.84</v>
      </c>
      <c r="G60">
        <v>12.87</v>
      </c>
      <c r="H60">
        <v>15.35</v>
      </c>
      <c r="I60">
        <v>12.14</v>
      </c>
      <c r="J60">
        <v>11.93</v>
      </c>
    </row>
    <row r="61" spans="1:10" x14ac:dyDescent="0.25">
      <c r="A61">
        <v>14.83</v>
      </c>
      <c r="B61">
        <v>10.01</v>
      </c>
      <c r="C61">
        <v>15.51</v>
      </c>
      <c r="D61">
        <v>11</v>
      </c>
      <c r="E61">
        <v>11.29</v>
      </c>
      <c r="F61">
        <v>13.42</v>
      </c>
      <c r="G61">
        <v>15.92</v>
      </c>
      <c r="H61">
        <v>15.81</v>
      </c>
      <c r="I61">
        <v>11.2</v>
      </c>
      <c r="J61">
        <v>15.53</v>
      </c>
    </row>
    <row r="62" spans="1:10" x14ac:dyDescent="0.25">
      <c r="A62">
        <v>13.62</v>
      </c>
      <c r="B62">
        <v>13.57</v>
      </c>
      <c r="C62">
        <v>12.68</v>
      </c>
      <c r="D62">
        <v>15.88</v>
      </c>
      <c r="E62">
        <v>13.23</v>
      </c>
      <c r="F62">
        <v>14.1</v>
      </c>
      <c r="G62">
        <v>15.41</v>
      </c>
      <c r="H62">
        <v>11.12</v>
      </c>
      <c r="I62">
        <v>10.81</v>
      </c>
      <c r="J62">
        <v>13.61</v>
      </c>
    </row>
    <row r="63" spans="1:10" x14ac:dyDescent="0.25">
      <c r="A63">
        <v>12.25</v>
      </c>
      <c r="B63">
        <v>14.89</v>
      </c>
      <c r="C63">
        <v>13.86</v>
      </c>
      <c r="D63">
        <v>13.98</v>
      </c>
      <c r="E63">
        <v>11.99</v>
      </c>
      <c r="F63">
        <v>15.06</v>
      </c>
      <c r="G63">
        <v>11.13</v>
      </c>
      <c r="H63">
        <v>13.91</v>
      </c>
      <c r="I63">
        <v>15.56</v>
      </c>
      <c r="J63">
        <v>10.97</v>
      </c>
    </row>
    <row r="64" spans="1:10" x14ac:dyDescent="0.25">
      <c r="A64">
        <v>15.82</v>
      </c>
      <c r="B64">
        <v>14.33</v>
      </c>
      <c r="C64">
        <v>10.41</v>
      </c>
      <c r="D64">
        <v>11.75</v>
      </c>
      <c r="E64">
        <v>15.72</v>
      </c>
      <c r="F64">
        <v>11.51</v>
      </c>
      <c r="G64">
        <v>11.37</v>
      </c>
      <c r="H64">
        <v>15.73</v>
      </c>
      <c r="I64">
        <v>15.44</v>
      </c>
      <c r="J64">
        <v>11.55</v>
      </c>
    </row>
    <row r="65" spans="1:10" x14ac:dyDescent="0.25">
      <c r="A65">
        <v>12.47</v>
      </c>
      <c r="B65">
        <v>14.01</v>
      </c>
      <c r="C65">
        <v>15.38</v>
      </c>
      <c r="D65">
        <v>12.72</v>
      </c>
      <c r="E65">
        <v>12.33</v>
      </c>
      <c r="F65">
        <v>14.07</v>
      </c>
      <c r="G65">
        <v>11.91</v>
      </c>
      <c r="H65">
        <v>14.59</v>
      </c>
      <c r="I65">
        <v>10.58</v>
      </c>
      <c r="J65">
        <v>13.95</v>
      </c>
    </row>
    <row r="66" spans="1:10" x14ac:dyDescent="0.25">
      <c r="A66">
        <v>15.8</v>
      </c>
      <c r="B66">
        <v>13.11</v>
      </c>
      <c r="C66">
        <v>13.43</v>
      </c>
      <c r="D66">
        <v>10.32</v>
      </c>
      <c r="E66">
        <v>14.2</v>
      </c>
      <c r="F66">
        <v>11.41</v>
      </c>
      <c r="G66">
        <v>10.69</v>
      </c>
      <c r="H66">
        <v>15.02</v>
      </c>
      <c r="I66">
        <v>12.21</v>
      </c>
      <c r="J66">
        <v>10.54</v>
      </c>
    </row>
    <row r="67" spans="1:10" x14ac:dyDescent="0.25">
      <c r="A67">
        <v>11.1</v>
      </c>
      <c r="B67">
        <v>10.71</v>
      </c>
      <c r="C67">
        <v>10.75</v>
      </c>
      <c r="D67">
        <v>13.22</v>
      </c>
      <c r="E67">
        <v>14.26</v>
      </c>
      <c r="F67">
        <v>12.59</v>
      </c>
      <c r="G67">
        <v>12.93</v>
      </c>
      <c r="H67">
        <v>15.27</v>
      </c>
      <c r="I67">
        <v>13</v>
      </c>
      <c r="J67">
        <v>13.55</v>
      </c>
    </row>
    <row r="68" spans="1:10" x14ac:dyDescent="0.25">
      <c r="A68">
        <v>11.68</v>
      </c>
      <c r="B68">
        <v>11.47</v>
      </c>
      <c r="C68">
        <v>13.02</v>
      </c>
      <c r="D68">
        <v>15.91</v>
      </c>
      <c r="E68">
        <v>15.06</v>
      </c>
      <c r="F68">
        <v>12.81</v>
      </c>
      <c r="G68">
        <v>13.48</v>
      </c>
      <c r="H68">
        <v>15.31</v>
      </c>
      <c r="I68">
        <v>12.15</v>
      </c>
      <c r="J68">
        <v>15.42</v>
      </c>
    </row>
    <row r="69" spans="1:10" x14ac:dyDescent="0.25">
      <c r="A69">
        <v>10.51</v>
      </c>
      <c r="B69">
        <v>14.98</v>
      </c>
      <c r="C69">
        <v>11.3</v>
      </c>
      <c r="D69">
        <v>13.92</v>
      </c>
      <c r="E69">
        <v>11.65</v>
      </c>
      <c r="F69">
        <v>11.59</v>
      </c>
      <c r="G69">
        <v>12.63</v>
      </c>
      <c r="H69">
        <v>11.94</v>
      </c>
      <c r="I69">
        <v>15.32</v>
      </c>
      <c r="J69">
        <v>15.34</v>
      </c>
    </row>
    <row r="70" spans="1:10" x14ac:dyDescent="0.25">
      <c r="A70">
        <v>15.87</v>
      </c>
      <c r="B70">
        <v>13.65</v>
      </c>
      <c r="C70">
        <v>11.34</v>
      </c>
      <c r="D70">
        <v>11.16</v>
      </c>
      <c r="E70">
        <v>13.12</v>
      </c>
      <c r="F70">
        <v>15.5</v>
      </c>
      <c r="G70">
        <v>15.84</v>
      </c>
      <c r="H70">
        <v>12.26</v>
      </c>
      <c r="I70">
        <v>10.69</v>
      </c>
      <c r="J70">
        <v>15.72</v>
      </c>
    </row>
    <row r="71" spans="1:10" x14ac:dyDescent="0.25">
      <c r="A71">
        <v>10.07</v>
      </c>
      <c r="B71">
        <v>14.53</v>
      </c>
      <c r="C71">
        <v>10.54</v>
      </c>
      <c r="D71">
        <v>13.02</v>
      </c>
      <c r="E71">
        <v>10.56</v>
      </c>
      <c r="F71">
        <v>15.58</v>
      </c>
      <c r="G71">
        <v>14.05</v>
      </c>
      <c r="H71">
        <v>13.12</v>
      </c>
      <c r="I71">
        <v>14.65</v>
      </c>
      <c r="J71">
        <v>14.15</v>
      </c>
    </row>
    <row r="72" spans="1:10" x14ac:dyDescent="0.25">
      <c r="A72">
        <v>13.92</v>
      </c>
      <c r="B72">
        <v>10.86</v>
      </c>
      <c r="C72">
        <v>11.05</v>
      </c>
      <c r="D72">
        <v>14.16</v>
      </c>
      <c r="E72">
        <v>11.48</v>
      </c>
      <c r="F72">
        <v>10.45</v>
      </c>
      <c r="G72">
        <v>14.61</v>
      </c>
      <c r="H72">
        <v>12.83</v>
      </c>
      <c r="I72">
        <v>12.25</v>
      </c>
      <c r="J72">
        <v>14.67</v>
      </c>
    </row>
    <row r="73" spans="1:10" x14ac:dyDescent="0.25">
      <c r="A73">
        <v>15.58</v>
      </c>
      <c r="B73">
        <v>13.33</v>
      </c>
      <c r="C73">
        <v>15.53</v>
      </c>
      <c r="D73">
        <v>12.12</v>
      </c>
      <c r="E73">
        <v>10.78</v>
      </c>
      <c r="F73">
        <v>15.67</v>
      </c>
      <c r="G73">
        <v>12.74</v>
      </c>
      <c r="H73">
        <v>12.88</v>
      </c>
      <c r="I73">
        <v>11.93</v>
      </c>
      <c r="J73">
        <v>11.17</v>
      </c>
    </row>
    <row r="74" spans="1:10" x14ac:dyDescent="0.25">
      <c r="A74">
        <v>14.66</v>
      </c>
      <c r="B74">
        <v>12.46</v>
      </c>
      <c r="C74">
        <v>12.31</v>
      </c>
      <c r="D74">
        <v>10.050000000000001</v>
      </c>
      <c r="E74">
        <v>15.48</v>
      </c>
      <c r="F74">
        <v>15.29</v>
      </c>
      <c r="G74">
        <v>15.23</v>
      </c>
      <c r="H74">
        <v>15.32</v>
      </c>
      <c r="I74">
        <v>13.62</v>
      </c>
      <c r="J74">
        <v>15.68</v>
      </c>
    </row>
    <row r="75" spans="1:10" x14ac:dyDescent="0.25">
      <c r="A75">
        <v>19.510000000000002</v>
      </c>
      <c r="B75">
        <v>12.69</v>
      </c>
      <c r="C75">
        <v>11.38</v>
      </c>
      <c r="D75">
        <v>15.99</v>
      </c>
      <c r="E75">
        <v>15.35</v>
      </c>
      <c r="F75">
        <v>17.239999999999998</v>
      </c>
      <c r="G75">
        <v>12.54</v>
      </c>
      <c r="H75">
        <v>12.24</v>
      </c>
      <c r="I75">
        <v>13.03</v>
      </c>
      <c r="J75">
        <v>19.329999999999998</v>
      </c>
    </row>
    <row r="76" spans="1:10" x14ac:dyDescent="0.25">
      <c r="A76">
        <v>10.039999999999999</v>
      </c>
      <c r="B76">
        <v>10.19</v>
      </c>
      <c r="C76">
        <v>19.75</v>
      </c>
      <c r="D76">
        <v>15.2</v>
      </c>
      <c r="E76">
        <v>18.100000000000001</v>
      </c>
      <c r="F76">
        <v>14.37</v>
      </c>
      <c r="G76">
        <v>15.28</v>
      </c>
      <c r="H76">
        <v>11.85</v>
      </c>
      <c r="I76">
        <v>12.32</v>
      </c>
      <c r="J76">
        <v>12.94</v>
      </c>
    </row>
    <row r="77" spans="1:10" x14ac:dyDescent="0.25">
      <c r="A77">
        <v>11.12</v>
      </c>
      <c r="B77">
        <v>15.77</v>
      </c>
      <c r="C77">
        <v>19.170000000000002</v>
      </c>
      <c r="D77">
        <v>10.32</v>
      </c>
      <c r="E77">
        <v>10.9</v>
      </c>
      <c r="F77">
        <v>10.58</v>
      </c>
      <c r="G77">
        <v>16.86</v>
      </c>
      <c r="H77">
        <v>17.149999999999999</v>
      </c>
      <c r="I77">
        <v>19.41</v>
      </c>
      <c r="J77">
        <v>12.24</v>
      </c>
    </row>
    <row r="78" spans="1:10" x14ac:dyDescent="0.25">
      <c r="A78">
        <v>14.55</v>
      </c>
      <c r="B78">
        <v>15.16</v>
      </c>
      <c r="C78">
        <v>11.74</v>
      </c>
      <c r="D78">
        <v>18.350000000000001</v>
      </c>
      <c r="E78">
        <v>10.87</v>
      </c>
      <c r="F78">
        <v>14.03</v>
      </c>
      <c r="G78">
        <v>14.75</v>
      </c>
      <c r="H78">
        <v>18.78</v>
      </c>
      <c r="I78">
        <v>15.52</v>
      </c>
      <c r="J78">
        <v>18.690000000000001</v>
      </c>
    </row>
    <row r="79" spans="1:10" x14ac:dyDescent="0.25">
      <c r="A79">
        <v>17.7</v>
      </c>
      <c r="B79">
        <v>15.76</v>
      </c>
      <c r="C79">
        <v>11.34</v>
      </c>
      <c r="D79">
        <v>15.04</v>
      </c>
      <c r="E79">
        <v>16.18</v>
      </c>
      <c r="F79">
        <v>12.14</v>
      </c>
      <c r="G79">
        <v>13.44</v>
      </c>
      <c r="H79">
        <v>14.12</v>
      </c>
      <c r="I79">
        <v>15.27</v>
      </c>
      <c r="J79">
        <v>13.19</v>
      </c>
    </row>
    <row r="80" spans="1:10" x14ac:dyDescent="0.25">
      <c r="A80">
        <v>13.13</v>
      </c>
      <c r="B80">
        <v>12.12</v>
      </c>
      <c r="C80">
        <v>11.6</v>
      </c>
      <c r="D80">
        <v>11.76</v>
      </c>
      <c r="E80">
        <v>16.309999999999999</v>
      </c>
      <c r="F80">
        <v>19.27</v>
      </c>
      <c r="G80">
        <v>17.64</v>
      </c>
      <c r="H80">
        <v>14.87</v>
      </c>
      <c r="I80">
        <v>11.94</v>
      </c>
      <c r="J80">
        <v>15.91</v>
      </c>
    </row>
    <row r="81" spans="1:10" x14ac:dyDescent="0.25">
      <c r="A81">
        <v>10.39</v>
      </c>
      <c r="B81">
        <v>13.61</v>
      </c>
      <c r="C81">
        <v>11.2</v>
      </c>
      <c r="D81">
        <v>14.79</v>
      </c>
      <c r="E81">
        <v>12.21</v>
      </c>
      <c r="F81">
        <v>16.760000000000002</v>
      </c>
      <c r="G81">
        <v>13.09</v>
      </c>
      <c r="H81">
        <v>14.26</v>
      </c>
      <c r="I81">
        <v>10.45</v>
      </c>
      <c r="J81">
        <v>11.46</v>
      </c>
    </row>
    <row r="82" spans="1:10" x14ac:dyDescent="0.25">
      <c r="A82">
        <v>13.07</v>
      </c>
      <c r="B82">
        <v>17.61</v>
      </c>
      <c r="C82">
        <v>13.36</v>
      </c>
      <c r="D82">
        <v>19.489999999999998</v>
      </c>
      <c r="E82">
        <v>17.190000000000001</v>
      </c>
      <c r="F82">
        <v>12.99</v>
      </c>
      <c r="G82">
        <v>17.79</v>
      </c>
      <c r="H82">
        <v>18.54</v>
      </c>
      <c r="I82">
        <v>11.92</v>
      </c>
      <c r="J82">
        <v>16.47</v>
      </c>
    </row>
    <row r="83" spans="1:10" x14ac:dyDescent="0.25">
      <c r="A83">
        <v>17.18</v>
      </c>
      <c r="B83">
        <v>18.510000000000002</v>
      </c>
      <c r="C83">
        <v>18.23</v>
      </c>
      <c r="D83">
        <v>18.190000000000001</v>
      </c>
      <c r="E83">
        <v>17.61</v>
      </c>
      <c r="F83">
        <v>16.04</v>
      </c>
      <c r="G83">
        <v>14.39</v>
      </c>
      <c r="H83">
        <v>18.010000000000002</v>
      </c>
      <c r="I83">
        <v>14.9</v>
      </c>
      <c r="J83">
        <v>10.26</v>
      </c>
    </row>
    <row r="84" spans="1:10" x14ac:dyDescent="0.25">
      <c r="A84">
        <v>11.02</v>
      </c>
      <c r="B84">
        <v>16.95</v>
      </c>
      <c r="C84">
        <v>12.02</v>
      </c>
      <c r="D84">
        <v>10.31</v>
      </c>
      <c r="E84">
        <v>17.45</v>
      </c>
      <c r="F84">
        <v>18</v>
      </c>
      <c r="G84">
        <v>10.19</v>
      </c>
      <c r="H84">
        <v>13.26</v>
      </c>
      <c r="I84">
        <v>12.17</v>
      </c>
      <c r="J84">
        <v>14.58</v>
      </c>
    </row>
    <row r="85" spans="1:10" x14ac:dyDescent="0.25">
      <c r="A85">
        <v>12.05</v>
      </c>
      <c r="B85">
        <v>13.7</v>
      </c>
      <c r="C85">
        <v>12.71</v>
      </c>
      <c r="D85">
        <v>15.73</v>
      </c>
      <c r="E85">
        <v>19.93</v>
      </c>
      <c r="F85">
        <v>19.27</v>
      </c>
      <c r="G85">
        <v>11.13</v>
      </c>
      <c r="H85">
        <v>14.74</v>
      </c>
      <c r="I85">
        <v>15.42</v>
      </c>
      <c r="J85">
        <v>12.66</v>
      </c>
    </row>
    <row r="86" spans="1:10" x14ac:dyDescent="0.25">
      <c r="A86">
        <v>13.82</v>
      </c>
      <c r="B86">
        <v>17.8</v>
      </c>
      <c r="C86">
        <v>19.18</v>
      </c>
      <c r="D86">
        <v>10.64</v>
      </c>
      <c r="E86">
        <v>11.3</v>
      </c>
      <c r="F86">
        <v>11.15</v>
      </c>
      <c r="G86">
        <v>14.03</v>
      </c>
      <c r="H86">
        <v>17.32</v>
      </c>
      <c r="I86">
        <v>18.63</v>
      </c>
      <c r="J86">
        <v>15.76</v>
      </c>
    </row>
    <row r="87" spans="1:10" x14ac:dyDescent="0.25">
      <c r="A87">
        <v>19.010000000000002</v>
      </c>
      <c r="B87">
        <v>13.1</v>
      </c>
      <c r="C87">
        <v>14.77</v>
      </c>
      <c r="D87">
        <v>11</v>
      </c>
      <c r="E87">
        <v>19.510000000000002</v>
      </c>
      <c r="F87">
        <v>15.48</v>
      </c>
      <c r="G87">
        <v>11.75</v>
      </c>
      <c r="H87">
        <v>17.54</v>
      </c>
      <c r="I87">
        <v>11.08</v>
      </c>
      <c r="J87">
        <v>14.23</v>
      </c>
    </row>
    <row r="88" spans="1:10" x14ac:dyDescent="0.25">
      <c r="A88">
        <v>17.27</v>
      </c>
      <c r="B88">
        <v>13.06</v>
      </c>
      <c r="C88">
        <v>16.12</v>
      </c>
      <c r="D88">
        <v>19.010000000000002</v>
      </c>
      <c r="E88">
        <v>13.96</v>
      </c>
      <c r="F88">
        <v>10.029999999999999</v>
      </c>
      <c r="G88">
        <v>14.22</v>
      </c>
      <c r="H88">
        <v>14.88</v>
      </c>
      <c r="I88">
        <v>15.12</v>
      </c>
      <c r="J88">
        <v>19.73</v>
      </c>
    </row>
    <row r="89" spans="1:10" x14ac:dyDescent="0.25">
      <c r="A89">
        <v>14.93</v>
      </c>
      <c r="B89">
        <v>18.36</v>
      </c>
      <c r="C89">
        <v>18.34</v>
      </c>
      <c r="D89">
        <v>10.06</v>
      </c>
      <c r="E89">
        <v>16.440000000000001</v>
      </c>
      <c r="F89">
        <v>16.829999999999998</v>
      </c>
      <c r="G89">
        <v>18.079999999999998</v>
      </c>
      <c r="H89">
        <v>11.2</v>
      </c>
      <c r="I89">
        <v>10.56</v>
      </c>
      <c r="J89">
        <v>17.22</v>
      </c>
    </row>
    <row r="90" spans="1:10" x14ac:dyDescent="0.25">
      <c r="A90">
        <v>15.51</v>
      </c>
      <c r="B90">
        <v>16.440000000000001</v>
      </c>
      <c r="C90">
        <v>10.02</v>
      </c>
      <c r="D90">
        <v>13.71</v>
      </c>
      <c r="E90">
        <v>10.98</v>
      </c>
      <c r="F90">
        <v>17.39</v>
      </c>
      <c r="G90">
        <v>13.73</v>
      </c>
      <c r="H90">
        <v>17.8</v>
      </c>
      <c r="I90">
        <v>14.59</v>
      </c>
      <c r="J90">
        <v>12.5</v>
      </c>
    </row>
    <row r="91" spans="1:10" x14ac:dyDescent="0.25">
      <c r="A91">
        <v>12.83</v>
      </c>
      <c r="B91">
        <v>14.61</v>
      </c>
      <c r="C91">
        <v>19.86</v>
      </c>
      <c r="D91">
        <v>19.43</v>
      </c>
      <c r="E91">
        <v>12.83</v>
      </c>
      <c r="F91">
        <v>14</v>
      </c>
      <c r="G91">
        <v>17.329999999999998</v>
      </c>
      <c r="H91">
        <v>12.58</v>
      </c>
      <c r="I91">
        <v>12.47</v>
      </c>
      <c r="J91">
        <v>12.04</v>
      </c>
    </row>
    <row r="92" spans="1:10" x14ac:dyDescent="0.25">
      <c r="A92">
        <v>16.3</v>
      </c>
      <c r="B92">
        <v>10.32</v>
      </c>
      <c r="C92">
        <v>17.690000000000001</v>
      </c>
      <c r="D92">
        <v>19</v>
      </c>
      <c r="E92">
        <v>17.54</v>
      </c>
      <c r="F92">
        <v>16.2</v>
      </c>
      <c r="G92">
        <v>15.17</v>
      </c>
      <c r="H92">
        <v>10.66</v>
      </c>
      <c r="I92">
        <v>10.1</v>
      </c>
      <c r="J92">
        <v>12.04</v>
      </c>
    </row>
    <row r="93" spans="1:10" x14ac:dyDescent="0.25">
      <c r="A93">
        <v>16.03</v>
      </c>
      <c r="B93">
        <v>12.49</v>
      </c>
      <c r="C93">
        <v>18.23</v>
      </c>
      <c r="D93">
        <v>11.56</v>
      </c>
      <c r="E93">
        <v>15.34</v>
      </c>
      <c r="F93">
        <v>18.190000000000001</v>
      </c>
      <c r="G93">
        <v>12.2</v>
      </c>
      <c r="H93">
        <v>18.04</v>
      </c>
      <c r="I93">
        <v>14.52</v>
      </c>
      <c r="J93">
        <v>15.9</v>
      </c>
    </row>
    <row r="94" spans="1:10" x14ac:dyDescent="0.25">
      <c r="A94">
        <v>19.47</v>
      </c>
      <c r="B94">
        <v>19.760000000000002</v>
      </c>
      <c r="C94">
        <v>11.95</v>
      </c>
      <c r="D94">
        <v>16.28</v>
      </c>
      <c r="E94">
        <v>13.33</v>
      </c>
      <c r="F94">
        <v>19.91</v>
      </c>
      <c r="G94">
        <v>19.73</v>
      </c>
      <c r="H94">
        <v>15.06</v>
      </c>
      <c r="I94">
        <v>15.39</v>
      </c>
      <c r="J94">
        <v>13.54</v>
      </c>
    </row>
    <row r="95" spans="1:10" x14ac:dyDescent="0.25">
      <c r="A95">
        <v>14.55</v>
      </c>
      <c r="B95">
        <v>11.62</v>
      </c>
      <c r="C95">
        <v>12.91</v>
      </c>
      <c r="D95">
        <v>18.72</v>
      </c>
      <c r="E95">
        <v>18.2</v>
      </c>
      <c r="F95">
        <v>12.03</v>
      </c>
      <c r="G95">
        <v>16.760000000000002</v>
      </c>
      <c r="H95">
        <v>10.38</v>
      </c>
      <c r="I95">
        <v>18.149999999999999</v>
      </c>
      <c r="J95">
        <v>14.5</v>
      </c>
    </row>
    <row r="96" spans="1:10" x14ac:dyDescent="0.25">
      <c r="A96">
        <v>11.26</v>
      </c>
      <c r="B96">
        <v>11.81</v>
      </c>
      <c r="C96">
        <v>12.66</v>
      </c>
      <c r="D96">
        <v>16</v>
      </c>
      <c r="E96">
        <v>11.63</v>
      </c>
      <c r="F96">
        <v>19.61</v>
      </c>
      <c r="G96">
        <v>12.55</v>
      </c>
      <c r="H96">
        <v>11.68</v>
      </c>
      <c r="I96">
        <v>14.08</v>
      </c>
      <c r="J96">
        <v>13.96</v>
      </c>
    </row>
    <row r="97" spans="1:10" x14ac:dyDescent="0.25">
      <c r="A97">
        <v>10.77</v>
      </c>
      <c r="B97">
        <v>10.91</v>
      </c>
      <c r="C97">
        <v>17.600000000000001</v>
      </c>
      <c r="D97">
        <v>13.5</v>
      </c>
      <c r="E97">
        <v>16.27</v>
      </c>
      <c r="F97">
        <v>12.44</v>
      </c>
      <c r="G97">
        <v>11.01</v>
      </c>
      <c r="H97">
        <v>16.079999999999998</v>
      </c>
      <c r="I97">
        <v>12.3</v>
      </c>
      <c r="J97">
        <v>11.35</v>
      </c>
    </row>
    <row r="98" spans="1:10" x14ac:dyDescent="0.25">
      <c r="A98">
        <v>15.43</v>
      </c>
      <c r="B98">
        <v>17.52</v>
      </c>
      <c r="C98">
        <v>12.01</v>
      </c>
      <c r="D98">
        <v>10.31</v>
      </c>
      <c r="E98">
        <v>13.52</v>
      </c>
      <c r="F98">
        <v>13.39</v>
      </c>
      <c r="G98">
        <v>11.34</v>
      </c>
      <c r="H98">
        <v>10.31</v>
      </c>
      <c r="I98">
        <v>11.07</v>
      </c>
      <c r="J98">
        <v>18.52</v>
      </c>
    </row>
    <row r="99" spans="1:10" x14ac:dyDescent="0.25">
      <c r="A99">
        <v>22.57</v>
      </c>
      <c r="B99">
        <v>24.93</v>
      </c>
      <c r="C99">
        <v>23.16</v>
      </c>
      <c r="D99">
        <v>21.19</v>
      </c>
      <c r="E99">
        <v>22.95</v>
      </c>
      <c r="F99">
        <v>20.79</v>
      </c>
      <c r="G99">
        <v>23.65</v>
      </c>
      <c r="H99">
        <v>24.3</v>
      </c>
      <c r="I99">
        <v>22.91</v>
      </c>
      <c r="J99">
        <v>21.31</v>
      </c>
    </row>
    <row r="100" spans="1:10" x14ac:dyDescent="0.25">
      <c r="A100">
        <v>21.12</v>
      </c>
      <c r="B100">
        <v>24.03</v>
      </c>
      <c r="C100">
        <v>20.46</v>
      </c>
      <c r="D100">
        <v>20.329999999999998</v>
      </c>
      <c r="E100">
        <v>24.18</v>
      </c>
      <c r="F100">
        <v>23.01</v>
      </c>
      <c r="G100">
        <v>24.57</v>
      </c>
      <c r="H100">
        <v>22.83</v>
      </c>
      <c r="I100">
        <v>21.55</v>
      </c>
      <c r="J100">
        <v>23.87</v>
      </c>
    </row>
    <row r="101" spans="1:10" x14ac:dyDescent="0.25">
      <c r="A101">
        <v>22.29</v>
      </c>
      <c r="B101">
        <v>22.16</v>
      </c>
      <c r="C101">
        <v>22.9</v>
      </c>
      <c r="D101">
        <v>20.04</v>
      </c>
      <c r="E101">
        <v>21.27</v>
      </c>
      <c r="F101">
        <v>21.55</v>
      </c>
      <c r="G101">
        <v>21.51</v>
      </c>
      <c r="H101">
        <v>23.98</v>
      </c>
      <c r="I101">
        <v>24.01</v>
      </c>
      <c r="J101">
        <v>23.77</v>
      </c>
    </row>
    <row r="102" spans="1:10" x14ac:dyDescent="0.25">
      <c r="A102">
        <v>20.5</v>
      </c>
      <c r="B102">
        <v>21.83</v>
      </c>
      <c r="C102">
        <v>21.96</v>
      </c>
      <c r="D102">
        <v>20.58</v>
      </c>
      <c r="E102">
        <v>23.33</v>
      </c>
      <c r="F102">
        <v>23.73</v>
      </c>
      <c r="G102">
        <v>23.65</v>
      </c>
      <c r="H102">
        <v>20.9</v>
      </c>
      <c r="I102">
        <v>24.06</v>
      </c>
      <c r="J102">
        <v>21.13</v>
      </c>
    </row>
    <row r="103" spans="1:10" x14ac:dyDescent="0.25">
      <c r="A103">
        <v>20.62</v>
      </c>
      <c r="B103">
        <v>20.23</v>
      </c>
      <c r="C103">
        <v>22.96</v>
      </c>
      <c r="D103">
        <v>22.48</v>
      </c>
      <c r="E103">
        <v>23.59</v>
      </c>
      <c r="F103">
        <v>24.99</v>
      </c>
      <c r="G103">
        <v>21.26</v>
      </c>
      <c r="H103">
        <v>20.149999999999999</v>
      </c>
      <c r="I103">
        <v>23.52</v>
      </c>
      <c r="J103">
        <v>20.04</v>
      </c>
    </row>
    <row r="104" spans="1:10" x14ac:dyDescent="0.25">
      <c r="A104">
        <v>24.62</v>
      </c>
      <c r="B104">
        <v>20.59</v>
      </c>
      <c r="C104">
        <v>23.7</v>
      </c>
      <c r="D104">
        <v>21.55</v>
      </c>
      <c r="E104">
        <v>21.85</v>
      </c>
      <c r="F104">
        <v>21.12</v>
      </c>
      <c r="G104">
        <v>21.24</v>
      </c>
      <c r="H104">
        <v>24.93</v>
      </c>
      <c r="I104">
        <v>21.9</v>
      </c>
      <c r="J104">
        <v>20.5</v>
      </c>
    </row>
    <row r="105" spans="1:10" x14ac:dyDescent="0.25">
      <c r="A105">
        <v>23.53</v>
      </c>
      <c r="B105">
        <v>22.47</v>
      </c>
      <c r="C105">
        <v>24.91</v>
      </c>
      <c r="D105">
        <v>22.53</v>
      </c>
      <c r="E105">
        <v>20.56</v>
      </c>
      <c r="F105">
        <v>23.64</v>
      </c>
      <c r="G105">
        <v>21</v>
      </c>
      <c r="H105">
        <v>20.55</v>
      </c>
      <c r="I105">
        <v>24.08</v>
      </c>
      <c r="J105">
        <v>20.49</v>
      </c>
    </row>
    <row r="106" spans="1:10" x14ac:dyDescent="0.25">
      <c r="A106">
        <v>23.8</v>
      </c>
      <c r="B106">
        <v>20.78</v>
      </c>
      <c r="C106">
        <v>20.56</v>
      </c>
      <c r="D106">
        <v>20.5</v>
      </c>
      <c r="E106">
        <v>20.16</v>
      </c>
      <c r="F106">
        <v>21.68</v>
      </c>
      <c r="G106">
        <v>23.86</v>
      </c>
      <c r="H106">
        <v>21.14</v>
      </c>
      <c r="I106">
        <v>23.1</v>
      </c>
      <c r="J106">
        <v>22.53</v>
      </c>
    </row>
    <row r="107" spans="1:10" x14ac:dyDescent="0.25">
      <c r="A107">
        <v>21.04</v>
      </c>
      <c r="B107">
        <v>22.45</v>
      </c>
      <c r="C107">
        <v>21.06</v>
      </c>
      <c r="D107">
        <v>20.149999999999999</v>
      </c>
      <c r="E107">
        <v>24.31</v>
      </c>
      <c r="F107">
        <v>22.72</v>
      </c>
      <c r="G107">
        <v>24.67</v>
      </c>
      <c r="H107">
        <v>21.12</v>
      </c>
      <c r="I107">
        <v>23.35</v>
      </c>
      <c r="J107">
        <v>22.54</v>
      </c>
    </row>
    <row r="108" spans="1:10" x14ac:dyDescent="0.25">
      <c r="A108">
        <v>23.49</v>
      </c>
      <c r="B108">
        <v>22.55</v>
      </c>
      <c r="C108">
        <v>24.66</v>
      </c>
      <c r="D108">
        <v>23.56</v>
      </c>
      <c r="E108">
        <v>20.260000000000002</v>
      </c>
      <c r="F108">
        <v>22.27</v>
      </c>
      <c r="G108">
        <v>20.440000000000001</v>
      </c>
      <c r="H108">
        <v>22.27</v>
      </c>
      <c r="I108">
        <v>24.47</v>
      </c>
      <c r="J108">
        <v>23.03</v>
      </c>
    </row>
    <row r="109" spans="1:10" x14ac:dyDescent="0.25">
      <c r="A109">
        <v>20.99</v>
      </c>
      <c r="B109">
        <v>21.37</v>
      </c>
      <c r="C109">
        <v>22.15</v>
      </c>
      <c r="D109">
        <v>22.76</v>
      </c>
      <c r="E109">
        <v>20.25</v>
      </c>
      <c r="F109">
        <v>23.8</v>
      </c>
      <c r="G109">
        <v>23.38</v>
      </c>
      <c r="H109">
        <v>20.5</v>
      </c>
      <c r="I109">
        <v>21.65</v>
      </c>
      <c r="J109">
        <v>24.8</v>
      </c>
    </row>
    <row r="110" spans="1:10" x14ac:dyDescent="0.25">
      <c r="A110">
        <v>20.18</v>
      </c>
      <c r="B110">
        <v>24.07</v>
      </c>
      <c r="C110">
        <v>24.25</v>
      </c>
      <c r="D110">
        <v>20.170000000000002</v>
      </c>
      <c r="E110">
        <v>21.08</v>
      </c>
      <c r="F110">
        <v>22.83</v>
      </c>
      <c r="G110">
        <v>23.53</v>
      </c>
      <c r="H110">
        <v>23.6</v>
      </c>
      <c r="I110">
        <v>23.16</v>
      </c>
      <c r="J110">
        <v>21.42</v>
      </c>
    </row>
    <row r="111" spans="1:10" x14ac:dyDescent="0.25">
      <c r="A111">
        <v>24.46</v>
      </c>
      <c r="B111">
        <v>23.9</v>
      </c>
      <c r="C111">
        <v>24.19</v>
      </c>
      <c r="D111">
        <v>20.14</v>
      </c>
      <c r="E111">
        <v>23.6</v>
      </c>
      <c r="F111">
        <v>23.67</v>
      </c>
      <c r="G111">
        <v>24.85</v>
      </c>
      <c r="H111">
        <v>24.77</v>
      </c>
      <c r="I111">
        <v>24.75</v>
      </c>
      <c r="J111">
        <v>22.32</v>
      </c>
    </row>
    <row r="112" spans="1:10" x14ac:dyDescent="0.25">
      <c r="A112">
        <v>20.62</v>
      </c>
      <c r="B112">
        <v>21.57</v>
      </c>
      <c r="C112">
        <v>22.99</v>
      </c>
      <c r="D112">
        <v>23.14</v>
      </c>
      <c r="E112">
        <v>22.4</v>
      </c>
      <c r="F112">
        <v>23.83</v>
      </c>
      <c r="G112">
        <v>21.63</v>
      </c>
      <c r="H112">
        <v>21.9</v>
      </c>
      <c r="I112">
        <v>22.89</v>
      </c>
      <c r="J112">
        <v>22.3</v>
      </c>
    </row>
    <row r="113" spans="1:10" x14ac:dyDescent="0.25">
      <c r="A113">
        <v>24.97</v>
      </c>
      <c r="B113">
        <v>23.55</v>
      </c>
      <c r="C113">
        <v>24.91</v>
      </c>
      <c r="D113">
        <v>21.77</v>
      </c>
      <c r="E113">
        <v>23.58</v>
      </c>
      <c r="F113">
        <v>23.03</v>
      </c>
      <c r="G113">
        <v>22.25</v>
      </c>
      <c r="H113">
        <v>22.37</v>
      </c>
      <c r="I113">
        <v>22.57</v>
      </c>
      <c r="J113">
        <v>22.02</v>
      </c>
    </row>
    <row r="114" spans="1:10" x14ac:dyDescent="0.25">
      <c r="A114">
        <v>24.04</v>
      </c>
      <c r="B114">
        <v>21.89</v>
      </c>
      <c r="C114">
        <v>23.85</v>
      </c>
      <c r="D114">
        <v>22.87</v>
      </c>
      <c r="E114">
        <v>24.33</v>
      </c>
      <c r="F114">
        <v>24.38</v>
      </c>
      <c r="G114">
        <v>21.95</v>
      </c>
      <c r="H114">
        <v>21.37</v>
      </c>
      <c r="I114">
        <v>20.45</v>
      </c>
      <c r="J114">
        <v>24.51</v>
      </c>
    </row>
    <row r="115" spans="1:10" x14ac:dyDescent="0.25">
      <c r="A115">
        <v>20.96</v>
      </c>
      <c r="B115">
        <v>22.03</v>
      </c>
      <c r="C115">
        <v>20.89</v>
      </c>
      <c r="D115">
        <v>24.62</v>
      </c>
      <c r="E115">
        <v>22.22</v>
      </c>
      <c r="F115">
        <v>24.32</v>
      </c>
      <c r="G115">
        <v>22.24</v>
      </c>
      <c r="H115">
        <v>20.079999999999998</v>
      </c>
      <c r="I115">
        <v>20.18</v>
      </c>
      <c r="J115">
        <v>21.9</v>
      </c>
    </row>
    <row r="116" spans="1:10" x14ac:dyDescent="0.25">
      <c r="A116">
        <v>23.01</v>
      </c>
      <c r="B116">
        <v>24.6</v>
      </c>
      <c r="C116">
        <v>24.7</v>
      </c>
      <c r="D116">
        <v>23.45</v>
      </c>
      <c r="E116">
        <v>24.59</v>
      </c>
      <c r="F116">
        <v>23.65</v>
      </c>
      <c r="G116">
        <v>23.52</v>
      </c>
      <c r="H116">
        <v>21.6</v>
      </c>
      <c r="I116">
        <v>21.42</v>
      </c>
      <c r="J116">
        <v>22.09</v>
      </c>
    </row>
    <row r="117" spans="1:10" x14ac:dyDescent="0.25">
      <c r="A117">
        <v>22.46</v>
      </c>
      <c r="B117">
        <v>24.11</v>
      </c>
      <c r="C117">
        <v>22.12</v>
      </c>
      <c r="D117">
        <v>24.08</v>
      </c>
      <c r="E117">
        <v>23.14</v>
      </c>
      <c r="F117">
        <v>24.56</v>
      </c>
      <c r="G117">
        <v>22.95</v>
      </c>
      <c r="H117">
        <v>21.53</v>
      </c>
      <c r="I117">
        <v>21.19</v>
      </c>
      <c r="J117">
        <v>21.66</v>
      </c>
    </row>
    <row r="118" spans="1:10" x14ac:dyDescent="0.25">
      <c r="A118">
        <v>21.46</v>
      </c>
      <c r="B118">
        <v>20.81</v>
      </c>
      <c r="C118">
        <v>22.16</v>
      </c>
      <c r="D118">
        <v>23.39</v>
      </c>
      <c r="E118">
        <v>21.06</v>
      </c>
      <c r="F118">
        <v>23.13</v>
      </c>
      <c r="G118">
        <v>24.81</v>
      </c>
      <c r="H118">
        <v>21.89</v>
      </c>
      <c r="I118">
        <v>21.04</v>
      </c>
      <c r="J118">
        <v>20.73</v>
      </c>
    </row>
    <row r="119" spans="1:10" x14ac:dyDescent="0.25">
      <c r="A119">
        <v>24.3</v>
      </c>
      <c r="B119">
        <v>21.17</v>
      </c>
      <c r="C119">
        <v>20.45</v>
      </c>
      <c r="D119">
        <v>21.07</v>
      </c>
      <c r="E119">
        <v>23.27</v>
      </c>
      <c r="F119">
        <v>21.82</v>
      </c>
      <c r="G119">
        <v>21.32</v>
      </c>
      <c r="H119">
        <v>21.89</v>
      </c>
      <c r="I119">
        <v>23.96</v>
      </c>
      <c r="J119">
        <v>21.93</v>
      </c>
    </row>
    <row r="120" spans="1:10" x14ac:dyDescent="0.25">
      <c r="A120">
        <v>20.79</v>
      </c>
      <c r="B120">
        <v>20.149999999999999</v>
      </c>
      <c r="C120">
        <v>24.61</v>
      </c>
      <c r="D120">
        <v>21.03</v>
      </c>
      <c r="E120">
        <v>20.75</v>
      </c>
      <c r="F120">
        <v>23.58</v>
      </c>
      <c r="G120">
        <v>24.1</v>
      </c>
      <c r="H120">
        <v>20.18</v>
      </c>
      <c r="I120">
        <v>20.25</v>
      </c>
      <c r="J120">
        <v>23.53</v>
      </c>
    </row>
    <row r="121" spans="1:10" x14ac:dyDescent="0.25">
      <c r="A121">
        <v>24.53</v>
      </c>
      <c r="B121">
        <v>20.23</v>
      </c>
      <c r="C121">
        <v>23.44</v>
      </c>
      <c r="D121">
        <v>21.79</v>
      </c>
      <c r="E121">
        <v>22.16</v>
      </c>
      <c r="F121">
        <v>23.23</v>
      </c>
      <c r="G121">
        <v>24.25</v>
      </c>
      <c r="H121">
        <v>22.23</v>
      </c>
      <c r="I121">
        <v>23.64</v>
      </c>
      <c r="J121">
        <v>23.21</v>
      </c>
    </row>
    <row r="122" spans="1:10" x14ac:dyDescent="0.25">
      <c r="A122">
        <v>22.93</v>
      </c>
      <c r="B122">
        <v>21.83</v>
      </c>
      <c r="C122">
        <v>22.2</v>
      </c>
      <c r="D122">
        <v>20.66</v>
      </c>
      <c r="E122">
        <v>21.05</v>
      </c>
      <c r="F122">
        <v>22.52</v>
      </c>
      <c r="G122">
        <v>24.58</v>
      </c>
      <c r="H122">
        <v>24.21</v>
      </c>
      <c r="I122">
        <v>24.25</v>
      </c>
      <c r="J122">
        <v>20.98</v>
      </c>
    </row>
    <row r="123" spans="1:10" x14ac:dyDescent="0.25">
      <c r="A123">
        <v>23.61</v>
      </c>
      <c r="B123">
        <v>22.31</v>
      </c>
      <c r="C123">
        <v>22.54</v>
      </c>
      <c r="D123">
        <v>23.68</v>
      </c>
      <c r="E123">
        <v>24.34</v>
      </c>
      <c r="F123">
        <v>23.6</v>
      </c>
      <c r="G123">
        <v>20.260000000000002</v>
      </c>
      <c r="H123">
        <v>20.29</v>
      </c>
      <c r="I123">
        <v>24.84</v>
      </c>
      <c r="J123">
        <v>24.53</v>
      </c>
    </row>
    <row r="124" spans="1:10" x14ac:dyDescent="0.25">
      <c r="A124">
        <v>21.99</v>
      </c>
      <c r="B124">
        <v>21.03</v>
      </c>
      <c r="C124">
        <v>21.98</v>
      </c>
      <c r="D124">
        <v>24.71</v>
      </c>
      <c r="E124">
        <v>22.25</v>
      </c>
      <c r="F124">
        <v>21.03</v>
      </c>
      <c r="G124">
        <v>20.059999999999999</v>
      </c>
      <c r="H124">
        <v>23.44</v>
      </c>
      <c r="I124">
        <v>23.35</v>
      </c>
      <c r="J124">
        <v>24.22</v>
      </c>
    </row>
    <row r="125" spans="1:10" x14ac:dyDescent="0.25">
      <c r="A125">
        <v>21.25</v>
      </c>
      <c r="B125">
        <v>22.63</v>
      </c>
      <c r="C125">
        <v>22.5</v>
      </c>
      <c r="D125">
        <v>22.53</v>
      </c>
      <c r="E125">
        <v>22.55</v>
      </c>
      <c r="F125">
        <v>23.75</v>
      </c>
      <c r="G125">
        <v>22.37</v>
      </c>
      <c r="H125">
        <v>20.83</v>
      </c>
      <c r="I125">
        <v>22.24</v>
      </c>
      <c r="J125">
        <v>22.78</v>
      </c>
    </row>
    <row r="126" spans="1:10" x14ac:dyDescent="0.25">
      <c r="A126">
        <v>22.19</v>
      </c>
      <c r="B126">
        <v>23.63</v>
      </c>
      <c r="C126">
        <v>20.6</v>
      </c>
      <c r="D126">
        <v>22.57</v>
      </c>
      <c r="E126">
        <v>24.22</v>
      </c>
      <c r="F126">
        <v>22.01</v>
      </c>
      <c r="G126">
        <v>21.12</v>
      </c>
      <c r="H126">
        <v>24.52</v>
      </c>
      <c r="I126">
        <v>21.28</v>
      </c>
      <c r="J126">
        <v>20.05</v>
      </c>
    </row>
    <row r="127" spans="1:10" x14ac:dyDescent="0.25">
      <c r="A127">
        <v>22.74</v>
      </c>
      <c r="B127">
        <v>20.72</v>
      </c>
      <c r="C127">
        <v>24.74</v>
      </c>
      <c r="D127">
        <v>23.94</v>
      </c>
      <c r="E127">
        <v>22.07</v>
      </c>
      <c r="F127">
        <v>24.33</v>
      </c>
      <c r="G127">
        <v>20.62</v>
      </c>
      <c r="H127">
        <v>24.62</v>
      </c>
      <c r="I127">
        <v>20.96</v>
      </c>
      <c r="J127">
        <v>24.76</v>
      </c>
    </row>
    <row r="128" spans="1:10" x14ac:dyDescent="0.25">
      <c r="A128">
        <v>24.25</v>
      </c>
      <c r="B128">
        <v>21.83</v>
      </c>
      <c r="C128">
        <v>23.97</v>
      </c>
      <c r="D128">
        <v>22.48</v>
      </c>
      <c r="E128">
        <v>21.36</v>
      </c>
      <c r="F128">
        <v>20.2</v>
      </c>
      <c r="G128">
        <v>23.33</v>
      </c>
      <c r="H128">
        <v>22.17</v>
      </c>
      <c r="I128">
        <v>22.32</v>
      </c>
      <c r="J128">
        <v>22.84</v>
      </c>
    </row>
    <row r="129" spans="1:10" x14ac:dyDescent="0.25">
      <c r="A129">
        <v>22.33</v>
      </c>
      <c r="B129">
        <v>20</v>
      </c>
      <c r="C129">
        <v>24.04</v>
      </c>
      <c r="D129">
        <v>24.76</v>
      </c>
      <c r="E129">
        <v>23.02</v>
      </c>
      <c r="F129">
        <v>23.75</v>
      </c>
      <c r="G129">
        <v>20.46</v>
      </c>
      <c r="H129">
        <v>22.05</v>
      </c>
      <c r="I129">
        <v>21.31</v>
      </c>
      <c r="J129">
        <v>23.02</v>
      </c>
    </row>
    <row r="130" spans="1:10" x14ac:dyDescent="0.25">
      <c r="A130">
        <v>20.89</v>
      </c>
      <c r="B130">
        <v>20.28</v>
      </c>
      <c r="C130">
        <v>23.53</v>
      </c>
      <c r="D130">
        <v>22.74</v>
      </c>
      <c r="E130">
        <v>20.13</v>
      </c>
      <c r="F130">
        <v>22.16</v>
      </c>
      <c r="G130">
        <v>22.63</v>
      </c>
      <c r="H130">
        <v>21.6</v>
      </c>
      <c r="I130">
        <v>23</v>
      </c>
      <c r="J130">
        <v>20.5</v>
      </c>
    </row>
    <row r="131" spans="1:10" x14ac:dyDescent="0.25">
      <c r="A131">
        <v>21.25</v>
      </c>
      <c r="B131">
        <v>22.01</v>
      </c>
      <c r="C131">
        <v>20.190000000000001</v>
      </c>
      <c r="D131">
        <v>24.36</v>
      </c>
      <c r="E131">
        <v>24.61</v>
      </c>
      <c r="F131">
        <v>24.99</v>
      </c>
      <c r="G131">
        <v>22.55</v>
      </c>
      <c r="H131">
        <v>24.32</v>
      </c>
      <c r="I131">
        <v>20.89</v>
      </c>
      <c r="J131">
        <v>20.36</v>
      </c>
    </row>
    <row r="132" spans="1:10" x14ac:dyDescent="0.25">
      <c r="A132">
        <v>23.52</v>
      </c>
      <c r="B132">
        <v>21.62</v>
      </c>
      <c r="C132">
        <v>22.59</v>
      </c>
      <c r="D132">
        <v>22.21</v>
      </c>
      <c r="E132">
        <v>21.78</v>
      </c>
      <c r="F132">
        <v>24.26</v>
      </c>
      <c r="G132">
        <v>24.31</v>
      </c>
      <c r="H132">
        <v>20.53</v>
      </c>
      <c r="I132">
        <v>23.51</v>
      </c>
      <c r="J132">
        <v>23.09</v>
      </c>
    </row>
    <row r="133" spans="1:10" x14ac:dyDescent="0.25">
      <c r="A133">
        <v>20.11</v>
      </c>
      <c r="B133">
        <v>23.11</v>
      </c>
      <c r="C133">
        <v>24.5</v>
      </c>
      <c r="D133">
        <v>20.38</v>
      </c>
      <c r="E133">
        <v>22.23</v>
      </c>
      <c r="F133">
        <v>23.96</v>
      </c>
      <c r="G133">
        <v>21.22</v>
      </c>
      <c r="H133">
        <v>24.89</v>
      </c>
      <c r="I133">
        <v>20.12</v>
      </c>
      <c r="J133">
        <v>24.1</v>
      </c>
    </row>
    <row r="134" spans="1:10" x14ac:dyDescent="0.25">
      <c r="A134">
        <v>22.99</v>
      </c>
      <c r="B134">
        <v>21.77</v>
      </c>
      <c r="C134">
        <v>20.63</v>
      </c>
      <c r="D134">
        <v>20.59</v>
      </c>
      <c r="E134">
        <v>21.52</v>
      </c>
      <c r="F134">
        <v>23.7</v>
      </c>
      <c r="G134">
        <v>22.05</v>
      </c>
      <c r="H134">
        <v>23.02</v>
      </c>
      <c r="I134">
        <v>24.59</v>
      </c>
      <c r="J134">
        <v>20.99</v>
      </c>
    </row>
    <row r="135" spans="1:10" x14ac:dyDescent="0.25">
      <c r="A135">
        <v>22.09</v>
      </c>
      <c r="B135">
        <v>22.11</v>
      </c>
      <c r="C135">
        <v>23.82</v>
      </c>
      <c r="D135">
        <v>21.8</v>
      </c>
      <c r="E135">
        <v>23.42</v>
      </c>
      <c r="F135">
        <v>23.48</v>
      </c>
      <c r="G135">
        <v>23.86</v>
      </c>
      <c r="H135">
        <v>21.65</v>
      </c>
      <c r="I135">
        <v>24.9</v>
      </c>
      <c r="J135">
        <v>20.260000000000002</v>
      </c>
    </row>
    <row r="136" spans="1:10" x14ac:dyDescent="0.25">
      <c r="A136">
        <v>22.15</v>
      </c>
      <c r="B136">
        <v>20.68</v>
      </c>
      <c r="C136">
        <v>22.12</v>
      </c>
      <c r="D136">
        <v>21.59</v>
      </c>
      <c r="E136">
        <v>22.45</v>
      </c>
      <c r="F136">
        <v>22.03</v>
      </c>
      <c r="G136">
        <v>20.58</v>
      </c>
      <c r="H136">
        <v>21.08</v>
      </c>
      <c r="I136">
        <v>22.52</v>
      </c>
      <c r="J136">
        <v>20.71</v>
      </c>
    </row>
    <row r="137" spans="1:10" x14ac:dyDescent="0.25">
      <c r="A137">
        <v>20.149999999999999</v>
      </c>
      <c r="B137">
        <v>21.69</v>
      </c>
      <c r="C137">
        <v>22.88</v>
      </c>
      <c r="D137">
        <v>23.7</v>
      </c>
      <c r="E137">
        <v>22.32</v>
      </c>
      <c r="F137">
        <v>20.55</v>
      </c>
      <c r="G137">
        <v>24.02</v>
      </c>
      <c r="H137">
        <v>23.15</v>
      </c>
      <c r="I137">
        <v>21.8</v>
      </c>
      <c r="J137">
        <v>23.78</v>
      </c>
    </row>
    <row r="138" spans="1:10" x14ac:dyDescent="0.25">
      <c r="A138">
        <v>21.66</v>
      </c>
      <c r="B138">
        <v>23.29</v>
      </c>
      <c r="C138">
        <v>23.15</v>
      </c>
      <c r="D138">
        <v>21.38</v>
      </c>
      <c r="E138">
        <v>22.83</v>
      </c>
      <c r="F138">
        <v>23.77</v>
      </c>
      <c r="G138">
        <v>23.64</v>
      </c>
      <c r="H138">
        <v>23.45</v>
      </c>
      <c r="I138">
        <v>23.36</v>
      </c>
      <c r="J138">
        <v>22.48</v>
      </c>
    </row>
    <row r="139" spans="1:10" x14ac:dyDescent="0.25">
      <c r="A139">
        <v>20.57</v>
      </c>
      <c r="B139">
        <v>21.99</v>
      </c>
      <c r="C139">
        <v>23.24</v>
      </c>
      <c r="D139">
        <v>20.5</v>
      </c>
      <c r="E139">
        <v>23.35</v>
      </c>
      <c r="F139">
        <v>21.21</v>
      </c>
      <c r="G139">
        <v>24.55</v>
      </c>
      <c r="H139">
        <v>20.53</v>
      </c>
      <c r="I139">
        <v>22.69</v>
      </c>
      <c r="J139">
        <v>21.43</v>
      </c>
    </row>
    <row r="140" spans="1:10" x14ac:dyDescent="0.25">
      <c r="A140">
        <v>21.59</v>
      </c>
      <c r="B140">
        <v>23.58</v>
      </c>
      <c r="C140">
        <v>20.88</v>
      </c>
      <c r="D140">
        <v>23.01</v>
      </c>
      <c r="E140">
        <v>23</v>
      </c>
      <c r="F140">
        <v>24.37</v>
      </c>
      <c r="G140">
        <v>23.73</v>
      </c>
      <c r="H140">
        <v>20.41</v>
      </c>
      <c r="I140">
        <v>20.39</v>
      </c>
      <c r="J140">
        <v>20.8</v>
      </c>
    </row>
    <row r="141" spans="1:10" x14ac:dyDescent="0.25">
      <c r="A141">
        <v>20.93</v>
      </c>
      <c r="B141">
        <v>20.239999999999998</v>
      </c>
      <c r="C141">
        <v>22.85</v>
      </c>
      <c r="D141">
        <v>21.54</v>
      </c>
      <c r="E141">
        <v>23.07</v>
      </c>
      <c r="F141">
        <v>20.65</v>
      </c>
      <c r="G141">
        <v>24.44</v>
      </c>
      <c r="H141">
        <v>20.95</v>
      </c>
      <c r="I141">
        <v>21.69</v>
      </c>
      <c r="J141">
        <v>22.41</v>
      </c>
    </row>
    <row r="142" spans="1:10" x14ac:dyDescent="0.25">
      <c r="A142">
        <v>16.41</v>
      </c>
      <c r="B142">
        <v>15.29</v>
      </c>
      <c r="C142">
        <v>10.48</v>
      </c>
      <c r="D142">
        <v>14.09</v>
      </c>
      <c r="E142">
        <v>19.38</v>
      </c>
      <c r="F142">
        <v>10.14</v>
      </c>
      <c r="G142">
        <v>10.74</v>
      </c>
      <c r="H142">
        <v>15.18</v>
      </c>
      <c r="I142">
        <v>12.67</v>
      </c>
      <c r="J142">
        <v>14.37</v>
      </c>
    </row>
    <row r="143" spans="1:10" x14ac:dyDescent="0.25">
      <c r="A143">
        <v>16.52</v>
      </c>
      <c r="B143">
        <v>12.24</v>
      </c>
      <c r="C143">
        <v>15.91</v>
      </c>
      <c r="D143">
        <v>15.35</v>
      </c>
      <c r="E143">
        <v>17</v>
      </c>
      <c r="F143">
        <v>16.29</v>
      </c>
      <c r="G143">
        <v>10.94</v>
      </c>
      <c r="H143">
        <v>17.579999999999998</v>
      </c>
      <c r="I143">
        <v>14.73</v>
      </c>
      <c r="J143">
        <v>15.82</v>
      </c>
    </row>
    <row r="144" spans="1:10" x14ac:dyDescent="0.25">
      <c r="A144">
        <v>13.93</v>
      </c>
      <c r="B144">
        <v>15.26</v>
      </c>
      <c r="C144">
        <v>13.17</v>
      </c>
      <c r="D144">
        <v>15.12</v>
      </c>
      <c r="E144">
        <v>16.059999999999999</v>
      </c>
      <c r="F144">
        <v>14.37</v>
      </c>
      <c r="G144">
        <v>20</v>
      </c>
      <c r="H144">
        <v>14.27</v>
      </c>
      <c r="I144">
        <v>12.07</v>
      </c>
      <c r="J144">
        <v>11.12</v>
      </c>
    </row>
    <row r="145" spans="1:10" x14ac:dyDescent="0.25">
      <c r="A145">
        <v>10.24</v>
      </c>
      <c r="B145">
        <v>18.010000000000002</v>
      </c>
      <c r="C145">
        <v>15.2</v>
      </c>
      <c r="D145">
        <v>14.43</v>
      </c>
      <c r="E145">
        <v>10.85</v>
      </c>
      <c r="F145">
        <v>16.73</v>
      </c>
      <c r="G145">
        <v>19.93</v>
      </c>
      <c r="H145">
        <v>17.36</v>
      </c>
      <c r="I145">
        <v>16.77</v>
      </c>
      <c r="J145">
        <v>17.64</v>
      </c>
    </row>
    <row r="146" spans="1:10" x14ac:dyDescent="0.25">
      <c r="A146">
        <v>17.559999999999999</v>
      </c>
      <c r="B146">
        <v>14.82</v>
      </c>
      <c r="C146">
        <v>12.26</v>
      </c>
      <c r="D146">
        <v>17.920000000000002</v>
      </c>
      <c r="E146">
        <v>14.86</v>
      </c>
      <c r="F146">
        <v>11.11</v>
      </c>
      <c r="G146">
        <v>16.11</v>
      </c>
      <c r="H146">
        <v>18.66</v>
      </c>
      <c r="I146">
        <v>14.11</v>
      </c>
      <c r="J146">
        <v>19.510000000000002</v>
      </c>
    </row>
    <row r="147" spans="1:10" x14ac:dyDescent="0.25">
      <c r="A147">
        <v>13.59</v>
      </c>
      <c r="B147">
        <v>11.82</v>
      </c>
      <c r="C147">
        <v>11.56</v>
      </c>
      <c r="D147">
        <v>19.809999999999999</v>
      </c>
      <c r="E147">
        <v>16.45</v>
      </c>
      <c r="F147">
        <v>13.39</v>
      </c>
      <c r="G147">
        <v>17.64</v>
      </c>
      <c r="H147">
        <v>13.05</v>
      </c>
      <c r="I147">
        <v>13.95</v>
      </c>
      <c r="J147">
        <v>16.04</v>
      </c>
    </row>
    <row r="148" spans="1:10" x14ac:dyDescent="0.25">
      <c r="A148">
        <v>12.35</v>
      </c>
      <c r="B148">
        <v>18.39</v>
      </c>
      <c r="C148">
        <v>19.010000000000002</v>
      </c>
      <c r="D148">
        <v>18.13</v>
      </c>
      <c r="E148">
        <v>18.46</v>
      </c>
      <c r="F148">
        <v>19.600000000000001</v>
      </c>
      <c r="G148">
        <v>12.16</v>
      </c>
      <c r="H148">
        <v>19.899999999999999</v>
      </c>
      <c r="I148">
        <v>10.16</v>
      </c>
      <c r="J148">
        <v>19.96</v>
      </c>
    </row>
    <row r="149" spans="1:10" x14ac:dyDescent="0.25">
      <c r="A149">
        <v>14.18</v>
      </c>
      <c r="B149">
        <v>18.43</v>
      </c>
      <c r="C149">
        <v>14.71</v>
      </c>
      <c r="D149">
        <v>13.45</v>
      </c>
      <c r="E149">
        <v>11.14</v>
      </c>
      <c r="F149">
        <v>17.7</v>
      </c>
      <c r="G149">
        <v>16.39</v>
      </c>
      <c r="H149">
        <v>13.4</v>
      </c>
      <c r="I149">
        <v>15.05</v>
      </c>
      <c r="J149">
        <v>10.44</v>
      </c>
    </row>
    <row r="150" spans="1:10" x14ac:dyDescent="0.25">
      <c r="A150">
        <v>14.63</v>
      </c>
      <c r="B150">
        <v>10.26</v>
      </c>
      <c r="C150">
        <v>19.79</v>
      </c>
      <c r="D150">
        <v>10.91</v>
      </c>
      <c r="E150">
        <v>12.37</v>
      </c>
      <c r="F150">
        <v>11.52</v>
      </c>
      <c r="G150">
        <v>16.690000000000001</v>
      </c>
      <c r="H150">
        <v>15.2</v>
      </c>
      <c r="I150">
        <v>16.13</v>
      </c>
      <c r="J150">
        <v>17.690000000000001</v>
      </c>
    </row>
    <row r="151" spans="1:10" x14ac:dyDescent="0.25">
      <c r="A151">
        <v>19.21</v>
      </c>
      <c r="B151">
        <v>19.71</v>
      </c>
      <c r="C151">
        <v>17.29</v>
      </c>
      <c r="D151">
        <v>12.07</v>
      </c>
      <c r="E151">
        <v>18.739999999999998</v>
      </c>
      <c r="F151">
        <v>18.8</v>
      </c>
      <c r="G151">
        <v>17.55</v>
      </c>
      <c r="H151">
        <v>13.23</v>
      </c>
      <c r="I151">
        <v>16.34</v>
      </c>
      <c r="J151">
        <v>16.95</v>
      </c>
    </row>
    <row r="152" spans="1:10" x14ac:dyDescent="0.25">
      <c r="A152">
        <v>15.89</v>
      </c>
      <c r="B152">
        <v>17.95</v>
      </c>
      <c r="C152">
        <v>12.8</v>
      </c>
      <c r="D152">
        <v>15</v>
      </c>
      <c r="E152">
        <v>12.22</v>
      </c>
      <c r="F152">
        <v>18.25</v>
      </c>
      <c r="G152">
        <v>10.6</v>
      </c>
      <c r="H152">
        <v>19.399999999999999</v>
      </c>
      <c r="I152">
        <v>12.84</v>
      </c>
      <c r="J152">
        <v>16.170000000000002</v>
      </c>
    </row>
    <row r="153" spans="1:10" x14ac:dyDescent="0.25">
      <c r="A153">
        <v>18.32</v>
      </c>
      <c r="B153">
        <v>19.73</v>
      </c>
      <c r="C153">
        <v>15.21</v>
      </c>
      <c r="D153">
        <v>17.899999999999999</v>
      </c>
      <c r="E153">
        <v>18.29</v>
      </c>
      <c r="F153">
        <v>14.78</v>
      </c>
      <c r="G153">
        <v>16.59</v>
      </c>
      <c r="H153">
        <v>18.350000000000001</v>
      </c>
      <c r="I153">
        <v>12.69</v>
      </c>
      <c r="J153">
        <v>18.489999999999998</v>
      </c>
    </row>
    <row r="154" spans="1:10" x14ac:dyDescent="0.25">
      <c r="A154">
        <v>13.6</v>
      </c>
      <c r="B154">
        <v>12.67</v>
      </c>
      <c r="C154">
        <v>15.96</v>
      </c>
      <c r="D154">
        <v>19.79</v>
      </c>
      <c r="E154">
        <v>15</v>
      </c>
      <c r="F154">
        <v>17.829999999999998</v>
      </c>
      <c r="G154">
        <v>11.56</v>
      </c>
      <c r="H154">
        <v>19.489999999999998</v>
      </c>
      <c r="I154">
        <v>13.76</v>
      </c>
      <c r="J154">
        <v>15.46</v>
      </c>
    </row>
    <row r="155" spans="1:10" x14ac:dyDescent="0.25">
      <c r="A155">
        <v>10.199999999999999</v>
      </c>
      <c r="B155">
        <v>14.87</v>
      </c>
      <c r="C155">
        <v>17.510000000000002</v>
      </c>
      <c r="D155">
        <v>17.190000000000001</v>
      </c>
      <c r="E155">
        <v>12.5</v>
      </c>
      <c r="F155">
        <v>15.71</v>
      </c>
      <c r="G155">
        <v>12.15</v>
      </c>
      <c r="H155">
        <v>13.01</v>
      </c>
      <c r="I155">
        <v>17.21</v>
      </c>
      <c r="J155">
        <v>15.46</v>
      </c>
    </row>
    <row r="156" spans="1:10" x14ac:dyDescent="0.25">
      <c r="A156">
        <v>18.23</v>
      </c>
      <c r="B156">
        <v>10.62</v>
      </c>
      <c r="C156">
        <v>14.89</v>
      </c>
      <c r="D156">
        <v>13.97</v>
      </c>
      <c r="E156">
        <v>14.88</v>
      </c>
      <c r="F156">
        <v>18.62</v>
      </c>
      <c r="G156">
        <v>12.9</v>
      </c>
      <c r="H156">
        <v>17.5</v>
      </c>
      <c r="I156">
        <v>12.26</v>
      </c>
      <c r="J156">
        <v>15.26</v>
      </c>
    </row>
    <row r="157" spans="1:10" x14ac:dyDescent="0.25">
      <c r="A157">
        <v>10.99</v>
      </c>
      <c r="B157">
        <v>19.11</v>
      </c>
      <c r="C157">
        <v>18.8</v>
      </c>
      <c r="D157">
        <v>12.14</v>
      </c>
      <c r="E157">
        <v>11.19</v>
      </c>
      <c r="F157">
        <v>11.97</v>
      </c>
      <c r="G157">
        <v>19.8</v>
      </c>
      <c r="H157">
        <v>19.72</v>
      </c>
      <c r="I157">
        <v>15.04</v>
      </c>
      <c r="J157">
        <v>12.42</v>
      </c>
    </row>
    <row r="158" spans="1:10" x14ac:dyDescent="0.25">
      <c r="A158">
        <v>16.5</v>
      </c>
      <c r="B158">
        <v>18.18</v>
      </c>
      <c r="C158">
        <v>15.63</v>
      </c>
      <c r="D158">
        <v>11.46</v>
      </c>
      <c r="E158">
        <v>17.399999999999999</v>
      </c>
      <c r="F158">
        <v>16.75</v>
      </c>
      <c r="G158">
        <v>11.85</v>
      </c>
      <c r="H158">
        <v>13.64</v>
      </c>
      <c r="I158">
        <v>10.43</v>
      </c>
      <c r="J158">
        <v>19.149999999999999</v>
      </c>
    </row>
    <row r="159" spans="1:10" x14ac:dyDescent="0.25">
      <c r="A159">
        <v>14.76</v>
      </c>
      <c r="B159">
        <v>10.74</v>
      </c>
      <c r="C159">
        <v>16.3</v>
      </c>
      <c r="D159">
        <v>10.39</v>
      </c>
      <c r="E159">
        <v>11.24</v>
      </c>
      <c r="F159">
        <v>18.98</v>
      </c>
      <c r="G159">
        <v>15.79</v>
      </c>
      <c r="H159">
        <v>12.57</v>
      </c>
      <c r="I159">
        <v>19.2</v>
      </c>
      <c r="J159">
        <v>10.17</v>
      </c>
    </row>
    <row r="160" spans="1:10" x14ac:dyDescent="0.25">
      <c r="A160">
        <v>19.149999999999999</v>
      </c>
      <c r="B160">
        <v>15.35</v>
      </c>
      <c r="C160">
        <v>10.71</v>
      </c>
      <c r="D160">
        <v>14.76</v>
      </c>
      <c r="E160">
        <v>17.57</v>
      </c>
      <c r="F160">
        <v>16.05</v>
      </c>
      <c r="G160">
        <v>19.690000000000001</v>
      </c>
      <c r="H160">
        <v>15.96</v>
      </c>
      <c r="I160">
        <v>11.27</v>
      </c>
      <c r="J160">
        <v>11.72</v>
      </c>
    </row>
    <row r="161" spans="1:10" x14ac:dyDescent="0.25">
      <c r="A161">
        <v>14.52</v>
      </c>
      <c r="B161">
        <v>15.36</v>
      </c>
      <c r="C161">
        <v>10.01</v>
      </c>
      <c r="D161">
        <v>19.440000000000001</v>
      </c>
      <c r="E161">
        <v>11.62</v>
      </c>
      <c r="F161">
        <v>17.75</v>
      </c>
      <c r="G161">
        <v>14.63</v>
      </c>
      <c r="H161">
        <v>11.83</v>
      </c>
      <c r="I161">
        <v>15.26</v>
      </c>
      <c r="J161">
        <v>11.75</v>
      </c>
    </row>
    <row r="162" spans="1:10" x14ac:dyDescent="0.25">
      <c r="A162">
        <v>14.04</v>
      </c>
      <c r="B162">
        <v>12.39</v>
      </c>
      <c r="C162">
        <v>16.54</v>
      </c>
      <c r="D162">
        <v>16.02</v>
      </c>
      <c r="E162">
        <v>10.46</v>
      </c>
      <c r="F162">
        <v>10.8</v>
      </c>
      <c r="G162">
        <v>13.25</v>
      </c>
      <c r="H162">
        <v>19.96</v>
      </c>
      <c r="I162">
        <v>19.989999999999998</v>
      </c>
      <c r="J162">
        <v>15.91</v>
      </c>
    </row>
    <row r="163" spans="1:10" x14ac:dyDescent="0.25">
      <c r="A163">
        <v>15.75</v>
      </c>
      <c r="B163">
        <v>18.39</v>
      </c>
      <c r="C163">
        <v>13.61</v>
      </c>
      <c r="D163">
        <v>10.15</v>
      </c>
      <c r="E163">
        <v>19.989999999999998</v>
      </c>
      <c r="F163">
        <v>14.87</v>
      </c>
      <c r="G163">
        <v>14.72</v>
      </c>
      <c r="H163">
        <v>14.66</v>
      </c>
      <c r="I163">
        <v>19.100000000000001</v>
      </c>
      <c r="J163">
        <v>17.760000000000002</v>
      </c>
    </row>
    <row r="164" spans="1:10" x14ac:dyDescent="0.25">
      <c r="A164">
        <v>14.16</v>
      </c>
      <c r="B164">
        <v>19.989999999999998</v>
      </c>
      <c r="C164">
        <v>15.52</v>
      </c>
      <c r="D164">
        <v>11.59</v>
      </c>
      <c r="E164">
        <v>13.63</v>
      </c>
      <c r="F164">
        <v>12.92</v>
      </c>
      <c r="G164">
        <v>13.18</v>
      </c>
      <c r="H164">
        <v>18.84</v>
      </c>
      <c r="I164">
        <v>10.7</v>
      </c>
      <c r="J164">
        <v>13.87</v>
      </c>
    </row>
    <row r="165" spans="1:10" x14ac:dyDescent="0.25">
      <c r="A165">
        <v>17.32</v>
      </c>
      <c r="B165">
        <v>10.029999999999999</v>
      </c>
      <c r="C165">
        <v>15.19</v>
      </c>
      <c r="D165">
        <v>17.38</v>
      </c>
      <c r="E165">
        <v>12.08</v>
      </c>
      <c r="F165">
        <v>19.09</v>
      </c>
      <c r="G165">
        <v>12.83</v>
      </c>
      <c r="H165">
        <v>18.420000000000002</v>
      </c>
      <c r="I165">
        <v>14.05</v>
      </c>
      <c r="J165">
        <v>13.27</v>
      </c>
    </row>
    <row r="166" spans="1:10" x14ac:dyDescent="0.25">
      <c r="A166">
        <v>17.7</v>
      </c>
      <c r="B166">
        <v>12.05</v>
      </c>
      <c r="C166">
        <v>19.64</v>
      </c>
      <c r="D166">
        <v>15.73</v>
      </c>
      <c r="E166">
        <v>19.87</v>
      </c>
      <c r="F166">
        <v>16.72</v>
      </c>
      <c r="G166">
        <v>11.73</v>
      </c>
      <c r="H166">
        <v>16.41</v>
      </c>
      <c r="I166">
        <v>18.29</v>
      </c>
      <c r="J166">
        <v>18.22</v>
      </c>
    </row>
    <row r="167" spans="1:10" x14ac:dyDescent="0.25">
      <c r="A167">
        <v>11.01</v>
      </c>
      <c r="B167">
        <v>14.84</v>
      </c>
      <c r="C167">
        <v>11.29</v>
      </c>
      <c r="D167">
        <v>17.72</v>
      </c>
      <c r="E167">
        <v>12.61</v>
      </c>
      <c r="F167">
        <v>16.55</v>
      </c>
      <c r="G167">
        <v>11.63</v>
      </c>
      <c r="H167">
        <v>12.88</v>
      </c>
      <c r="I167">
        <v>14.01</v>
      </c>
      <c r="J167">
        <v>12.67</v>
      </c>
    </row>
    <row r="168" spans="1:10" x14ac:dyDescent="0.25">
      <c r="A168">
        <v>11.11</v>
      </c>
      <c r="B168">
        <v>16.350000000000001</v>
      </c>
      <c r="C168">
        <v>13.97</v>
      </c>
      <c r="D168">
        <v>11.7</v>
      </c>
      <c r="E168">
        <v>18.649999999999999</v>
      </c>
      <c r="F168">
        <v>14.28</v>
      </c>
      <c r="G168">
        <v>17.690000000000001</v>
      </c>
      <c r="H168">
        <v>13.25</v>
      </c>
      <c r="I168">
        <v>10.69</v>
      </c>
      <c r="J168">
        <v>17.690000000000001</v>
      </c>
    </row>
    <row r="169" spans="1:10" x14ac:dyDescent="0.25">
      <c r="A169">
        <v>13.09</v>
      </c>
      <c r="B169">
        <v>15.83</v>
      </c>
      <c r="C169">
        <v>18.55</v>
      </c>
      <c r="D169">
        <v>17.37</v>
      </c>
      <c r="E169">
        <v>18.489999999999998</v>
      </c>
      <c r="F169">
        <v>14.59</v>
      </c>
      <c r="G169">
        <v>19.329999999999998</v>
      </c>
      <c r="H169">
        <v>13.54</v>
      </c>
      <c r="I169">
        <v>11.35</v>
      </c>
      <c r="J169">
        <v>18.43</v>
      </c>
    </row>
    <row r="170" spans="1:10" x14ac:dyDescent="0.25">
      <c r="A170">
        <v>13.13</v>
      </c>
      <c r="B170">
        <v>12.77</v>
      </c>
      <c r="C170">
        <v>19</v>
      </c>
      <c r="D170">
        <v>10.71</v>
      </c>
      <c r="E170">
        <v>17.16</v>
      </c>
      <c r="F170">
        <v>16.100000000000001</v>
      </c>
      <c r="G170">
        <v>11.78</v>
      </c>
      <c r="H170">
        <v>18.670000000000002</v>
      </c>
      <c r="I170">
        <v>14.56</v>
      </c>
      <c r="J170">
        <v>19.170000000000002</v>
      </c>
    </row>
    <row r="171" spans="1:10" x14ac:dyDescent="0.25">
      <c r="A171">
        <v>12.13</v>
      </c>
      <c r="B171">
        <v>13.07</v>
      </c>
      <c r="C171">
        <v>15.72</v>
      </c>
      <c r="D171">
        <v>12.27</v>
      </c>
      <c r="E171">
        <v>13.41</v>
      </c>
      <c r="F171">
        <v>13.75</v>
      </c>
      <c r="G171">
        <v>12.79</v>
      </c>
      <c r="H171">
        <v>17.98</v>
      </c>
      <c r="I171">
        <v>18.2</v>
      </c>
      <c r="J171">
        <v>13.87</v>
      </c>
    </row>
    <row r="172" spans="1:10" x14ac:dyDescent="0.25">
      <c r="A172">
        <v>10.53</v>
      </c>
      <c r="B172">
        <v>15.53</v>
      </c>
      <c r="C172">
        <v>17.63</v>
      </c>
      <c r="D172">
        <v>19.84</v>
      </c>
      <c r="E172">
        <v>10.76</v>
      </c>
      <c r="F172">
        <v>14.15</v>
      </c>
      <c r="G172">
        <v>13.54</v>
      </c>
      <c r="H172">
        <v>11.75</v>
      </c>
      <c r="I172">
        <v>12.65</v>
      </c>
      <c r="J172">
        <v>13.57</v>
      </c>
    </row>
    <row r="173" spans="1:10" x14ac:dyDescent="0.25">
      <c r="A173">
        <v>11.99</v>
      </c>
      <c r="B173">
        <v>13.44</v>
      </c>
      <c r="C173">
        <v>19.18</v>
      </c>
      <c r="D173">
        <v>11.19</v>
      </c>
      <c r="E173">
        <v>19.05</v>
      </c>
      <c r="F173">
        <v>15.07</v>
      </c>
      <c r="G173">
        <v>17.510000000000002</v>
      </c>
      <c r="H173">
        <v>18.72</v>
      </c>
      <c r="I173">
        <v>11.62</v>
      </c>
      <c r="J173">
        <v>11.08</v>
      </c>
    </row>
    <row r="174" spans="1:10" x14ac:dyDescent="0.25">
      <c r="A174">
        <v>11.42</v>
      </c>
      <c r="B174">
        <v>18.52</v>
      </c>
      <c r="C174">
        <v>13.52</v>
      </c>
      <c r="D174">
        <v>18.75</v>
      </c>
      <c r="E174">
        <v>11.07</v>
      </c>
      <c r="F174">
        <v>13.24</v>
      </c>
      <c r="G174">
        <v>16.14</v>
      </c>
      <c r="H174">
        <v>10.94</v>
      </c>
      <c r="I174">
        <v>13.13</v>
      </c>
      <c r="J174">
        <v>16.52</v>
      </c>
    </row>
    <row r="175" spans="1:10" x14ac:dyDescent="0.25">
      <c r="A175">
        <v>13.11</v>
      </c>
      <c r="B175">
        <v>11.09</v>
      </c>
      <c r="C175">
        <v>13.22</v>
      </c>
      <c r="D175">
        <v>17.07</v>
      </c>
      <c r="E175">
        <v>16.09</v>
      </c>
      <c r="F175">
        <v>18.420000000000002</v>
      </c>
      <c r="G175">
        <v>12.03</v>
      </c>
      <c r="H175">
        <v>19.899999999999999</v>
      </c>
      <c r="I175">
        <v>13.54</v>
      </c>
      <c r="J175">
        <v>18.37</v>
      </c>
    </row>
    <row r="176" spans="1:10" x14ac:dyDescent="0.25">
      <c r="A176">
        <v>12.14</v>
      </c>
      <c r="B176">
        <v>12.99</v>
      </c>
      <c r="C176">
        <v>16.260000000000002</v>
      </c>
      <c r="D176">
        <v>17.68</v>
      </c>
      <c r="E176">
        <v>13.47</v>
      </c>
      <c r="F176">
        <v>18.79</v>
      </c>
      <c r="G176">
        <v>13.56</v>
      </c>
      <c r="H176">
        <v>12.8</v>
      </c>
      <c r="I176">
        <v>15.11</v>
      </c>
      <c r="J176">
        <v>19.760000000000002</v>
      </c>
    </row>
    <row r="177" spans="1:10" x14ac:dyDescent="0.25">
      <c r="A177">
        <v>16.190000000000001</v>
      </c>
      <c r="B177">
        <v>12.36</v>
      </c>
      <c r="C177">
        <v>10</v>
      </c>
      <c r="D177">
        <v>12.27</v>
      </c>
      <c r="E177">
        <v>18.2</v>
      </c>
      <c r="F177">
        <v>13.68</v>
      </c>
      <c r="G177">
        <v>19.16</v>
      </c>
      <c r="H177">
        <v>19.39</v>
      </c>
      <c r="I177">
        <v>11.01</v>
      </c>
      <c r="J177">
        <v>13.18</v>
      </c>
    </row>
    <row r="178" spans="1:10" x14ac:dyDescent="0.25">
      <c r="A178">
        <v>17.34</v>
      </c>
      <c r="B178">
        <v>12.39</v>
      </c>
      <c r="C178">
        <v>10.89</v>
      </c>
      <c r="D178">
        <v>11.43</v>
      </c>
      <c r="E178">
        <v>16.13</v>
      </c>
      <c r="F178">
        <v>11.48</v>
      </c>
      <c r="G178">
        <v>10.43</v>
      </c>
      <c r="H178">
        <v>16.149999999999999</v>
      </c>
      <c r="I178">
        <v>15.62</v>
      </c>
      <c r="J178">
        <v>17.09</v>
      </c>
    </row>
    <row r="179" spans="1:10" x14ac:dyDescent="0.25">
      <c r="A179">
        <v>19.46</v>
      </c>
      <c r="B179">
        <v>14.85</v>
      </c>
      <c r="C179">
        <v>15.99</v>
      </c>
      <c r="D179">
        <v>18.440000000000001</v>
      </c>
      <c r="E179">
        <v>10.42</v>
      </c>
      <c r="F179">
        <v>18.78</v>
      </c>
      <c r="G179">
        <v>11.05</v>
      </c>
      <c r="H179">
        <v>18.7</v>
      </c>
      <c r="I179">
        <v>10.35</v>
      </c>
      <c r="J179">
        <v>14.51</v>
      </c>
    </row>
    <row r="180" spans="1:10" x14ac:dyDescent="0.25">
      <c r="A180">
        <v>14.42</v>
      </c>
      <c r="B180">
        <v>19.23</v>
      </c>
      <c r="C180">
        <v>19.98</v>
      </c>
      <c r="D180">
        <v>11.87</v>
      </c>
      <c r="E180">
        <v>11.95</v>
      </c>
      <c r="F180">
        <v>10.7</v>
      </c>
      <c r="G180">
        <v>13.96</v>
      </c>
      <c r="H180">
        <v>11.65</v>
      </c>
      <c r="I180">
        <v>10.73</v>
      </c>
      <c r="J180">
        <v>19.25</v>
      </c>
    </row>
    <row r="181" spans="1:10" x14ac:dyDescent="0.25">
      <c r="A181">
        <v>12.2</v>
      </c>
      <c r="B181">
        <v>14.35</v>
      </c>
      <c r="C181">
        <v>11.37</v>
      </c>
      <c r="D181">
        <v>12.07</v>
      </c>
      <c r="E181">
        <v>14.32</v>
      </c>
      <c r="F181">
        <v>13.34</v>
      </c>
      <c r="G181">
        <v>18.739999999999998</v>
      </c>
      <c r="H181">
        <v>15.82</v>
      </c>
      <c r="I181">
        <v>13.79</v>
      </c>
      <c r="J181">
        <v>19.36</v>
      </c>
    </row>
    <row r="182" spans="1:10" x14ac:dyDescent="0.25">
      <c r="A182">
        <v>10.3</v>
      </c>
      <c r="B182">
        <v>14.81</v>
      </c>
      <c r="C182">
        <v>12.96</v>
      </c>
      <c r="D182">
        <v>12.99</v>
      </c>
      <c r="E182">
        <v>19</v>
      </c>
      <c r="F182">
        <v>17.73</v>
      </c>
      <c r="G182">
        <v>12.97</v>
      </c>
      <c r="H182">
        <v>17.96</v>
      </c>
      <c r="I182">
        <v>19.07</v>
      </c>
      <c r="J182">
        <v>17.12</v>
      </c>
    </row>
    <row r="183" spans="1:10" x14ac:dyDescent="0.25">
      <c r="A183">
        <v>10.029999999999999</v>
      </c>
      <c r="B183">
        <v>14.28</v>
      </c>
      <c r="C183">
        <v>11.97</v>
      </c>
      <c r="D183">
        <v>17.7</v>
      </c>
      <c r="E183">
        <v>18.2</v>
      </c>
      <c r="F183">
        <v>19.2</v>
      </c>
      <c r="G183">
        <v>17.43</v>
      </c>
      <c r="H183">
        <v>14.46</v>
      </c>
      <c r="I183">
        <v>16.48</v>
      </c>
      <c r="J183">
        <v>15.66</v>
      </c>
    </row>
    <row r="184" spans="1:10" x14ac:dyDescent="0.25">
      <c r="A184">
        <v>14</v>
      </c>
      <c r="B184">
        <v>12.83</v>
      </c>
      <c r="C184">
        <v>18.72</v>
      </c>
      <c r="D184">
        <v>11.22</v>
      </c>
      <c r="E184">
        <v>13.79</v>
      </c>
      <c r="F184">
        <v>18.559999999999999</v>
      </c>
      <c r="G184">
        <v>11.19</v>
      </c>
      <c r="H184">
        <v>12.81</v>
      </c>
      <c r="I184">
        <v>14.5</v>
      </c>
      <c r="J184">
        <v>12.78</v>
      </c>
    </row>
    <row r="185" spans="1:10" x14ac:dyDescent="0.25">
      <c r="A185">
        <v>15.42</v>
      </c>
      <c r="B185">
        <v>10.37</v>
      </c>
      <c r="C185">
        <v>18.739999999999998</v>
      </c>
      <c r="D185">
        <v>18.670000000000002</v>
      </c>
      <c r="E185">
        <v>15.22</v>
      </c>
      <c r="F185">
        <v>12.83</v>
      </c>
      <c r="G185">
        <v>13.11</v>
      </c>
      <c r="H185">
        <v>11.77</v>
      </c>
      <c r="I185">
        <v>18.57</v>
      </c>
      <c r="J185">
        <v>10.33</v>
      </c>
    </row>
    <row r="186" spans="1:10" x14ac:dyDescent="0.25">
      <c r="A186">
        <v>15.98</v>
      </c>
      <c r="B186">
        <v>13.48</v>
      </c>
      <c r="C186">
        <v>10.69</v>
      </c>
      <c r="D186">
        <v>15.11</v>
      </c>
      <c r="E186">
        <v>14.51</v>
      </c>
      <c r="F186">
        <v>17.100000000000001</v>
      </c>
      <c r="G186">
        <v>15.65</v>
      </c>
      <c r="H186">
        <v>10.44</v>
      </c>
      <c r="I186">
        <v>13.73</v>
      </c>
      <c r="J186">
        <v>19.66</v>
      </c>
    </row>
    <row r="187" spans="1:10" x14ac:dyDescent="0.25">
      <c r="A187">
        <v>10.8</v>
      </c>
      <c r="B187">
        <v>16.079999999999998</v>
      </c>
      <c r="C187">
        <v>16.47</v>
      </c>
      <c r="D187">
        <v>12.88</v>
      </c>
      <c r="E187">
        <v>18.579999999999998</v>
      </c>
      <c r="F187">
        <v>13.96</v>
      </c>
      <c r="G187">
        <v>12.92</v>
      </c>
      <c r="H187">
        <v>10.74</v>
      </c>
      <c r="I187">
        <v>10.5</v>
      </c>
      <c r="J187">
        <v>10.62</v>
      </c>
    </row>
    <row r="188" spans="1:10" x14ac:dyDescent="0.25">
      <c r="A188">
        <v>10.61</v>
      </c>
      <c r="B188">
        <v>15.59</v>
      </c>
      <c r="C188">
        <v>10.52</v>
      </c>
      <c r="D188">
        <v>18.55</v>
      </c>
      <c r="E188">
        <v>11.33</v>
      </c>
      <c r="F188">
        <v>11.82</v>
      </c>
      <c r="G188">
        <v>18.579999999999998</v>
      </c>
      <c r="H188">
        <v>18.72</v>
      </c>
      <c r="I188">
        <v>11.95</v>
      </c>
      <c r="J188">
        <v>11.84</v>
      </c>
    </row>
    <row r="189" spans="1:10" x14ac:dyDescent="0.25">
      <c r="A189">
        <v>17.66</v>
      </c>
      <c r="B189">
        <v>15.83</v>
      </c>
      <c r="C189">
        <v>16.350000000000001</v>
      </c>
      <c r="D189">
        <v>13.72</v>
      </c>
      <c r="E189">
        <v>19.440000000000001</v>
      </c>
      <c r="F189">
        <v>18.989999999999998</v>
      </c>
      <c r="G189">
        <v>10.94</v>
      </c>
      <c r="H189">
        <v>10.47</v>
      </c>
      <c r="I189">
        <v>17.46</v>
      </c>
      <c r="J189">
        <v>17.690000000000001</v>
      </c>
    </row>
    <row r="190" spans="1:10" x14ac:dyDescent="0.25">
      <c r="A190">
        <v>15.3</v>
      </c>
      <c r="B190">
        <v>13.83</v>
      </c>
      <c r="C190">
        <v>11.97</v>
      </c>
      <c r="D190">
        <v>15.5</v>
      </c>
      <c r="E190">
        <v>11.06</v>
      </c>
      <c r="F190">
        <v>14.22</v>
      </c>
      <c r="G190">
        <v>18.66</v>
      </c>
      <c r="H190">
        <v>18.95</v>
      </c>
      <c r="I190">
        <v>11.79</v>
      </c>
      <c r="J190">
        <v>16.760000000000002</v>
      </c>
    </row>
    <row r="191" spans="1:10" x14ac:dyDescent="0.25">
      <c r="A191">
        <v>10.77</v>
      </c>
      <c r="B191">
        <v>18.07</v>
      </c>
      <c r="C191">
        <v>17.87</v>
      </c>
      <c r="D191">
        <v>16.760000000000002</v>
      </c>
      <c r="E191">
        <v>19.04</v>
      </c>
      <c r="F191">
        <v>18.55</v>
      </c>
      <c r="G191">
        <v>15</v>
      </c>
      <c r="H191">
        <v>16.649999999999999</v>
      </c>
      <c r="I191">
        <v>11.24</v>
      </c>
      <c r="J191">
        <v>10.19</v>
      </c>
    </row>
    <row r="192" spans="1:10" x14ac:dyDescent="0.25">
      <c r="A192">
        <v>15.81</v>
      </c>
      <c r="B192">
        <v>14.72</v>
      </c>
      <c r="C192">
        <v>18.12</v>
      </c>
      <c r="D192">
        <v>18.82</v>
      </c>
      <c r="E192">
        <v>15.14</v>
      </c>
      <c r="F192">
        <v>18.850000000000001</v>
      </c>
      <c r="G192">
        <v>17.940000000000001</v>
      </c>
      <c r="H192">
        <v>12.26</v>
      </c>
      <c r="I192">
        <v>19.34</v>
      </c>
      <c r="J192">
        <v>18.3</v>
      </c>
    </row>
    <row r="193" spans="1:10" x14ac:dyDescent="0.25">
      <c r="A193">
        <v>-1.03</v>
      </c>
      <c r="B193">
        <v>8.4</v>
      </c>
      <c r="C193">
        <v>7.65</v>
      </c>
      <c r="D193">
        <v>-1.5</v>
      </c>
      <c r="E193">
        <v>-1.63</v>
      </c>
      <c r="F193">
        <v>8.16</v>
      </c>
      <c r="G193">
        <v>-4.8899999999999997</v>
      </c>
      <c r="H193">
        <v>-2.09</v>
      </c>
      <c r="I193">
        <v>-2.0299999999999998</v>
      </c>
      <c r="J193">
        <v>-0.74</v>
      </c>
    </row>
    <row r="194" spans="1:10" x14ac:dyDescent="0.25">
      <c r="A194">
        <v>-0.64</v>
      </c>
      <c r="B194">
        <v>-3.46</v>
      </c>
      <c r="C194">
        <v>-4.01</v>
      </c>
      <c r="D194">
        <v>8.49</v>
      </c>
      <c r="E194">
        <v>-1.87</v>
      </c>
      <c r="F194">
        <v>-5.51</v>
      </c>
      <c r="G194">
        <v>6.22</v>
      </c>
      <c r="H194">
        <v>-5.76</v>
      </c>
      <c r="I194">
        <v>-2.0499999999999998</v>
      </c>
      <c r="J194">
        <v>-4.6100000000000003</v>
      </c>
    </row>
    <row r="195" spans="1:10" x14ac:dyDescent="0.25">
      <c r="A195">
        <v>-4.66</v>
      </c>
      <c r="B195">
        <v>7.8</v>
      </c>
      <c r="C195">
        <v>-5.83</v>
      </c>
      <c r="D195">
        <v>8.77</v>
      </c>
      <c r="E195">
        <v>-1.64</v>
      </c>
      <c r="F195">
        <v>2.81</v>
      </c>
      <c r="G195">
        <v>5.64</v>
      </c>
      <c r="H195">
        <v>7.27</v>
      </c>
      <c r="I195">
        <v>0</v>
      </c>
      <c r="J195">
        <v>-1.52</v>
      </c>
    </row>
    <row r="196" spans="1:10" x14ac:dyDescent="0.25">
      <c r="A196">
        <v>5.58</v>
      </c>
      <c r="B196">
        <v>-4.47</v>
      </c>
      <c r="C196">
        <v>-4.4000000000000004</v>
      </c>
      <c r="D196">
        <v>-0.05</v>
      </c>
      <c r="E196">
        <v>6.51</v>
      </c>
      <c r="F196">
        <v>4.99</v>
      </c>
      <c r="G196">
        <v>-6.3</v>
      </c>
      <c r="H196">
        <v>0.7</v>
      </c>
      <c r="I196">
        <v>-6.74</v>
      </c>
      <c r="J196">
        <v>4.71</v>
      </c>
    </row>
    <row r="197" spans="1:10" x14ac:dyDescent="0.25">
      <c r="A197">
        <v>3.23</v>
      </c>
      <c r="B197">
        <v>3.29</v>
      </c>
      <c r="C197">
        <v>-2.15</v>
      </c>
      <c r="D197">
        <v>-5.53</v>
      </c>
      <c r="E197">
        <v>-0.68</v>
      </c>
      <c r="F197">
        <v>-6.8</v>
      </c>
      <c r="G197">
        <v>6.96</v>
      </c>
      <c r="H197">
        <v>-3.33</v>
      </c>
      <c r="I197">
        <v>-7.14</v>
      </c>
      <c r="J197">
        <v>-5.82</v>
      </c>
    </row>
    <row r="198" spans="1:10" x14ac:dyDescent="0.25">
      <c r="A198">
        <v>-1.46</v>
      </c>
      <c r="B198">
        <v>-7.76</v>
      </c>
      <c r="C198">
        <v>3.7</v>
      </c>
      <c r="D198">
        <v>4.9800000000000004</v>
      </c>
      <c r="E198">
        <v>-6.83</v>
      </c>
      <c r="F198">
        <v>7.9</v>
      </c>
      <c r="G198">
        <v>8.35</v>
      </c>
      <c r="H198">
        <v>0.16</v>
      </c>
      <c r="I198">
        <v>3.83</v>
      </c>
      <c r="J198">
        <v>0.14000000000000001</v>
      </c>
    </row>
    <row r="199" spans="1:10" x14ac:dyDescent="0.25">
      <c r="A199">
        <v>-7.3</v>
      </c>
      <c r="B199">
        <v>-4.8600000000000003</v>
      </c>
      <c r="C199">
        <v>6.95</v>
      </c>
      <c r="D199">
        <v>-0.6</v>
      </c>
      <c r="E199">
        <v>-3.3</v>
      </c>
      <c r="F199">
        <v>-2.1</v>
      </c>
      <c r="G199">
        <v>3.44</v>
      </c>
      <c r="H199">
        <v>-6.38</v>
      </c>
      <c r="I199">
        <v>8.1</v>
      </c>
      <c r="J199">
        <v>8.58</v>
      </c>
    </row>
    <row r="200" spans="1:10" x14ac:dyDescent="0.25">
      <c r="A200">
        <v>-2.37</v>
      </c>
      <c r="B200">
        <v>4.95</v>
      </c>
      <c r="C200">
        <v>2.2200000000000002</v>
      </c>
      <c r="D200">
        <v>-5.27</v>
      </c>
      <c r="E200">
        <v>1.52</v>
      </c>
      <c r="F200">
        <v>-3.35</v>
      </c>
      <c r="G200">
        <v>3.59</v>
      </c>
      <c r="H200">
        <v>-7.17</v>
      </c>
      <c r="I200">
        <v>2.2599999999999998</v>
      </c>
      <c r="J200">
        <v>-0.95</v>
      </c>
    </row>
    <row r="201" spans="1:10" x14ac:dyDescent="0.25">
      <c r="A201">
        <v>-6.44</v>
      </c>
      <c r="B201">
        <v>6.45</v>
      </c>
      <c r="C201">
        <v>-6.08</v>
      </c>
      <c r="D201">
        <v>5.6</v>
      </c>
      <c r="E201">
        <v>-3.18</v>
      </c>
      <c r="F201">
        <v>-4.45</v>
      </c>
      <c r="G201">
        <v>-0.27</v>
      </c>
      <c r="H201">
        <v>3.14</v>
      </c>
      <c r="I201">
        <v>-6.82</v>
      </c>
      <c r="J201">
        <v>6.04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A69C-A227-4253-980F-25B09422B67D}">
  <dimension ref="A1:AA201"/>
  <sheetViews>
    <sheetView tabSelected="1" topLeftCell="G1" zoomScale="85" zoomScaleNormal="85" workbookViewId="0">
      <selection activeCell="Y13" sqref="Y13"/>
    </sheetView>
  </sheetViews>
  <sheetFormatPr defaultRowHeight="15" x14ac:dyDescent="0.25"/>
  <cols>
    <col min="1" max="1" width="10.85546875" bestFit="1" customWidth="1"/>
    <col min="2" max="2" width="7.85546875" bestFit="1" customWidth="1"/>
    <col min="12" max="12" width="9.85546875" bestFit="1" customWidth="1"/>
    <col min="13" max="13" width="7.85546875" customWidth="1"/>
    <col min="18" max="18" width="10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20</v>
      </c>
      <c r="H1" t="s">
        <v>26</v>
      </c>
      <c r="I1">
        <v>1</v>
      </c>
      <c r="J1">
        <v>2</v>
      </c>
      <c r="K1">
        <v>8</v>
      </c>
      <c r="L1">
        <v>9</v>
      </c>
      <c r="M1">
        <v>1</v>
      </c>
      <c r="N1">
        <v>2</v>
      </c>
      <c r="O1">
        <v>8</v>
      </c>
      <c r="P1">
        <v>9</v>
      </c>
    </row>
    <row r="2" spans="1:27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-1.6</v>
      </c>
      <c r="F2">
        <v>1.71</v>
      </c>
      <c r="G2">
        <f>MONTH(A2)</f>
        <v>1</v>
      </c>
      <c r="H2">
        <f>DAY(A2)</f>
        <v>5</v>
      </c>
      <c r="I2">
        <f>IF(AND($H2&gt;=5,$H2&lt;=10),C2-1.2,C2)</f>
        <v>-0.59</v>
      </c>
      <c r="J2">
        <f>IF(AND($H2&gt;=5,$H2&lt;=10),D2-1.2,D2)</f>
        <v>-6.1800000000000006</v>
      </c>
      <c r="K2">
        <f>IF(OR($G$2=7,$G$2=8),ROUNDDOWN(E2+E2*7%,2),E2)</f>
        <v>-1.6</v>
      </c>
      <c r="L2">
        <f>IF(AND($H2&gt;=5,$H2&lt;=10),F2-1.2,F2)</f>
        <v>0.51</v>
      </c>
      <c r="M2" s="3">
        <f>IF($G2=5,I2+0.9,I2)</f>
        <v>-0.59</v>
      </c>
      <c r="N2" s="3">
        <f t="shared" ref="N2:P2" si="0">IF($G2=5,J2+0.9,J2)</f>
        <v>-6.1800000000000006</v>
      </c>
      <c r="O2" s="3">
        <f t="shared" si="0"/>
        <v>-1.6</v>
      </c>
      <c r="P2" s="3">
        <f t="shared" si="0"/>
        <v>0.51</v>
      </c>
    </row>
    <row r="3" spans="1:27" x14ac:dyDescent="0.25">
      <c r="A3" s="1">
        <v>42377</v>
      </c>
      <c r="B3" s="2">
        <v>0.29166666666666669</v>
      </c>
      <c r="C3">
        <v>-4.5</v>
      </c>
      <c r="D3">
        <v>2.56</v>
      </c>
      <c r="E3">
        <v>3.31</v>
      </c>
      <c r="F3">
        <v>-5.4</v>
      </c>
      <c r="G3">
        <f t="shared" ref="G3:G66" si="1">MONTH(A3)</f>
        <v>1</v>
      </c>
      <c r="H3">
        <f t="shared" ref="H3:H66" si="2">DAY(A3)</f>
        <v>8</v>
      </c>
      <c r="I3">
        <f t="shared" ref="I3:I66" si="3">IF(AND($H3&gt;=5,$H3&lt;=10),C3-1.2,C3)</f>
        <v>-5.7</v>
      </c>
      <c r="J3">
        <f t="shared" ref="J3:J66" si="4">IF(AND($H3&gt;=5,$H3&lt;=10),D3-1.2,D3)</f>
        <v>1.36</v>
      </c>
      <c r="K3">
        <f t="shared" ref="K3:K66" si="5">IF(OR($G$2=7,$G$2=8),ROUNDDOWN(E3+E3*7%,2),E3)</f>
        <v>3.31</v>
      </c>
      <c r="L3">
        <f>IF(AND($H3&gt;=5,$H3&lt;=10),F3-1.2,F3)</f>
        <v>-6.6000000000000005</v>
      </c>
      <c r="M3" s="3">
        <f t="shared" ref="M3:M66" si="6">IF($G3=5,I3+0.9,I3)</f>
        <v>-5.7</v>
      </c>
      <c r="N3" s="3">
        <f t="shared" ref="N3:N66" si="7">IF($G3=5,J3+0.9,J3)</f>
        <v>1.36</v>
      </c>
      <c r="O3" s="3">
        <f t="shared" ref="O3:O66" si="8">IF($G3=5,K3+0.9,K3)</f>
        <v>3.31</v>
      </c>
      <c r="P3" s="3">
        <f t="shared" ref="P3:P66" si="9">IF($G3=5,L3+0.9,L3)</f>
        <v>-6.6000000000000005</v>
      </c>
    </row>
    <row r="4" spans="1:27" x14ac:dyDescent="0.25">
      <c r="A4" s="1">
        <v>42387</v>
      </c>
      <c r="B4" s="2">
        <v>0.42499999999999999</v>
      </c>
      <c r="C4">
        <v>2.59</v>
      </c>
      <c r="D4">
        <v>-7.29</v>
      </c>
      <c r="E4">
        <v>-4.7699999999999996</v>
      </c>
      <c r="F4">
        <v>-3.88</v>
      </c>
      <c r="G4">
        <f t="shared" si="1"/>
        <v>1</v>
      </c>
      <c r="H4">
        <f t="shared" si="2"/>
        <v>18</v>
      </c>
      <c r="I4">
        <f t="shared" si="3"/>
        <v>2.59</v>
      </c>
      <c r="J4">
        <f t="shared" si="4"/>
        <v>-7.29</v>
      </c>
      <c r="K4">
        <f t="shared" si="5"/>
        <v>-4.7699999999999996</v>
      </c>
      <c r="L4">
        <f>IF(AND($H4&gt;=5,$H4&lt;=10),F4-1.2,F4)</f>
        <v>-3.88</v>
      </c>
      <c r="M4" s="3">
        <f t="shared" si="6"/>
        <v>2.59</v>
      </c>
      <c r="N4" s="3">
        <f t="shared" si="7"/>
        <v>-7.29</v>
      </c>
      <c r="O4" s="3">
        <f t="shared" si="8"/>
        <v>-4.7699999999999996</v>
      </c>
      <c r="P4" s="3">
        <f t="shared" si="9"/>
        <v>-3.88</v>
      </c>
    </row>
    <row r="5" spans="1:27" x14ac:dyDescent="0.25">
      <c r="A5" s="1">
        <v>42389</v>
      </c>
      <c r="B5" s="2">
        <v>5.5555555555555558E-3</v>
      </c>
      <c r="C5">
        <v>7.76</v>
      </c>
      <c r="D5">
        <v>-7.18</v>
      </c>
      <c r="E5">
        <v>-2.84</v>
      </c>
      <c r="F5">
        <v>-1.31</v>
      </c>
      <c r="G5">
        <f t="shared" si="1"/>
        <v>1</v>
      </c>
      <c r="H5">
        <f t="shared" si="2"/>
        <v>20</v>
      </c>
      <c r="I5">
        <f t="shared" si="3"/>
        <v>7.76</v>
      </c>
      <c r="J5">
        <f t="shared" si="4"/>
        <v>-7.18</v>
      </c>
      <c r="K5">
        <f t="shared" si="5"/>
        <v>-2.84</v>
      </c>
      <c r="L5">
        <f>IF(AND($H5&gt;=5,$H5&lt;=10),F5-1.2,F5)</f>
        <v>-1.31</v>
      </c>
      <c r="M5" s="3">
        <f t="shared" si="6"/>
        <v>7.76</v>
      </c>
      <c r="N5" s="3">
        <f t="shared" si="7"/>
        <v>-7.18</v>
      </c>
      <c r="O5" s="3">
        <f t="shared" si="8"/>
        <v>-2.84</v>
      </c>
      <c r="P5" s="3">
        <f t="shared" si="9"/>
        <v>-1.31</v>
      </c>
      <c r="T5" s="20" t="s">
        <v>27</v>
      </c>
      <c r="U5" s="20"/>
      <c r="V5" s="20"/>
      <c r="W5" s="20"/>
      <c r="X5" s="21" t="s">
        <v>28</v>
      </c>
      <c r="Y5" s="21"/>
      <c r="Z5" s="21"/>
      <c r="AA5" s="21"/>
    </row>
    <row r="6" spans="1:27" x14ac:dyDescent="0.25">
      <c r="A6" s="1">
        <v>42390</v>
      </c>
      <c r="B6" s="2">
        <v>0.41805555555555557</v>
      </c>
      <c r="C6">
        <v>7.12</v>
      </c>
      <c r="D6">
        <v>5.13</v>
      </c>
      <c r="E6">
        <v>0.87</v>
      </c>
      <c r="F6">
        <v>-5.21</v>
      </c>
      <c r="G6">
        <f t="shared" si="1"/>
        <v>1</v>
      </c>
      <c r="H6">
        <f t="shared" si="2"/>
        <v>21</v>
      </c>
      <c r="I6">
        <f t="shared" si="3"/>
        <v>7.12</v>
      </c>
      <c r="J6">
        <f t="shared" si="4"/>
        <v>5.13</v>
      </c>
      <c r="K6">
        <f t="shared" si="5"/>
        <v>0.87</v>
      </c>
      <c r="L6">
        <f>IF(AND($H6&gt;=5,$H6&lt;=10),F6-1.2,F6)</f>
        <v>-5.21</v>
      </c>
      <c r="M6" s="3">
        <f t="shared" si="6"/>
        <v>7.12</v>
      </c>
      <c r="N6" s="3">
        <f t="shared" si="7"/>
        <v>5.13</v>
      </c>
      <c r="O6" s="3">
        <f t="shared" si="8"/>
        <v>0.87</v>
      </c>
      <c r="P6" s="3">
        <f t="shared" si="9"/>
        <v>-5.21</v>
      </c>
      <c r="R6" s="17" t="s">
        <v>0</v>
      </c>
      <c r="S6" s="17" t="s">
        <v>1</v>
      </c>
      <c r="T6" s="17">
        <v>1</v>
      </c>
      <c r="U6" s="17">
        <v>2</v>
      </c>
      <c r="V6" s="17">
        <v>9</v>
      </c>
      <c r="W6" s="17">
        <v>9</v>
      </c>
      <c r="X6" s="17">
        <v>1</v>
      </c>
      <c r="Y6" s="17">
        <v>2</v>
      </c>
      <c r="Z6" s="17">
        <v>8</v>
      </c>
      <c r="AA6" s="17">
        <v>9</v>
      </c>
    </row>
    <row r="7" spans="1:27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1.5</v>
      </c>
      <c r="F7">
        <v>-3.41</v>
      </c>
      <c r="G7">
        <f t="shared" si="1"/>
        <v>1</v>
      </c>
      <c r="H7">
        <f t="shared" si="2"/>
        <v>22</v>
      </c>
      <c r="I7">
        <f t="shared" si="3"/>
        <v>4.1100000000000003</v>
      </c>
      <c r="J7">
        <f t="shared" si="4"/>
        <v>0.85</v>
      </c>
      <c r="K7">
        <f t="shared" si="5"/>
        <v>1.5</v>
      </c>
      <c r="L7">
        <f>IF(AND($H7&gt;=5,$H7&lt;=10),F7-1.2,F7)</f>
        <v>-3.41</v>
      </c>
      <c r="M7" s="3">
        <f t="shared" si="6"/>
        <v>4.1100000000000003</v>
      </c>
      <c r="N7" s="3">
        <f t="shared" si="7"/>
        <v>0.85</v>
      </c>
      <c r="O7" s="3">
        <f t="shared" si="8"/>
        <v>1.5</v>
      </c>
      <c r="P7" s="3">
        <f t="shared" si="9"/>
        <v>-3.41</v>
      </c>
      <c r="R7" s="15">
        <v>42495</v>
      </c>
      <c r="S7" s="16">
        <v>0.2951388888888889</v>
      </c>
      <c r="T7" s="18">
        <v>9.4600000000000009</v>
      </c>
      <c r="U7" s="18">
        <v>9.39</v>
      </c>
      <c r="V7" s="18">
        <v>14.52</v>
      </c>
      <c r="W7" s="18">
        <v>10.450000000000001</v>
      </c>
      <c r="X7" s="19">
        <v>10.360000000000001</v>
      </c>
      <c r="Y7" s="19">
        <v>10.290000000000001</v>
      </c>
      <c r="Z7" s="19">
        <v>15.42</v>
      </c>
      <c r="AA7" s="19">
        <v>11.350000000000001</v>
      </c>
    </row>
    <row r="8" spans="1:27" x14ac:dyDescent="0.25">
      <c r="A8" s="1">
        <v>42399</v>
      </c>
      <c r="B8" s="2">
        <v>4.583333333333333E-2</v>
      </c>
      <c r="C8">
        <v>-5.38</v>
      </c>
      <c r="D8">
        <v>5.93</v>
      </c>
      <c r="E8">
        <v>-6.59</v>
      </c>
      <c r="F8">
        <v>-7.28</v>
      </c>
      <c r="G8">
        <f t="shared" si="1"/>
        <v>1</v>
      </c>
      <c r="H8">
        <f t="shared" si="2"/>
        <v>30</v>
      </c>
      <c r="I8">
        <f t="shared" si="3"/>
        <v>-5.38</v>
      </c>
      <c r="J8">
        <f t="shared" si="4"/>
        <v>5.93</v>
      </c>
      <c r="K8">
        <f t="shared" si="5"/>
        <v>-6.59</v>
      </c>
      <c r="L8">
        <f>IF(AND($H8&gt;=5,$H8&lt;=10),F8-1.2,F8)</f>
        <v>-7.28</v>
      </c>
      <c r="M8" s="3">
        <f t="shared" si="6"/>
        <v>-5.38</v>
      </c>
      <c r="N8" s="3">
        <f t="shared" si="7"/>
        <v>5.93</v>
      </c>
      <c r="O8" s="3">
        <f t="shared" si="8"/>
        <v>-6.59</v>
      </c>
      <c r="P8" s="3">
        <f t="shared" si="9"/>
        <v>-7.28</v>
      </c>
      <c r="R8" s="15">
        <v>42558</v>
      </c>
      <c r="S8" s="16">
        <v>2.7777777777777779E-3</v>
      </c>
      <c r="T8" s="18">
        <v>23.42</v>
      </c>
      <c r="U8" s="18">
        <v>19.39</v>
      </c>
      <c r="V8" s="18">
        <v>24.93</v>
      </c>
      <c r="W8" s="18">
        <v>20.7</v>
      </c>
      <c r="X8" s="19">
        <v>23.42</v>
      </c>
      <c r="Y8" s="19">
        <v>19.39</v>
      </c>
      <c r="Z8" s="19">
        <v>24.93</v>
      </c>
      <c r="AA8" s="19">
        <v>20.7</v>
      </c>
    </row>
    <row r="9" spans="1:27" x14ac:dyDescent="0.25">
      <c r="A9" s="1">
        <v>42405</v>
      </c>
      <c r="B9" s="2">
        <v>0.12638888888888888</v>
      </c>
      <c r="C9">
        <v>3.21</v>
      </c>
      <c r="D9">
        <v>-7.03</v>
      </c>
      <c r="E9">
        <v>7.78</v>
      </c>
      <c r="F9">
        <v>2.48</v>
      </c>
      <c r="G9">
        <f t="shared" si="1"/>
        <v>2</v>
      </c>
      <c r="H9">
        <f t="shared" si="2"/>
        <v>5</v>
      </c>
      <c r="I9">
        <f t="shared" si="3"/>
        <v>2.0099999999999998</v>
      </c>
      <c r="J9">
        <f t="shared" si="4"/>
        <v>-8.23</v>
      </c>
      <c r="K9">
        <f t="shared" si="5"/>
        <v>7.78</v>
      </c>
      <c r="L9">
        <f>IF(AND($H9&gt;=5,$H9&lt;=10),F9-1.2,F9)</f>
        <v>1.28</v>
      </c>
      <c r="M9" s="3">
        <f t="shared" si="6"/>
        <v>2.0099999999999998</v>
      </c>
      <c r="N9" s="3">
        <f t="shared" si="7"/>
        <v>-8.23</v>
      </c>
      <c r="O9" s="3">
        <f t="shared" si="8"/>
        <v>7.78</v>
      </c>
      <c r="P9" s="3">
        <f t="shared" si="9"/>
        <v>1.28</v>
      </c>
    </row>
    <row r="10" spans="1:27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-7.12</v>
      </c>
      <c r="F10">
        <v>2.12</v>
      </c>
      <c r="G10">
        <f t="shared" si="1"/>
        <v>2</v>
      </c>
      <c r="H10">
        <f t="shared" si="2"/>
        <v>6</v>
      </c>
      <c r="I10">
        <f t="shared" si="3"/>
        <v>0.74</v>
      </c>
      <c r="J10">
        <f t="shared" si="4"/>
        <v>0.52</v>
      </c>
      <c r="K10">
        <f t="shared" si="5"/>
        <v>-7.12</v>
      </c>
      <c r="L10">
        <f>IF(AND($H10&gt;=5,$H10&lt;=10),F10-1.2,F10)</f>
        <v>0.92000000000000015</v>
      </c>
      <c r="M10" s="3">
        <f t="shared" si="6"/>
        <v>0.74</v>
      </c>
      <c r="N10" s="3">
        <f t="shared" si="7"/>
        <v>0.52</v>
      </c>
      <c r="O10" s="3">
        <f t="shared" si="8"/>
        <v>-7.12</v>
      </c>
      <c r="P10" s="3">
        <f t="shared" si="9"/>
        <v>0.92000000000000015</v>
      </c>
    </row>
    <row r="11" spans="1:27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8.32</v>
      </c>
      <c r="F11">
        <v>-6.62</v>
      </c>
      <c r="G11">
        <f t="shared" si="1"/>
        <v>2</v>
      </c>
      <c r="H11">
        <f t="shared" si="2"/>
        <v>6</v>
      </c>
      <c r="I11">
        <f t="shared" si="3"/>
        <v>7.61</v>
      </c>
      <c r="J11">
        <f t="shared" si="4"/>
        <v>-2.86</v>
      </c>
      <c r="K11">
        <f t="shared" si="5"/>
        <v>8.32</v>
      </c>
      <c r="L11">
        <f>IF(AND($H11&gt;=5,$H11&lt;=10),F11-1.2,F11)</f>
        <v>-7.82</v>
      </c>
      <c r="M11" s="3">
        <f t="shared" si="6"/>
        <v>7.61</v>
      </c>
      <c r="N11" s="3">
        <f t="shared" si="7"/>
        <v>-2.86</v>
      </c>
      <c r="O11" s="3">
        <f t="shared" si="8"/>
        <v>8.32</v>
      </c>
      <c r="P11" s="3">
        <f t="shared" si="9"/>
        <v>-7.82</v>
      </c>
    </row>
    <row r="12" spans="1:27" x14ac:dyDescent="0.25">
      <c r="A12" s="1">
        <v>42409</v>
      </c>
      <c r="B12" s="2">
        <v>0.33541666666666664</v>
      </c>
      <c r="C12">
        <v>4</v>
      </c>
      <c r="D12">
        <v>-6.72</v>
      </c>
      <c r="E12">
        <v>2.88</v>
      </c>
      <c r="F12">
        <v>2.58</v>
      </c>
      <c r="G12">
        <f t="shared" si="1"/>
        <v>2</v>
      </c>
      <c r="H12">
        <f t="shared" si="2"/>
        <v>9</v>
      </c>
      <c r="I12">
        <f t="shared" si="3"/>
        <v>2.8</v>
      </c>
      <c r="J12">
        <f t="shared" si="4"/>
        <v>-7.92</v>
      </c>
      <c r="K12">
        <f t="shared" si="5"/>
        <v>2.88</v>
      </c>
      <c r="L12">
        <f>IF(AND($H12&gt;=5,$H12&lt;=10),F12-1.2,F12)</f>
        <v>1.3800000000000001</v>
      </c>
      <c r="M12" s="3">
        <f t="shared" si="6"/>
        <v>2.8</v>
      </c>
      <c r="N12" s="3">
        <f t="shared" si="7"/>
        <v>-7.92</v>
      </c>
      <c r="O12" s="3">
        <f t="shared" si="8"/>
        <v>2.88</v>
      </c>
      <c r="P12" s="3">
        <f t="shared" si="9"/>
        <v>1.3800000000000001</v>
      </c>
    </row>
    <row r="13" spans="1:27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-6.54</v>
      </c>
      <c r="F13">
        <v>-2.4300000000000002</v>
      </c>
      <c r="G13">
        <f t="shared" si="1"/>
        <v>2</v>
      </c>
      <c r="H13">
        <f t="shared" si="2"/>
        <v>10</v>
      </c>
      <c r="I13">
        <f t="shared" si="3"/>
        <v>-5.79</v>
      </c>
      <c r="J13">
        <f t="shared" si="4"/>
        <v>4.54</v>
      </c>
      <c r="K13">
        <f t="shared" si="5"/>
        <v>-6.54</v>
      </c>
      <c r="L13">
        <f>IF(AND($H13&gt;=5,$H13&lt;=10),F13-1.2,F13)</f>
        <v>-3.63</v>
      </c>
      <c r="M13" s="3">
        <f t="shared" si="6"/>
        <v>-5.79</v>
      </c>
      <c r="N13" s="3">
        <f t="shared" si="7"/>
        <v>4.54</v>
      </c>
      <c r="O13" s="3">
        <f t="shared" si="8"/>
        <v>-6.54</v>
      </c>
      <c r="P13" s="3">
        <f t="shared" si="9"/>
        <v>-3.63</v>
      </c>
    </row>
    <row r="14" spans="1:27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4.29</v>
      </c>
      <c r="F14">
        <v>-7.29</v>
      </c>
      <c r="G14">
        <f t="shared" si="1"/>
        <v>2</v>
      </c>
      <c r="H14">
        <f t="shared" si="2"/>
        <v>10</v>
      </c>
      <c r="I14">
        <f t="shared" si="3"/>
        <v>-7.0200000000000005</v>
      </c>
      <c r="J14">
        <f t="shared" si="4"/>
        <v>4.24</v>
      </c>
      <c r="K14">
        <f t="shared" si="5"/>
        <v>4.29</v>
      </c>
      <c r="L14">
        <f>IF(AND($H14&gt;=5,$H14&lt;=10),F14-1.2,F14)</f>
        <v>-8.49</v>
      </c>
      <c r="M14" s="3">
        <f t="shared" si="6"/>
        <v>-7.0200000000000005</v>
      </c>
      <c r="N14" s="3">
        <f t="shared" si="7"/>
        <v>4.24</v>
      </c>
      <c r="O14" s="3">
        <f t="shared" si="8"/>
        <v>4.29</v>
      </c>
      <c r="P14" s="3">
        <f t="shared" si="9"/>
        <v>-8.49</v>
      </c>
    </row>
    <row r="15" spans="1:27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5.46</v>
      </c>
      <c r="F15">
        <v>-4.66</v>
      </c>
      <c r="G15">
        <f t="shared" si="1"/>
        <v>2</v>
      </c>
      <c r="H15">
        <f t="shared" si="2"/>
        <v>13</v>
      </c>
      <c r="I15">
        <f t="shared" si="3"/>
        <v>8.26</v>
      </c>
      <c r="J15">
        <f t="shared" si="4"/>
        <v>8.5</v>
      </c>
      <c r="K15">
        <f t="shared" si="5"/>
        <v>5.46</v>
      </c>
      <c r="L15">
        <f>IF(AND($H15&gt;=5,$H15&lt;=10),F15-1.2,F15)</f>
        <v>-4.66</v>
      </c>
      <c r="M15" s="3">
        <f t="shared" si="6"/>
        <v>8.26</v>
      </c>
      <c r="N15" s="3">
        <f t="shared" si="7"/>
        <v>8.5</v>
      </c>
      <c r="O15" s="3">
        <f t="shared" si="8"/>
        <v>5.46</v>
      </c>
      <c r="P15" s="3">
        <f t="shared" si="9"/>
        <v>-4.66</v>
      </c>
    </row>
    <row r="16" spans="1:27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-4.8499999999999996</v>
      </c>
      <c r="F16">
        <v>-4.21</v>
      </c>
      <c r="G16">
        <f t="shared" si="1"/>
        <v>2</v>
      </c>
      <c r="H16">
        <f t="shared" si="2"/>
        <v>15</v>
      </c>
      <c r="I16">
        <f t="shared" si="3"/>
        <v>7.43</v>
      </c>
      <c r="J16">
        <f t="shared" si="4"/>
        <v>7.88</v>
      </c>
      <c r="K16">
        <f t="shared" si="5"/>
        <v>-4.8499999999999996</v>
      </c>
      <c r="L16">
        <f>IF(AND($H16&gt;=5,$H16&lt;=10),F16-1.2,F16)</f>
        <v>-4.21</v>
      </c>
      <c r="M16" s="3">
        <f t="shared" si="6"/>
        <v>7.43</v>
      </c>
      <c r="N16" s="3">
        <f t="shared" si="7"/>
        <v>7.88</v>
      </c>
      <c r="O16" s="3">
        <f t="shared" si="8"/>
        <v>-4.8499999999999996</v>
      </c>
      <c r="P16" s="3">
        <f t="shared" si="9"/>
        <v>-4.21</v>
      </c>
    </row>
    <row r="17" spans="1:16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-4.58</v>
      </c>
      <c r="F17">
        <v>-6.18</v>
      </c>
      <c r="G17">
        <f t="shared" si="1"/>
        <v>2</v>
      </c>
      <c r="H17">
        <f t="shared" si="2"/>
        <v>15</v>
      </c>
      <c r="I17">
        <f t="shared" si="3"/>
        <v>-7.37</v>
      </c>
      <c r="J17">
        <f t="shared" si="4"/>
        <v>2.31</v>
      </c>
      <c r="K17">
        <f t="shared" si="5"/>
        <v>-4.58</v>
      </c>
      <c r="L17">
        <f>IF(AND($H17&gt;=5,$H17&lt;=10),F17-1.2,F17)</f>
        <v>-6.18</v>
      </c>
      <c r="M17" s="3">
        <f t="shared" si="6"/>
        <v>-7.37</v>
      </c>
      <c r="N17" s="3">
        <f t="shared" si="7"/>
        <v>2.31</v>
      </c>
      <c r="O17" s="3">
        <f t="shared" si="8"/>
        <v>-4.58</v>
      </c>
      <c r="P17" s="3">
        <f t="shared" si="9"/>
        <v>-6.18</v>
      </c>
    </row>
    <row r="18" spans="1:16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-6.56</v>
      </c>
      <c r="F18">
        <v>-6.35</v>
      </c>
      <c r="G18">
        <f t="shared" si="1"/>
        <v>2</v>
      </c>
      <c r="H18">
        <f t="shared" si="2"/>
        <v>18</v>
      </c>
      <c r="I18">
        <f t="shared" si="3"/>
        <v>7.78</v>
      </c>
      <c r="J18">
        <f t="shared" si="4"/>
        <v>1.59</v>
      </c>
      <c r="K18">
        <f t="shared" si="5"/>
        <v>-6.56</v>
      </c>
      <c r="L18">
        <f>IF(AND($H18&gt;=5,$H18&lt;=10),F18-1.2,F18)</f>
        <v>-6.35</v>
      </c>
      <c r="M18" s="3">
        <f t="shared" si="6"/>
        <v>7.78</v>
      </c>
      <c r="N18" s="3">
        <f t="shared" si="7"/>
        <v>1.59</v>
      </c>
      <c r="O18" s="3">
        <f t="shared" si="8"/>
        <v>-6.56</v>
      </c>
      <c r="P18" s="3">
        <f t="shared" si="9"/>
        <v>-6.35</v>
      </c>
    </row>
    <row r="19" spans="1:16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0.74</v>
      </c>
      <c r="F19">
        <v>1.7</v>
      </c>
      <c r="G19">
        <f t="shared" si="1"/>
        <v>2</v>
      </c>
      <c r="H19">
        <f t="shared" si="2"/>
        <v>18</v>
      </c>
      <c r="I19">
        <f t="shared" si="3"/>
        <v>-5.59</v>
      </c>
      <c r="J19">
        <f t="shared" si="4"/>
        <v>1.44</v>
      </c>
      <c r="K19">
        <f t="shared" si="5"/>
        <v>0.74</v>
      </c>
      <c r="L19">
        <f>IF(AND($H19&gt;=5,$H19&lt;=10),F19-1.2,F19)</f>
        <v>1.7</v>
      </c>
      <c r="M19" s="3">
        <f t="shared" si="6"/>
        <v>-5.59</v>
      </c>
      <c r="N19" s="3">
        <f t="shared" si="7"/>
        <v>1.44</v>
      </c>
      <c r="O19" s="3">
        <f t="shared" si="8"/>
        <v>0.74</v>
      </c>
      <c r="P19" s="3">
        <f t="shared" si="9"/>
        <v>1.7</v>
      </c>
    </row>
    <row r="20" spans="1:16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2.27</v>
      </c>
      <c r="F20">
        <v>1.38</v>
      </c>
      <c r="G20">
        <f t="shared" si="1"/>
        <v>2</v>
      </c>
      <c r="H20">
        <f t="shared" si="2"/>
        <v>18</v>
      </c>
      <c r="I20">
        <f t="shared" si="3"/>
        <v>-5.61</v>
      </c>
      <c r="J20">
        <f t="shared" si="4"/>
        <v>-2.42</v>
      </c>
      <c r="K20">
        <f t="shared" si="5"/>
        <v>2.27</v>
      </c>
      <c r="L20">
        <f>IF(AND($H20&gt;=5,$H20&lt;=10),F20-1.2,F20)</f>
        <v>1.38</v>
      </c>
      <c r="M20" s="3">
        <f t="shared" si="6"/>
        <v>-5.61</v>
      </c>
      <c r="N20" s="3">
        <f t="shared" si="7"/>
        <v>-2.42</v>
      </c>
      <c r="O20" s="3">
        <f t="shared" si="8"/>
        <v>2.27</v>
      </c>
      <c r="P20" s="3">
        <f t="shared" si="9"/>
        <v>1.38</v>
      </c>
    </row>
    <row r="21" spans="1:16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2.9</v>
      </c>
      <c r="F21">
        <v>-2.0099999999999998</v>
      </c>
      <c r="G21">
        <f t="shared" si="1"/>
        <v>2</v>
      </c>
      <c r="H21">
        <f t="shared" si="2"/>
        <v>20</v>
      </c>
      <c r="I21">
        <f t="shared" si="3"/>
        <v>8.91</v>
      </c>
      <c r="J21">
        <f t="shared" si="4"/>
        <v>-0.83</v>
      </c>
      <c r="K21">
        <f t="shared" si="5"/>
        <v>2.9</v>
      </c>
      <c r="L21">
        <f>IF(AND($H21&gt;=5,$H21&lt;=10),F21-1.2,F21)</f>
        <v>-2.0099999999999998</v>
      </c>
      <c r="M21" s="3">
        <f t="shared" si="6"/>
        <v>8.91</v>
      </c>
      <c r="N21" s="3">
        <f t="shared" si="7"/>
        <v>-0.83</v>
      </c>
      <c r="O21" s="3">
        <f t="shared" si="8"/>
        <v>2.9</v>
      </c>
      <c r="P21" s="3">
        <f t="shared" si="9"/>
        <v>-2.0099999999999998</v>
      </c>
    </row>
    <row r="22" spans="1:16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4.6399999999999997</v>
      </c>
      <c r="F22">
        <v>-2.96</v>
      </c>
      <c r="G22">
        <f t="shared" si="1"/>
        <v>2</v>
      </c>
      <c r="H22">
        <f t="shared" si="2"/>
        <v>21</v>
      </c>
      <c r="I22">
        <f t="shared" si="3"/>
        <v>6.18</v>
      </c>
      <c r="J22">
        <f t="shared" si="4"/>
        <v>6.14</v>
      </c>
      <c r="K22">
        <f t="shared" si="5"/>
        <v>4.6399999999999997</v>
      </c>
      <c r="L22">
        <f>IF(AND($H22&gt;=5,$H22&lt;=10),F22-1.2,F22)</f>
        <v>-2.96</v>
      </c>
      <c r="M22" s="3">
        <f t="shared" si="6"/>
        <v>6.18</v>
      </c>
      <c r="N22" s="3">
        <f t="shared" si="7"/>
        <v>6.14</v>
      </c>
      <c r="O22" s="3">
        <f t="shared" si="8"/>
        <v>4.6399999999999997</v>
      </c>
      <c r="P22" s="3">
        <f t="shared" si="9"/>
        <v>-2.96</v>
      </c>
    </row>
    <row r="23" spans="1:16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-3.65</v>
      </c>
      <c r="F23">
        <v>-4.0999999999999996</v>
      </c>
      <c r="G23">
        <f t="shared" si="1"/>
        <v>2</v>
      </c>
      <c r="H23">
        <f t="shared" si="2"/>
        <v>24</v>
      </c>
      <c r="I23">
        <f t="shared" si="3"/>
        <v>-3.2</v>
      </c>
      <c r="J23">
        <f t="shared" si="4"/>
        <v>-4.18</v>
      </c>
      <c r="K23">
        <f t="shared" si="5"/>
        <v>-3.65</v>
      </c>
      <c r="L23">
        <f>IF(AND($H23&gt;=5,$H23&lt;=10),F23-1.2,F23)</f>
        <v>-4.0999999999999996</v>
      </c>
      <c r="M23" s="3">
        <f t="shared" si="6"/>
        <v>-3.2</v>
      </c>
      <c r="N23" s="3">
        <f t="shared" si="7"/>
        <v>-4.18</v>
      </c>
      <c r="O23" s="3">
        <f t="shared" si="8"/>
        <v>-3.65</v>
      </c>
      <c r="P23" s="3">
        <f t="shared" si="9"/>
        <v>-4.0999999999999996</v>
      </c>
    </row>
    <row r="24" spans="1:16" x14ac:dyDescent="0.25">
      <c r="A24" s="1">
        <v>42430</v>
      </c>
      <c r="B24" s="2">
        <v>0</v>
      </c>
      <c r="C24">
        <v>6.8</v>
      </c>
      <c r="D24">
        <v>-2.64</v>
      </c>
      <c r="E24">
        <v>7.18</v>
      </c>
      <c r="F24">
        <v>7.33</v>
      </c>
      <c r="G24">
        <f t="shared" si="1"/>
        <v>3</v>
      </c>
      <c r="H24">
        <f t="shared" si="2"/>
        <v>1</v>
      </c>
      <c r="I24">
        <f t="shared" si="3"/>
        <v>6.8</v>
      </c>
      <c r="J24">
        <f t="shared" si="4"/>
        <v>-2.64</v>
      </c>
      <c r="K24">
        <f t="shared" si="5"/>
        <v>7.18</v>
      </c>
      <c r="L24">
        <f>IF(AND($H24&gt;=5,$H24&lt;=10),F24-1.2,F24)</f>
        <v>7.33</v>
      </c>
      <c r="M24" s="3">
        <f t="shared" si="6"/>
        <v>6.8</v>
      </c>
      <c r="N24" s="3">
        <f t="shared" si="7"/>
        <v>-2.64</v>
      </c>
      <c r="O24" s="3">
        <f t="shared" si="8"/>
        <v>7.18</v>
      </c>
      <c r="P24" s="3">
        <f t="shared" si="9"/>
        <v>7.33</v>
      </c>
    </row>
    <row r="25" spans="1:16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-2.67</v>
      </c>
      <c r="F25">
        <v>6.36</v>
      </c>
      <c r="G25">
        <f t="shared" si="1"/>
        <v>3</v>
      </c>
      <c r="H25">
        <f t="shared" si="2"/>
        <v>2</v>
      </c>
      <c r="I25">
        <f t="shared" si="3"/>
        <v>-3.15</v>
      </c>
      <c r="J25">
        <f t="shared" si="4"/>
        <v>-1.58</v>
      </c>
      <c r="K25">
        <f t="shared" si="5"/>
        <v>-2.67</v>
      </c>
      <c r="L25">
        <f>IF(AND($H25&gt;=5,$H25&lt;=10),F25-1.2,F25)</f>
        <v>6.36</v>
      </c>
      <c r="M25" s="3">
        <f t="shared" si="6"/>
        <v>-3.15</v>
      </c>
      <c r="N25" s="3">
        <f t="shared" si="7"/>
        <v>-1.58</v>
      </c>
      <c r="O25" s="3">
        <f t="shared" si="8"/>
        <v>-2.67</v>
      </c>
      <c r="P25" s="3">
        <f t="shared" si="9"/>
        <v>6.36</v>
      </c>
    </row>
    <row r="26" spans="1:16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-2.7</v>
      </c>
      <c r="F26">
        <v>5.24</v>
      </c>
      <c r="G26">
        <f t="shared" si="1"/>
        <v>3</v>
      </c>
      <c r="H26">
        <f t="shared" si="2"/>
        <v>4</v>
      </c>
      <c r="I26">
        <f t="shared" si="3"/>
        <v>-4.3899999999999997</v>
      </c>
      <c r="J26">
        <f t="shared" si="4"/>
        <v>-3.86</v>
      </c>
      <c r="K26">
        <f t="shared" si="5"/>
        <v>-2.7</v>
      </c>
      <c r="L26">
        <f>IF(AND($H26&gt;=5,$H26&lt;=10),F26-1.2,F26)</f>
        <v>5.24</v>
      </c>
      <c r="M26" s="3">
        <f t="shared" si="6"/>
        <v>-4.3899999999999997</v>
      </c>
      <c r="N26" s="3">
        <f t="shared" si="7"/>
        <v>-3.86</v>
      </c>
      <c r="O26" s="3">
        <f t="shared" si="8"/>
        <v>-2.7</v>
      </c>
      <c r="P26" s="3">
        <f t="shared" si="9"/>
        <v>5.24</v>
      </c>
    </row>
    <row r="27" spans="1:16" x14ac:dyDescent="0.25">
      <c r="A27" s="1">
        <v>42435</v>
      </c>
      <c r="B27" s="2">
        <v>0.33958333333333335</v>
      </c>
      <c r="C27">
        <v>1.07</v>
      </c>
      <c r="D27">
        <v>4.49</v>
      </c>
      <c r="E27">
        <v>-0.82</v>
      </c>
      <c r="F27">
        <v>1.63</v>
      </c>
      <c r="G27">
        <f t="shared" si="1"/>
        <v>3</v>
      </c>
      <c r="H27">
        <f t="shared" si="2"/>
        <v>6</v>
      </c>
      <c r="I27">
        <f t="shared" si="3"/>
        <v>-0.12999999999999989</v>
      </c>
      <c r="J27">
        <f t="shared" si="4"/>
        <v>3.29</v>
      </c>
      <c r="K27">
        <f t="shared" si="5"/>
        <v>-0.82</v>
      </c>
      <c r="L27">
        <f>IF(AND($H27&gt;=5,$H27&lt;=10),F27-1.2,F27)</f>
        <v>0.42999999999999994</v>
      </c>
      <c r="M27" s="3">
        <f t="shared" si="6"/>
        <v>-0.12999999999999989</v>
      </c>
      <c r="N27" s="3">
        <f t="shared" si="7"/>
        <v>3.29</v>
      </c>
      <c r="O27" s="3">
        <f t="shared" si="8"/>
        <v>-0.82</v>
      </c>
      <c r="P27" s="3">
        <f t="shared" si="9"/>
        <v>0.42999999999999994</v>
      </c>
    </row>
    <row r="28" spans="1:16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1.75</v>
      </c>
      <c r="F28">
        <v>2.57</v>
      </c>
      <c r="G28">
        <f t="shared" si="1"/>
        <v>3</v>
      </c>
      <c r="H28">
        <f t="shared" si="2"/>
        <v>7</v>
      </c>
      <c r="I28">
        <f t="shared" si="3"/>
        <v>-5.5200000000000005</v>
      </c>
      <c r="J28">
        <f t="shared" si="4"/>
        <v>-5.5</v>
      </c>
      <c r="K28">
        <f t="shared" si="5"/>
        <v>1.75</v>
      </c>
      <c r="L28">
        <f>IF(AND($H28&gt;=5,$H28&lt;=10),F28-1.2,F28)</f>
        <v>1.3699999999999999</v>
      </c>
      <c r="M28" s="3">
        <f t="shared" si="6"/>
        <v>-5.5200000000000005</v>
      </c>
      <c r="N28" s="3">
        <f t="shared" si="7"/>
        <v>-5.5</v>
      </c>
      <c r="O28" s="3">
        <f t="shared" si="8"/>
        <v>1.75</v>
      </c>
      <c r="P28" s="3">
        <f t="shared" si="9"/>
        <v>1.3699999999999999</v>
      </c>
    </row>
    <row r="29" spans="1:16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-3.33</v>
      </c>
      <c r="F29">
        <v>3.39</v>
      </c>
      <c r="G29">
        <f t="shared" si="1"/>
        <v>3</v>
      </c>
      <c r="H29">
        <f t="shared" si="2"/>
        <v>10</v>
      </c>
      <c r="I29">
        <f t="shared" si="3"/>
        <v>7.7399999999999993</v>
      </c>
      <c r="J29">
        <f t="shared" si="4"/>
        <v>-9.18</v>
      </c>
      <c r="K29">
        <f t="shared" si="5"/>
        <v>-3.33</v>
      </c>
      <c r="L29">
        <f>IF(AND($H29&gt;=5,$H29&lt;=10),F29-1.2,F29)</f>
        <v>2.1900000000000004</v>
      </c>
      <c r="M29" s="3">
        <f t="shared" si="6"/>
        <v>7.7399999999999993</v>
      </c>
      <c r="N29" s="3">
        <f t="shared" si="7"/>
        <v>-9.18</v>
      </c>
      <c r="O29" s="3">
        <f t="shared" si="8"/>
        <v>-3.33</v>
      </c>
      <c r="P29" s="3">
        <f t="shared" si="9"/>
        <v>2.1900000000000004</v>
      </c>
    </row>
    <row r="30" spans="1:16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-5.8</v>
      </c>
      <c r="F30">
        <v>-7.56</v>
      </c>
      <c r="G30">
        <f t="shared" si="1"/>
        <v>3</v>
      </c>
      <c r="H30">
        <f t="shared" si="2"/>
        <v>12</v>
      </c>
      <c r="I30">
        <f t="shared" si="3"/>
        <v>-2.84</v>
      </c>
      <c r="J30">
        <f t="shared" si="4"/>
        <v>-3.79</v>
      </c>
      <c r="K30">
        <f t="shared" si="5"/>
        <v>-5.8</v>
      </c>
      <c r="L30">
        <f>IF(AND($H30&gt;=5,$H30&lt;=10),F30-1.2,F30)</f>
        <v>-7.56</v>
      </c>
      <c r="M30" s="3">
        <f t="shared" si="6"/>
        <v>-2.84</v>
      </c>
      <c r="N30" s="3">
        <f t="shared" si="7"/>
        <v>-3.79</v>
      </c>
      <c r="O30" s="3">
        <f t="shared" si="8"/>
        <v>-5.8</v>
      </c>
      <c r="P30" s="3">
        <f t="shared" si="9"/>
        <v>-7.56</v>
      </c>
    </row>
    <row r="31" spans="1:16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7.96</v>
      </c>
      <c r="F31">
        <v>4.51</v>
      </c>
      <c r="G31">
        <f t="shared" si="1"/>
        <v>3</v>
      </c>
      <c r="H31">
        <f t="shared" si="2"/>
        <v>15</v>
      </c>
      <c r="I31">
        <f t="shared" si="3"/>
        <v>-2.0099999999999998</v>
      </c>
      <c r="J31">
        <f t="shared" si="4"/>
        <v>0.62</v>
      </c>
      <c r="K31">
        <f t="shared" si="5"/>
        <v>7.96</v>
      </c>
      <c r="L31">
        <f>IF(AND($H31&gt;=5,$H31&lt;=10),F31-1.2,F31)</f>
        <v>4.51</v>
      </c>
      <c r="M31" s="3">
        <f t="shared" si="6"/>
        <v>-2.0099999999999998</v>
      </c>
      <c r="N31" s="3">
        <f t="shared" si="7"/>
        <v>0.62</v>
      </c>
      <c r="O31" s="3">
        <f t="shared" si="8"/>
        <v>7.96</v>
      </c>
      <c r="P31" s="3">
        <f t="shared" si="9"/>
        <v>4.51</v>
      </c>
    </row>
    <row r="32" spans="1:16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-6.89</v>
      </c>
      <c r="F32">
        <v>-3.19</v>
      </c>
      <c r="G32">
        <f t="shared" si="1"/>
        <v>3</v>
      </c>
      <c r="H32">
        <f t="shared" si="2"/>
        <v>18</v>
      </c>
      <c r="I32">
        <f t="shared" si="3"/>
        <v>1.44</v>
      </c>
      <c r="J32">
        <f t="shared" si="4"/>
        <v>-7.21</v>
      </c>
      <c r="K32">
        <f t="shared" si="5"/>
        <v>-6.89</v>
      </c>
      <c r="L32">
        <f>IF(AND($H32&gt;=5,$H32&lt;=10),F32-1.2,F32)</f>
        <v>-3.19</v>
      </c>
      <c r="M32" s="3">
        <f t="shared" si="6"/>
        <v>1.44</v>
      </c>
      <c r="N32" s="3">
        <f t="shared" si="7"/>
        <v>-7.21</v>
      </c>
      <c r="O32" s="3">
        <f t="shared" si="8"/>
        <v>-6.89</v>
      </c>
      <c r="P32" s="3">
        <f t="shared" si="9"/>
        <v>-3.19</v>
      </c>
    </row>
    <row r="33" spans="1:16" x14ac:dyDescent="0.25">
      <c r="A33" s="1">
        <v>42450</v>
      </c>
      <c r="B33" s="2">
        <v>0.12569444444444444</v>
      </c>
      <c r="C33">
        <v>0.98</v>
      </c>
      <c r="D33">
        <v>7.64</v>
      </c>
      <c r="E33">
        <v>5.65</v>
      </c>
      <c r="F33">
        <v>5.0999999999999996</v>
      </c>
      <c r="G33">
        <f t="shared" si="1"/>
        <v>3</v>
      </c>
      <c r="H33">
        <f t="shared" si="2"/>
        <v>21</v>
      </c>
      <c r="I33">
        <f t="shared" si="3"/>
        <v>0.98</v>
      </c>
      <c r="J33">
        <f t="shared" si="4"/>
        <v>7.64</v>
      </c>
      <c r="K33">
        <f t="shared" si="5"/>
        <v>5.65</v>
      </c>
      <c r="L33">
        <f>IF(AND($H33&gt;=5,$H33&lt;=10),F33-1.2,F33)</f>
        <v>5.0999999999999996</v>
      </c>
      <c r="M33" s="3">
        <f t="shared" si="6"/>
        <v>0.98</v>
      </c>
      <c r="N33" s="3">
        <f t="shared" si="7"/>
        <v>7.64</v>
      </c>
      <c r="O33" s="3">
        <f t="shared" si="8"/>
        <v>5.65</v>
      </c>
      <c r="P33" s="3">
        <f t="shared" si="9"/>
        <v>5.0999999999999996</v>
      </c>
    </row>
    <row r="34" spans="1:16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-4.8</v>
      </c>
      <c r="F34">
        <v>2.92</v>
      </c>
      <c r="G34">
        <f t="shared" si="1"/>
        <v>3</v>
      </c>
      <c r="H34">
        <f t="shared" si="2"/>
        <v>22</v>
      </c>
      <c r="I34">
        <f t="shared" si="3"/>
        <v>5.83</v>
      </c>
      <c r="J34">
        <f t="shared" si="4"/>
        <v>7.18</v>
      </c>
      <c r="K34">
        <f t="shared" si="5"/>
        <v>-4.8</v>
      </c>
      <c r="L34">
        <f>IF(AND($H34&gt;=5,$H34&lt;=10),F34-1.2,F34)</f>
        <v>2.92</v>
      </c>
      <c r="M34" s="3">
        <f t="shared" si="6"/>
        <v>5.83</v>
      </c>
      <c r="N34" s="3">
        <f t="shared" si="7"/>
        <v>7.18</v>
      </c>
      <c r="O34" s="3">
        <f t="shared" si="8"/>
        <v>-4.8</v>
      </c>
      <c r="P34" s="3">
        <f t="shared" si="9"/>
        <v>2.92</v>
      </c>
    </row>
    <row r="35" spans="1:16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-2.19</v>
      </c>
      <c r="F35">
        <v>4.6100000000000003</v>
      </c>
      <c r="G35">
        <f t="shared" si="1"/>
        <v>3</v>
      </c>
      <c r="H35">
        <f t="shared" si="2"/>
        <v>23</v>
      </c>
      <c r="I35">
        <f t="shared" si="3"/>
        <v>-5.39</v>
      </c>
      <c r="J35">
        <f t="shared" si="4"/>
        <v>-7.41</v>
      </c>
      <c r="K35">
        <f t="shared" si="5"/>
        <v>-2.19</v>
      </c>
      <c r="L35">
        <f>IF(AND($H35&gt;=5,$H35&lt;=10),F35-1.2,F35)</f>
        <v>4.6100000000000003</v>
      </c>
      <c r="M35" s="3">
        <f t="shared" si="6"/>
        <v>-5.39</v>
      </c>
      <c r="N35" s="3">
        <f t="shared" si="7"/>
        <v>-7.41</v>
      </c>
      <c r="O35" s="3">
        <f t="shared" si="8"/>
        <v>-2.19</v>
      </c>
      <c r="P35" s="3">
        <f t="shared" si="9"/>
        <v>4.6100000000000003</v>
      </c>
    </row>
    <row r="36" spans="1:16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3.23</v>
      </c>
      <c r="F36">
        <v>-7.13</v>
      </c>
      <c r="G36">
        <f t="shared" si="1"/>
        <v>3</v>
      </c>
      <c r="H36">
        <f t="shared" si="2"/>
        <v>23</v>
      </c>
      <c r="I36">
        <f t="shared" si="3"/>
        <v>7.98</v>
      </c>
      <c r="J36">
        <f t="shared" si="4"/>
        <v>4.6100000000000003</v>
      </c>
      <c r="K36">
        <f t="shared" si="5"/>
        <v>3.23</v>
      </c>
      <c r="L36">
        <f>IF(AND($H36&gt;=5,$H36&lt;=10),F36-1.2,F36)</f>
        <v>-7.13</v>
      </c>
      <c r="M36" s="3">
        <f t="shared" si="6"/>
        <v>7.98</v>
      </c>
      <c r="N36" s="3">
        <f t="shared" si="7"/>
        <v>4.6100000000000003</v>
      </c>
      <c r="O36" s="3">
        <f t="shared" si="8"/>
        <v>3.23</v>
      </c>
      <c r="P36" s="3">
        <f t="shared" si="9"/>
        <v>-7.13</v>
      </c>
    </row>
    <row r="37" spans="1:16" x14ac:dyDescent="0.25">
      <c r="A37" s="1">
        <v>42454</v>
      </c>
      <c r="B37" s="2">
        <v>0.12986111111111112</v>
      </c>
      <c r="C37">
        <v>2.92</v>
      </c>
      <c r="D37">
        <v>0.43</v>
      </c>
      <c r="E37">
        <v>6.34</v>
      </c>
      <c r="F37">
        <v>-5.17</v>
      </c>
      <c r="G37">
        <f t="shared" si="1"/>
        <v>3</v>
      </c>
      <c r="H37">
        <f t="shared" si="2"/>
        <v>25</v>
      </c>
      <c r="I37">
        <f t="shared" si="3"/>
        <v>2.92</v>
      </c>
      <c r="J37">
        <f t="shared" si="4"/>
        <v>0.43</v>
      </c>
      <c r="K37">
        <f t="shared" si="5"/>
        <v>6.34</v>
      </c>
      <c r="L37">
        <f>IF(AND($H37&gt;=5,$H37&lt;=10),F37-1.2,F37)</f>
        <v>-5.17</v>
      </c>
      <c r="M37" s="3">
        <f t="shared" si="6"/>
        <v>2.92</v>
      </c>
      <c r="N37" s="3">
        <f t="shared" si="7"/>
        <v>0.43</v>
      </c>
      <c r="O37" s="3">
        <f t="shared" si="8"/>
        <v>6.34</v>
      </c>
      <c r="P37" s="3">
        <f t="shared" si="9"/>
        <v>-5.17</v>
      </c>
    </row>
    <row r="38" spans="1:16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-6.24</v>
      </c>
      <c r="F38">
        <v>-5.52</v>
      </c>
      <c r="G38">
        <f t="shared" si="1"/>
        <v>3</v>
      </c>
      <c r="H38">
        <f t="shared" si="2"/>
        <v>26</v>
      </c>
      <c r="I38">
        <f t="shared" si="3"/>
        <v>5.68</v>
      </c>
      <c r="J38">
        <f t="shared" si="4"/>
        <v>-5.18</v>
      </c>
      <c r="K38">
        <f t="shared" si="5"/>
        <v>-6.24</v>
      </c>
      <c r="L38">
        <f>IF(AND($H38&gt;=5,$H38&lt;=10),F38-1.2,F38)</f>
        <v>-5.52</v>
      </c>
      <c r="M38" s="3">
        <f t="shared" si="6"/>
        <v>5.68</v>
      </c>
      <c r="N38" s="3">
        <f t="shared" si="7"/>
        <v>-5.18</v>
      </c>
      <c r="O38" s="3">
        <f t="shared" si="8"/>
        <v>-6.24</v>
      </c>
      <c r="P38" s="3">
        <f t="shared" si="9"/>
        <v>-5.52</v>
      </c>
    </row>
    <row r="39" spans="1:16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6.75</v>
      </c>
      <c r="F39">
        <v>-0.73</v>
      </c>
      <c r="G39">
        <f t="shared" si="1"/>
        <v>3</v>
      </c>
      <c r="H39">
        <f t="shared" si="2"/>
        <v>26</v>
      </c>
      <c r="I39">
        <f t="shared" si="3"/>
        <v>-3.88</v>
      </c>
      <c r="J39">
        <f t="shared" si="4"/>
        <v>-5.21</v>
      </c>
      <c r="K39">
        <f t="shared" si="5"/>
        <v>6.75</v>
      </c>
      <c r="L39">
        <f>IF(AND($H39&gt;=5,$H39&lt;=10),F39-1.2,F39)</f>
        <v>-0.73</v>
      </c>
      <c r="M39" s="3">
        <f t="shared" si="6"/>
        <v>-3.88</v>
      </c>
      <c r="N39" s="3">
        <f t="shared" si="7"/>
        <v>-5.21</v>
      </c>
      <c r="O39" s="3">
        <f t="shared" si="8"/>
        <v>6.75</v>
      </c>
      <c r="P39" s="3">
        <f t="shared" si="9"/>
        <v>-0.73</v>
      </c>
    </row>
    <row r="40" spans="1:16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-2.2599999999999998</v>
      </c>
      <c r="F40">
        <v>0.23</v>
      </c>
      <c r="G40">
        <f t="shared" si="1"/>
        <v>3</v>
      </c>
      <c r="H40">
        <f t="shared" si="2"/>
        <v>27</v>
      </c>
      <c r="I40">
        <f t="shared" si="3"/>
        <v>-4.4800000000000004</v>
      </c>
      <c r="J40">
        <f t="shared" si="4"/>
        <v>-2.0499999999999998</v>
      </c>
      <c r="K40">
        <f t="shared" si="5"/>
        <v>-2.2599999999999998</v>
      </c>
      <c r="L40">
        <f>IF(AND($H40&gt;=5,$H40&lt;=10),F40-1.2,F40)</f>
        <v>0.23</v>
      </c>
      <c r="M40" s="3">
        <f t="shared" si="6"/>
        <v>-4.4800000000000004</v>
      </c>
      <c r="N40" s="3">
        <f t="shared" si="7"/>
        <v>-2.0499999999999998</v>
      </c>
      <c r="O40" s="3">
        <f t="shared" si="8"/>
        <v>-2.2599999999999998</v>
      </c>
      <c r="P40" s="3">
        <f t="shared" si="9"/>
        <v>0.23</v>
      </c>
    </row>
    <row r="41" spans="1:16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5.8</v>
      </c>
      <c r="F41">
        <v>-7.14</v>
      </c>
      <c r="G41">
        <f t="shared" si="1"/>
        <v>3</v>
      </c>
      <c r="H41">
        <f t="shared" si="2"/>
        <v>28</v>
      </c>
      <c r="I41">
        <f t="shared" si="3"/>
        <v>-3.04</v>
      </c>
      <c r="J41">
        <f t="shared" si="4"/>
        <v>-1.24</v>
      </c>
      <c r="K41">
        <f t="shared" si="5"/>
        <v>5.8</v>
      </c>
      <c r="L41">
        <f>IF(AND($H41&gt;=5,$H41&lt;=10),F41-1.2,F41)</f>
        <v>-7.14</v>
      </c>
      <c r="M41" s="3">
        <f t="shared" si="6"/>
        <v>-3.04</v>
      </c>
      <c r="N41" s="3">
        <f t="shared" si="7"/>
        <v>-1.24</v>
      </c>
      <c r="O41" s="3">
        <f t="shared" si="8"/>
        <v>5.8</v>
      </c>
      <c r="P41" s="3">
        <f t="shared" si="9"/>
        <v>-7.14</v>
      </c>
    </row>
    <row r="42" spans="1:16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-5.75</v>
      </c>
      <c r="F42">
        <v>3.63</v>
      </c>
      <c r="G42">
        <f t="shared" si="1"/>
        <v>3</v>
      </c>
      <c r="H42">
        <f t="shared" si="2"/>
        <v>29</v>
      </c>
      <c r="I42">
        <f t="shared" si="3"/>
        <v>-2.12</v>
      </c>
      <c r="J42">
        <f t="shared" si="4"/>
        <v>-6.19</v>
      </c>
      <c r="K42">
        <f t="shared" si="5"/>
        <v>-5.75</v>
      </c>
      <c r="L42">
        <f>IF(AND($H42&gt;=5,$H42&lt;=10),F42-1.2,F42)</f>
        <v>3.63</v>
      </c>
      <c r="M42" s="3">
        <f t="shared" si="6"/>
        <v>-2.12</v>
      </c>
      <c r="N42" s="3">
        <f t="shared" si="7"/>
        <v>-6.19</v>
      </c>
      <c r="O42" s="3">
        <f t="shared" si="8"/>
        <v>-5.75</v>
      </c>
      <c r="P42" s="3">
        <f t="shared" si="9"/>
        <v>3.63</v>
      </c>
    </row>
    <row r="43" spans="1:16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13.07</v>
      </c>
      <c r="F43">
        <v>14.39</v>
      </c>
      <c r="G43">
        <f t="shared" si="1"/>
        <v>4</v>
      </c>
      <c r="H43">
        <f t="shared" si="2"/>
        <v>8</v>
      </c>
      <c r="I43">
        <f t="shared" si="3"/>
        <v>8.870000000000001</v>
      </c>
      <c r="J43">
        <f t="shared" si="4"/>
        <v>11.64</v>
      </c>
      <c r="K43">
        <f t="shared" si="5"/>
        <v>13.07</v>
      </c>
      <c r="L43">
        <f>IF(AND($H43&gt;=5,$H43&lt;=10),F43-1.2,F43)</f>
        <v>13.190000000000001</v>
      </c>
      <c r="M43" s="3">
        <f t="shared" si="6"/>
        <v>8.870000000000001</v>
      </c>
      <c r="N43" s="3">
        <f t="shared" si="7"/>
        <v>11.64</v>
      </c>
      <c r="O43" s="3">
        <f t="shared" si="8"/>
        <v>13.07</v>
      </c>
      <c r="P43" s="3">
        <f t="shared" si="9"/>
        <v>13.190000000000001</v>
      </c>
    </row>
    <row r="44" spans="1:16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11.66</v>
      </c>
      <c r="F44">
        <v>13</v>
      </c>
      <c r="G44">
        <f t="shared" si="1"/>
        <v>4</v>
      </c>
      <c r="H44">
        <f t="shared" si="2"/>
        <v>10</v>
      </c>
      <c r="I44">
        <f t="shared" si="3"/>
        <v>12.940000000000001</v>
      </c>
      <c r="J44">
        <f t="shared" si="4"/>
        <v>14.13</v>
      </c>
      <c r="K44">
        <f t="shared" si="5"/>
        <v>11.66</v>
      </c>
      <c r="L44">
        <f>IF(AND($H44&gt;=5,$H44&lt;=10),F44-1.2,F44)</f>
        <v>11.8</v>
      </c>
      <c r="M44" s="3">
        <f t="shared" si="6"/>
        <v>12.940000000000001</v>
      </c>
      <c r="N44" s="3">
        <f t="shared" si="7"/>
        <v>14.13</v>
      </c>
      <c r="O44" s="3">
        <f t="shared" si="8"/>
        <v>11.66</v>
      </c>
      <c r="P44" s="3">
        <f t="shared" si="9"/>
        <v>11.8</v>
      </c>
    </row>
    <row r="45" spans="1:16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15.38</v>
      </c>
      <c r="F45">
        <v>15.98</v>
      </c>
      <c r="G45">
        <f t="shared" si="1"/>
        <v>4</v>
      </c>
      <c r="H45">
        <f t="shared" si="2"/>
        <v>12</v>
      </c>
      <c r="I45">
        <f t="shared" si="3"/>
        <v>11.6</v>
      </c>
      <c r="J45">
        <f t="shared" si="4"/>
        <v>13.95</v>
      </c>
      <c r="K45">
        <f t="shared" si="5"/>
        <v>15.38</v>
      </c>
      <c r="L45">
        <f>IF(AND($H45&gt;=5,$H45&lt;=10),F45-1.2,F45)</f>
        <v>15.98</v>
      </c>
      <c r="M45" s="3">
        <f t="shared" si="6"/>
        <v>11.6</v>
      </c>
      <c r="N45" s="3">
        <f t="shared" si="7"/>
        <v>13.95</v>
      </c>
      <c r="O45" s="3">
        <f t="shared" si="8"/>
        <v>15.38</v>
      </c>
      <c r="P45" s="3">
        <f t="shared" si="9"/>
        <v>15.98</v>
      </c>
    </row>
    <row r="46" spans="1:16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12.05</v>
      </c>
      <c r="F46">
        <v>11.87</v>
      </c>
      <c r="G46">
        <f t="shared" si="1"/>
        <v>4</v>
      </c>
      <c r="H46">
        <f t="shared" si="2"/>
        <v>15</v>
      </c>
      <c r="I46">
        <f t="shared" si="3"/>
        <v>14.13</v>
      </c>
      <c r="J46">
        <f t="shared" si="4"/>
        <v>13.61</v>
      </c>
      <c r="K46">
        <f t="shared" si="5"/>
        <v>12.05</v>
      </c>
      <c r="L46">
        <f>IF(AND($H46&gt;=5,$H46&lt;=10),F46-1.2,F46)</f>
        <v>11.87</v>
      </c>
      <c r="M46" s="3">
        <f t="shared" si="6"/>
        <v>14.13</v>
      </c>
      <c r="N46" s="3">
        <f t="shared" si="7"/>
        <v>13.61</v>
      </c>
      <c r="O46" s="3">
        <f t="shared" si="8"/>
        <v>12.05</v>
      </c>
      <c r="P46" s="3">
        <f t="shared" si="9"/>
        <v>11.87</v>
      </c>
    </row>
    <row r="47" spans="1:16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13.91</v>
      </c>
      <c r="F47">
        <v>13.86</v>
      </c>
      <c r="G47">
        <f t="shared" si="1"/>
        <v>4</v>
      </c>
      <c r="H47">
        <f t="shared" si="2"/>
        <v>18</v>
      </c>
      <c r="I47">
        <f t="shared" si="3"/>
        <v>10.88</v>
      </c>
      <c r="J47">
        <f t="shared" si="4"/>
        <v>12.02</v>
      </c>
      <c r="K47">
        <f t="shared" si="5"/>
        <v>13.91</v>
      </c>
      <c r="L47">
        <f>IF(AND($H47&gt;=5,$H47&lt;=10),F47-1.2,F47)</f>
        <v>13.86</v>
      </c>
      <c r="M47" s="3">
        <f t="shared" si="6"/>
        <v>10.88</v>
      </c>
      <c r="N47" s="3">
        <f t="shared" si="7"/>
        <v>12.02</v>
      </c>
      <c r="O47" s="3">
        <f t="shared" si="8"/>
        <v>13.91</v>
      </c>
      <c r="P47" s="3">
        <f t="shared" si="9"/>
        <v>13.86</v>
      </c>
    </row>
    <row r="48" spans="1:16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14.58</v>
      </c>
      <c r="F48">
        <v>13.66</v>
      </c>
      <c r="G48">
        <f t="shared" si="1"/>
        <v>4</v>
      </c>
      <c r="H48">
        <f t="shared" si="2"/>
        <v>19</v>
      </c>
      <c r="I48">
        <f t="shared" si="3"/>
        <v>15.28</v>
      </c>
      <c r="J48">
        <f t="shared" si="4"/>
        <v>13.58</v>
      </c>
      <c r="K48">
        <f t="shared" si="5"/>
        <v>14.58</v>
      </c>
      <c r="L48">
        <f>IF(AND($H48&gt;=5,$H48&lt;=10),F48-1.2,F48)</f>
        <v>13.66</v>
      </c>
      <c r="M48" s="3">
        <f t="shared" si="6"/>
        <v>15.28</v>
      </c>
      <c r="N48" s="3">
        <f t="shared" si="7"/>
        <v>13.58</v>
      </c>
      <c r="O48" s="3">
        <f t="shared" si="8"/>
        <v>14.58</v>
      </c>
      <c r="P48" s="3">
        <f t="shared" si="9"/>
        <v>13.66</v>
      </c>
    </row>
    <row r="49" spans="1:16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13.94</v>
      </c>
      <c r="F49">
        <v>15.76</v>
      </c>
      <c r="G49">
        <f t="shared" si="1"/>
        <v>4</v>
      </c>
      <c r="H49">
        <f t="shared" si="2"/>
        <v>20</v>
      </c>
      <c r="I49">
        <f t="shared" si="3"/>
        <v>11.09</v>
      </c>
      <c r="J49">
        <f t="shared" si="4"/>
        <v>15.36</v>
      </c>
      <c r="K49">
        <f t="shared" si="5"/>
        <v>13.94</v>
      </c>
      <c r="L49">
        <f>IF(AND($H49&gt;=5,$H49&lt;=10),F49-1.2,F49)</f>
        <v>15.76</v>
      </c>
      <c r="M49" s="3">
        <f t="shared" si="6"/>
        <v>11.09</v>
      </c>
      <c r="N49" s="3">
        <f t="shared" si="7"/>
        <v>15.36</v>
      </c>
      <c r="O49" s="3">
        <f t="shared" si="8"/>
        <v>13.94</v>
      </c>
      <c r="P49" s="3">
        <f t="shared" si="9"/>
        <v>15.76</v>
      </c>
    </row>
    <row r="50" spans="1:16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13.52</v>
      </c>
      <c r="F50">
        <v>15.54</v>
      </c>
      <c r="G50">
        <f t="shared" si="1"/>
        <v>4</v>
      </c>
      <c r="H50">
        <f t="shared" si="2"/>
        <v>20</v>
      </c>
      <c r="I50">
        <f t="shared" si="3"/>
        <v>10.38</v>
      </c>
      <c r="J50">
        <f t="shared" si="4"/>
        <v>13.04</v>
      </c>
      <c r="K50">
        <f t="shared" si="5"/>
        <v>13.52</v>
      </c>
      <c r="L50">
        <f>IF(AND($H50&gt;=5,$H50&lt;=10),F50-1.2,F50)</f>
        <v>15.54</v>
      </c>
      <c r="M50" s="3">
        <f t="shared" si="6"/>
        <v>10.38</v>
      </c>
      <c r="N50" s="3">
        <f t="shared" si="7"/>
        <v>13.04</v>
      </c>
      <c r="O50" s="3">
        <f t="shared" si="8"/>
        <v>13.52</v>
      </c>
      <c r="P50" s="3">
        <f t="shared" si="9"/>
        <v>15.54</v>
      </c>
    </row>
    <row r="51" spans="1:16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12.18</v>
      </c>
      <c r="F51">
        <v>12.63</v>
      </c>
      <c r="G51">
        <f t="shared" si="1"/>
        <v>4</v>
      </c>
      <c r="H51">
        <f t="shared" si="2"/>
        <v>24</v>
      </c>
      <c r="I51">
        <f t="shared" si="3"/>
        <v>15.66</v>
      </c>
      <c r="J51">
        <f t="shared" si="4"/>
        <v>10.97</v>
      </c>
      <c r="K51">
        <f t="shared" si="5"/>
        <v>12.18</v>
      </c>
      <c r="L51">
        <f>IF(AND($H51&gt;=5,$H51&lt;=10),F51-1.2,F51)</f>
        <v>12.63</v>
      </c>
      <c r="M51" s="3">
        <f t="shared" si="6"/>
        <v>15.66</v>
      </c>
      <c r="N51" s="3">
        <f t="shared" si="7"/>
        <v>10.97</v>
      </c>
      <c r="O51" s="3">
        <f t="shared" si="8"/>
        <v>12.18</v>
      </c>
      <c r="P51" s="3">
        <f t="shared" si="9"/>
        <v>12.63</v>
      </c>
    </row>
    <row r="52" spans="1:16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15.81</v>
      </c>
      <c r="F52">
        <v>14</v>
      </c>
      <c r="G52">
        <f t="shared" si="1"/>
        <v>4</v>
      </c>
      <c r="H52">
        <f t="shared" si="2"/>
        <v>25</v>
      </c>
      <c r="I52">
        <f t="shared" si="3"/>
        <v>11.94</v>
      </c>
      <c r="J52">
        <f t="shared" si="4"/>
        <v>13.57</v>
      </c>
      <c r="K52">
        <f t="shared" si="5"/>
        <v>15.81</v>
      </c>
      <c r="L52">
        <f>IF(AND($H52&gt;=5,$H52&lt;=10),F52-1.2,F52)</f>
        <v>14</v>
      </c>
      <c r="M52" s="3">
        <f t="shared" si="6"/>
        <v>11.94</v>
      </c>
      <c r="N52" s="3">
        <f t="shared" si="7"/>
        <v>13.57</v>
      </c>
      <c r="O52" s="3">
        <f t="shared" si="8"/>
        <v>15.81</v>
      </c>
      <c r="P52" s="3">
        <f t="shared" si="9"/>
        <v>14</v>
      </c>
    </row>
    <row r="53" spans="1:16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12.75</v>
      </c>
      <c r="F53">
        <v>10.43</v>
      </c>
      <c r="G53">
        <f t="shared" si="1"/>
        <v>4</v>
      </c>
      <c r="H53">
        <f t="shared" si="2"/>
        <v>25</v>
      </c>
      <c r="I53">
        <f t="shared" si="3"/>
        <v>14.53</v>
      </c>
      <c r="J53">
        <f t="shared" si="4"/>
        <v>13.21</v>
      </c>
      <c r="K53">
        <f t="shared" si="5"/>
        <v>12.75</v>
      </c>
      <c r="L53">
        <f>IF(AND($H53&gt;=5,$H53&lt;=10),F53-1.2,F53)</f>
        <v>10.43</v>
      </c>
      <c r="M53" s="3">
        <f t="shared" si="6"/>
        <v>14.53</v>
      </c>
      <c r="N53" s="3">
        <f t="shared" si="7"/>
        <v>13.21</v>
      </c>
      <c r="O53" s="3">
        <f t="shared" si="8"/>
        <v>12.75</v>
      </c>
      <c r="P53" s="3">
        <f t="shared" si="9"/>
        <v>10.43</v>
      </c>
    </row>
    <row r="54" spans="1:16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12.45</v>
      </c>
      <c r="F54">
        <v>12.96</v>
      </c>
      <c r="G54">
        <f t="shared" si="1"/>
        <v>4</v>
      </c>
      <c r="H54">
        <f t="shared" si="2"/>
        <v>27</v>
      </c>
      <c r="I54">
        <f t="shared" si="3"/>
        <v>10.98</v>
      </c>
      <c r="J54">
        <f t="shared" si="4"/>
        <v>10.53</v>
      </c>
      <c r="K54">
        <f t="shared" si="5"/>
        <v>12.45</v>
      </c>
      <c r="L54">
        <f>IF(AND($H54&gt;=5,$H54&lt;=10),F54-1.2,F54)</f>
        <v>12.96</v>
      </c>
      <c r="M54" s="3">
        <f t="shared" si="6"/>
        <v>10.98</v>
      </c>
      <c r="N54" s="3">
        <f t="shared" si="7"/>
        <v>10.53</v>
      </c>
      <c r="O54" s="3">
        <f t="shared" si="8"/>
        <v>12.45</v>
      </c>
      <c r="P54" s="3">
        <f t="shared" si="9"/>
        <v>12.96</v>
      </c>
    </row>
    <row r="55" spans="1:16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15.32</v>
      </c>
      <c r="F55">
        <v>12.4</v>
      </c>
      <c r="G55">
        <f t="shared" si="1"/>
        <v>4</v>
      </c>
      <c r="H55">
        <f t="shared" si="2"/>
        <v>29</v>
      </c>
      <c r="I55">
        <f t="shared" si="3"/>
        <v>12.88</v>
      </c>
      <c r="J55">
        <f t="shared" si="4"/>
        <v>11.25</v>
      </c>
      <c r="K55">
        <f t="shared" si="5"/>
        <v>15.32</v>
      </c>
      <c r="L55">
        <f>IF(AND($H55&gt;=5,$H55&lt;=10),F55-1.2,F55)</f>
        <v>12.4</v>
      </c>
      <c r="M55" s="3">
        <f t="shared" si="6"/>
        <v>12.88</v>
      </c>
      <c r="N55" s="3">
        <f t="shared" si="7"/>
        <v>11.25</v>
      </c>
      <c r="O55" s="3">
        <f t="shared" si="8"/>
        <v>15.32</v>
      </c>
      <c r="P55" s="3">
        <f t="shared" si="9"/>
        <v>12.4</v>
      </c>
    </row>
    <row r="56" spans="1:16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12.58</v>
      </c>
      <c r="F56">
        <v>13.63</v>
      </c>
      <c r="G56">
        <f t="shared" si="1"/>
        <v>5</v>
      </c>
      <c r="H56">
        <f t="shared" si="2"/>
        <v>2</v>
      </c>
      <c r="I56">
        <f t="shared" si="3"/>
        <v>11.74</v>
      </c>
      <c r="J56">
        <f t="shared" si="4"/>
        <v>12.79</v>
      </c>
      <c r="K56">
        <f t="shared" si="5"/>
        <v>12.58</v>
      </c>
      <c r="L56">
        <f>IF(AND($H56&gt;=5,$H56&lt;=10),F56-1.2,F56)</f>
        <v>13.63</v>
      </c>
      <c r="M56" s="3">
        <f t="shared" si="6"/>
        <v>12.64</v>
      </c>
      <c r="N56" s="3">
        <f t="shared" si="7"/>
        <v>13.69</v>
      </c>
      <c r="O56" s="3">
        <f t="shared" si="8"/>
        <v>13.48</v>
      </c>
      <c r="P56" s="3">
        <f t="shared" si="9"/>
        <v>14.530000000000001</v>
      </c>
    </row>
    <row r="57" spans="1:16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10.88</v>
      </c>
      <c r="F57">
        <v>12.95</v>
      </c>
      <c r="G57">
        <f t="shared" si="1"/>
        <v>5</v>
      </c>
      <c r="H57">
        <f t="shared" si="2"/>
        <v>3</v>
      </c>
      <c r="I57">
        <f t="shared" si="3"/>
        <v>13.25</v>
      </c>
      <c r="J57">
        <f t="shared" si="4"/>
        <v>14.97</v>
      </c>
      <c r="K57">
        <f t="shared" si="5"/>
        <v>10.88</v>
      </c>
      <c r="L57">
        <f>IF(AND($H57&gt;=5,$H57&lt;=10),F57-1.2,F57)</f>
        <v>12.95</v>
      </c>
      <c r="M57" s="3">
        <f t="shared" si="6"/>
        <v>14.15</v>
      </c>
      <c r="N57" s="3">
        <f t="shared" si="7"/>
        <v>15.870000000000001</v>
      </c>
      <c r="O57" s="3">
        <f t="shared" si="8"/>
        <v>11.780000000000001</v>
      </c>
      <c r="P57" s="3">
        <f t="shared" si="9"/>
        <v>13.85</v>
      </c>
    </row>
    <row r="58" spans="1:16" x14ac:dyDescent="0.25">
      <c r="A58" s="12">
        <v>42495</v>
      </c>
      <c r="B58" s="13">
        <v>0.2951388888888889</v>
      </c>
      <c r="C58">
        <v>10.66</v>
      </c>
      <c r="D58">
        <v>10.59</v>
      </c>
      <c r="E58">
        <v>14.52</v>
      </c>
      <c r="F58">
        <v>11.65</v>
      </c>
      <c r="G58">
        <f t="shared" si="1"/>
        <v>5</v>
      </c>
      <c r="H58">
        <f t="shared" si="2"/>
        <v>5</v>
      </c>
      <c r="I58" s="6">
        <f t="shared" si="3"/>
        <v>9.4600000000000009</v>
      </c>
      <c r="J58" s="6">
        <f t="shared" si="4"/>
        <v>9.39</v>
      </c>
      <c r="K58" s="6">
        <f t="shared" si="5"/>
        <v>14.52</v>
      </c>
      <c r="L58" s="6">
        <f>IF(AND($H58&gt;=5,$H58&lt;=10),F58-1.2,F58)</f>
        <v>10.450000000000001</v>
      </c>
      <c r="M58" s="14">
        <f t="shared" si="6"/>
        <v>10.360000000000001</v>
      </c>
      <c r="N58" s="14">
        <f t="shared" si="7"/>
        <v>10.290000000000001</v>
      </c>
      <c r="O58" s="14">
        <f t="shared" si="8"/>
        <v>15.42</v>
      </c>
      <c r="P58" s="14">
        <f t="shared" si="9"/>
        <v>11.350000000000001</v>
      </c>
    </row>
    <row r="59" spans="1:16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11.35</v>
      </c>
      <c r="F59">
        <v>13.64</v>
      </c>
      <c r="G59">
        <f t="shared" si="1"/>
        <v>5</v>
      </c>
      <c r="H59">
        <f t="shared" si="2"/>
        <v>5</v>
      </c>
      <c r="I59">
        <f t="shared" si="3"/>
        <v>11.200000000000001</v>
      </c>
      <c r="J59">
        <f t="shared" si="4"/>
        <v>10.65</v>
      </c>
      <c r="K59">
        <f t="shared" si="5"/>
        <v>11.35</v>
      </c>
      <c r="L59">
        <f>IF(AND($H59&gt;=5,$H59&lt;=10),F59-1.2,F59)</f>
        <v>12.440000000000001</v>
      </c>
      <c r="M59" s="3">
        <f t="shared" si="6"/>
        <v>12.100000000000001</v>
      </c>
      <c r="N59" s="3">
        <f t="shared" si="7"/>
        <v>11.55</v>
      </c>
      <c r="O59" s="3">
        <f t="shared" si="8"/>
        <v>12.25</v>
      </c>
      <c r="P59" s="3">
        <f t="shared" si="9"/>
        <v>13.340000000000002</v>
      </c>
    </row>
    <row r="60" spans="1:16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15.35</v>
      </c>
      <c r="F60">
        <v>12.14</v>
      </c>
      <c r="G60">
        <f t="shared" si="1"/>
        <v>5</v>
      </c>
      <c r="H60">
        <f t="shared" si="2"/>
        <v>5</v>
      </c>
      <c r="I60">
        <f t="shared" si="3"/>
        <v>13.020000000000001</v>
      </c>
      <c r="J60">
        <f t="shared" si="4"/>
        <v>10.050000000000001</v>
      </c>
      <c r="K60">
        <f t="shared" si="5"/>
        <v>15.35</v>
      </c>
      <c r="L60">
        <f>IF(AND($H60&gt;=5,$H60&lt;=10),F60-1.2,F60)</f>
        <v>10.940000000000001</v>
      </c>
      <c r="M60" s="3">
        <f t="shared" si="6"/>
        <v>13.920000000000002</v>
      </c>
      <c r="N60" s="3">
        <f t="shared" si="7"/>
        <v>10.950000000000001</v>
      </c>
      <c r="O60" s="3">
        <f t="shared" si="8"/>
        <v>16.25</v>
      </c>
      <c r="P60" s="3">
        <f t="shared" si="9"/>
        <v>11.840000000000002</v>
      </c>
    </row>
    <row r="61" spans="1:16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15.81</v>
      </c>
      <c r="F61">
        <v>11.2</v>
      </c>
      <c r="G61">
        <f t="shared" si="1"/>
        <v>5</v>
      </c>
      <c r="H61">
        <f t="shared" si="2"/>
        <v>6</v>
      </c>
      <c r="I61">
        <f t="shared" si="3"/>
        <v>13.63</v>
      </c>
      <c r="J61">
        <f t="shared" si="4"/>
        <v>8.81</v>
      </c>
      <c r="K61">
        <f t="shared" si="5"/>
        <v>15.81</v>
      </c>
      <c r="L61">
        <f>IF(AND($H61&gt;=5,$H61&lt;=10),F61-1.2,F61)</f>
        <v>10</v>
      </c>
      <c r="M61" s="3">
        <f t="shared" si="6"/>
        <v>14.530000000000001</v>
      </c>
      <c r="N61" s="3">
        <f t="shared" si="7"/>
        <v>9.7100000000000009</v>
      </c>
      <c r="O61" s="3">
        <f t="shared" si="8"/>
        <v>16.71</v>
      </c>
      <c r="P61" s="3">
        <f t="shared" si="9"/>
        <v>10.9</v>
      </c>
    </row>
    <row r="62" spans="1:16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11.12</v>
      </c>
      <c r="F62">
        <v>10.81</v>
      </c>
      <c r="G62">
        <f t="shared" si="1"/>
        <v>5</v>
      </c>
      <c r="H62">
        <f t="shared" si="2"/>
        <v>8</v>
      </c>
      <c r="I62">
        <f t="shared" si="3"/>
        <v>12.42</v>
      </c>
      <c r="J62">
        <f t="shared" si="4"/>
        <v>12.370000000000001</v>
      </c>
      <c r="K62">
        <f t="shared" si="5"/>
        <v>11.12</v>
      </c>
      <c r="L62">
        <f>IF(AND($H62&gt;=5,$H62&lt;=10),F62-1.2,F62)</f>
        <v>9.6100000000000012</v>
      </c>
      <c r="M62" s="3">
        <f t="shared" si="6"/>
        <v>13.32</v>
      </c>
      <c r="N62" s="3">
        <f t="shared" si="7"/>
        <v>13.270000000000001</v>
      </c>
      <c r="O62" s="3">
        <f t="shared" si="8"/>
        <v>12.02</v>
      </c>
      <c r="P62" s="3">
        <f t="shared" si="9"/>
        <v>10.510000000000002</v>
      </c>
    </row>
    <row r="63" spans="1:16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13.91</v>
      </c>
      <c r="F63">
        <v>15.56</v>
      </c>
      <c r="G63">
        <f t="shared" si="1"/>
        <v>5</v>
      </c>
      <c r="H63">
        <f t="shared" si="2"/>
        <v>8</v>
      </c>
      <c r="I63">
        <f t="shared" si="3"/>
        <v>11.05</v>
      </c>
      <c r="J63">
        <f t="shared" si="4"/>
        <v>13.690000000000001</v>
      </c>
      <c r="K63">
        <f t="shared" si="5"/>
        <v>13.91</v>
      </c>
      <c r="L63">
        <f>IF(AND($H63&gt;=5,$H63&lt;=10),F63-1.2,F63)</f>
        <v>14.360000000000001</v>
      </c>
      <c r="M63" s="3">
        <f t="shared" si="6"/>
        <v>11.950000000000001</v>
      </c>
      <c r="N63" s="3">
        <f t="shared" si="7"/>
        <v>14.590000000000002</v>
      </c>
      <c r="O63" s="3">
        <f t="shared" si="8"/>
        <v>14.81</v>
      </c>
      <c r="P63" s="3">
        <f t="shared" si="9"/>
        <v>15.260000000000002</v>
      </c>
    </row>
    <row r="64" spans="1:16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15.73</v>
      </c>
      <c r="F64">
        <v>15.44</v>
      </c>
      <c r="G64">
        <f t="shared" si="1"/>
        <v>5</v>
      </c>
      <c r="H64">
        <f t="shared" si="2"/>
        <v>9</v>
      </c>
      <c r="I64">
        <f t="shared" si="3"/>
        <v>14.620000000000001</v>
      </c>
      <c r="J64">
        <f t="shared" si="4"/>
        <v>13.13</v>
      </c>
      <c r="K64">
        <f t="shared" si="5"/>
        <v>15.73</v>
      </c>
      <c r="L64">
        <f>IF(AND($H64&gt;=5,$H64&lt;=10),F64-1.2,F64)</f>
        <v>14.24</v>
      </c>
      <c r="M64" s="3">
        <f t="shared" si="6"/>
        <v>15.520000000000001</v>
      </c>
      <c r="N64" s="3">
        <f t="shared" si="7"/>
        <v>14.030000000000001</v>
      </c>
      <c r="O64" s="3">
        <f t="shared" si="8"/>
        <v>16.63</v>
      </c>
      <c r="P64" s="3">
        <f t="shared" si="9"/>
        <v>15.14</v>
      </c>
    </row>
    <row r="65" spans="1:16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14.59</v>
      </c>
      <c r="F65">
        <v>10.58</v>
      </c>
      <c r="G65">
        <f t="shared" si="1"/>
        <v>5</v>
      </c>
      <c r="H65">
        <f t="shared" si="2"/>
        <v>10</v>
      </c>
      <c r="I65">
        <f t="shared" si="3"/>
        <v>11.270000000000001</v>
      </c>
      <c r="J65">
        <f t="shared" si="4"/>
        <v>12.81</v>
      </c>
      <c r="K65">
        <f t="shared" si="5"/>
        <v>14.59</v>
      </c>
      <c r="L65">
        <f>IF(AND($H65&gt;=5,$H65&lt;=10),F65-1.2,F65)</f>
        <v>9.3800000000000008</v>
      </c>
      <c r="M65" s="3">
        <f t="shared" si="6"/>
        <v>12.170000000000002</v>
      </c>
      <c r="N65" s="3">
        <f t="shared" si="7"/>
        <v>13.71</v>
      </c>
      <c r="O65" s="3">
        <f t="shared" si="8"/>
        <v>15.49</v>
      </c>
      <c r="P65" s="3">
        <f t="shared" si="9"/>
        <v>10.280000000000001</v>
      </c>
    </row>
    <row r="66" spans="1:16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15.02</v>
      </c>
      <c r="F66">
        <v>12.21</v>
      </c>
      <c r="G66">
        <f t="shared" si="1"/>
        <v>5</v>
      </c>
      <c r="H66">
        <f t="shared" si="2"/>
        <v>11</v>
      </c>
      <c r="I66">
        <f t="shared" si="3"/>
        <v>15.8</v>
      </c>
      <c r="J66">
        <f t="shared" si="4"/>
        <v>13.11</v>
      </c>
      <c r="K66">
        <f t="shared" si="5"/>
        <v>15.02</v>
      </c>
      <c r="L66">
        <f>IF(AND($H66&gt;=5,$H66&lt;=10),F66-1.2,F66)</f>
        <v>12.21</v>
      </c>
      <c r="M66" s="3">
        <f t="shared" si="6"/>
        <v>16.7</v>
      </c>
      <c r="N66" s="3">
        <f t="shared" si="7"/>
        <v>14.01</v>
      </c>
      <c r="O66" s="3">
        <f t="shared" si="8"/>
        <v>15.92</v>
      </c>
      <c r="P66" s="3">
        <f t="shared" si="9"/>
        <v>13.110000000000001</v>
      </c>
    </row>
    <row r="67" spans="1:16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15.27</v>
      </c>
      <c r="F67">
        <v>13</v>
      </c>
      <c r="G67">
        <f t="shared" ref="G67:G130" si="10">MONTH(A67)</f>
        <v>5</v>
      </c>
      <c r="H67">
        <f t="shared" ref="H67:H130" si="11">DAY(A67)</f>
        <v>12</v>
      </c>
      <c r="I67">
        <f t="shared" ref="I67:I130" si="12">IF(AND($H67&gt;=5,$H67&lt;=10),C67-1.2,C67)</f>
        <v>11.1</v>
      </c>
      <c r="J67">
        <f t="shared" ref="J67:J130" si="13">IF(AND($H67&gt;=5,$H67&lt;=10),D67-1.2,D67)</f>
        <v>10.71</v>
      </c>
      <c r="K67">
        <f t="shared" ref="K67:K130" si="14">IF(OR($G$2=7,$G$2=8),ROUNDDOWN(E67+E67*7%,2),E67)</f>
        <v>15.27</v>
      </c>
      <c r="L67">
        <f>IF(AND($H67&gt;=5,$H67&lt;=10),F67-1.2,F67)</f>
        <v>13</v>
      </c>
      <c r="M67" s="3">
        <f t="shared" ref="M67:M130" si="15">IF($G67=5,I67+0.9,I67)</f>
        <v>12</v>
      </c>
      <c r="N67" s="3">
        <f t="shared" ref="N67:N130" si="16">IF($G67=5,J67+0.9,J67)</f>
        <v>11.610000000000001</v>
      </c>
      <c r="O67" s="3">
        <f t="shared" ref="O67:O130" si="17">IF($G67=5,K67+0.9,K67)</f>
        <v>16.169999999999998</v>
      </c>
      <c r="P67" s="3">
        <f t="shared" ref="P67:P130" si="18">IF($G67=5,L67+0.9,L67)</f>
        <v>13.9</v>
      </c>
    </row>
    <row r="68" spans="1:16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15.31</v>
      </c>
      <c r="F68">
        <v>12.15</v>
      </c>
      <c r="G68">
        <f t="shared" si="10"/>
        <v>5</v>
      </c>
      <c r="H68">
        <f t="shared" si="11"/>
        <v>14</v>
      </c>
      <c r="I68">
        <f t="shared" si="12"/>
        <v>11.68</v>
      </c>
      <c r="J68">
        <f t="shared" si="13"/>
        <v>11.47</v>
      </c>
      <c r="K68">
        <f t="shared" si="14"/>
        <v>15.31</v>
      </c>
      <c r="L68">
        <f>IF(AND($H68&gt;=5,$H68&lt;=10),F68-1.2,F68)</f>
        <v>12.15</v>
      </c>
      <c r="M68" s="3">
        <f t="shared" si="15"/>
        <v>12.58</v>
      </c>
      <c r="N68" s="3">
        <f t="shared" si="16"/>
        <v>12.370000000000001</v>
      </c>
      <c r="O68" s="3">
        <f t="shared" si="17"/>
        <v>16.21</v>
      </c>
      <c r="P68" s="3">
        <f t="shared" si="18"/>
        <v>13.05</v>
      </c>
    </row>
    <row r="69" spans="1:16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11.94</v>
      </c>
      <c r="F69">
        <v>15.32</v>
      </c>
      <c r="G69">
        <f t="shared" si="10"/>
        <v>5</v>
      </c>
      <c r="H69">
        <f t="shared" si="11"/>
        <v>15</v>
      </c>
      <c r="I69">
        <f t="shared" si="12"/>
        <v>10.51</v>
      </c>
      <c r="J69">
        <f t="shared" si="13"/>
        <v>14.98</v>
      </c>
      <c r="K69">
        <f t="shared" si="14"/>
        <v>11.94</v>
      </c>
      <c r="L69">
        <f>IF(AND($H69&gt;=5,$H69&lt;=10),F69-1.2,F69)</f>
        <v>15.32</v>
      </c>
      <c r="M69" s="3">
        <f t="shared" si="15"/>
        <v>11.41</v>
      </c>
      <c r="N69" s="3">
        <f t="shared" si="16"/>
        <v>15.88</v>
      </c>
      <c r="O69" s="3">
        <f t="shared" si="17"/>
        <v>12.84</v>
      </c>
      <c r="P69" s="3">
        <f t="shared" si="18"/>
        <v>16.22</v>
      </c>
    </row>
    <row r="70" spans="1:16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12.26</v>
      </c>
      <c r="F70">
        <v>10.69</v>
      </c>
      <c r="G70">
        <f t="shared" si="10"/>
        <v>5</v>
      </c>
      <c r="H70">
        <f t="shared" si="11"/>
        <v>18</v>
      </c>
      <c r="I70">
        <f t="shared" si="12"/>
        <v>15.87</v>
      </c>
      <c r="J70">
        <f t="shared" si="13"/>
        <v>13.65</v>
      </c>
      <c r="K70">
        <f t="shared" si="14"/>
        <v>12.26</v>
      </c>
      <c r="L70">
        <f>IF(AND($H70&gt;=5,$H70&lt;=10),F70-1.2,F70)</f>
        <v>10.69</v>
      </c>
      <c r="M70" s="3">
        <f t="shared" si="15"/>
        <v>16.77</v>
      </c>
      <c r="N70" s="3">
        <f t="shared" si="16"/>
        <v>14.55</v>
      </c>
      <c r="O70" s="3">
        <f t="shared" si="17"/>
        <v>13.16</v>
      </c>
      <c r="P70" s="3">
        <f t="shared" si="18"/>
        <v>11.59</v>
      </c>
    </row>
    <row r="71" spans="1:16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13.12</v>
      </c>
      <c r="F71">
        <v>14.65</v>
      </c>
      <c r="G71">
        <f t="shared" si="10"/>
        <v>5</v>
      </c>
      <c r="H71">
        <f t="shared" si="11"/>
        <v>21</v>
      </c>
      <c r="I71">
        <f t="shared" si="12"/>
        <v>10.07</v>
      </c>
      <c r="J71">
        <f t="shared" si="13"/>
        <v>14.53</v>
      </c>
      <c r="K71">
        <f t="shared" si="14"/>
        <v>13.12</v>
      </c>
      <c r="L71">
        <f>IF(AND($H71&gt;=5,$H71&lt;=10),F71-1.2,F71)</f>
        <v>14.65</v>
      </c>
      <c r="M71" s="3">
        <f t="shared" si="15"/>
        <v>10.97</v>
      </c>
      <c r="N71" s="3">
        <f t="shared" si="16"/>
        <v>15.43</v>
      </c>
      <c r="O71" s="3">
        <f t="shared" si="17"/>
        <v>14.02</v>
      </c>
      <c r="P71" s="3">
        <f t="shared" si="18"/>
        <v>15.55</v>
      </c>
    </row>
    <row r="72" spans="1:16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12.83</v>
      </c>
      <c r="F72">
        <v>12.25</v>
      </c>
      <c r="G72">
        <f t="shared" si="10"/>
        <v>5</v>
      </c>
      <c r="H72">
        <f t="shared" si="11"/>
        <v>22</v>
      </c>
      <c r="I72">
        <f t="shared" si="12"/>
        <v>13.92</v>
      </c>
      <c r="J72">
        <f t="shared" si="13"/>
        <v>10.86</v>
      </c>
      <c r="K72">
        <f t="shared" si="14"/>
        <v>12.83</v>
      </c>
      <c r="L72">
        <f>IF(AND($H72&gt;=5,$H72&lt;=10),F72-1.2,F72)</f>
        <v>12.25</v>
      </c>
      <c r="M72" s="3">
        <f t="shared" si="15"/>
        <v>14.82</v>
      </c>
      <c r="N72" s="3">
        <f t="shared" si="16"/>
        <v>11.76</v>
      </c>
      <c r="O72" s="3">
        <f t="shared" si="17"/>
        <v>13.73</v>
      </c>
      <c r="P72" s="3">
        <f t="shared" si="18"/>
        <v>13.15</v>
      </c>
    </row>
    <row r="73" spans="1:16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12.88</v>
      </c>
      <c r="F73">
        <v>11.93</v>
      </c>
      <c r="G73">
        <f t="shared" si="10"/>
        <v>5</v>
      </c>
      <c r="H73">
        <f t="shared" si="11"/>
        <v>27</v>
      </c>
      <c r="I73">
        <f t="shared" si="12"/>
        <v>15.58</v>
      </c>
      <c r="J73">
        <f t="shared" si="13"/>
        <v>13.33</v>
      </c>
      <c r="K73">
        <f t="shared" si="14"/>
        <v>12.88</v>
      </c>
      <c r="L73">
        <f>IF(AND($H73&gt;=5,$H73&lt;=10),F73-1.2,F73)</f>
        <v>11.93</v>
      </c>
      <c r="M73" s="3">
        <f t="shared" si="15"/>
        <v>16.48</v>
      </c>
      <c r="N73" s="3">
        <f t="shared" si="16"/>
        <v>14.23</v>
      </c>
      <c r="O73" s="3">
        <f t="shared" si="17"/>
        <v>13.780000000000001</v>
      </c>
      <c r="P73" s="3">
        <f t="shared" si="18"/>
        <v>12.83</v>
      </c>
    </row>
    <row r="74" spans="1:16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15.32</v>
      </c>
      <c r="F74">
        <v>13.62</v>
      </c>
      <c r="G74">
        <f t="shared" si="10"/>
        <v>5</v>
      </c>
      <c r="H74">
        <f t="shared" si="11"/>
        <v>28</v>
      </c>
      <c r="I74">
        <f t="shared" si="12"/>
        <v>14.66</v>
      </c>
      <c r="J74">
        <f t="shared" si="13"/>
        <v>12.46</v>
      </c>
      <c r="K74">
        <f t="shared" si="14"/>
        <v>15.32</v>
      </c>
      <c r="L74">
        <f>IF(AND($H74&gt;=5,$H74&lt;=10),F74-1.2,F74)</f>
        <v>13.62</v>
      </c>
      <c r="M74" s="3">
        <f t="shared" si="15"/>
        <v>15.56</v>
      </c>
      <c r="N74" s="3">
        <f t="shared" si="16"/>
        <v>13.360000000000001</v>
      </c>
      <c r="O74" s="3">
        <f t="shared" si="17"/>
        <v>16.22</v>
      </c>
      <c r="P74" s="3">
        <f t="shared" si="18"/>
        <v>14.52</v>
      </c>
    </row>
    <row r="75" spans="1:16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12.24</v>
      </c>
      <c r="F75">
        <v>13.03</v>
      </c>
      <c r="G75">
        <f t="shared" si="10"/>
        <v>6</v>
      </c>
      <c r="H75">
        <f t="shared" si="11"/>
        <v>2</v>
      </c>
      <c r="I75">
        <f t="shared" si="12"/>
        <v>19.510000000000002</v>
      </c>
      <c r="J75">
        <f t="shared" si="13"/>
        <v>12.69</v>
      </c>
      <c r="K75">
        <f t="shared" si="14"/>
        <v>12.24</v>
      </c>
      <c r="L75">
        <f>IF(AND($H75&gt;=5,$H75&lt;=10),F75-1.2,F75)</f>
        <v>13.03</v>
      </c>
      <c r="M75" s="3">
        <f t="shared" si="15"/>
        <v>19.510000000000002</v>
      </c>
      <c r="N75" s="3">
        <f t="shared" si="16"/>
        <v>12.69</v>
      </c>
      <c r="O75" s="3">
        <f t="shared" si="17"/>
        <v>12.24</v>
      </c>
      <c r="P75" s="3">
        <f t="shared" si="18"/>
        <v>13.03</v>
      </c>
    </row>
    <row r="76" spans="1:16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11.85</v>
      </c>
      <c r="F76">
        <v>12.32</v>
      </c>
      <c r="G76">
        <f t="shared" si="10"/>
        <v>6</v>
      </c>
      <c r="H76">
        <f t="shared" si="11"/>
        <v>5</v>
      </c>
      <c r="I76">
        <f t="shared" si="12"/>
        <v>8.84</v>
      </c>
      <c r="J76">
        <f t="shared" si="13"/>
        <v>8.99</v>
      </c>
      <c r="K76">
        <f t="shared" si="14"/>
        <v>11.85</v>
      </c>
      <c r="L76">
        <f>IF(AND($H76&gt;=5,$H76&lt;=10),F76-1.2,F76)</f>
        <v>11.120000000000001</v>
      </c>
      <c r="M76" s="3">
        <f t="shared" si="15"/>
        <v>8.84</v>
      </c>
      <c r="N76" s="3">
        <f t="shared" si="16"/>
        <v>8.99</v>
      </c>
      <c r="O76" s="3">
        <f t="shared" si="17"/>
        <v>11.85</v>
      </c>
      <c r="P76" s="3">
        <f t="shared" si="18"/>
        <v>11.120000000000001</v>
      </c>
    </row>
    <row r="77" spans="1:16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17.149999999999999</v>
      </c>
      <c r="F77">
        <v>19.41</v>
      </c>
      <c r="G77">
        <f t="shared" si="10"/>
        <v>6</v>
      </c>
      <c r="H77">
        <f t="shared" si="11"/>
        <v>8</v>
      </c>
      <c r="I77">
        <f t="shared" si="12"/>
        <v>9.92</v>
      </c>
      <c r="J77">
        <f t="shared" si="13"/>
        <v>14.57</v>
      </c>
      <c r="K77">
        <f t="shared" si="14"/>
        <v>17.149999999999999</v>
      </c>
      <c r="L77">
        <f>IF(AND($H77&gt;=5,$H77&lt;=10),F77-1.2,F77)</f>
        <v>18.21</v>
      </c>
      <c r="M77" s="3">
        <f t="shared" si="15"/>
        <v>9.92</v>
      </c>
      <c r="N77" s="3">
        <f t="shared" si="16"/>
        <v>14.57</v>
      </c>
      <c r="O77" s="3">
        <f t="shared" si="17"/>
        <v>17.149999999999999</v>
      </c>
      <c r="P77" s="3">
        <f t="shared" si="18"/>
        <v>18.21</v>
      </c>
    </row>
    <row r="78" spans="1:16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18.78</v>
      </c>
      <c r="F78">
        <v>15.52</v>
      </c>
      <c r="G78">
        <f t="shared" si="10"/>
        <v>6</v>
      </c>
      <c r="H78">
        <f t="shared" si="11"/>
        <v>9</v>
      </c>
      <c r="I78">
        <f t="shared" si="12"/>
        <v>13.350000000000001</v>
      </c>
      <c r="J78">
        <f t="shared" si="13"/>
        <v>13.96</v>
      </c>
      <c r="K78">
        <f t="shared" si="14"/>
        <v>18.78</v>
      </c>
      <c r="L78">
        <f>IF(AND($H78&gt;=5,$H78&lt;=10),F78-1.2,F78)</f>
        <v>14.32</v>
      </c>
      <c r="M78" s="3">
        <f t="shared" si="15"/>
        <v>13.350000000000001</v>
      </c>
      <c r="N78" s="3">
        <f t="shared" si="16"/>
        <v>13.96</v>
      </c>
      <c r="O78" s="3">
        <f t="shared" si="17"/>
        <v>18.78</v>
      </c>
      <c r="P78" s="3">
        <f t="shared" si="18"/>
        <v>14.32</v>
      </c>
    </row>
    <row r="79" spans="1:16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14.12</v>
      </c>
      <c r="F79">
        <v>15.27</v>
      </c>
      <c r="G79">
        <f t="shared" si="10"/>
        <v>6</v>
      </c>
      <c r="H79">
        <f t="shared" si="11"/>
        <v>11</v>
      </c>
      <c r="I79">
        <f t="shared" si="12"/>
        <v>17.7</v>
      </c>
      <c r="J79">
        <f t="shared" si="13"/>
        <v>15.76</v>
      </c>
      <c r="K79">
        <f t="shared" si="14"/>
        <v>14.12</v>
      </c>
      <c r="L79">
        <f>IF(AND($H79&gt;=5,$H79&lt;=10),F79-1.2,F79)</f>
        <v>15.27</v>
      </c>
      <c r="M79" s="3">
        <f t="shared" si="15"/>
        <v>17.7</v>
      </c>
      <c r="N79" s="3">
        <f t="shared" si="16"/>
        <v>15.76</v>
      </c>
      <c r="O79" s="3">
        <f t="shared" si="17"/>
        <v>14.12</v>
      </c>
      <c r="P79" s="3">
        <f t="shared" si="18"/>
        <v>15.27</v>
      </c>
    </row>
    <row r="80" spans="1:16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14.87</v>
      </c>
      <c r="F80">
        <v>11.94</v>
      </c>
      <c r="G80">
        <f t="shared" si="10"/>
        <v>6</v>
      </c>
      <c r="H80">
        <f t="shared" si="11"/>
        <v>11</v>
      </c>
      <c r="I80">
        <f t="shared" si="12"/>
        <v>13.13</v>
      </c>
      <c r="J80">
        <f t="shared" si="13"/>
        <v>12.12</v>
      </c>
      <c r="K80">
        <f t="shared" si="14"/>
        <v>14.87</v>
      </c>
      <c r="L80">
        <f>IF(AND($H80&gt;=5,$H80&lt;=10),F80-1.2,F80)</f>
        <v>11.94</v>
      </c>
      <c r="M80" s="3">
        <f t="shared" si="15"/>
        <v>13.13</v>
      </c>
      <c r="N80" s="3">
        <f t="shared" si="16"/>
        <v>12.12</v>
      </c>
      <c r="O80" s="3">
        <f t="shared" si="17"/>
        <v>14.87</v>
      </c>
      <c r="P80" s="3">
        <f t="shared" si="18"/>
        <v>11.94</v>
      </c>
    </row>
    <row r="81" spans="1:16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14.26</v>
      </c>
      <c r="F81">
        <v>10.45</v>
      </c>
      <c r="G81">
        <f t="shared" si="10"/>
        <v>6</v>
      </c>
      <c r="H81">
        <f t="shared" si="11"/>
        <v>13</v>
      </c>
      <c r="I81">
        <f t="shared" si="12"/>
        <v>10.39</v>
      </c>
      <c r="J81">
        <f t="shared" si="13"/>
        <v>13.61</v>
      </c>
      <c r="K81">
        <f t="shared" si="14"/>
        <v>14.26</v>
      </c>
      <c r="L81">
        <f>IF(AND($H81&gt;=5,$H81&lt;=10),F81-1.2,F81)</f>
        <v>10.45</v>
      </c>
      <c r="M81" s="3">
        <f t="shared" si="15"/>
        <v>10.39</v>
      </c>
      <c r="N81" s="3">
        <f t="shared" si="16"/>
        <v>13.61</v>
      </c>
      <c r="O81" s="3">
        <f t="shared" si="17"/>
        <v>14.26</v>
      </c>
      <c r="P81" s="3">
        <f t="shared" si="18"/>
        <v>10.45</v>
      </c>
    </row>
    <row r="82" spans="1:16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18.54</v>
      </c>
      <c r="F82">
        <v>11.92</v>
      </c>
      <c r="G82">
        <f t="shared" si="10"/>
        <v>6</v>
      </c>
      <c r="H82">
        <f t="shared" si="11"/>
        <v>13</v>
      </c>
      <c r="I82">
        <f t="shared" si="12"/>
        <v>13.07</v>
      </c>
      <c r="J82">
        <f t="shared" si="13"/>
        <v>17.61</v>
      </c>
      <c r="K82">
        <f t="shared" si="14"/>
        <v>18.54</v>
      </c>
      <c r="L82">
        <f>IF(AND($H82&gt;=5,$H82&lt;=10),F82-1.2,F82)</f>
        <v>11.92</v>
      </c>
      <c r="M82" s="3">
        <f t="shared" si="15"/>
        <v>13.07</v>
      </c>
      <c r="N82" s="3">
        <f t="shared" si="16"/>
        <v>17.61</v>
      </c>
      <c r="O82" s="3">
        <f t="shared" si="17"/>
        <v>18.54</v>
      </c>
      <c r="P82" s="3">
        <f t="shared" si="18"/>
        <v>11.92</v>
      </c>
    </row>
    <row r="83" spans="1:16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18.010000000000002</v>
      </c>
      <c r="F83">
        <v>14.9</v>
      </c>
      <c r="G83">
        <f t="shared" si="10"/>
        <v>6</v>
      </c>
      <c r="H83">
        <f t="shared" si="11"/>
        <v>15</v>
      </c>
      <c r="I83">
        <f t="shared" si="12"/>
        <v>17.18</v>
      </c>
      <c r="J83">
        <f t="shared" si="13"/>
        <v>18.510000000000002</v>
      </c>
      <c r="K83">
        <f t="shared" si="14"/>
        <v>18.010000000000002</v>
      </c>
      <c r="L83">
        <f>IF(AND($H83&gt;=5,$H83&lt;=10),F83-1.2,F83)</f>
        <v>14.9</v>
      </c>
      <c r="M83" s="3">
        <f t="shared" si="15"/>
        <v>17.18</v>
      </c>
      <c r="N83" s="3">
        <f t="shared" si="16"/>
        <v>18.510000000000002</v>
      </c>
      <c r="O83" s="3">
        <f t="shared" si="17"/>
        <v>18.010000000000002</v>
      </c>
      <c r="P83" s="3">
        <f t="shared" si="18"/>
        <v>14.9</v>
      </c>
    </row>
    <row r="84" spans="1:16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13.26</v>
      </c>
      <c r="F84">
        <v>12.17</v>
      </c>
      <c r="G84">
        <f t="shared" si="10"/>
        <v>6</v>
      </c>
      <c r="H84">
        <f t="shared" si="11"/>
        <v>15</v>
      </c>
      <c r="I84">
        <f t="shared" si="12"/>
        <v>11.02</v>
      </c>
      <c r="J84">
        <f t="shared" si="13"/>
        <v>16.95</v>
      </c>
      <c r="K84">
        <f t="shared" si="14"/>
        <v>13.26</v>
      </c>
      <c r="L84">
        <f>IF(AND($H84&gt;=5,$H84&lt;=10),F84-1.2,F84)</f>
        <v>12.17</v>
      </c>
      <c r="M84" s="3">
        <f t="shared" si="15"/>
        <v>11.02</v>
      </c>
      <c r="N84" s="3">
        <f t="shared" si="16"/>
        <v>16.95</v>
      </c>
      <c r="O84" s="3">
        <f t="shared" si="17"/>
        <v>13.26</v>
      </c>
      <c r="P84" s="3">
        <f t="shared" si="18"/>
        <v>12.17</v>
      </c>
    </row>
    <row r="85" spans="1:16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14.74</v>
      </c>
      <c r="F85">
        <v>15.42</v>
      </c>
      <c r="G85">
        <f t="shared" si="10"/>
        <v>6</v>
      </c>
      <c r="H85">
        <f t="shared" si="11"/>
        <v>16</v>
      </c>
      <c r="I85">
        <f t="shared" si="12"/>
        <v>12.05</v>
      </c>
      <c r="J85">
        <f t="shared" si="13"/>
        <v>13.7</v>
      </c>
      <c r="K85">
        <f t="shared" si="14"/>
        <v>14.74</v>
      </c>
      <c r="L85">
        <f>IF(AND($H85&gt;=5,$H85&lt;=10),F85-1.2,F85)</f>
        <v>15.42</v>
      </c>
      <c r="M85" s="3">
        <f t="shared" si="15"/>
        <v>12.05</v>
      </c>
      <c r="N85" s="3">
        <f t="shared" si="16"/>
        <v>13.7</v>
      </c>
      <c r="O85" s="3">
        <f t="shared" si="17"/>
        <v>14.74</v>
      </c>
      <c r="P85" s="3">
        <f t="shared" si="18"/>
        <v>15.42</v>
      </c>
    </row>
    <row r="86" spans="1:16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17.32</v>
      </c>
      <c r="F86">
        <v>18.63</v>
      </c>
      <c r="G86">
        <f t="shared" si="10"/>
        <v>6</v>
      </c>
      <c r="H86">
        <f t="shared" si="11"/>
        <v>19</v>
      </c>
      <c r="I86">
        <f t="shared" si="12"/>
        <v>13.82</v>
      </c>
      <c r="J86">
        <f t="shared" si="13"/>
        <v>17.8</v>
      </c>
      <c r="K86">
        <f t="shared" si="14"/>
        <v>17.32</v>
      </c>
      <c r="L86">
        <f>IF(AND($H86&gt;=5,$H86&lt;=10),F86-1.2,F86)</f>
        <v>18.63</v>
      </c>
      <c r="M86" s="3">
        <f t="shared" si="15"/>
        <v>13.82</v>
      </c>
      <c r="N86" s="3">
        <f t="shared" si="16"/>
        <v>17.8</v>
      </c>
      <c r="O86" s="3">
        <f t="shared" si="17"/>
        <v>17.32</v>
      </c>
      <c r="P86" s="3">
        <f t="shared" si="18"/>
        <v>18.63</v>
      </c>
    </row>
    <row r="87" spans="1:16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17.54</v>
      </c>
      <c r="F87">
        <v>11.08</v>
      </c>
      <c r="G87">
        <f t="shared" si="10"/>
        <v>6</v>
      </c>
      <c r="H87">
        <f t="shared" si="11"/>
        <v>19</v>
      </c>
      <c r="I87">
        <f t="shared" si="12"/>
        <v>19.010000000000002</v>
      </c>
      <c r="J87">
        <f t="shared" si="13"/>
        <v>13.1</v>
      </c>
      <c r="K87">
        <f t="shared" si="14"/>
        <v>17.54</v>
      </c>
      <c r="L87">
        <f>IF(AND($H87&gt;=5,$H87&lt;=10),F87-1.2,F87)</f>
        <v>11.08</v>
      </c>
      <c r="M87" s="3">
        <f t="shared" si="15"/>
        <v>19.010000000000002</v>
      </c>
      <c r="N87" s="3">
        <f t="shared" si="16"/>
        <v>13.1</v>
      </c>
      <c r="O87" s="3">
        <f t="shared" si="17"/>
        <v>17.54</v>
      </c>
      <c r="P87" s="3">
        <f t="shared" si="18"/>
        <v>11.08</v>
      </c>
    </row>
    <row r="88" spans="1:16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14.88</v>
      </c>
      <c r="F88">
        <v>15.12</v>
      </c>
      <c r="G88">
        <f t="shared" si="10"/>
        <v>6</v>
      </c>
      <c r="H88">
        <f t="shared" si="11"/>
        <v>20</v>
      </c>
      <c r="I88">
        <f t="shared" si="12"/>
        <v>17.27</v>
      </c>
      <c r="J88">
        <f t="shared" si="13"/>
        <v>13.06</v>
      </c>
      <c r="K88">
        <f t="shared" si="14"/>
        <v>14.88</v>
      </c>
      <c r="L88">
        <f>IF(AND($H88&gt;=5,$H88&lt;=10),F88-1.2,F88)</f>
        <v>15.12</v>
      </c>
      <c r="M88" s="3">
        <f t="shared" si="15"/>
        <v>17.27</v>
      </c>
      <c r="N88" s="3">
        <f t="shared" si="16"/>
        <v>13.06</v>
      </c>
      <c r="O88" s="3">
        <f t="shared" si="17"/>
        <v>14.88</v>
      </c>
      <c r="P88" s="3">
        <f t="shared" si="18"/>
        <v>15.12</v>
      </c>
    </row>
    <row r="89" spans="1:16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11.2</v>
      </c>
      <c r="F89">
        <v>10.56</v>
      </c>
      <c r="G89">
        <f t="shared" si="10"/>
        <v>6</v>
      </c>
      <c r="H89">
        <f t="shared" si="11"/>
        <v>21</v>
      </c>
      <c r="I89">
        <f t="shared" si="12"/>
        <v>14.93</v>
      </c>
      <c r="J89">
        <f t="shared" si="13"/>
        <v>18.36</v>
      </c>
      <c r="K89">
        <f t="shared" si="14"/>
        <v>11.2</v>
      </c>
      <c r="L89">
        <f>IF(AND($H89&gt;=5,$H89&lt;=10),F89-1.2,F89)</f>
        <v>10.56</v>
      </c>
      <c r="M89" s="3">
        <f t="shared" si="15"/>
        <v>14.93</v>
      </c>
      <c r="N89" s="3">
        <f t="shared" si="16"/>
        <v>18.36</v>
      </c>
      <c r="O89" s="3">
        <f t="shared" si="17"/>
        <v>11.2</v>
      </c>
      <c r="P89" s="3">
        <f t="shared" si="18"/>
        <v>10.56</v>
      </c>
    </row>
    <row r="90" spans="1:16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17.8</v>
      </c>
      <c r="F90">
        <v>14.59</v>
      </c>
      <c r="G90">
        <f t="shared" si="10"/>
        <v>6</v>
      </c>
      <c r="H90">
        <f t="shared" si="11"/>
        <v>24</v>
      </c>
      <c r="I90">
        <f t="shared" si="12"/>
        <v>15.51</v>
      </c>
      <c r="J90">
        <f t="shared" si="13"/>
        <v>16.440000000000001</v>
      </c>
      <c r="K90">
        <f t="shared" si="14"/>
        <v>17.8</v>
      </c>
      <c r="L90">
        <f>IF(AND($H90&gt;=5,$H90&lt;=10),F90-1.2,F90)</f>
        <v>14.59</v>
      </c>
      <c r="M90" s="3">
        <f t="shared" si="15"/>
        <v>15.51</v>
      </c>
      <c r="N90" s="3">
        <f t="shared" si="16"/>
        <v>16.440000000000001</v>
      </c>
      <c r="O90" s="3">
        <f t="shared" si="17"/>
        <v>17.8</v>
      </c>
      <c r="P90" s="3">
        <f t="shared" si="18"/>
        <v>14.59</v>
      </c>
    </row>
    <row r="91" spans="1:16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12.58</v>
      </c>
      <c r="F91">
        <v>12.47</v>
      </c>
      <c r="G91">
        <f t="shared" si="10"/>
        <v>6</v>
      </c>
      <c r="H91">
        <f t="shared" si="11"/>
        <v>24</v>
      </c>
      <c r="I91">
        <f t="shared" si="12"/>
        <v>12.83</v>
      </c>
      <c r="J91">
        <f t="shared" si="13"/>
        <v>14.61</v>
      </c>
      <c r="K91">
        <f t="shared" si="14"/>
        <v>12.58</v>
      </c>
      <c r="L91">
        <f>IF(AND($H91&gt;=5,$H91&lt;=10),F91-1.2,F91)</f>
        <v>12.47</v>
      </c>
      <c r="M91" s="3">
        <f t="shared" si="15"/>
        <v>12.83</v>
      </c>
      <c r="N91" s="3">
        <f t="shared" si="16"/>
        <v>14.61</v>
      </c>
      <c r="O91" s="3">
        <f t="shared" si="17"/>
        <v>12.58</v>
      </c>
      <c r="P91" s="3">
        <f t="shared" si="18"/>
        <v>12.47</v>
      </c>
    </row>
    <row r="92" spans="1:16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10.66</v>
      </c>
      <c r="F92">
        <v>10.1</v>
      </c>
      <c r="G92">
        <f t="shared" si="10"/>
        <v>6</v>
      </c>
      <c r="H92">
        <f t="shared" si="11"/>
        <v>25</v>
      </c>
      <c r="I92">
        <f t="shared" si="12"/>
        <v>16.3</v>
      </c>
      <c r="J92">
        <f t="shared" si="13"/>
        <v>10.32</v>
      </c>
      <c r="K92">
        <f t="shared" si="14"/>
        <v>10.66</v>
      </c>
      <c r="L92">
        <f>IF(AND($H92&gt;=5,$H92&lt;=10),F92-1.2,F92)</f>
        <v>10.1</v>
      </c>
      <c r="M92" s="3">
        <f t="shared" si="15"/>
        <v>16.3</v>
      </c>
      <c r="N92" s="3">
        <f t="shared" si="16"/>
        <v>10.32</v>
      </c>
      <c r="O92" s="3">
        <f t="shared" si="17"/>
        <v>10.66</v>
      </c>
      <c r="P92" s="3">
        <f t="shared" si="18"/>
        <v>10.1</v>
      </c>
    </row>
    <row r="93" spans="1:16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18.04</v>
      </c>
      <c r="F93">
        <v>14.52</v>
      </c>
      <c r="G93">
        <f t="shared" si="10"/>
        <v>6</v>
      </c>
      <c r="H93">
        <f t="shared" si="11"/>
        <v>26</v>
      </c>
      <c r="I93">
        <f t="shared" si="12"/>
        <v>16.03</v>
      </c>
      <c r="J93">
        <f t="shared" si="13"/>
        <v>12.49</v>
      </c>
      <c r="K93">
        <f t="shared" si="14"/>
        <v>18.04</v>
      </c>
      <c r="L93">
        <f>IF(AND($H93&gt;=5,$H93&lt;=10),F93-1.2,F93)</f>
        <v>14.52</v>
      </c>
      <c r="M93" s="3">
        <f t="shared" si="15"/>
        <v>16.03</v>
      </c>
      <c r="N93" s="3">
        <f t="shared" si="16"/>
        <v>12.49</v>
      </c>
      <c r="O93" s="3">
        <f t="shared" si="17"/>
        <v>18.04</v>
      </c>
      <c r="P93" s="3">
        <f t="shared" si="18"/>
        <v>14.52</v>
      </c>
    </row>
    <row r="94" spans="1:16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15.06</v>
      </c>
      <c r="F94">
        <v>15.39</v>
      </c>
      <c r="G94">
        <f t="shared" si="10"/>
        <v>6</v>
      </c>
      <c r="H94">
        <f t="shared" si="11"/>
        <v>26</v>
      </c>
      <c r="I94">
        <f t="shared" si="12"/>
        <v>19.47</v>
      </c>
      <c r="J94">
        <f t="shared" si="13"/>
        <v>19.760000000000002</v>
      </c>
      <c r="K94">
        <f t="shared" si="14"/>
        <v>15.06</v>
      </c>
      <c r="L94">
        <f>IF(AND($H94&gt;=5,$H94&lt;=10),F94-1.2,F94)</f>
        <v>15.39</v>
      </c>
      <c r="M94" s="3">
        <f t="shared" si="15"/>
        <v>19.47</v>
      </c>
      <c r="N94" s="3">
        <f t="shared" si="16"/>
        <v>19.760000000000002</v>
      </c>
      <c r="O94" s="3">
        <f t="shared" si="17"/>
        <v>15.06</v>
      </c>
      <c r="P94" s="3">
        <f t="shared" si="18"/>
        <v>15.39</v>
      </c>
    </row>
    <row r="95" spans="1:16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10.38</v>
      </c>
      <c r="F95">
        <v>18.149999999999999</v>
      </c>
      <c r="G95">
        <f t="shared" si="10"/>
        <v>6</v>
      </c>
      <c r="H95">
        <f t="shared" si="11"/>
        <v>26</v>
      </c>
      <c r="I95">
        <f t="shared" si="12"/>
        <v>14.55</v>
      </c>
      <c r="J95">
        <f t="shared" si="13"/>
        <v>11.62</v>
      </c>
      <c r="K95">
        <f t="shared" si="14"/>
        <v>10.38</v>
      </c>
      <c r="L95">
        <f>IF(AND($H95&gt;=5,$H95&lt;=10),F95-1.2,F95)</f>
        <v>18.149999999999999</v>
      </c>
      <c r="M95" s="3">
        <f t="shared" si="15"/>
        <v>14.55</v>
      </c>
      <c r="N95" s="3">
        <f t="shared" si="16"/>
        <v>11.62</v>
      </c>
      <c r="O95" s="3">
        <f t="shared" si="17"/>
        <v>10.38</v>
      </c>
      <c r="P95" s="3">
        <f t="shared" si="18"/>
        <v>18.149999999999999</v>
      </c>
    </row>
    <row r="96" spans="1:16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11.68</v>
      </c>
      <c r="F96">
        <v>14.08</v>
      </c>
      <c r="G96">
        <f t="shared" si="10"/>
        <v>6</v>
      </c>
      <c r="H96">
        <f t="shared" si="11"/>
        <v>27</v>
      </c>
      <c r="I96">
        <f t="shared" si="12"/>
        <v>11.26</v>
      </c>
      <c r="J96">
        <f t="shared" si="13"/>
        <v>11.81</v>
      </c>
      <c r="K96">
        <f t="shared" si="14"/>
        <v>11.68</v>
      </c>
      <c r="L96">
        <f>IF(AND($H96&gt;=5,$H96&lt;=10),F96-1.2,F96)</f>
        <v>14.08</v>
      </c>
      <c r="M96" s="3">
        <f t="shared" si="15"/>
        <v>11.26</v>
      </c>
      <c r="N96" s="3">
        <f t="shared" si="16"/>
        <v>11.81</v>
      </c>
      <c r="O96" s="3">
        <f t="shared" si="17"/>
        <v>11.68</v>
      </c>
      <c r="P96" s="3">
        <f t="shared" si="18"/>
        <v>14.08</v>
      </c>
    </row>
    <row r="97" spans="1:16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16.079999999999998</v>
      </c>
      <c r="F97">
        <v>12.3</v>
      </c>
      <c r="G97">
        <f t="shared" si="10"/>
        <v>6</v>
      </c>
      <c r="H97">
        <f t="shared" si="11"/>
        <v>28</v>
      </c>
      <c r="I97">
        <f t="shared" si="12"/>
        <v>10.77</v>
      </c>
      <c r="J97">
        <f t="shared" si="13"/>
        <v>10.91</v>
      </c>
      <c r="K97">
        <f t="shared" si="14"/>
        <v>16.079999999999998</v>
      </c>
      <c r="L97">
        <f>IF(AND($H97&gt;=5,$H97&lt;=10),F97-1.2,F97)</f>
        <v>12.3</v>
      </c>
      <c r="M97" s="3">
        <f t="shared" si="15"/>
        <v>10.77</v>
      </c>
      <c r="N97" s="3">
        <f t="shared" si="16"/>
        <v>10.91</v>
      </c>
      <c r="O97" s="3">
        <f t="shared" si="17"/>
        <v>16.079999999999998</v>
      </c>
      <c r="P97" s="3">
        <f t="shared" si="18"/>
        <v>12.3</v>
      </c>
    </row>
    <row r="98" spans="1:16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10.31</v>
      </c>
      <c r="F98">
        <v>11.07</v>
      </c>
      <c r="G98">
        <f t="shared" si="10"/>
        <v>6</v>
      </c>
      <c r="H98">
        <f t="shared" si="11"/>
        <v>30</v>
      </c>
      <c r="I98">
        <f t="shared" si="12"/>
        <v>15.43</v>
      </c>
      <c r="J98">
        <f t="shared" si="13"/>
        <v>17.52</v>
      </c>
      <c r="K98">
        <f t="shared" si="14"/>
        <v>10.31</v>
      </c>
      <c r="L98">
        <f>IF(AND($H98&gt;=5,$H98&lt;=10),F98-1.2,F98)</f>
        <v>11.07</v>
      </c>
      <c r="M98" s="3">
        <f t="shared" si="15"/>
        <v>15.43</v>
      </c>
      <c r="N98" s="3">
        <f t="shared" si="16"/>
        <v>17.52</v>
      </c>
      <c r="O98" s="3">
        <f t="shared" si="17"/>
        <v>10.31</v>
      </c>
      <c r="P98" s="3">
        <f t="shared" si="18"/>
        <v>11.07</v>
      </c>
    </row>
    <row r="99" spans="1:16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24.3</v>
      </c>
      <c r="F99">
        <v>22.91</v>
      </c>
      <c r="G99">
        <f t="shared" si="10"/>
        <v>7</v>
      </c>
      <c r="H99">
        <f t="shared" si="11"/>
        <v>2</v>
      </c>
      <c r="I99">
        <f t="shared" si="12"/>
        <v>22.57</v>
      </c>
      <c r="J99">
        <f t="shared" si="13"/>
        <v>24.93</v>
      </c>
      <c r="K99">
        <f t="shared" si="14"/>
        <v>24.3</v>
      </c>
      <c r="L99">
        <f>IF(AND($H99&gt;=5,$H99&lt;=10),F99-1.2,F99)</f>
        <v>22.91</v>
      </c>
      <c r="M99" s="3">
        <f t="shared" si="15"/>
        <v>22.57</v>
      </c>
      <c r="N99" s="3">
        <f t="shared" si="16"/>
        <v>24.93</v>
      </c>
      <c r="O99" s="3">
        <f t="shared" si="17"/>
        <v>24.3</v>
      </c>
      <c r="P99" s="3">
        <f t="shared" si="18"/>
        <v>22.91</v>
      </c>
    </row>
    <row r="100" spans="1:16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22.83</v>
      </c>
      <c r="F100">
        <v>21.55</v>
      </c>
      <c r="G100">
        <f t="shared" si="10"/>
        <v>7</v>
      </c>
      <c r="H100">
        <f t="shared" si="11"/>
        <v>3</v>
      </c>
      <c r="I100">
        <f t="shared" si="12"/>
        <v>21.12</v>
      </c>
      <c r="J100">
        <f t="shared" si="13"/>
        <v>24.03</v>
      </c>
      <c r="K100">
        <f t="shared" si="14"/>
        <v>22.83</v>
      </c>
      <c r="L100">
        <f>IF(AND($H100&gt;=5,$H100&lt;=10),F100-1.2,F100)</f>
        <v>21.55</v>
      </c>
      <c r="M100" s="3">
        <f t="shared" si="15"/>
        <v>21.12</v>
      </c>
      <c r="N100" s="3">
        <f t="shared" si="16"/>
        <v>24.03</v>
      </c>
      <c r="O100" s="3">
        <f t="shared" si="17"/>
        <v>22.83</v>
      </c>
      <c r="P100" s="3">
        <f t="shared" si="18"/>
        <v>21.55</v>
      </c>
    </row>
    <row r="101" spans="1:16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23.98</v>
      </c>
      <c r="F101">
        <v>24.01</v>
      </c>
      <c r="G101">
        <f t="shared" si="10"/>
        <v>7</v>
      </c>
      <c r="H101">
        <f t="shared" si="11"/>
        <v>5</v>
      </c>
      <c r="I101">
        <f t="shared" si="12"/>
        <v>21.09</v>
      </c>
      <c r="J101">
        <f t="shared" si="13"/>
        <v>20.96</v>
      </c>
      <c r="K101">
        <f t="shared" si="14"/>
        <v>23.98</v>
      </c>
      <c r="L101">
        <f>IF(AND($H101&gt;=5,$H101&lt;=10),F101-1.2,F101)</f>
        <v>22.810000000000002</v>
      </c>
      <c r="M101" s="3">
        <f t="shared" si="15"/>
        <v>21.09</v>
      </c>
      <c r="N101" s="3">
        <f t="shared" si="16"/>
        <v>20.96</v>
      </c>
      <c r="O101" s="3">
        <f t="shared" si="17"/>
        <v>23.98</v>
      </c>
      <c r="P101" s="3">
        <f t="shared" si="18"/>
        <v>22.810000000000002</v>
      </c>
    </row>
    <row r="102" spans="1:16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20.9</v>
      </c>
      <c r="F102">
        <v>24.06</v>
      </c>
      <c r="G102">
        <f t="shared" si="10"/>
        <v>7</v>
      </c>
      <c r="H102">
        <f t="shared" si="11"/>
        <v>6</v>
      </c>
      <c r="I102">
        <f t="shared" si="12"/>
        <v>19.3</v>
      </c>
      <c r="J102">
        <f t="shared" si="13"/>
        <v>20.63</v>
      </c>
      <c r="K102">
        <f t="shared" si="14"/>
        <v>20.9</v>
      </c>
      <c r="L102">
        <f>IF(AND($H102&gt;=5,$H102&lt;=10),F102-1.2,F102)</f>
        <v>22.86</v>
      </c>
      <c r="M102" s="3">
        <f t="shared" si="15"/>
        <v>19.3</v>
      </c>
      <c r="N102" s="3">
        <f t="shared" si="16"/>
        <v>20.63</v>
      </c>
      <c r="O102" s="3">
        <f t="shared" si="17"/>
        <v>20.9</v>
      </c>
      <c r="P102" s="3">
        <f t="shared" si="18"/>
        <v>22.86</v>
      </c>
    </row>
    <row r="103" spans="1:16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20.149999999999999</v>
      </c>
      <c r="F103">
        <v>23.52</v>
      </c>
      <c r="G103">
        <f t="shared" si="10"/>
        <v>7</v>
      </c>
      <c r="H103">
        <f t="shared" si="11"/>
        <v>6</v>
      </c>
      <c r="I103">
        <f t="shared" si="12"/>
        <v>19.420000000000002</v>
      </c>
      <c r="J103">
        <f t="shared" si="13"/>
        <v>19.03</v>
      </c>
      <c r="K103">
        <f t="shared" si="14"/>
        <v>20.149999999999999</v>
      </c>
      <c r="L103">
        <f>IF(AND($H103&gt;=5,$H103&lt;=10),F103-1.2,F103)</f>
        <v>22.32</v>
      </c>
      <c r="M103" s="3">
        <f t="shared" si="15"/>
        <v>19.420000000000002</v>
      </c>
      <c r="N103" s="3">
        <f t="shared" si="16"/>
        <v>19.03</v>
      </c>
      <c r="O103" s="3">
        <f t="shared" si="17"/>
        <v>20.149999999999999</v>
      </c>
      <c r="P103" s="3">
        <f t="shared" si="18"/>
        <v>22.32</v>
      </c>
    </row>
    <row r="104" spans="1:16" x14ac:dyDescent="0.25">
      <c r="A104" s="12">
        <v>42558</v>
      </c>
      <c r="B104" s="13">
        <v>2.7777777777777779E-3</v>
      </c>
      <c r="C104">
        <v>24.62</v>
      </c>
      <c r="D104">
        <v>20.59</v>
      </c>
      <c r="E104">
        <v>24.93</v>
      </c>
      <c r="F104">
        <v>21.9</v>
      </c>
      <c r="G104">
        <f t="shared" si="10"/>
        <v>7</v>
      </c>
      <c r="H104">
        <f t="shared" si="11"/>
        <v>7</v>
      </c>
      <c r="I104" s="6">
        <f t="shared" si="12"/>
        <v>23.42</v>
      </c>
      <c r="J104" s="6">
        <f t="shared" si="13"/>
        <v>19.39</v>
      </c>
      <c r="K104" s="6">
        <f t="shared" si="14"/>
        <v>24.93</v>
      </c>
      <c r="L104" s="6">
        <f>IF(AND($H104&gt;=5,$H104&lt;=10),F104-1.2,F104)</f>
        <v>20.7</v>
      </c>
      <c r="M104" s="14">
        <f t="shared" si="15"/>
        <v>23.42</v>
      </c>
      <c r="N104" s="14">
        <f t="shared" si="16"/>
        <v>19.39</v>
      </c>
      <c r="O104" s="14">
        <f t="shared" si="17"/>
        <v>24.93</v>
      </c>
      <c r="P104" s="14">
        <f t="shared" si="18"/>
        <v>20.7</v>
      </c>
    </row>
    <row r="105" spans="1:16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20.55</v>
      </c>
      <c r="F105">
        <v>24.08</v>
      </c>
      <c r="G105">
        <f t="shared" si="10"/>
        <v>7</v>
      </c>
      <c r="H105">
        <f t="shared" si="11"/>
        <v>7</v>
      </c>
      <c r="I105">
        <f t="shared" si="12"/>
        <v>22.330000000000002</v>
      </c>
      <c r="J105">
        <f t="shared" si="13"/>
        <v>21.27</v>
      </c>
      <c r="K105">
        <f t="shared" si="14"/>
        <v>20.55</v>
      </c>
      <c r="L105">
        <f>IF(AND($H105&gt;=5,$H105&lt;=10),F105-1.2,F105)</f>
        <v>22.88</v>
      </c>
      <c r="M105" s="3">
        <f t="shared" si="15"/>
        <v>22.330000000000002</v>
      </c>
      <c r="N105" s="3">
        <f t="shared" si="16"/>
        <v>21.27</v>
      </c>
      <c r="O105" s="3">
        <f t="shared" si="17"/>
        <v>20.55</v>
      </c>
      <c r="P105" s="3">
        <f t="shared" si="18"/>
        <v>22.88</v>
      </c>
    </row>
    <row r="106" spans="1:16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21.14</v>
      </c>
      <c r="F106">
        <v>23.1</v>
      </c>
      <c r="G106">
        <f t="shared" si="10"/>
        <v>7</v>
      </c>
      <c r="H106">
        <f t="shared" si="11"/>
        <v>7</v>
      </c>
      <c r="I106">
        <f t="shared" si="12"/>
        <v>22.6</v>
      </c>
      <c r="J106">
        <f t="shared" si="13"/>
        <v>19.580000000000002</v>
      </c>
      <c r="K106">
        <f t="shared" si="14"/>
        <v>21.14</v>
      </c>
      <c r="L106">
        <f>IF(AND($H106&gt;=5,$H106&lt;=10),F106-1.2,F106)</f>
        <v>21.900000000000002</v>
      </c>
      <c r="M106" s="3">
        <f t="shared" si="15"/>
        <v>22.6</v>
      </c>
      <c r="N106" s="3">
        <f t="shared" si="16"/>
        <v>19.580000000000002</v>
      </c>
      <c r="O106" s="3">
        <f t="shared" si="17"/>
        <v>21.14</v>
      </c>
      <c r="P106" s="3">
        <f t="shared" si="18"/>
        <v>21.900000000000002</v>
      </c>
    </row>
    <row r="107" spans="1:16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21.12</v>
      </c>
      <c r="F107">
        <v>23.35</v>
      </c>
      <c r="G107">
        <f t="shared" si="10"/>
        <v>7</v>
      </c>
      <c r="H107">
        <f t="shared" si="11"/>
        <v>7</v>
      </c>
      <c r="I107">
        <f t="shared" si="12"/>
        <v>19.84</v>
      </c>
      <c r="J107">
        <f t="shared" si="13"/>
        <v>21.25</v>
      </c>
      <c r="K107">
        <f t="shared" si="14"/>
        <v>21.12</v>
      </c>
      <c r="L107">
        <f>IF(AND($H107&gt;=5,$H107&lt;=10),F107-1.2,F107)</f>
        <v>22.150000000000002</v>
      </c>
      <c r="M107" s="3">
        <f t="shared" si="15"/>
        <v>19.84</v>
      </c>
      <c r="N107" s="3">
        <f t="shared" si="16"/>
        <v>21.25</v>
      </c>
      <c r="O107" s="3">
        <f t="shared" si="17"/>
        <v>21.12</v>
      </c>
      <c r="P107" s="3">
        <f t="shared" si="18"/>
        <v>22.150000000000002</v>
      </c>
    </row>
    <row r="108" spans="1:16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22.27</v>
      </c>
      <c r="F108">
        <v>24.47</v>
      </c>
      <c r="G108">
        <f t="shared" si="10"/>
        <v>7</v>
      </c>
      <c r="H108">
        <f t="shared" si="11"/>
        <v>10</v>
      </c>
      <c r="I108">
        <f t="shared" si="12"/>
        <v>22.29</v>
      </c>
      <c r="J108">
        <f t="shared" si="13"/>
        <v>21.35</v>
      </c>
      <c r="K108">
        <f t="shared" si="14"/>
        <v>22.27</v>
      </c>
      <c r="L108">
        <f>IF(AND($H108&gt;=5,$H108&lt;=10),F108-1.2,F108)</f>
        <v>23.27</v>
      </c>
      <c r="M108" s="3">
        <f t="shared" si="15"/>
        <v>22.29</v>
      </c>
      <c r="N108" s="3">
        <f t="shared" si="16"/>
        <v>21.35</v>
      </c>
      <c r="O108" s="3">
        <f t="shared" si="17"/>
        <v>22.27</v>
      </c>
      <c r="P108" s="3">
        <f t="shared" si="18"/>
        <v>23.27</v>
      </c>
    </row>
    <row r="109" spans="1:16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20.5</v>
      </c>
      <c r="F109">
        <v>21.65</v>
      </c>
      <c r="G109">
        <f t="shared" si="10"/>
        <v>7</v>
      </c>
      <c r="H109">
        <f t="shared" si="11"/>
        <v>14</v>
      </c>
      <c r="I109">
        <f t="shared" si="12"/>
        <v>20.99</v>
      </c>
      <c r="J109">
        <f t="shared" si="13"/>
        <v>21.37</v>
      </c>
      <c r="K109">
        <f t="shared" si="14"/>
        <v>20.5</v>
      </c>
      <c r="L109">
        <f>IF(AND($H109&gt;=5,$H109&lt;=10),F109-1.2,F109)</f>
        <v>21.65</v>
      </c>
      <c r="M109" s="3">
        <f t="shared" si="15"/>
        <v>20.99</v>
      </c>
      <c r="N109" s="3">
        <f t="shared" si="16"/>
        <v>21.37</v>
      </c>
      <c r="O109" s="3">
        <f t="shared" si="17"/>
        <v>20.5</v>
      </c>
      <c r="P109" s="3">
        <f t="shared" si="18"/>
        <v>21.65</v>
      </c>
    </row>
    <row r="110" spans="1:16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23.6</v>
      </c>
      <c r="F110">
        <v>23.16</v>
      </c>
      <c r="G110">
        <f t="shared" si="10"/>
        <v>7</v>
      </c>
      <c r="H110">
        <f t="shared" si="11"/>
        <v>16</v>
      </c>
      <c r="I110">
        <f t="shared" si="12"/>
        <v>20.18</v>
      </c>
      <c r="J110">
        <f t="shared" si="13"/>
        <v>24.07</v>
      </c>
      <c r="K110">
        <f t="shared" si="14"/>
        <v>23.6</v>
      </c>
      <c r="L110">
        <f>IF(AND($H110&gt;=5,$H110&lt;=10),F110-1.2,F110)</f>
        <v>23.16</v>
      </c>
      <c r="M110" s="3">
        <f t="shared" si="15"/>
        <v>20.18</v>
      </c>
      <c r="N110" s="3">
        <f t="shared" si="16"/>
        <v>24.07</v>
      </c>
      <c r="O110" s="3">
        <f t="shared" si="17"/>
        <v>23.6</v>
      </c>
      <c r="P110" s="3">
        <f t="shared" si="18"/>
        <v>23.16</v>
      </c>
    </row>
    <row r="111" spans="1:16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24.77</v>
      </c>
      <c r="F111">
        <v>24.75</v>
      </c>
      <c r="G111">
        <f t="shared" si="10"/>
        <v>7</v>
      </c>
      <c r="H111">
        <f t="shared" si="11"/>
        <v>17</v>
      </c>
      <c r="I111">
        <f t="shared" si="12"/>
        <v>24.46</v>
      </c>
      <c r="J111">
        <f t="shared" si="13"/>
        <v>23.9</v>
      </c>
      <c r="K111">
        <f t="shared" si="14"/>
        <v>24.77</v>
      </c>
      <c r="L111">
        <f>IF(AND($H111&gt;=5,$H111&lt;=10),F111-1.2,F111)</f>
        <v>24.75</v>
      </c>
      <c r="M111" s="3">
        <f t="shared" si="15"/>
        <v>24.46</v>
      </c>
      <c r="N111" s="3">
        <f t="shared" si="16"/>
        <v>23.9</v>
      </c>
      <c r="O111" s="3">
        <f t="shared" si="17"/>
        <v>24.77</v>
      </c>
      <c r="P111" s="3">
        <f t="shared" si="18"/>
        <v>24.75</v>
      </c>
    </row>
    <row r="112" spans="1:16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21.9</v>
      </c>
      <c r="F112">
        <v>22.89</v>
      </c>
      <c r="G112">
        <f t="shared" si="10"/>
        <v>7</v>
      </c>
      <c r="H112">
        <f t="shared" si="11"/>
        <v>20</v>
      </c>
      <c r="I112">
        <f t="shared" si="12"/>
        <v>20.62</v>
      </c>
      <c r="J112">
        <f t="shared" si="13"/>
        <v>21.57</v>
      </c>
      <c r="K112">
        <f t="shared" si="14"/>
        <v>21.9</v>
      </c>
      <c r="L112">
        <f>IF(AND($H112&gt;=5,$H112&lt;=10),F112-1.2,F112)</f>
        <v>22.89</v>
      </c>
      <c r="M112" s="3">
        <f t="shared" si="15"/>
        <v>20.62</v>
      </c>
      <c r="N112" s="3">
        <f t="shared" si="16"/>
        <v>21.57</v>
      </c>
      <c r="O112" s="3">
        <f t="shared" si="17"/>
        <v>21.9</v>
      </c>
      <c r="P112" s="3">
        <f t="shared" si="18"/>
        <v>22.89</v>
      </c>
    </row>
    <row r="113" spans="1:16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22.37</v>
      </c>
      <c r="F113">
        <v>22.57</v>
      </c>
      <c r="G113">
        <f t="shared" si="10"/>
        <v>7</v>
      </c>
      <c r="H113">
        <f t="shared" si="11"/>
        <v>20</v>
      </c>
      <c r="I113">
        <f t="shared" si="12"/>
        <v>24.97</v>
      </c>
      <c r="J113">
        <f t="shared" si="13"/>
        <v>23.55</v>
      </c>
      <c r="K113">
        <f t="shared" si="14"/>
        <v>22.37</v>
      </c>
      <c r="L113">
        <f>IF(AND($H113&gt;=5,$H113&lt;=10),F113-1.2,F113)</f>
        <v>22.57</v>
      </c>
      <c r="M113" s="3">
        <f t="shared" si="15"/>
        <v>24.97</v>
      </c>
      <c r="N113" s="3">
        <f t="shared" si="16"/>
        <v>23.55</v>
      </c>
      <c r="O113" s="3">
        <f t="shared" si="17"/>
        <v>22.37</v>
      </c>
      <c r="P113" s="3">
        <f t="shared" si="18"/>
        <v>22.57</v>
      </c>
    </row>
    <row r="114" spans="1:16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21.37</v>
      </c>
      <c r="F114">
        <v>20.45</v>
      </c>
      <c r="G114">
        <f t="shared" si="10"/>
        <v>7</v>
      </c>
      <c r="H114">
        <f t="shared" si="11"/>
        <v>21</v>
      </c>
      <c r="I114">
        <f t="shared" si="12"/>
        <v>24.04</v>
      </c>
      <c r="J114">
        <f t="shared" si="13"/>
        <v>21.89</v>
      </c>
      <c r="K114">
        <f t="shared" si="14"/>
        <v>21.37</v>
      </c>
      <c r="L114">
        <f>IF(AND($H114&gt;=5,$H114&lt;=10),F114-1.2,F114)</f>
        <v>20.45</v>
      </c>
      <c r="M114" s="3">
        <f t="shared" si="15"/>
        <v>24.04</v>
      </c>
      <c r="N114" s="3">
        <f t="shared" si="16"/>
        <v>21.89</v>
      </c>
      <c r="O114" s="3">
        <f t="shared" si="17"/>
        <v>21.37</v>
      </c>
      <c r="P114" s="3">
        <f t="shared" si="18"/>
        <v>20.45</v>
      </c>
    </row>
    <row r="115" spans="1:16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20.079999999999998</v>
      </c>
      <c r="F115">
        <v>20.18</v>
      </c>
      <c r="G115">
        <f t="shared" si="10"/>
        <v>7</v>
      </c>
      <c r="H115">
        <f t="shared" si="11"/>
        <v>22</v>
      </c>
      <c r="I115">
        <f t="shared" si="12"/>
        <v>20.96</v>
      </c>
      <c r="J115">
        <f t="shared" si="13"/>
        <v>22.03</v>
      </c>
      <c r="K115">
        <f t="shared" si="14"/>
        <v>20.079999999999998</v>
      </c>
      <c r="L115">
        <f>IF(AND($H115&gt;=5,$H115&lt;=10),F115-1.2,F115)</f>
        <v>20.18</v>
      </c>
      <c r="M115" s="3">
        <f t="shared" si="15"/>
        <v>20.96</v>
      </c>
      <c r="N115" s="3">
        <f t="shared" si="16"/>
        <v>22.03</v>
      </c>
      <c r="O115" s="3">
        <f t="shared" si="17"/>
        <v>20.079999999999998</v>
      </c>
      <c r="P115" s="3">
        <f t="shared" si="18"/>
        <v>20.18</v>
      </c>
    </row>
    <row r="116" spans="1:16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21.6</v>
      </c>
      <c r="F116">
        <v>21.42</v>
      </c>
      <c r="G116">
        <f t="shared" si="10"/>
        <v>7</v>
      </c>
      <c r="H116">
        <f t="shared" si="11"/>
        <v>25</v>
      </c>
      <c r="I116">
        <f t="shared" si="12"/>
        <v>23.01</v>
      </c>
      <c r="J116">
        <f t="shared" si="13"/>
        <v>24.6</v>
      </c>
      <c r="K116">
        <f t="shared" si="14"/>
        <v>21.6</v>
      </c>
      <c r="L116">
        <f>IF(AND($H116&gt;=5,$H116&lt;=10),F116-1.2,F116)</f>
        <v>21.42</v>
      </c>
      <c r="M116" s="3">
        <f t="shared" si="15"/>
        <v>23.01</v>
      </c>
      <c r="N116" s="3">
        <f t="shared" si="16"/>
        <v>24.6</v>
      </c>
      <c r="O116" s="3">
        <f t="shared" si="17"/>
        <v>21.6</v>
      </c>
      <c r="P116" s="3">
        <f t="shared" si="18"/>
        <v>21.42</v>
      </c>
    </row>
    <row r="117" spans="1:16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21.53</v>
      </c>
      <c r="F117">
        <v>21.19</v>
      </c>
      <c r="G117">
        <f t="shared" si="10"/>
        <v>7</v>
      </c>
      <c r="H117">
        <f t="shared" si="11"/>
        <v>30</v>
      </c>
      <c r="I117">
        <f t="shared" si="12"/>
        <v>22.46</v>
      </c>
      <c r="J117">
        <f t="shared" si="13"/>
        <v>24.11</v>
      </c>
      <c r="K117">
        <f t="shared" si="14"/>
        <v>21.53</v>
      </c>
      <c r="L117">
        <f>IF(AND($H117&gt;=5,$H117&lt;=10),F117-1.2,F117)</f>
        <v>21.19</v>
      </c>
      <c r="M117" s="3">
        <f t="shared" si="15"/>
        <v>22.46</v>
      </c>
      <c r="N117" s="3">
        <f t="shared" si="16"/>
        <v>24.11</v>
      </c>
      <c r="O117" s="3">
        <f t="shared" si="17"/>
        <v>21.53</v>
      </c>
      <c r="P117" s="3">
        <f t="shared" si="18"/>
        <v>21.19</v>
      </c>
    </row>
    <row r="118" spans="1:16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21.89</v>
      </c>
      <c r="F118">
        <v>21.04</v>
      </c>
      <c r="G118">
        <f t="shared" si="10"/>
        <v>8</v>
      </c>
      <c r="H118">
        <f t="shared" si="11"/>
        <v>1</v>
      </c>
      <c r="I118">
        <f t="shared" si="12"/>
        <v>21.46</v>
      </c>
      <c r="J118">
        <f t="shared" si="13"/>
        <v>20.81</v>
      </c>
      <c r="K118">
        <f t="shared" si="14"/>
        <v>21.89</v>
      </c>
      <c r="L118">
        <f>IF(AND($H118&gt;=5,$H118&lt;=10),F118-1.2,F118)</f>
        <v>21.04</v>
      </c>
      <c r="M118" s="3">
        <f t="shared" si="15"/>
        <v>21.46</v>
      </c>
      <c r="N118" s="3">
        <f t="shared" si="16"/>
        <v>20.81</v>
      </c>
      <c r="O118" s="3">
        <f t="shared" si="17"/>
        <v>21.89</v>
      </c>
      <c r="P118" s="3">
        <f t="shared" si="18"/>
        <v>21.04</v>
      </c>
    </row>
    <row r="119" spans="1:16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21.89</v>
      </c>
      <c r="F119">
        <v>23.96</v>
      </c>
      <c r="G119">
        <f t="shared" si="10"/>
        <v>8</v>
      </c>
      <c r="H119">
        <f t="shared" si="11"/>
        <v>3</v>
      </c>
      <c r="I119">
        <f t="shared" si="12"/>
        <v>24.3</v>
      </c>
      <c r="J119">
        <f t="shared" si="13"/>
        <v>21.17</v>
      </c>
      <c r="K119">
        <f t="shared" si="14"/>
        <v>21.89</v>
      </c>
      <c r="L119">
        <f>IF(AND($H119&gt;=5,$H119&lt;=10),F119-1.2,F119)</f>
        <v>23.96</v>
      </c>
      <c r="M119" s="3">
        <f t="shared" si="15"/>
        <v>24.3</v>
      </c>
      <c r="N119" s="3">
        <f t="shared" si="16"/>
        <v>21.17</v>
      </c>
      <c r="O119" s="3">
        <f t="shared" si="17"/>
        <v>21.89</v>
      </c>
      <c r="P119" s="3">
        <f t="shared" si="18"/>
        <v>23.96</v>
      </c>
    </row>
    <row r="120" spans="1:16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20.18</v>
      </c>
      <c r="F120">
        <v>20.25</v>
      </c>
      <c r="G120">
        <f t="shared" si="10"/>
        <v>8</v>
      </c>
      <c r="H120">
        <f t="shared" si="11"/>
        <v>5</v>
      </c>
      <c r="I120">
        <f t="shared" si="12"/>
        <v>19.59</v>
      </c>
      <c r="J120">
        <f t="shared" si="13"/>
        <v>18.95</v>
      </c>
      <c r="K120">
        <f t="shared" si="14"/>
        <v>20.18</v>
      </c>
      <c r="L120">
        <f>IF(AND($H120&gt;=5,$H120&lt;=10),F120-1.2,F120)</f>
        <v>19.05</v>
      </c>
      <c r="M120" s="3">
        <f t="shared" si="15"/>
        <v>19.59</v>
      </c>
      <c r="N120" s="3">
        <f t="shared" si="16"/>
        <v>18.95</v>
      </c>
      <c r="O120" s="3">
        <f t="shared" si="17"/>
        <v>20.18</v>
      </c>
      <c r="P120" s="3">
        <f t="shared" si="18"/>
        <v>19.05</v>
      </c>
    </row>
    <row r="121" spans="1:16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22.23</v>
      </c>
      <c r="F121">
        <v>23.64</v>
      </c>
      <c r="G121">
        <f t="shared" si="10"/>
        <v>8</v>
      </c>
      <c r="H121">
        <f t="shared" si="11"/>
        <v>6</v>
      </c>
      <c r="I121">
        <f t="shared" si="12"/>
        <v>23.330000000000002</v>
      </c>
      <c r="J121">
        <f t="shared" si="13"/>
        <v>19.03</v>
      </c>
      <c r="K121">
        <f t="shared" si="14"/>
        <v>22.23</v>
      </c>
      <c r="L121">
        <f>IF(AND($H121&gt;=5,$H121&lt;=10),F121-1.2,F121)</f>
        <v>22.44</v>
      </c>
      <c r="M121" s="3">
        <f t="shared" si="15"/>
        <v>23.330000000000002</v>
      </c>
      <c r="N121" s="3">
        <f t="shared" si="16"/>
        <v>19.03</v>
      </c>
      <c r="O121" s="3">
        <f t="shared" si="17"/>
        <v>22.23</v>
      </c>
      <c r="P121" s="3">
        <f t="shared" si="18"/>
        <v>22.44</v>
      </c>
    </row>
    <row r="122" spans="1:16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24.21</v>
      </c>
      <c r="F122">
        <v>24.25</v>
      </c>
      <c r="G122">
        <f t="shared" si="10"/>
        <v>8</v>
      </c>
      <c r="H122">
        <f t="shared" si="11"/>
        <v>8</v>
      </c>
      <c r="I122">
        <f t="shared" si="12"/>
        <v>21.73</v>
      </c>
      <c r="J122">
        <f t="shared" si="13"/>
        <v>20.63</v>
      </c>
      <c r="K122">
        <f t="shared" si="14"/>
        <v>24.21</v>
      </c>
      <c r="L122">
        <f>IF(AND($H122&gt;=5,$H122&lt;=10),F122-1.2,F122)</f>
        <v>23.05</v>
      </c>
      <c r="M122" s="3">
        <f t="shared" si="15"/>
        <v>21.73</v>
      </c>
      <c r="N122" s="3">
        <f t="shared" si="16"/>
        <v>20.63</v>
      </c>
      <c r="O122" s="3">
        <f t="shared" si="17"/>
        <v>24.21</v>
      </c>
      <c r="P122" s="3">
        <f t="shared" si="18"/>
        <v>23.05</v>
      </c>
    </row>
    <row r="123" spans="1:16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20.29</v>
      </c>
      <c r="F123">
        <v>24.84</v>
      </c>
      <c r="G123">
        <f t="shared" si="10"/>
        <v>8</v>
      </c>
      <c r="H123">
        <f t="shared" si="11"/>
        <v>9</v>
      </c>
      <c r="I123">
        <f t="shared" si="12"/>
        <v>22.41</v>
      </c>
      <c r="J123">
        <f t="shared" si="13"/>
        <v>21.11</v>
      </c>
      <c r="K123">
        <f t="shared" si="14"/>
        <v>20.29</v>
      </c>
      <c r="L123">
        <f>IF(AND($H123&gt;=5,$H123&lt;=10),F123-1.2,F123)</f>
        <v>23.64</v>
      </c>
      <c r="M123" s="3">
        <f t="shared" si="15"/>
        <v>22.41</v>
      </c>
      <c r="N123" s="3">
        <f t="shared" si="16"/>
        <v>21.11</v>
      </c>
      <c r="O123" s="3">
        <f t="shared" si="17"/>
        <v>20.29</v>
      </c>
      <c r="P123" s="3">
        <f t="shared" si="18"/>
        <v>23.64</v>
      </c>
    </row>
    <row r="124" spans="1:16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23.44</v>
      </c>
      <c r="F124">
        <v>23.35</v>
      </c>
      <c r="G124">
        <f t="shared" si="10"/>
        <v>8</v>
      </c>
      <c r="H124">
        <f t="shared" si="11"/>
        <v>12</v>
      </c>
      <c r="I124">
        <f t="shared" si="12"/>
        <v>21.99</v>
      </c>
      <c r="J124">
        <f t="shared" si="13"/>
        <v>21.03</v>
      </c>
      <c r="K124">
        <f t="shared" si="14"/>
        <v>23.44</v>
      </c>
      <c r="L124">
        <f>IF(AND($H124&gt;=5,$H124&lt;=10),F124-1.2,F124)</f>
        <v>23.35</v>
      </c>
      <c r="M124" s="3">
        <f t="shared" si="15"/>
        <v>21.99</v>
      </c>
      <c r="N124" s="3">
        <f t="shared" si="16"/>
        <v>21.03</v>
      </c>
      <c r="O124" s="3">
        <f t="shared" si="17"/>
        <v>23.44</v>
      </c>
      <c r="P124" s="3">
        <f t="shared" si="18"/>
        <v>23.35</v>
      </c>
    </row>
    <row r="125" spans="1:16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20.83</v>
      </c>
      <c r="F125">
        <v>22.24</v>
      </c>
      <c r="G125">
        <f t="shared" si="10"/>
        <v>8</v>
      </c>
      <c r="H125">
        <f t="shared" si="11"/>
        <v>12</v>
      </c>
      <c r="I125">
        <f t="shared" si="12"/>
        <v>21.25</v>
      </c>
      <c r="J125">
        <f t="shared" si="13"/>
        <v>22.63</v>
      </c>
      <c r="K125">
        <f t="shared" si="14"/>
        <v>20.83</v>
      </c>
      <c r="L125">
        <f>IF(AND($H125&gt;=5,$H125&lt;=10),F125-1.2,F125)</f>
        <v>22.24</v>
      </c>
      <c r="M125" s="3">
        <f t="shared" si="15"/>
        <v>21.25</v>
      </c>
      <c r="N125" s="3">
        <f t="shared" si="16"/>
        <v>22.63</v>
      </c>
      <c r="O125" s="3">
        <f t="shared" si="17"/>
        <v>20.83</v>
      </c>
      <c r="P125" s="3">
        <f t="shared" si="18"/>
        <v>22.24</v>
      </c>
    </row>
    <row r="126" spans="1:16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24.52</v>
      </c>
      <c r="F126">
        <v>21.28</v>
      </c>
      <c r="G126">
        <f t="shared" si="10"/>
        <v>8</v>
      </c>
      <c r="H126">
        <f t="shared" si="11"/>
        <v>14</v>
      </c>
      <c r="I126">
        <f t="shared" si="12"/>
        <v>22.19</v>
      </c>
      <c r="J126">
        <f t="shared" si="13"/>
        <v>23.63</v>
      </c>
      <c r="K126">
        <f t="shared" si="14"/>
        <v>24.52</v>
      </c>
      <c r="L126">
        <f>IF(AND($H126&gt;=5,$H126&lt;=10),F126-1.2,F126)</f>
        <v>21.28</v>
      </c>
      <c r="M126" s="3">
        <f t="shared" si="15"/>
        <v>22.19</v>
      </c>
      <c r="N126" s="3">
        <f t="shared" si="16"/>
        <v>23.63</v>
      </c>
      <c r="O126" s="3">
        <f t="shared" si="17"/>
        <v>24.52</v>
      </c>
      <c r="P126" s="3">
        <f t="shared" si="18"/>
        <v>21.28</v>
      </c>
    </row>
    <row r="127" spans="1:16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24.62</v>
      </c>
      <c r="F127">
        <v>20.96</v>
      </c>
      <c r="G127">
        <f t="shared" si="10"/>
        <v>8</v>
      </c>
      <c r="H127">
        <f t="shared" si="11"/>
        <v>17</v>
      </c>
      <c r="I127">
        <f t="shared" si="12"/>
        <v>22.74</v>
      </c>
      <c r="J127">
        <f t="shared" si="13"/>
        <v>20.72</v>
      </c>
      <c r="K127">
        <f t="shared" si="14"/>
        <v>24.62</v>
      </c>
      <c r="L127">
        <f>IF(AND($H127&gt;=5,$H127&lt;=10),F127-1.2,F127)</f>
        <v>20.96</v>
      </c>
      <c r="M127" s="3">
        <f t="shared" si="15"/>
        <v>22.74</v>
      </c>
      <c r="N127" s="3">
        <f t="shared" si="16"/>
        <v>20.72</v>
      </c>
      <c r="O127" s="3">
        <f t="shared" si="17"/>
        <v>24.62</v>
      </c>
      <c r="P127" s="3">
        <f t="shared" si="18"/>
        <v>20.96</v>
      </c>
    </row>
    <row r="128" spans="1:16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22.17</v>
      </c>
      <c r="F128">
        <v>22.32</v>
      </c>
      <c r="G128">
        <f t="shared" si="10"/>
        <v>8</v>
      </c>
      <c r="H128">
        <f t="shared" si="11"/>
        <v>19</v>
      </c>
      <c r="I128">
        <f t="shared" si="12"/>
        <v>24.25</v>
      </c>
      <c r="J128">
        <f t="shared" si="13"/>
        <v>21.83</v>
      </c>
      <c r="K128">
        <f t="shared" si="14"/>
        <v>22.17</v>
      </c>
      <c r="L128">
        <f>IF(AND($H128&gt;=5,$H128&lt;=10),F128-1.2,F128)</f>
        <v>22.32</v>
      </c>
      <c r="M128" s="3">
        <f t="shared" si="15"/>
        <v>24.25</v>
      </c>
      <c r="N128" s="3">
        <f t="shared" si="16"/>
        <v>21.83</v>
      </c>
      <c r="O128" s="3">
        <f t="shared" si="17"/>
        <v>22.17</v>
      </c>
      <c r="P128" s="3">
        <f t="shared" si="18"/>
        <v>22.32</v>
      </c>
    </row>
    <row r="129" spans="1:16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22.05</v>
      </c>
      <c r="F129">
        <v>21.31</v>
      </c>
      <c r="G129">
        <f t="shared" si="10"/>
        <v>8</v>
      </c>
      <c r="H129">
        <f t="shared" si="11"/>
        <v>19</v>
      </c>
      <c r="I129">
        <f t="shared" si="12"/>
        <v>22.33</v>
      </c>
      <c r="J129">
        <f t="shared" si="13"/>
        <v>20</v>
      </c>
      <c r="K129">
        <f t="shared" si="14"/>
        <v>22.05</v>
      </c>
      <c r="L129">
        <f>IF(AND($H129&gt;=5,$H129&lt;=10),F129-1.2,F129)</f>
        <v>21.31</v>
      </c>
      <c r="M129" s="3">
        <f t="shared" si="15"/>
        <v>22.33</v>
      </c>
      <c r="N129" s="3">
        <f t="shared" si="16"/>
        <v>20</v>
      </c>
      <c r="O129" s="3">
        <f t="shared" si="17"/>
        <v>22.05</v>
      </c>
      <c r="P129" s="3">
        <f t="shared" si="18"/>
        <v>21.31</v>
      </c>
    </row>
    <row r="130" spans="1:16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21.6</v>
      </c>
      <c r="F130">
        <v>23</v>
      </c>
      <c r="G130">
        <f t="shared" si="10"/>
        <v>8</v>
      </c>
      <c r="H130">
        <f t="shared" si="11"/>
        <v>19</v>
      </c>
      <c r="I130">
        <f t="shared" si="12"/>
        <v>20.89</v>
      </c>
      <c r="J130">
        <f t="shared" si="13"/>
        <v>20.28</v>
      </c>
      <c r="K130">
        <f t="shared" si="14"/>
        <v>21.6</v>
      </c>
      <c r="L130">
        <f>IF(AND($H130&gt;=5,$H130&lt;=10),F130-1.2,F130)</f>
        <v>23</v>
      </c>
      <c r="M130" s="3">
        <f t="shared" si="15"/>
        <v>20.89</v>
      </c>
      <c r="N130" s="3">
        <f t="shared" si="16"/>
        <v>20.28</v>
      </c>
      <c r="O130" s="3">
        <f t="shared" si="17"/>
        <v>21.6</v>
      </c>
      <c r="P130" s="3">
        <f t="shared" si="18"/>
        <v>23</v>
      </c>
    </row>
    <row r="131" spans="1:16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24.32</v>
      </c>
      <c r="F131">
        <v>20.89</v>
      </c>
      <c r="G131">
        <f t="shared" ref="G131:G194" si="19">MONTH(A131)</f>
        <v>8</v>
      </c>
      <c r="H131">
        <f t="shared" ref="H131:H194" si="20">DAY(A131)</f>
        <v>21</v>
      </c>
      <c r="I131">
        <f t="shared" ref="I131:I194" si="21">IF(AND($H131&gt;=5,$H131&lt;=10),C131-1.2,C131)</f>
        <v>21.25</v>
      </c>
      <c r="J131">
        <f t="shared" ref="J131:J194" si="22">IF(AND($H131&gt;=5,$H131&lt;=10),D131-1.2,D131)</f>
        <v>22.01</v>
      </c>
      <c r="K131">
        <f t="shared" ref="K131:K194" si="23">IF(OR($G$2=7,$G$2=8),ROUNDDOWN(E131+E131*7%,2),E131)</f>
        <v>24.32</v>
      </c>
      <c r="L131">
        <f>IF(AND($H131&gt;=5,$H131&lt;=10),F131-1.2,F131)</f>
        <v>20.89</v>
      </c>
      <c r="M131" s="3">
        <f t="shared" ref="M131:M194" si="24">IF($G131=5,I131+0.9,I131)</f>
        <v>21.25</v>
      </c>
      <c r="N131" s="3">
        <f t="shared" ref="N131:N194" si="25">IF($G131=5,J131+0.9,J131)</f>
        <v>22.01</v>
      </c>
      <c r="O131" s="3">
        <f t="shared" ref="O131:O194" si="26">IF($G131=5,K131+0.9,K131)</f>
        <v>24.32</v>
      </c>
      <c r="P131" s="3">
        <f t="shared" ref="P131:P194" si="27">IF($G131=5,L131+0.9,L131)</f>
        <v>20.89</v>
      </c>
    </row>
    <row r="132" spans="1:16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20.53</v>
      </c>
      <c r="F132">
        <v>23.51</v>
      </c>
      <c r="G132">
        <f t="shared" si="19"/>
        <v>8</v>
      </c>
      <c r="H132">
        <f t="shared" si="20"/>
        <v>21</v>
      </c>
      <c r="I132">
        <f t="shared" si="21"/>
        <v>23.52</v>
      </c>
      <c r="J132">
        <f t="shared" si="22"/>
        <v>21.62</v>
      </c>
      <c r="K132">
        <f t="shared" si="23"/>
        <v>20.53</v>
      </c>
      <c r="L132">
        <f>IF(AND($H132&gt;=5,$H132&lt;=10),F132-1.2,F132)</f>
        <v>23.51</v>
      </c>
      <c r="M132" s="3">
        <f t="shared" si="24"/>
        <v>23.52</v>
      </c>
      <c r="N132" s="3">
        <f t="shared" si="25"/>
        <v>21.62</v>
      </c>
      <c r="O132" s="3">
        <f t="shared" si="26"/>
        <v>20.53</v>
      </c>
      <c r="P132" s="3">
        <f t="shared" si="27"/>
        <v>23.51</v>
      </c>
    </row>
    <row r="133" spans="1:16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24.89</v>
      </c>
      <c r="F133">
        <v>20.12</v>
      </c>
      <c r="G133">
        <f t="shared" si="19"/>
        <v>8</v>
      </c>
      <c r="H133">
        <f t="shared" si="20"/>
        <v>23</v>
      </c>
      <c r="I133">
        <f t="shared" si="21"/>
        <v>20.11</v>
      </c>
      <c r="J133">
        <f t="shared" si="22"/>
        <v>23.11</v>
      </c>
      <c r="K133">
        <f t="shared" si="23"/>
        <v>24.89</v>
      </c>
      <c r="L133">
        <f>IF(AND($H133&gt;=5,$H133&lt;=10),F133-1.2,F133)</f>
        <v>20.12</v>
      </c>
      <c r="M133" s="3">
        <f t="shared" si="24"/>
        <v>20.11</v>
      </c>
      <c r="N133" s="3">
        <f t="shared" si="25"/>
        <v>23.11</v>
      </c>
      <c r="O133" s="3">
        <f t="shared" si="26"/>
        <v>24.89</v>
      </c>
      <c r="P133" s="3">
        <f t="shared" si="27"/>
        <v>20.12</v>
      </c>
    </row>
    <row r="134" spans="1:16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23.02</v>
      </c>
      <c r="F134">
        <v>24.59</v>
      </c>
      <c r="G134">
        <f t="shared" si="19"/>
        <v>8</v>
      </c>
      <c r="H134">
        <f t="shared" si="20"/>
        <v>24</v>
      </c>
      <c r="I134">
        <f t="shared" si="21"/>
        <v>22.99</v>
      </c>
      <c r="J134">
        <f t="shared" si="22"/>
        <v>21.77</v>
      </c>
      <c r="K134">
        <f t="shared" si="23"/>
        <v>23.02</v>
      </c>
      <c r="L134">
        <f>IF(AND($H134&gt;=5,$H134&lt;=10),F134-1.2,F134)</f>
        <v>24.59</v>
      </c>
      <c r="M134" s="3">
        <f t="shared" si="24"/>
        <v>22.99</v>
      </c>
      <c r="N134" s="3">
        <f t="shared" si="25"/>
        <v>21.77</v>
      </c>
      <c r="O134" s="3">
        <f t="shared" si="26"/>
        <v>23.02</v>
      </c>
      <c r="P134" s="3">
        <f t="shared" si="27"/>
        <v>24.59</v>
      </c>
    </row>
    <row r="135" spans="1:16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21.65</v>
      </c>
      <c r="F135">
        <v>24.9</v>
      </c>
      <c r="G135">
        <f t="shared" si="19"/>
        <v>8</v>
      </c>
      <c r="H135">
        <f t="shared" si="20"/>
        <v>24</v>
      </c>
      <c r="I135">
        <f t="shared" si="21"/>
        <v>22.09</v>
      </c>
      <c r="J135">
        <f t="shared" si="22"/>
        <v>22.11</v>
      </c>
      <c r="K135">
        <f t="shared" si="23"/>
        <v>21.65</v>
      </c>
      <c r="L135">
        <f>IF(AND($H135&gt;=5,$H135&lt;=10),F135-1.2,F135)</f>
        <v>24.9</v>
      </c>
      <c r="M135" s="3">
        <f t="shared" si="24"/>
        <v>22.09</v>
      </c>
      <c r="N135" s="3">
        <f t="shared" si="25"/>
        <v>22.11</v>
      </c>
      <c r="O135" s="3">
        <f t="shared" si="26"/>
        <v>21.65</v>
      </c>
      <c r="P135" s="3">
        <f t="shared" si="27"/>
        <v>24.9</v>
      </c>
    </row>
    <row r="136" spans="1:16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21.08</v>
      </c>
      <c r="F136">
        <v>22.52</v>
      </c>
      <c r="G136">
        <f t="shared" si="19"/>
        <v>8</v>
      </c>
      <c r="H136">
        <f t="shared" si="20"/>
        <v>25</v>
      </c>
      <c r="I136">
        <f t="shared" si="21"/>
        <v>22.15</v>
      </c>
      <c r="J136">
        <f t="shared" si="22"/>
        <v>20.68</v>
      </c>
      <c r="K136">
        <f t="shared" si="23"/>
        <v>21.08</v>
      </c>
      <c r="L136">
        <f>IF(AND($H136&gt;=5,$H136&lt;=10),F136-1.2,F136)</f>
        <v>22.52</v>
      </c>
      <c r="M136" s="3">
        <f t="shared" si="24"/>
        <v>22.15</v>
      </c>
      <c r="N136" s="3">
        <f t="shared" si="25"/>
        <v>20.68</v>
      </c>
      <c r="O136" s="3">
        <f t="shared" si="26"/>
        <v>21.08</v>
      </c>
      <c r="P136" s="3">
        <f t="shared" si="27"/>
        <v>22.52</v>
      </c>
    </row>
    <row r="137" spans="1:16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23.15</v>
      </c>
      <c r="F137">
        <v>21.8</v>
      </c>
      <c r="G137">
        <f t="shared" si="19"/>
        <v>8</v>
      </c>
      <c r="H137">
        <f t="shared" si="20"/>
        <v>27</v>
      </c>
      <c r="I137">
        <f t="shared" si="21"/>
        <v>20.149999999999999</v>
      </c>
      <c r="J137">
        <f t="shared" si="22"/>
        <v>21.69</v>
      </c>
      <c r="K137">
        <f t="shared" si="23"/>
        <v>23.15</v>
      </c>
      <c r="L137">
        <f>IF(AND($H137&gt;=5,$H137&lt;=10),F137-1.2,F137)</f>
        <v>21.8</v>
      </c>
      <c r="M137" s="3">
        <f t="shared" si="24"/>
        <v>20.149999999999999</v>
      </c>
      <c r="N137" s="3">
        <f t="shared" si="25"/>
        <v>21.69</v>
      </c>
      <c r="O137" s="3">
        <f t="shared" si="26"/>
        <v>23.15</v>
      </c>
      <c r="P137" s="3">
        <f t="shared" si="27"/>
        <v>21.8</v>
      </c>
    </row>
    <row r="138" spans="1:16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23.45</v>
      </c>
      <c r="F138">
        <v>23.36</v>
      </c>
      <c r="G138">
        <f t="shared" si="19"/>
        <v>8</v>
      </c>
      <c r="H138">
        <f t="shared" si="20"/>
        <v>27</v>
      </c>
      <c r="I138">
        <f t="shared" si="21"/>
        <v>21.66</v>
      </c>
      <c r="J138">
        <f t="shared" si="22"/>
        <v>23.29</v>
      </c>
      <c r="K138">
        <f t="shared" si="23"/>
        <v>23.45</v>
      </c>
      <c r="L138">
        <f>IF(AND($H138&gt;=5,$H138&lt;=10),F138-1.2,F138)</f>
        <v>23.36</v>
      </c>
      <c r="M138" s="3">
        <f t="shared" si="24"/>
        <v>21.66</v>
      </c>
      <c r="N138" s="3">
        <f t="shared" si="25"/>
        <v>23.29</v>
      </c>
      <c r="O138" s="3">
        <f t="shared" si="26"/>
        <v>23.45</v>
      </c>
      <c r="P138" s="3">
        <f t="shared" si="27"/>
        <v>23.36</v>
      </c>
    </row>
    <row r="139" spans="1:16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20.53</v>
      </c>
      <c r="F139">
        <v>22.69</v>
      </c>
      <c r="G139">
        <f t="shared" si="19"/>
        <v>8</v>
      </c>
      <c r="H139">
        <f t="shared" si="20"/>
        <v>28</v>
      </c>
      <c r="I139">
        <f t="shared" si="21"/>
        <v>20.57</v>
      </c>
      <c r="J139">
        <f t="shared" si="22"/>
        <v>21.99</v>
      </c>
      <c r="K139">
        <f t="shared" si="23"/>
        <v>20.53</v>
      </c>
      <c r="L139">
        <f>IF(AND($H139&gt;=5,$H139&lt;=10),F139-1.2,F139)</f>
        <v>22.69</v>
      </c>
      <c r="M139" s="3">
        <f t="shared" si="24"/>
        <v>20.57</v>
      </c>
      <c r="N139" s="3">
        <f t="shared" si="25"/>
        <v>21.99</v>
      </c>
      <c r="O139" s="3">
        <f t="shared" si="26"/>
        <v>20.53</v>
      </c>
      <c r="P139" s="3">
        <f t="shared" si="27"/>
        <v>22.69</v>
      </c>
    </row>
    <row r="140" spans="1:16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20.41</v>
      </c>
      <c r="F140">
        <v>20.39</v>
      </c>
      <c r="G140">
        <f t="shared" si="19"/>
        <v>8</v>
      </c>
      <c r="H140">
        <f t="shared" si="20"/>
        <v>29</v>
      </c>
      <c r="I140">
        <f t="shared" si="21"/>
        <v>21.59</v>
      </c>
      <c r="J140">
        <f t="shared" si="22"/>
        <v>23.58</v>
      </c>
      <c r="K140">
        <f t="shared" si="23"/>
        <v>20.41</v>
      </c>
      <c r="L140">
        <f>IF(AND($H140&gt;=5,$H140&lt;=10),F140-1.2,F140)</f>
        <v>20.39</v>
      </c>
      <c r="M140" s="3">
        <f t="shared" si="24"/>
        <v>21.59</v>
      </c>
      <c r="N140" s="3">
        <f t="shared" si="25"/>
        <v>23.58</v>
      </c>
      <c r="O140" s="3">
        <f t="shared" si="26"/>
        <v>20.41</v>
      </c>
      <c r="P140" s="3">
        <f t="shared" si="27"/>
        <v>20.39</v>
      </c>
    </row>
    <row r="141" spans="1:16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20.95</v>
      </c>
      <c r="F141">
        <v>21.69</v>
      </c>
      <c r="G141">
        <f t="shared" si="19"/>
        <v>8</v>
      </c>
      <c r="H141">
        <f t="shared" si="20"/>
        <v>29</v>
      </c>
      <c r="I141">
        <f t="shared" si="21"/>
        <v>20.93</v>
      </c>
      <c r="J141">
        <f t="shared" si="22"/>
        <v>20.239999999999998</v>
      </c>
      <c r="K141">
        <f t="shared" si="23"/>
        <v>20.95</v>
      </c>
      <c r="L141">
        <f>IF(AND($H141&gt;=5,$H141&lt;=10),F141-1.2,F141)</f>
        <v>21.69</v>
      </c>
      <c r="M141" s="3">
        <f t="shared" si="24"/>
        <v>20.93</v>
      </c>
      <c r="N141" s="3">
        <f t="shared" si="25"/>
        <v>20.239999999999998</v>
      </c>
      <c r="O141" s="3">
        <f t="shared" si="26"/>
        <v>20.95</v>
      </c>
      <c r="P141" s="3">
        <f t="shared" si="27"/>
        <v>21.69</v>
      </c>
    </row>
    <row r="142" spans="1:16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15.18</v>
      </c>
      <c r="F142">
        <v>12.67</v>
      </c>
      <c r="G142">
        <f t="shared" si="19"/>
        <v>9</v>
      </c>
      <c r="H142">
        <f t="shared" si="20"/>
        <v>3</v>
      </c>
      <c r="I142">
        <f t="shared" si="21"/>
        <v>16.41</v>
      </c>
      <c r="J142">
        <f t="shared" si="22"/>
        <v>15.29</v>
      </c>
      <c r="K142">
        <f t="shared" si="23"/>
        <v>15.18</v>
      </c>
      <c r="L142">
        <f>IF(AND($H142&gt;=5,$H142&lt;=10),F142-1.2,F142)</f>
        <v>12.67</v>
      </c>
      <c r="M142" s="3">
        <f t="shared" si="24"/>
        <v>16.41</v>
      </c>
      <c r="N142" s="3">
        <f t="shared" si="25"/>
        <v>15.29</v>
      </c>
      <c r="O142" s="3">
        <f t="shared" si="26"/>
        <v>15.18</v>
      </c>
      <c r="P142" s="3">
        <f t="shared" si="27"/>
        <v>12.67</v>
      </c>
    </row>
    <row r="143" spans="1:16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17.579999999999998</v>
      </c>
      <c r="F143">
        <v>14.73</v>
      </c>
      <c r="G143">
        <f t="shared" si="19"/>
        <v>9</v>
      </c>
      <c r="H143">
        <f t="shared" si="20"/>
        <v>3</v>
      </c>
      <c r="I143">
        <f t="shared" si="21"/>
        <v>16.52</v>
      </c>
      <c r="J143">
        <f t="shared" si="22"/>
        <v>12.24</v>
      </c>
      <c r="K143">
        <f t="shared" si="23"/>
        <v>17.579999999999998</v>
      </c>
      <c r="L143">
        <f>IF(AND($H143&gt;=5,$H143&lt;=10),F143-1.2,F143)</f>
        <v>14.73</v>
      </c>
      <c r="M143" s="3">
        <f t="shared" si="24"/>
        <v>16.52</v>
      </c>
      <c r="N143" s="3">
        <f t="shared" si="25"/>
        <v>12.24</v>
      </c>
      <c r="O143" s="3">
        <f t="shared" si="26"/>
        <v>17.579999999999998</v>
      </c>
      <c r="P143" s="3">
        <f t="shared" si="27"/>
        <v>14.73</v>
      </c>
    </row>
    <row r="144" spans="1:16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14.27</v>
      </c>
      <c r="F144">
        <v>12.07</v>
      </c>
      <c r="G144">
        <f t="shared" si="19"/>
        <v>9</v>
      </c>
      <c r="H144">
        <f t="shared" si="20"/>
        <v>4</v>
      </c>
      <c r="I144">
        <f t="shared" si="21"/>
        <v>13.93</v>
      </c>
      <c r="J144">
        <f t="shared" si="22"/>
        <v>15.26</v>
      </c>
      <c r="K144">
        <f t="shared" si="23"/>
        <v>14.27</v>
      </c>
      <c r="L144">
        <f>IF(AND($H144&gt;=5,$H144&lt;=10),F144-1.2,F144)</f>
        <v>12.07</v>
      </c>
      <c r="M144" s="3">
        <f t="shared" si="24"/>
        <v>13.93</v>
      </c>
      <c r="N144" s="3">
        <f t="shared" si="25"/>
        <v>15.26</v>
      </c>
      <c r="O144" s="3">
        <f t="shared" si="26"/>
        <v>14.27</v>
      </c>
      <c r="P144" s="3">
        <f t="shared" si="27"/>
        <v>12.07</v>
      </c>
    </row>
    <row r="145" spans="1:16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17.36</v>
      </c>
      <c r="F145">
        <v>16.77</v>
      </c>
      <c r="G145">
        <f t="shared" si="19"/>
        <v>9</v>
      </c>
      <c r="H145">
        <f t="shared" si="20"/>
        <v>6</v>
      </c>
      <c r="I145">
        <f t="shared" si="21"/>
        <v>9.0400000000000009</v>
      </c>
      <c r="J145">
        <f t="shared" si="22"/>
        <v>16.810000000000002</v>
      </c>
      <c r="K145">
        <f t="shared" si="23"/>
        <v>17.36</v>
      </c>
      <c r="L145">
        <f>IF(AND($H145&gt;=5,$H145&lt;=10),F145-1.2,F145)</f>
        <v>15.57</v>
      </c>
      <c r="M145" s="3">
        <f t="shared" si="24"/>
        <v>9.0400000000000009</v>
      </c>
      <c r="N145" s="3">
        <f t="shared" si="25"/>
        <v>16.810000000000002</v>
      </c>
      <c r="O145" s="3">
        <f t="shared" si="26"/>
        <v>17.36</v>
      </c>
      <c r="P145" s="3">
        <f t="shared" si="27"/>
        <v>15.57</v>
      </c>
    </row>
    <row r="146" spans="1:16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18.66</v>
      </c>
      <c r="F146">
        <v>14.11</v>
      </c>
      <c r="G146">
        <f t="shared" si="19"/>
        <v>9</v>
      </c>
      <c r="H146">
        <f t="shared" si="20"/>
        <v>6</v>
      </c>
      <c r="I146">
        <f t="shared" si="21"/>
        <v>16.36</v>
      </c>
      <c r="J146">
        <f t="shared" si="22"/>
        <v>13.620000000000001</v>
      </c>
      <c r="K146">
        <f t="shared" si="23"/>
        <v>18.66</v>
      </c>
      <c r="L146">
        <f>IF(AND($H146&gt;=5,$H146&lt;=10),F146-1.2,F146)</f>
        <v>12.91</v>
      </c>
      <c r="M146" s="3">
        <f t="shared" si="24"/>
        <v>16.36</v>
      </c>
      <c r="N146" s="3">
        <f t="shared" si="25"/>
        <v>13.620000000000001</v>
      </c>
      <c r="O146" s="3">
        <f t="shared" si="26"/>
        <v>18.66</v>
      </c>
      <c r="P146" s="3">
        <f t="shared" si="27"/>
        <v>12.91</v>
      </c>
    </row>
    <row r="147" spans="1:16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13.05</v>
      </c>
      <c r="F147">
        <v>13.95</v>
      </c>
      <c r="G147">
        <f t="shared" si="19"/>
        <v>9</v>
      </c>
      <c r="H147">
        <f t="shared" si="20"/>
        <v>13</v>
      </c>
      <c r="I147">
        <f t="shared" si="21"/>
        <v>13.59</v>
      </c>
      <c r="J147">
        <f t="shared" si="22"/>
        <v>11.82</v>
      </c>
      <c r="K147">
        <f t="shared" si="23"/>
        <v>13.05</v>
      </c>
      <c r="L147">
        <f>IF(AND($H147&gt;=5,$H147&lt;=10),F147-1.2,F147)</f>
        <v>13.95</v>
      </c>
      <c r="M147" s="3">
        <f t="shared" si="24"/>
        <v>13.59</v>
      </c>
      <c r="N147" s="3">
        <f t="shared" si="25"/>
        <v>11.82</v>
      </c>
      <c r="O147" s="3">
        <f t="shared" si="26"/>
        <v>13.05</v>
      </c>
      <c r="P147" s="3">
        <f t="shared" si="27"/>
        <v>13.95</v>
      </c>
    </row>
    <row r="148" spans="1:16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19.899999999999999</v>
      </c>
      <c r="F148">
        <v>10.16</v>
      </c>
      <c r="G148">
        <f t="shared" si="19"/>
        <v>9</v>
      </c>
      <c r="H148">
        <f t="shared" si="20"/>
        <v>14</v>
      </c>
      <c r="I148">
        <f t="shared" si="21"/>
        <v>12.35</v>
      </c>
      <c r="J148">
        <f t="shared" si="22"/>
        <v>18.39</v>
      </c>
      <c r="K148">
        <f t="shared" si="23"/>
        <v>19.899999999999999</v>
      </c>
      <c r="L148">
        <f>IF(AND($H148&gt;=5,$H148&lt;=10),F148-1.2,F148)</f>
        <v>10.16</v>
      </c>
      <c r="M148" s="3">
        <f t="shared" si="24"/>
        <v>12.35</v>
      </c>
      <c r="N148" s="3">
        <f t="shared" si="25"/>
        <v>18.39</v>
      </c>
      <c r="O148" s="3">
        <f t="shared" si="26"/>
        <v>19.899999999999999</v>
      </c>
      <c r="P148" s="3">
        <f t="shared" si="27"/>
        <v>10.16</v>
      </c>
    </row>
    <row r="149" spans="1:16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13.4</v>
      </c>
      <c r="F149">
        <v>15.05</v>
      </c>
      <c r="G149">
        <f t="shared" si="19"/>
        <v>9</v>
      </c>
      <c r="H149">
        <f t="shared" si="20"/>
        <v>15</v>
      </c>
      <c r="I149">
        <f t="shared" si="21"/>
        <v>14.18</v>
      </c>
      <c r="J149">
        <f t="shared" si="22"/>
        <v>18.43</v>
      </c>
      <c r="K149">
        <f t="shared" si="23"/>
        <v>13.4</v>
      </c>
      <c r="L149">
        <f>IF(AND($H149&gt;=5,$H149&lt;=10),F149-1.2,F149)</f>
        <v>15.05</v>
      </c>
      <c r="M149" s="3">
        <f t="shared" si="24"/>
        <v>14.18</v>
      </c>
      <c r="N149" s="3">
        <f t="shared" si="25"/>
        <v>18.43</v>
      </c>
      <c r="O149" s="3">
        <f t="shared" si="26"/>
        <v>13.4</v>
      </c>
      <c r="P149" s="3">
        <f t="shared" si="27"/>
        <v>15.05</v>
      </c>
    </row>
    <row r="150" spans="1:16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15.2</v>
      </c>
      <c r="F150">
        <v>16.13</v>
      </c>
      <c r="G150">
        <f t="shared" si="19"/>
        <v>9</v>
      </c>
      <c r="H150">
        <f t="shared" si="20"/>
        <v>18</v>
      </c>
      <c r="I150">
        <f t="shared" si="21"/>
        <v>14.63</v>
      </c>
      <c r="J150">
        <f t="shared" si="22"/>
        <v>10.26</v>
      </c>
      <c r="K150">
        <f t="shared" si="23"/>
        <v>15.2</v>
      </c>
      <c r="L150">
        <f>IF(AND($H150&gt;=5,$H150&lt;=10),F150-1.2,F150)</f>
        <v>16.13</v>
      </c>
      <c r="M150" s="3">
        <f t="shared" si="24"/>
        <v>14.63</v>
      </c>
      <c r="N150" s="3">
        <f t="shared" si="25"/>
        <v>10.26</v>
      </c>
      <c r="O150" s="3">
        <f t="shared" si="26"/>
        <v>15.2</v>
      </c>
      <c r="P150" s="3">
        <f t="shared" si="27"/>
        <v>16.13</v>
      </c>
    </row>
    <row r="151" spans="1:16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13.23</v>
      </c>
      <c r="F151">
        <v>16.34</v>
      </c>
      <c r="G151">
        <f t="shared" si="19"/>
        <v>9</v>
      </c>
      <c r="H151">
        <f t="shared" si="20"/>
        <v>21</v>
      </c>
      <c r="I151">
        <f t="shared" si="21"/>
        <v>19.21</v>
      </c>
      <c r="J151">
        <f t="shared" si="22"/>
        <v>19.71</v>
      </c>
      <c r="K151">
        <f t="shared" si="23"/>
        <v>13.23</v>
      </c>
      <c r="L151">
        <f>IF(AND($H151&gt;=5,$H151&lt;=10),F151-1.2,F151)</f>
        <v>16.34</v>
      </c>
      <c r="M151" s="3">
        <f t="shared" si="24"/>
        <v>19.21</v>
      </c>
      <c r="N151" s="3">
        <f t="shared" si="25"/>
        <v>19.71</v>
      </c>
      <c r="O151" s="3">
        <f t="shared" si="26"/>
        <v>13.23</v>
      </c>
      <c r="P151" s="3">
        <f t="shared" si="27"/>
        <v>16.34</v>
      </c>
    </row>
    <row r="152" spans="1:16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19.399999999999999</v>
      </c>
      <c r="F152">
        <v>12.84</v>
      </c>
      <c r="G152">
        <f t="shared" si="19"/>
        <v>9</v>
      </c>
      <c r="H152">
        <f t="shared" si="20"/>
        <v>22</v>
      </c>
      <c r="I152">
        <f t="shared" si="21"/>
        <v>15.89</v>
      </c>
      <c r="J152">
        <f t="shared" si="22"/>
        <v>17.95</v>
      </c>
      <c r="K152">
        <f t="shared" si="23"/>
        <v>19.399999999999999</v>
      </c>
      <c r="L152">
        <f>IF(AND($H152&gt;=5,$H152&lt;=10),F152-1.2,F152)</f>
        <v>12.84</v>
      </c>
      <c r="M152" s="3">
        <f t="shared" si="24"/>
        <v>15.89</v>
      </c>
      <c r="N152" s="3">
        <f t="shared" si="25"/>
        <v>17.95</v>
      </c>
      <c r="O152" s="3">
        <f t="shared" si="26"/>
        <v>19.399999999999999</v>
      </c>
      <c r="P152" s="3">
        <f t="shared" si="27"/>
        <v>12.84</v>
      </c>
    </row>
    <row r="153" spans="1:16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18.350000000000001</v>
      </c>
      <c r="F153">
        <v>12.69</v>
      </c>
      <c r="G153">
        <f t="shared" si="19"/>
        <v>9</v>
      </c>
      <c r="H153">
        <f t="shared" si="20"/>
        <v>22</v>
      </c>
      <c r="I153">
        <f t="shared" si="21"/>
        <v>18.32</v>
      </c>
      <c r="J153">
        <f t="shared" si="22"/>
        <v>19.73</v>
      </c>
      <c r="K153">
        <f t="shared" si="23"/>
        <v>18.350000000000001</v>
      </c>
      <c r="L153">
        <f>IF(AND($H153&gt;=5,$H153&lt;=10),F153-1.2,F153)</f>
        <v>12.69</v>
      </c>
      <c r="M153" s="3">
        <f t="shared" si="24"/>
        <v>18.32</v>
      </c>
      <c r="N153" s="3">
        <f t="shared" si="25"/>
        <v>19.73</v>
      </c>
      <c r="O153" s="3">
        <f t="shared" si="26"/>
        <v>18.350000000000001</v>
      </c>
      <c r="P153" s="3">
        <f t="shared" si="27"/>
        <v>12.69</v>
      </c>
    </row>
    <row r="154" spans="1:16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19.489999999999998</v>
      </c>
      <c r="F154">
        <v>13.76</v>
      </c>
      <c r="G154">
        <f t="shared" si="19"/>
        <v>9</v>
      </c>
      <c r="H154">
        <f t="shared" si="20"/>
        <v>23</v>
      </c>
      <c r="I154">
        <f t="shared" si="21"/>
        <v>13.6</v>
      </c>
      <c r="J154">
        <f t="shared" si="22"/>
        <v>12.67</v>
      </c>
      <c r="K154">
        <f t="shared" si="23"/>
        <v>19.489999999999998</v>
      </c>
      <c r="L154">
        <f>IF(AND($H154&gt;=5,$H154&lt;=10),F154-1.2,F154)</f>
        <v>13.76</v>
      </c>
      <c r="M154" s="3">
        <f t="shared" si="24"/>
        <v>13.6</v>
      </c>
      <c r="N154" s="3">
        <f t="shared" si="25"/>
        <v>12.67</v>
      </c>
      <c r="O154" s="3">
        <f t="shared" si="26"/>
        <v>19.489999999999998</v>
      </c>
      <c r="P154" s="3">
        <f t="shared" si="27"/>
        <v>13.76</v>
      </c>
    </row>
    <row r="155" spans="1:16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13.01</v>
      </c>
      <c r="F155">
        <v>17.21</v>
      </c>
      <c r="G155">
        <f t="shared" si="19"/>
        <v>9</v>
      </c>
      <c r="H155">
        <f t="shared" si="20"/>
        <v>26</v>
      </c>
      <c r="I155">
        <f t="shared" si="21"/>
        <v>10.199999999999999</v>
      </c>
      <c r="J155">
        <f t="shared" si="22"/>
        <v>14.87</v>
      </c>
      <c r="K155">
        <f t="shared" si="23"/>
        <v>13.01</v>
      </c>
      <c r="L155">
        <f>IF(AND($H155&gt;=5,$H155&lt;=10),F155-1.2,F155)</f>
        <v>17.21</v>
      </c>
      <c r="M155" s="3">
        <f t="shared" si="24"/>
        <v>10.199999999999999</v>
      </c>
      <c r="N155" s="3">
        <f t="shared" si="25"/>
        <v>14.87</v>
      </c>
      <c r="O155" s="3">
        <f t="shared" si="26"/>
        <v>13.01</v>
      </c>
      <c r="P155" s="3">
        <f t="shared" si="27"/>
        <v>17.21</v>
      </c>
    </row>
    <row r="156" spans="1:16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17.5</v>
      </c>
      <c r="F156">
        <v>12.26</v>
      </c>
      <c r="G156">
        <f t="shared" si="19"/>
        <v>9</v>
      </c>
      <c r="H156">
        <f t="shared" si="20"/>
        <v>28</v>
      </c>
      <c r="I156">
        <f t="shared" si="21"/>
        <v>18.23</v>
      </c>
      <c r="J156">
        <f t="shared" si="22"/>
        <v>10.62</v>
      </c>
      <c r="K156">
        <f t="shared" si="23"/>
        <v>17.5</v>
      </c>
      <c r="L156">
        <f>IF(AND($H156&gt;=5,$H156&lt;=10),F156-1.2,F156)</f>
        <v>12.26</v>
      </c>
      <c r="M156" s="3">
        <f t="shared" si="24"/>
        <v>18.23</v>
      </c>
      <c r="N156" s="3">
        <f t="shared" si="25"/>
        <v>10.62</v>
      </c>
      <c r="O156" s="3">
        <f t="shared" si="26"/>
        <v>17.5</v>
      </c>
      <c r="P156" s="3">
        <f t="shared" si="27"/>
        <v>12.26</v>
      </c>
    </row>
    <row r="157" spans="1:16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19.72</v>
      </c>
      <c r="F157">
        <v>15.04</v>
      </c>
      <c r="G157">
        <f t="shared" si="19"/>
        <v>10</v>
      </c>
      <c r="H157">
        <f t="shared" si="20"/>
        <v>2</v>
      </c>
      <c r="I157">
        <f t="shared" si="21"/>
        <v>10.99</v>
      </c>
      <c r="J157">
        <f t="shared" si="22"/>
        <v>19.11</v>
      </c>
      <c r="K157">
        <f t="shared" si="23"/>
        <v>19.72</v>
      </c>
      <c r="L157">
        <f>IF(AND($H157&gt;=5,$H157&lt;=10),F157-1.2,F157)</f>
        <v>15.04</v>
      </c>
      <c r="M157" s="3">
        <f t="shared" si="24"/>
        <v>10.99</v>
      </c>
      <c r="N157" s="3">
        <f t="shared" si="25"/>
        <v>19.11</v>
      </c>
      <c r="O157" s="3">
        <f t="shared" si="26"/>
        <v>19.72</v>
      </c>
      <c r="P157" s="3">
        <f t="shared" si="27"/>
        <v>15.04</v>
      </c>
    </row>
    <row r="158" spans="1:16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13.64</v>
      </c>
      <c r="F158">
        <v>10.43</v>
      </c>
      <c r="G158">
        <f t="shared" si="19"/>
        <v>10</v>
      </c>
      <c r="H158">
        <f t="shared" si="20"/>
        <v>4</v>
      </c>
      <c r="I158">
        <f t="shared" si="21"/>
        <v>16.5</v>
      </c>
      <c r="J158">
        <f t="shared" si="22"/>
        <v>18.18</v>
      </c>
      <c r="K158">
        <f t="shared" si="23"/>
        <v>13.64</v>
      </c>
      <c r="L158">
        <f>IF(AND($H158&gt;=5,$H158&lt;=10),F158-1.2,F158)</f>
        <v>10.43</v>
      </c>
      <c r="M158" s="3">
        <f t="shared" si="24"/>
        <v>16.5</v>
      </c>
      <c r="N158" s="3">
        <f t="shared" si="25"/>
        <v>18.18</v>
      </c>
      <c r="O158" s="3">
        <f t="shared" si="26"/>
        <v>13.64</v>
      </c>
      <c r="P158" s="3">
        <f t="shared" si="27"/>
        <v>10.43</v>
      </c>
    </row>
    <row r="159" spans="1:16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12.57</v>
      </c>
      <c r="F159">
        <v>19.2</v>
      </c>
      <c r="G159">
        <f t="shared" si="19"/>
        <v>10</v>
      </c>
      <c r="H159">
        <f t="shared" si="20"/>
        <v>4</v>
      </c>
      <c r="I159">
        <f t="shared" si="21"/>
        <v>14.76</v>
      </c>
      <c r="J159">
        <f t="shared" si="22"/>
        <v>10.74</v>
      </c>
      <c r="K159">
        <f t="shared" si="23"/>
        <v>12.57</v>
      </c>
      <c r="L159">
        <f>IF(AND($H159&gt;=5,$H159&lt;=10),F159-1.2,F159)</f>
        <v>19.2</v>
      </c>
      <c r="M159" s="3">
        <f t="shared" si="24"/>
        <v>14.76</v>
      </c>
      <c r="N159" s="3">
        <f t="shared" si="25"/>
        <v>10.74</v>
      </c>
      <c r="O159" s="3">
        <f t="shared" si="26"/>
        <v>12.57</v>
      </c>
      <c r="P159" s="3">
        <f t="shared" si="27"/>
        <v>19.2</v>
      </c>
    </row>
    <row r="160" spans="1:16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15.96</v>
      </c>
      <c r="F160">
        <v>11.27</v>
      </c>
      <c r="G160">
        <f t="shared" si="19"/>
        <v>10</v>
      </c>
      <c r="H160">
        <f t="shared" si="20"/>
        <v>7</v>
      </c>
      <c r="I160">
        <f t="shared" si="21"/>
        <v>17.95</v>
      </c>
      <c r="J160">
        <f t="shared" si="22"/>
        <v>14.15</v>
      </c>
      <c r="K160">
        <f t="shared" si="23"/>
        <v>15.96</v>
      </c>
      <c r="L160">
        <f>IF(AND($H160&gt;=5,$H160&lt;=10),F160-1.2,F160)</f>
        <v>10.07</v>
      </c>
      <c r="M160" s="3">
        <f t="shared" si="24"/>
        <v>17.95</v>
      </c>
      <c r="N160" s="3">
        <f t="shared" si="25"/>
        <v>14.15</v>
      </c>
      <c r="O160" s="3">
        <f t="shared" si="26"/>
        <v>15.96</v>
      </c>
      <c r="P160" s="3">
        <f t="shared" si="27"/>
        <v>10.07</v>
      </c>
    </row>
    <row r="161" spans="1:16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11.83</v>
      </c>
      <c r="F161">
        <v>15.26</v>
      </c>
      <c r="G161">
        <f t="shared" si="19"/>
        <v>10</v>
      </c>
      <c r="H161">
        <f t="shared" si="20"/>
        <v>10</v>
      </c>
      <c r="I161">
        <f t="shared" si="21"/>
        <v>13.32</v>
      </c>
      <c r="J161">
        <f t="shared" si="22"/>
        <v>14.16</v>
      </c>
      <c r="K161">
        <f t="shared" si="23"/>
        <v>11.83</v>
      </c>
      <c r="L161">
        <f>IF(AND($H161&gt;=5,$H161&lt;=10),F161-1.2,F161)</f>
        <v>14.06</v>
      </c>
      <c r="M161" s="3">
        <f t="shared" si="24"/>
        <v>13.32</v>
      </c>
      <c r="N161" s="3">
        <f t="shared" si="25"/>
        <v>14.16</v>
      </c>
      <c r="O161" s="3">
        <f t="shared" si="26"/>
        <v>11.83</v>
      </c>
      <c r="P161" s="3">
        <f t="shared" si="27"/>
        <v>14.06</v>
      </c>
    </row>
    <row r="162" spans="1:16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19.96</v>
      </c>
      <c r="F162">
        <v>19.989999999999998</v>
      </c>
      <c r="G162">
        <f t="shared" si="19"/>
        <v>10</v>
      </c>
      <c r="H162">
        <f t="shared" si="20"/>
        <v>11</v>
      </c>
      <c r="I162">
        <f t="shared" si="21"/>
        <v>14.04</v>
      </c>
      <c r="J162">
        <f t="shared" si="22"/>
        <v>12.39</v>
      </c>
      <c r="K162">
        <f t="shared" si="23"/>
        <v>19.96</v>
      </c>
      <c r="L162">
        <f>IF(AND($H162&gt;=5,$H162&lt;=10),F162-1.2,F162)</f>
        <v>19.989999999999998</v>
      </c>
      <c r="M162" s="3">
        <f t="shared" si="24"/>
        <v>14.04</v>
      </c>
      <c r="N162" s="3">
        <f t="shared" si="25"/>
        <v>12.39</v>
      </c>
      <c r="O162" s="3">
        <f t="shared" si="26"/>
        <v>19.96</v>
      </c>
      <c r="P162" s="3">
        <f t="shared" si="27"/>
        <v>19.989999999999998</v>
      </c>
    </row>
    <row r="163" spans="1:16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14.66</v>
      </c>
      <c r="F163">
        <v>19.100000000000001</v>
      </c>
      <c r="G163">
        <f t="shared" si="19"/>
        <v>10</v>
      </c>
      <c r="H163">
        <f t="shared" si="20"/>
        <v>11</v>
      </c>
      <c r="I163">
        <f t="shared" si="21"/>
        <v>15.75</v>
      </c>
      <c r="J163">
        <f t="shared" si="22"/>
        <v>18.39</v>
      </c>
      <c r="K163">
        <f t="shared" si="23"/>
        <v>14.66</v>
      </c>
      <c r="L163">
        <f>IF(AND($H163&gt;=5,$H163&lt;=10),F163-1.2,F163)</f>
        <v>19.100000000000001</v>
      </c>
      <c r="M163" s="3">
        <f t="shared" si="24"/>
        <v>15.75</v>
      </c>
      <c r="N163" s="3">
        <f t="shared" si="25"/>
        <v>18.39</v>
      </c>
      <c r="O163" s="3">
        <f t="shared" si="26"/>
        <v>14.66</v>
      </c>
      <c r="P163" s="3">
        <f t="shared" si="27"/>
        <v>19.100000000000001</v>
      </c>
    </row>
    <row r="164" spans="1:16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18.84</v>
      </c>
      <c r="F164">
        <v>10.7</v>
      </c>
      <c r="G164">
        <f t="shared" si="19"/>
        <v>10</v>
      </c>
      <c r="H164">
        <f t="shared" si="20"/>
        <v>11</v>
      </c>
      <c r="I164">
        <f t="shared" si="21"/>
        <v>14.16</v>
      </c>
      <c r="J164">
        <f t="shared" si="22"/>
        <v>19.989999999999998</v>
      </c>
      <c r="K164">
        <f t="shared" si="23"/>
        <v>18.84</v>
      </c>
      <c r="L164">
        <f>IF(AND($H164&gt;=5,$H164&lt;=10),F164-1.2,F164)</f>
        <v>10.7</v>
      </c>
      <c r="M164" s="3">
        <f t="shared" si="24"/>
        <v>14.16</v>
      </c>
      <c r="N164" s="3">
        <f t="shared" si="25"/>
        <v>19.989999999999998</v>
      </c>
      <c r="O164" s="3">
        <f t="shared" si="26"/>
        <v>18.84</v>
      </c>
      <c r="P164" s="3">
        <f t="shared" si="27"/>
        <v>10.7</v>
      </c>
    </row>
    <row r="165" spans="1:16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18.420000000000002</v>
      </c>
      <c r="F165">
        <v>14.05</v>
      </c>
      <c r="G165">
        <f t="shared" si="19"/>
        <v>10</v>
      </c>
      <c r="H165">
        <f t="shared" si="20"/>
        <v>12</v>
      </c>
      <c r="I165">
        <f t="shared" si="21"/>
        <v>17.32</v>
      </c>
      <c r="J165">
        <f t="shared" si="22"/>
        <v>10.029999999999999</v>
      </c>
      <c r="K165">
        <f t="shared" si="23"/>
        <v>18.420000000000002</v>
      </c>
      <c r="L165">
        <f>IF(AND($H165&gt;=5,$H165&lt;=10),F165-1.2,F165)</f>
        <v>14.05</v>
      </c>
      <c r="M165" s="3">
        <f t="shared" si="24"/>
        <v>17.32</v>
      </c>
      <c r="N165" s="3">
        <f t="shared" si="25"/>
        <v>10.029999999999999</v>
      </c>
      <c r="O165" s="3">
        <f t="shared" si="26"/>
        <v>18.420000000000002</v>
      </c>
      <c r="P165" s="3">
        <f t="shared" si="27"/>
        <v>14.05</v>
      </c>
    </row>
    <row r="166" spans="1:16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16.41</v>
      </c>
      <c r="F166">
        <v>18.29</v>
      </c>
      <c r="G166">
        <f t="shared" si="19"/>
        <v>10</v>
      </c>
      <c r="H166">
        <f t="shared" si="20"/>
        <v>14</v>
      </c>
      <c r="I166">
        <f t="shared" si="21"/>
        <v>17.7</v>
      </c>
      <c r="J166">
        <f t="shared" si="22"/>
        <v>12.05</v>
      </c>
      <c r="K166">
        <f t="shared" si="23"/>
        <v>16.41</v>
      </c>
      <c r="L166">
        <f>IF(AND($H166&gt;=5,$H166&lt;=10),F166-1.2,F166)</f>
        <v>18.29</v>
      </c>
      <c r="M166" s="3">
        <f t="shared" si="24"/>
        <v>17.7</v>
      </c>
      <c r="N166" s="3">
        <f t="shared" si="25"/>
        <v>12.05</v>
      </c>
      <c r="O166" s="3">
        <f t="shared" si="26"/>
        <v>16.41</v>
      </c>
      <c r="P166" s="3">
        <f t="shared" si="27"/>
        <v>18.29</v>
      </c>
    </row>
    <row r="167" spans="1:16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12.88</v>
      </c>
      <c r="F167">
        <v>14.01</v>
      </c>
      <c r="G167">
        <f t="shared" si="19"/>
        <v>10</v>
      </c>
      <c r="H167">
        <f t="shared" si="20"/>
        <v>17</v>
      </c>
      <c r="I167">
        <f t="shared" si="21"/>
        <v>11.01</v>
      </c>
      <c r="J167">
        <f t="shared" si="22"/>
        <v>14.84</v>
      </c>
      <c r="K167">
        <f t="shared" si="23"/>
        <v>12.88</v>
      </c>
      <c r="L167">
        <f>IF(AND($H167&gt;=5,$H167&lt;=10),F167-1.2,F167)</f>
        <v>14.01</v>
      </c>
      <c r="M167" s="3">
        <f t="shared" si="24"/>
        <v>11.01</v>
      </c>
      <c r="N167" s="3">
        <f t="shared" si="25"/>
        <v>14.84</v>
      </c>
      <c r="O167" s="3">
        <f t="shared" si="26"/>
        <v>12.88</v>
      </c>
      <c r="P167" s="3">
        <f t="shared" si="27"/>
        <v>14.01</v>
      </c>
    </row>
    <row r="168" spans="1:16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13.25</v>
      </c>
      <c r="F168">
        <v>10.69</v>
      </c>
      <c r="G168">
        <f t="shared" si="19"/>
        <v>10</v>
      </c>
      <c r="H168">
        <f t="shared" si="20"/>
        <v>21</v>
      </c>
      <c r="I168">
        <f t="shared" si="21"/>
        <v>11.11</v>
      </c>
      <c r="J168">
        <f t="shared" si="22"/>
        <v>16.350000000000001</v>
      </c>
      <c r="K168">
        <f t="shared" si="23"/>
        <v>13.25</v>
      </c>
      <c r="L168">
        <f>IF(AND($H168&gt;=5,$H168&lt;=10),F168-1.2,F168)</f>
        <v>10.69</v>
      </c>
      <c r="M168" s="3">
        <f t="shared" si="24"/>
        <v>11.11</v>
      </c>
      <c r="N168" s="3">
        <f t="shared" si="25"/>
        <v>16.350000000000001</v>
      </c>
      <c r="O168" s="3">
        <f t="shared" si="26"/>
        <v>13.25</v>
      </c>
      <c r="P168" s="3">
        <f t="shared" si="27"/>
        <v>10.69</v>
      </c>
    </row>
    <row r="169" spans="1:16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13.54</v>
      </c>
      <c r="F169">
        <v>11.35</v>
      </c>
      <c r="G169">
        <f t="shared" si="19"/>
        <v>10</v>
      </c>
      <c r="H169">
        <f t="shared" si="20"/>
        <v>23</v>
      </c>
      <c r="I169">
        <f t="shared" si="21"/>
        <v>13.09</v>
      </c>
      <c r="J169">
        <f t="shared" si="22"/>
        <v>15.83</v>
      </c>
      <c r="K169">
        <f t="shared" si="23"/>
        <v>13.54</v>
      </c>
      <c r="L169">
        <f>IF(AND($H169&gt;=5,$H169&lt;=10),F169-1.2,F169)</f>
        <v>11.35</v>
      </c>
      <c r="M169" s="3">
        <f t="shared" si="24"/>
        <v>13.09</v>
      </c>
      <c r="N169" s="3">
        <f t="shared" si="25"/>
        <v>15.83</v>
      </c>
      <c r="O169" s="3">
        <f t="shared" si="26"/>
        <v>13.54</v>
      </c>
      <c r="P169" s="3">
        <f t="shared" si="27"/>
        <v>11.35</v>
      </c>
    </row>
    <row r="170" spans="1:16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18.670000000000002</v>
      </c>
      <c r="F170">
        <v>14.56</v>
      </c>
      <c r="G170">
        <f t="shared" si="19"/>
        <v>10</v>
      </c>
      <c r="H170">
        <f t="shared" si="20"/>
        <v>23</v>
      </c>
      <c r="I170">
        <f t="shared" si="21"/>
        <v>13.13</v>
      </c>
      <c r="J170">
        <f t="shared" si="22"/>
        <v>12.77</v>
      </c>
      <c r="K170">
        <f t="shared" si="23"/>
        <v>18.670000000000002</v>
      </c>
      <c r="L170">
        <f>IF(AND($H170&gt;=5,$H170&lt;=10),F170-1.2,F170)</f>
        <v>14.56</v>
      </c>
      <c r="M170" s="3">
        <f t="shared" si="24"/>
        <v>13.13</v>
      </c>
      <c r="N170" s="3">
        <f t="shared" si="25"/>
        <v>12.77</v>
      </c>
      <c r="O170" s="3">
        <f t="shared" si="26"/>
        <v>18.670000000000002</v>
      </c>
      <c r="P170" s="3">
        <f t="shared" si="27"/>
        <v>14.56</v>
      </c>
    </row>
    <row r="171" spans="1:16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17.98</v>
      </c>
      <c r="F171">
        <v>18.2</v>
      </c>
      <c r="G171">
        <f t="shared" si="19"/>
        <v>10</v>
      </c>
      <c r="H171">
        <f t="shared" si="20"/>
        <v>24</v>
      </c>
      <c r="I171">
        <f t="shared" si="21"/>
        <v>12.13</v>
      </c>
      <c r="J171">
        <f t="shared" si="22"/>
        <v>13.07</v>
      </c>
      <c r="K171">
        <f t="shared" si="23"/>
        <v>17.98</v>
      </c>
      <c r="L171">
        <f>IF(AND($H171&gt;=5,$H171&lt;=10),F171-1.2,F171)</f>
        <v>18.2</v>
      </c>
      <c r="M171" s="3">
        <f t="shared" si="24"/>
        <v>12.13</v>
      </c>
      <c r="N171" s="3">
        <f t="shared" si="25"/>
        <v>13.07</v>
      </c>
      <c r="O171" s="3">
        <f t="shared" si="26"/>
        <v>17.98</v>
      </c>
      <c r="P171" s="3">
        <f t="shared" si="27"/>
        <v>18.2</v>
      </c>
    </row>
    <row r="172" spans="1:16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11.75</v>
      </c>
      <c r="F172">
        <v>12.65</v>
      </c>
      <c r="G172">
        <f t="shared" si="19"/>
        <v>10</v>
      </c>
      <c r="H172">
        <f t="shared" si="20"/>
        <v>25</v>
      </c>
      <c r="I172">
        <f t="shared" si="21"/>
        <v>10.53</v>
      </c>
      <c r="J172">
        <f t="shared" si="22"/>
        <v>15.53</v>
      </c>
      <c r="K172">
        <f t="shared" si="23"/>
        <v>11.75</v>
      </c>
      <c r="L172">
        <f>IF(AND($H172&gt;=5,$H172&lt;=10),F172-1.2,F172)</f>
        <v>12.65</v>
      </c>
      <c r="M172" s="3">
        <f t="shared" si="24"/>
        <v>10.53</v>
      </c>
      <c r="N172" s="3">
        <f t="shared" si="25"/>
        <v>15.53</v>
      </c>
      <c r="O172" s="3">
        <f t="shared" si="26"/>
        <v>11.75</v>
      </c>
      <c r="P172" s="3">
        <f t="shared" si="27"/>
        <v>12.65</v>
      </c>
    </row>
    <row r="173" spans="1:16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18.72</v>
      </c>
      <c r="F173">
        <v>11.62</v>
      </c>
      <c r="G173">
        <f t="shared" si="19"/>
        <v>10</v>
      </c>
      <c r="H173">
        <f t="shared" si="20"/>
        <v>25</v>
      </c>
      <c r="I173">
        <f t="shared" si="21"/>
        <v>11.99</v>
      </c>
      <c r="J173">
        <f t="shared" si="22"/>
        <v>13.44</v>
      </c>
      <c r="K173">
        <f t="shared" si="23"/>
        <v>18.72</v>
      </c>
      <c r="L173">
        <f>IF(AND($H173&gt;=5,$H173&lt;=10),F173-1.2,F173)</f>
        <v>11.62</v>
      </c>
      <c r="M173" s="3">
        <f t="shared" si="24"/>
        <v>11.99</v>
      </c>
      <c r="N173" s="3">
        <f t="shared" si="25"/>
        <v>13.44</v>
      </c>
      <c r="O173" s="3">
        <f t="shared" si="26"/>
        <v>18.72</v>
      </c>
      <c r="P173" s="3">
        <f t="shared" si="27"/>
        <v>11.62</v>
      </c>
    </row>
    <row r="174" spans="1:16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10.94</v>
      </c>
      <c r="F174">
        <v>13.13</v>
      </c>
      <c r="G174">
        <f t="shared" si="19"/>
        <v>10</v>
      </c>
      <c r="H174">
        <f t="shared" si="20"/>
        <v>26</v>
      </c>
      <c r="I174">
        <f t="shared" si="21"/>
        <v>11.42</v>
      </c>
      <c r="J174">
        <f t="shared" si="22"/>
        <v>18.52</v>
      </c>
      <c r="K174">
        <f t="shared" si="23"/>
        <v>10.94</v>
      </c>
      <c r="L174">
        <f>IF(AND($H174&gt;=5,$H174&lt;=10),F174-1.2,F174)</f>
        <v>13.13</v>
      </c>
      <c r="M174" s="3">
        <f t="shared" si="24"/>
        <v>11.42</v>
      </c>
      <c r="N174" s="3">
        <f t="shared" si="25"/>
        <v>18.52</v>
      </c>
      <c r="O174" s="3">
        <f t="shared" si="26"/>
        <v>10.94</v>
      </c>
      <c r="P174" s="3">
        <f t="shared" si="27"/>
        <v>13.13</v>
      </c>
    </row>
    <row r="175" spans="1:16" x14ac:dyDescent="0.25">
      <c r="A175" s="1">
        <v>42669</v>
      </c>
      <c r="B175" s="2">
        <v>0.375</v>
      </c>
      <c r="C175">
        <v>13.11</v>
      </c>
      <c r="D175">
        <v>11.09</v>
      </c>
      <c r="E175">
        <v>19.899999999999999</v>
      </c>
      <c r="F175">
        <v>13.54</v>
      </c>
      <c r="G175">
        <f t="shared" si="19"/>
        <v>10</v>
      </c>
      <c r="H175">
        <f t="shared" si="20"/>
        <v>26</v>
      </c>
      <c r="I175">
        <f t="shared" si="21"/>
        <v>13.11</v>
      </c>
      <c r="J175">
        <f t="shared" si="22"/>
        <v>11.09</v>
      </c>
      <c r="K175">
        <f t="shared" si="23"/>
        <v>19.899999999999999</v>
      </c>
      <c r="L175">
        <f>IF(AND($H175&gt;=5,$H175&lt;=10),F175-1.2,F175)</f>
        <v>13.54</v>
      </c>
      <c r="M175" s="3">
        <f t="shared" si="24"/>
        <v>13.11</v>
      </c>
      <c r="N175" s="3">
        <f t="shared" si="25"/>
        <v>11.09</v>
      </c>
      <c r="O175" s="3">
        <f t="shared" si="26"/>
        <v>19.899999999999999</v>
      </c>
      <c r="P175" s="3">
        <f t="shared" si="27"/>
        <v>13.54</v>
      </c>
    </row>
    <row r="176" spans="1:16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12.8</v>
      </c>
      <c r="F176">
        <v>15.11</v>
      </c>
      <c r="G176">
        <f t="shared" si="19"/>
        <v>11</v>
      </c>
      <c r="H176">
        <f t="shared" si="20"/>
        <v>1</v>
      </c>
      <c r="I176">
        <f t="shared" si="21"/>
        <v>12.14</v>
      </c>
      <c r="J176">
        <f t="shared" si="22"/>
        <v>12.99</v>
      </c>
      <c r="K176">
        <f t="shared" si="23"/>
        <v>12.8</v>
      </c>
      <c r="L176">
        <f>IF(AND($H176&gt;=5,$H176&lt;=10),F176-1.2,F176)</f>
        <v>15.11</v>
      </c>
      <c r="M176" s="3">
        <f t="shared" si="24"/>
        <v>12.14</v>
      </c>
      <c r="N176" s="3">
        <f t="shared" si="25"/>
        <v>12.99</v>
      </c>
      <c r="O176" s="3">
        <f t="shared" si="26"/>
        <v>12.8</v>
      </c>
      <c r="P176" s="3">
        <f t="shared" si="27"/>
        <v>15.11</v>
      </c>
    </row>
    <row r="177" spans="1:16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19.39</v>
      </c>
      <c r="F177">
        <v>11.01</v>
      </c>
      <c r="G177">
        <f t="shared" si="19"/>
        <v>11</v>
      </c>
      <c r="H177">
        <f t="shared" si="20"/>
        <v>1</v>
      </c>
      <c r="I177">
        <f t="shared" si="21"/>
        <v>16.190000000000001</v>
      </c>
      <c r="J177">
        <f t="shared" si="22"/>
        <v>12.36</v>
      </c>
      <c r="K177">
        <f t="shared" si="23"/>
        <v>19.39</v>
      </c>
      <c r="L177">
        <f>IF(AND($H177&gt;=5,$H177&lt;=10),F177-1.2,F177)</f>
        <v>11.01</v>
      </c>
      <c r="M177" s="3">
        <f t="shared" si="24"/>
        <v>16.190000000000001</v>
      </c>
      <c r="N177" s="3">
        <f t="shared" si="25"/>
        <v>12.36</v>
      </c>
      <c r="O177" s="3">
        <f t="shared" si="26"/>
        <v>19.39</v>
      </c>
      <c r="P177" s="3">
        <f t="shared" si="27"/>
        <v>11.01</v>
      </c>
    </row>
    <row r="178" spans="1:16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16.149999999999999</v>
      </c>
      <c r="F178">
        <v>15.62</v>
      </c>
      <c r="G178">
        <f t="shared" si="19"/>
        <v>11</v>
      </c>
      <c r="H178">
        <f t="shared" si="20"/>
        <v>2</v>
      </c>
      <c r="I178">
        <f t="shared" si="21"/>
        <v>17.34</v>
      </c>
      <c r="J178">
        <f t="shared" si="22"/>
        <v>12.39</v>
      </c>
      <c r="K178">
        <f t="shared" si="23"/>
        <v>16.149999999999999</v>
      </c>
      <c r="L178">
        <f>IF(AND($H178&gt;=5,$H178&lt;=10),F178-1.2,F178)</f>
        <v>15.62</v>
      </c>
      <c r="M178" s="3">
        <f t="shared" si="24"/>
        <v>17.34</v>
      </c>
      <c r="N178" s="3">
        <f t="shared" si="25"/>
        <v>12.39</v>
      </c>
      <c r="O178" s="3">
        <f t="shared" si="26"/>
        <v>16.149999999999999</v>
      </c>
      <c r="P178" s="3">
        <f t="shared" si="27"/>
        <v>15.62</v>
      </c>
    </row>
    <row r="179" spans="1:16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18.7</v>
      </c>
      <c r="F179">
        <v>10.35</v>
      </c>
      <c r="G179">
        <f t="shared" si="19"/>
        <v>11</v>
      </c>
      <c r="H179">
        <f t="shared" si="20"/>
        <v>5</v>
      </c>
      <c r="I179">
        <f t="shared" si="21"/>
        <v>18.260000000000002</v>
      </c>
      <c r="J179">
        <f t="shared" si="22"/>
        <v>13.65</v>
      </c>
      <c r="K179">
        <f t="shared" si="23"/>
        <v>18.7</v>
      </c>
      <c r="L179">
        <f>IF(AND($H179&gt;=5,$H179&lt;=10),F179-1.2,F179)</f>
        <v>9.15</v>
      </c>
      <c r="M179" s="3">
        <f t="shared" si="24"/>
        <v>18.260000000000002</v>
      </c>
      <c r="N179" s="3">
        <f t="shared" si="25"/>
        <v>13.65</v>
      </c>
      <c r="O179" s="3">
        <f t="shared" si="26"/>
        <v>18.7</v>
      </c>
      <c r="P179" s="3">
        <f t="shared" si="27"/>
        <v>9.15</v>
      </c>
    </row>
    <row r="180" spans="1:16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11.65</v>
      </c>
      <c r="F180">
        <v>10.73</v>
      </c>
      <c r="G180">
        <f t="shared" si="19"/>
        <v>11</v>
      </c>
      <c r="H180">
        <f t="shared" si="20"/>
        <v>8</v>
      </c>
      <c r="I180">
        <f t="shared" si="21"/>
        <v>13.22</v>
      </c>
      <c r="J180">
        <f t="shared" si="22"/>
        <v>18.03</v>
      </c>
      <c r="K180">
        <f t="shared" si="23"/>
        <v>11.65</v>
      </c>
      <c r="L180">
        <f>IF(AND($H180&gt;=5,$H180&lt;=10),F180-1.2,F180)</f>
        <v>9.5300000000000011</v>
      </c>
      <c r="M180" s="3">
        <f t="shared" si="24"/>
        <v>13.22</v>
      </c>
      <c r="N180" s="3">
        <f t="shared" si="25"/>
        <v>18.03</v>
      </c>
      <c r="O180" s="3">
        <f t="shared" si="26"/>
        <v>11.65</v>
      </c>
      <c r="P180" s="3">
        <f t="shared" si="27"/>
        <v>9.5300000000000011</v>
      </c>
    </row>
    <row r="181" spans="1:16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15.82</v>
      </c>
      <c r="F181">
        <v>13.79</v>
      </c>
      <c r="G181">
        <f t="shared" si="19"/>
        <v>11</v>
      </c>
      <c r="H181">
        <f t="shared" si="20"/>
        <v>11</v>
      </c>
      <c r="I181">
        <f t="shared" si="21"/>
        <v>12.2</v>
      </c>
      <c r="J181">
        <f t="shared" si="22"/>
        <v>14.35</v>
      </c>
      <c r="K181">
        <f t="shared" si="23"/>
        <v>15.82</v>
      </c>
      <c r="L181">
        <f>IF(AND($H181&gt;=5,$H181&lt;=10),F181-1.2,F181)</f>
        <v>13.79</v>
      </c>
      <c r="M181" s="3">
        <f t="shared" si="24"/>
        <v>12.2</v>
      </c>
      <c r="N181" s="3">
        <f t="shared" si="25"/>
        <v>14.35</v>
      </c>
      <c r="O181" s="3">
        <f t="shared" si="26"/>
        <v>15.82</v>
      </c>
      <c r="P181" s="3">
        <f t="shared" si="27"/>
        <v>13.79</v>
      </c>
    </row>
    <row r="182" spans="1:16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17.96</v>
      </c>
      <c r="F182">
        <v>19.07</v>
      </c>
      <c r="G182">
        <f t="shared" si="19"/>
        <v>11</v>
      </c>
      <c r="H182">
        <f t="shared" si="20"/>
        <v>12</v>
      </c>
      <c r="I182">
        <f t="shared" si="21"/>
        <v>10.3</v>
      </c>
      <c r="J182">
        <f t="shared" si="22"/>
        <v>14.81</v>
      </c>
      <c r="K182">
        <f t="shared" si="23"/>
        <v>17.96</v>
      </c>
      <c r="L182">
        <f>IF(AND($H182&gt;=5,$H182&lt;=10),F182-1.2,F182)</f>
        <v>19.07</v>
      </c>
      <c r="M182" s="3">
        <f t="shared" si="24"/>
        <v>10.3</v>
      </c>
      <c r="N182" s="3">
        <f t="shared" si="25"/>
        <v>14.81</v>
      </c>
      <c r="O182" s="3">
        <f t="shared" si="26"/>
        <v>17.96</v>
      </c>
      <c r="P182" s="3">
        <f t="shared" si="27"/>
        <v>19.07</v>
      </c>
    </row>
    <row r="183" spans="1:16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14.46</v>
      </c>
      <c r="F183">
        <v>16.48</v>
      </c>
      <c r="G183">
        <f t="shared" si="19"/>
        <v>11</v>
      </c>
      <c r="H183">
        <f t="shared" si="20"/>
        <v>13</v>
      </c>
      <c r="I183">
        <f t="shared" si="21"/>
        <v>10.029999999999999</v>
      </c>
      <c r="J183">
        <f t="shared" si="22"/>
        <v>14.28</v>
      </c>
      <c r="K183">
        <f t="shared" si="23"/>
        <v>14.46</v>
      </c>
      <c r="L183">
        <f>IF(AND($H183&gt;=5,$H183&lt;=10),F183-1.2,F183)</f>
        <v>16.48</v>
      </c>
      <c r="M183" s="3">
        <f t="shared" si="24"/>
        <v>10.029999999999999</v>
      </c>
      <c r="N183" s="3">
        <f t="shared" si="25"/>
        <v>14.28</v>
      </c>
      <c r="O183" s="3">
        <f t="shared" si="26"/>
        <v>14.46</v>
      </c>
      <c r="P183" s="3">
        <f t="shared" si="27"/>
        <v>16.48</v>
      </c>
    </row>
    <row r="184" spans="1:16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12.81</v>
      </c>
      <c r="F184">
        <v>14.5</v>
      </c>
      <c r="G184">
        <f t="shared" si="19"/>
        <v>11</v>
      </c>
      <c r="H184">
        <f t="shared" si="20"/>
        <v>13</v>
      </c>
      <c r="I184">
        <f t="shared" si="21"/>
        <v>14</v>
      </c>
      <c r="J184">
        <f t="shared" si="22"/>
        <v>12.83</v>
      </c>
      <c r="K184">
        <f t="shared" si="23"/>
        <v>12.81</v>
      </c>
      <c r="L184">
        <f>IF(AND($H184&gt;=5,$H184&lt;=10),F184-1.2,F184)</f>
        <v>14.5</v>
      </c>
      <c r="M184" s="3">
        <f t="shared" si="24"/>
        <v>14</v>
      </c>
      <c r="N184" s="3">
        <f t="shared" si="25"/>
        <v>12.83</v>
      </c>
      <c r="O184" s="3">
        <f t="shared" si="26"/>
        <v>12.81</v>
      </c>
      <c r="P184" s="3">
        <f t="shared" si="27"/>
        <v>14.5</v>
      </c>
    </row>
    <row r="185" spans="1:16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11.77</v>
      </c>
      <c r="F185">
        <v>18.57</v>
      </c>
      <c r="G185">
        <f t="shared" si="19"/>
        <v>11</v>
      </c>
      <c r="H185">
        <f t="shared" si="20"/>
        <v>17</v>
      </c>
      <c r="I185">
        <f t="shared" si="21"/>
        <v>15.42</v>
      </c>
      <c r="J185">
        <f t="shared" si="22"/>
        <v>10.37</v>
      </c>
      <c r="K185">
        <f t="shared" si="23"/>
        <v>11.77</v>
      </c>
      <c r="L185">
        <f>IF(AND($H185&gt;=5,$H185&lt;=10),F185-1.2,F185)</f>
        <v>18.57</v>
      </c>
      <c r="M185" s="3">
        <f t="shared" si="24"/>
        <v>15.42</v>
      </c>
      <c r="N185" s="3">
        <f t="shared" si="25"/>
        <v>10.37</v>
      </c>
      <c r="O185" s="3">
        <f t="shared" si="26"/>
        <v>11.77</v>
      </c>
      <c r="P185" s="3">
        <f t="shared" si="27"/>
        <v>18.57</v>
      </c>
    </row>
    <row r="186" spans="1:16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10.44</v>
      </c>
      <c r="F186">
        <v>13.73</v>
      </c>
      <c r="G186">
        <f t="shared" si="19"/>
        <v>11</v>
      </c>
      <c r="H186">
        <f t="shared" si="20"/>
        <v>19</v>
      </c>
      <c r="I186">
        <f t="shared" si="21"/>
        <v>15.98</v>
      </c>
      <c r="J186">
        <f t="shared" si="22"/>
        <v>13.48</v>
      </c>
      <c r="K186">
        <f t="shared" si="23"/>
        <v>10.44</v>
      </c>
      <c r="L186">
        <f>IF(AND($H186&gt;=5,$H186&lt;=10),F186-1.2,F186)</f>
        <v>13.73</v>
      </c>
      <c r="M186" s="3">
        <f t="shared" si="24"/>
        <v>15.98</v>
      </c>
      <c r="N186" s="3">
        <f t="shared" si="25"/>
        <v>13.48</v>
      </c>
      <c r="O186" s="3">
        <f t="shared" si="26"/>
        <v>10.44</v>
      </c>
      <c r="P186" s="3">
        <f t="shared" si="27"/>
        <v>13.73</v>
      </c>
    </row>
    <row r="187" spans="1:16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10.74</v>
      </c>
      <c r="F187">
        <v>10.5</v>
      </c>
      <c r="G187">
        <f t="shared" si="19"/>
        <v>11</v>
      </c>
      <c r="H187">
        <f t="shared" si="20"/>
        <v>21</v>
      </c>
      <c r="I187">
        <f t="shared" si="21"/>
        <v>10.8</v>
      </c>
      <c r="J187">
        <f t="shared" si="22"/>
        <v>16.079999999999998</v>
      </c>
      <c r="K187">
        <f t="shared" si="23"/>
        <v>10.74</v>
      </c>
      <c r="L187">
        <f>IF(AND($H187&gt;=5,$H187&lt;=10),F187-1.2,F187)</f>
        <v>10.5</v>
      </c>
      <c r="M187" s="3">
        <f t="shared" si="24"/>
        <v>10.8</v>
      </c>
      <c r="N187" s="3">
        <f t="shared" si="25"/>
        <v>16.079999999999998</v>
      </c>
      <c r="O187" s="3">
        <f t="shared" si="26"/>
        <v>10.74</v>
      </c>
      <c r="P187" s="3">
        <f t="shared" si="27"/>
        <v>10.5</v>
      </c>
    </row>
    <row r="188" spans="1:16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18.72</v>
      </c>
      <c r="F188">
        <v>11.95</v>
      </c>
      <c r="G188">
        <f t="shared" si="19"/>
        <v>11</v>
      </c>
      <c r="H188">
        <f t="shared" si="20"/>
        <v>22</v>
      </c>
      <c r="I188">
        <f t="shared" si="21"/>
        <v>10.61</v>
      </c>
      <c r="J188">
        <f t="shared" si="22"/>
        <v>15.59</v>
      </c>
      <c r="K188">
        <f t="shared" si="23"/>
        <v>18.72</v>
      </c>
      <c r="L188">
        <f>IF(AND($H188&gt;=5,$H188&lt;=10),F188-1.2,F188)</f>
        <v>11.95</v>
      </c>
      <c r="M188" s="3">
        <f t="shared" si="24"/>
        <v>10.61</v>
      </c>
      <c r="N188" s="3">
        <f t="shared" si="25"/>
        <v>15.59</v>
      </c>
      <c r="O188" s="3">
        <f t="shared" si="26"/>
        <v>18.72</v>
      </c>
      <c r="P188" s="3">
        <f t="shared" si="27"/>
        <v>11.95</v>
      </c>
    </row>
    <row r="189" spans="1:16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10.47</v>
      </c>
      <c r="F189">
        <v>17.46</v>
      </c>
      <c r="G189">
        <f t="shared" si="19"/>
        <v>11</v>
      </c>
      <c r="H189">
        <f t="shared" si="20"/>
        <v>24</v>
      </c>
      <c r="I189">
        <f t="shared" si="21"/>
        <v>17.66</v>
      </c>
      <c r="J189">
        <f t="shared" si="22"/>
        <v>15.83</v>
      </c>
      <c r="K189">
        <f t="shared" si="23"/>
        <v>10.47</v>
      </c>
      <c r="L189">
        <f>IF(AND($H189&gt;=5,$H189&lt;=10),F189-1.2,F189)</f>
        <v>17.46</v>
      </c>
      <c r="M189" s="3">
        <f t="shared" si="24"/>
        <v>17.66</v>
      </c>
      <c r="N189" s="3">
        <f t="shared" si="25"/>
        <v>15.83</v>
      </c>
      <c r="O189" s="3">
        <f t="shared" si="26"/>
        <v>10.47</v>
      </c>
      <c r="P189" s="3">
        <f t="shared" si="27"/>
        <v>17.46</v>
      </c>
    </row>
    <row r="190" spans="1:16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18.95</v>
      </c>
      <c r="F190">
        <v>11.79</v>
      </c>
      <c r="G190">
        <f t="shared" si="19"/>
        <v>11</v>
      </c>
      <c r="H190">
        <f t="shared" si="20"/>
        <v>28</v>
      </c>
      <c r="I190">
        <f t="shared" si="21"/>
        <v>15.3</v>
      </c>
      <c r="J190">
        <f t="shared" si="22"/>
        <v>13.83</v>
      </c>
      <c r="K190">
        <f t="shared" si="23"/>
        <v>18.95</v>
      </c>
      <c r="L190">
        <f>IF(AND($H190&gt;=5,$H190&lt;=10),F190-1.2,F190)</f>
        <v>11.79</v>
      </c>
      <c r="M190" s="3">
        <f t="shared" si="24"/>
        <v>15.3</v>
      </c>
      <c r="N190" s="3">
        <f t="shared" si="25"/>
        <v>13.83</v>
      </c>
      <c r="O190" s="3">
        <f t="shared" si="26"/>
        <v>18.95</v>
      </c>
      <c r="P190" s="3">
        <f t="shared" si="27"/>
        <v>11.79</v>
      </c>
    </row>
    <row r="191" spans="1:16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16.649999999999999</v>
      </c>
      <c r="F191">
        <v>11.24</v>
      </c>
      <c r="G191">
        <f t="shared" si="19"/>
        <v>11</v>
      </c>
      <c r="H191">
        <f t="shared" si="20"/>
        <v>29</v>
      </c>
      <c r="I191">
        <f t="shared" si="21"/>
        <v>10.77</v>
      </c>
      <c r="J191">
        <f t="shared" si="22"/>
        <v>18.07</v>
      </c>
      <c r="K191">
        <f t="shared" si="23"/>
        <v>16.649999999999999</v>
      </c>
      <c r="L191">
        <f>IF(AND($H191&gt;=5,$H191&lt;=10),F191-1.2,F191)</f>
        <v>11.24</v>
      </c>
      <c r="M191" s="3">
        <f t="shared" si="24"/>
        <v>10.77</v>
      </c>
      <c r="N191" s="3">
        <f t="shared" si="25"/>
        <v>18.07</v>
      </c>
      <c r="O191" s="3">
        <f t="shared" si="26"/>
        <v>16.649999999999999</v>
      </c>
      <c r="P191" s="3">
        <f t="shared" si="27"/>
        <v>11.24</v>
      </c>
    </row>
    <row r="192" spans="1:16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12.26</v>
      </c>
      <c r="F192">
        <v>19.34</v>
      </c>
      <c r="G192">
        <f t="shared" si="19"/>
        <v>11</v>
      </c>
      <c r="H192">
        <f t="shared" si="20"/>
        <v>30</v>
      </c>
      <c r="I192">
        <f t="shared" si="21"/>
        <v>15.81</v>
      </c>
      <c r="J192">
        <f t="shared" si="22"/>
        <v>14.72</v>
      </c>
      <c r="K192">
        <f t="shared" si="23"/>
        <v>12.26</v>
      </c>
      <c r="L192">
        <f>IF(AND($H192&gt;=5,$H192&lt;=10),F192-1.2,F192)</f>
        <v>19.34</v>
      </c>
      <c r="M192" s="3">
        <f t="shared" si="24"/>
        <v>15.81</v>
      </c>
      <c r="N192" s="3">
        <f t="shared" si="25"/>
        <v>14.72</v>
      </c>
      <c r="O192" s="3">
        <f t="shared" si="26"/>
        <v>12.26</v>
      </c>
      <c r="P192" s="3">
        <f t="shared" si="27"/>
        <v>19.34</v>
      </c>
    </row>
    <row r="193" spans="1:16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-2.09</v>
      </c>
      <c r="F193">
        <v>-2.0299999999999998</v>
      </c>
      <c r="G193">
        <f t="shared" si="19"/>
        <v>12</v>
      </c>
      <c r="H193">
        <f t="shared" si="20"/>
        <v>9</v>
      </c>
      <c r="I193">
        <f t="shared" si="21"/>
        <v>-2.23</v>
      </c>
      <c r="J193">
        <f t="shared" si="22"/>
        <v>7.2</v>
      </c>
      <c r="K193">
        <f t="shared" si="23"/>
        <v>-2.09</v>
      </c>
      <c r="L193">
        <f>IF(AND($H193&gt;=5,$H193&lt;=10),F193-1.2,F193)</f>
        <v>-3.2299999999999995</v>
      </c>
      <c r="M193" s="3">
        <f t="shared" si="24"/>
        <v>-2.23</v>
      </c>
      <c r="N193" s="3">
        <f t="shared" si="25"/>
        <v>7.2</v>
      </c>
      <c r="O193" s="3">
        <f t="shared" si="26"/>
        <v>-2.09</v>
      </c>
      <c r="P193" s="3">
        <f t="shared" si="27"/>
        <v>-3.2299999999999995</v>
      </c>
    </row>
    <row r="194" spans="1:16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-5.76</v>
      </c>
      <c r="F194">
        <v>-2.0499999999999998</v>
      </c>
      <c r="G194">
        <f t="shared" si="19"/>
        <v>12</v>
      </c>
      <c r="H194">
        <f t="shared" si="20"/>
        <v>11</v>
      </c>
      <c r="I194">
        <f t="shared" si="21"/>
        <v>-0.64</v>
      </c>
      <c r="J194">
        <f t="shared" si="22"/>
        <v>-3.46</v>
      </c>
      <c r="K194">
        <f t="shared" si="23"/>
        <v>-5.76</v>
      </c>
      <c r="L194">
        <f>IF(AND($H194&gt;=5,$H194&lt;=10),F194-1.2,F194)</f>
        <v>-2.0499999999999998</v>
      </c>
      <c r="M194" s="3">
        <f t="shared" si="24"/>
        <v>-0.64</v>
      </c>
      <c r="N194" s="3">
        <f t="shared" si="25"/>
        <v>-3.46</v>
      </c>
      <c r="O194" s="3">
        <f t="shared" si="26"/>
        <v>-5.76</v>
      </c>
      <c r="P194" s="3">
        <f t="shared" si="27"/>
        <v>-2.0499999999999998</v>
      </c>
    </row>
    <row r="195" spans="1:16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7.27</v>
      </c>
      <c r="F195">
        <v>0</v>
      </c>
      <c r="G195">
        <f t="shared" ref="G195:G201" si="28">MONTH(A195)</f>
        <v>12</v>
      </c>
      <c r="H195">
        <f t="shared" ref="H195:H201" si="29">DAY(A195)</f>
        <v>12</v>
      </c>
      <c r="I195">
        <f t="shared" ref="I195:I201" si="30">IF(AND($H195&gt;=5,$H195&lt;=10),C195-1.2,C195)</f>
        <v>-4.66</v>
      </c>
      <c r="J195">
        <f t="shared" ref="J195:J201" si="31">IF(AND($H195&gt;=5,$H195&lt;=10),D195-1.2,D195)</f>
        <v>7.8</v>
      </c>
      <c r="K195">
        <f t="shared" ref="K195:K201" si="32">IF(OR($G$2=7,$G$2=8),ROUNDDOWN(E195+E195*7%,2),E195)</f>
        <v>7.27</v>
      </c>
      <c r="L195">
        <f>IF(AND($H195&gt;=5,$H195&lt;=10),F195-1.2,F195)</f>
        <v>0</v>
      </c>
      <c r="M195" s="3">
        <f t="shared" ref="M195:M201" si="33">IF($G195=5,I195+0.9,I195)</f>
        <v>-4.66</v>
      </c>
      <c r="N195" s="3">
        <f t="shared" ref="N195:N201" si="34">IF($G195=5,J195+0.9,J195)</f>
        <v>7.8</v>
      </c>
      <c r="O195" s="3">
        <f t="shared" ref="O195:O201" si="35">IF($G195=5,K195+0.9,K195)</f>
        <v>7.27</v>
      </c>
      <c r="P195" s="3">
        <f t="shared" ref="P195:P201" si="36">IF($G195=5,L195+0.9,L195)</f>
        <v>0</v>
      </c>
    </row>
    <row r="196" spans="1:16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0.7</v>
      </c>
      <c r="F196">
        <v>-6.74</v>
      </c>
      <c r="G196">
        <f t="shared" si="28"/>
        <v>12</v>
      </c>
      <c r="H196">
        <f t="shared" si="29"/>
        <v>16</v>
      </c>
      <c r="I196">
        <f t="shared" si="30"/>
        <v>5.58</v>
      </c>
      <c r="J196">
        <f t="shared" si="31"/>
        <v>-4.47</v>
      </c>
      <c r="K196">
        <f t="shared" si="32"/>
        <v>0.7</v>
      </c>
      <c r="L196">
        <f>IF(AND($H196&gt;=5,$H196&lt;=10),F196-1.2,F196)</f>
        <v>-6.74</v>
      </c>
      <c r="M196" s="3">
        <f t="shared" si="33"/>
        <v>5.58</v>
      </c>
      <c r="N196" s="3">
        <f t="shared" si="34"/>
        <v>-4.47</v>
      </c>
      <c r="O196" s="3">
        <f t="shared" si="35"/>
        <v>0.7</v>
      </c>
      <c r="P196" s="3">
        <f t="shared" si="36"/>
        <v>-6.74</v>
      </c>
    </row>
    <row r="197" spans="1:16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-3.33</v>
      </c>
      <c r="F197">
        <v>-7.14</v>
      </c>
      <c r="G197">
        <f t="shared" si="28"/>
        <v>12</v>
      </c>
      <c r="H197">
        <f t="shared" si="29"/>
        <v>18</v>
      </c>
      <c r="I197">
        <f t="shared" si="30"/>
        <v>3.23</v>
      </c>
      <c r="J197">
        <f t="shared" si="31"/>
        <v>3.29</v>
      </c>
      <c r="K197">
        <f t="shared" si="32"/>
        <v>-3.33</v>
      </c>
      <c r="L197">
        <f>IF(AND($H197&gt;=5,$H197&lt;=10),F197-1.2,F197)</f>
        <v>-7.14</v>
      </c>
      <c r="M197" s="3">
        <f t="shared" si="33"/>
        <v>3.23</v>
      </c>
      <c r="N197" s="3">
        <f t="shared" si="34"/>
        <v>3.29</v>
      </c>
      <c r="O197" s="3">
        <f t="shared" si="35"/>
        <v>-3.33</v>
      </c>
      <c r="P197" s="3">
        <f t="shared" si="36"/>
        <v>-7.14</v>
      </c>
    </row>
    <row r="198" spans="1:16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0.16</v>
      </c>
      <c r="F198">
        <v>3.83</v>
      </c>
      <c r="G198">
        <f t="shared" si="28"/>
        <v>12</v>
      </c>
      <c r="H198">
        <f t="shared" si="29"/>
        <v>23</v>
      </c>
      <c r="I198">
        <f t="shared" si="30"/>
        <v>-1.46</v>
      </c>
      <c r="J198">
        <f t="shared" si="31"/>
        <v>-7.76</v>
      </c>
      <c r="K198">
        <f t="shared" si="32"/>
        <v>0.16</v>
      </c>
      <c r="L198">
        <f>IF(AND($H198&gt;=5,$H198&lt;=10),F198-1.2,F198)</f>
        <v>3.83</v>
      </c>
      <c r="M198" s="3">
        <f t="shared" si="33"/>
        <v>-1.46</v>
      </c>
      <c r="N198" s="3">
        <f t="shared" si="34"/>
        <v>-7.76</v>
      </c>
      <c r="O198" s="3">
        <f t="shared" si="35"/>
        <v>0.16</v>
      </c>
      <c r="P198" s="3">
        <f t="shared" si="36"/>
        <v>3.83</v>
      </c>
    </row>
    <row r="199" spans="1:16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-6.38</v>
      </c>
      <c r="F199">
        <v>8.1</v>
      </c>
      <c r="G199">
        <f t="shared" si="28"/>
        <v>12</v>
      </c>
      <c r="H199">
        <f t="shared" si="29"/>
        <v>24</v>
      </c>
      <c r="I199">
        <f t="shared" si="30"/>
        <v>-7.3</v>
      </c>
      <c r="J199">
        <f t="shared" si="31"/>
        <v>-4.8600000000000003</v>
      </c>
      <c r="K199">
        <f t="shared" si="32"/>
        <v>-6.38</v>
      </c>
      <c r="L199">
        <f>IF(AND($H199&gt;=5,$H199&lt;=10),F199-1.2,F199)</f>
        <v>8.1</v>
      </c>
      <c r="M199" s="3">
        <f t="shared" si="33"/>
        <v>-7.3</v>
      </c>
      <c r="N199" s="3">
        <f t="shared" si="34"/>
        <v>-4.8600000000000003</v>
      </c>
      <c r="O199" s="3">
        <f t="shared" si="35"/>
        <v>-6.38</v>
      </c>
      <c r="P199" s="3">
        <f t="shared" si="36"/>
        <v>8.1</v>
      </c>
    </row>
    <row r="200" spans="1:16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-7.17</v>
      </c>
      <c r="F200">
        <v>2.2599999999999998</v>
      </c>
      <c r="G200">
        <f t="shared" si="28"/>
        <v>12</v>
      </c>
      <c r="H200">
        <f t="shared" si="29"/>
        <v>27</v>
      </c>
      <c r="I200">
        <f t="shared" si="30"/>
        <v>-2.37</v>
      </c>
      <c r="J200">
        <f t="shared" si="31"/>
        <v>4.95</v>
      </c>
      <c r="K200">
        <f t="shared" si="32"/>
        <v>-7.17</v>
      </c>
      <c r="L200">
        <f>IF(AND($H200&gt;=5,$H200&lt;=10),F200-1.2,F200)</f>
        <v>2.2599999999999998</v>
      </c>
      <c r="M200" s="3">
        <f t="shared" si="33"/>
        <v>-2.37</v>
      </c>
      <c r="N200" s="3">
        <f t="shared" si="34"/>
        <v>4.95</v>
      </c>
      <c r="O200" s="3">
        <f t="shared" si="35"/>
        <v>-7.17</v>
      </c>
      <c r="P200" s="3">
        <f t="shared" si="36"/>
        <v>2.2599999999999998</v>
      </c>
    </row>
    <row r="201" spans="1:16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3.14</v>
      </c>
      <c r="F201">
        <v>-6.82</v>
      </c>
      <c r="G201">
        <f t="shared" si="28"/>
        <v>12</v>
      </c>
      <c r="H201">
        <f t="shared" si="29"/>
        <v>28</v>
      </c>
      <c r="I201">
        <f t="shared" si="30"/>
        <v>-6.44</v>
      </c>
      <c r="J201">
        <f t="shared" si="31"/>
        <v>6.45</v>
      </c>
      <c r="K201">
        <f t="shared" si="32"/>
        <v>3.14</v>
      </c>
      <c r="L201">
        <f>IF(AND($H201&gt;=5,$H201&lt;=10),F201-1.2,F201)</f>
        <v>-6.82</v>
      </c>
      <c r="M201" s="3">
        <f t="shared" si="33"/>
        <v>-6.44</v>
      </c>
      <c r="N201" s="3">
        <f t="shared" si="34"/>
        <v>6.45</v>
      </c>
      <c r="O201" s="3">
        <f t="shared" si="35"/>
        <v>3.14</v>
      </c>
      <c r="P201" s="3">
        <f t="shared" si="36"/>
        <v>-6.82</v>
      </c>
    </row>
  </sheetData>
  <mergeCells count="2">
    <mergeCell ref="T5:W5"/>
    <mergeCell ref="X5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4</vt:i4>
      </vt:variant>
    </vt:vector>
  </HeadingPairs>
  <TitlesOfParts>
    <vt:vector size="9" baseType="lpstr">
      <vt:lpstr>6.1</vt:lpstr>
      <vt:lpstr>6.2</vt:lpstr>
      <vt:lpstr>6.3</vt:lpstr>
      <vt:lpstr>6.4</vt:lpstr>
      <vt:lpstr>6.5</vt:lpstr>
      <vt:lpstr>'6.1'!pomiary</vt:lpstr>
      <vt:lpstr>'6.2'!pomiary</vt:lpstr>
      <vt:lpstr>'6.3'!pomiary</vt:lpstr>
      <vt:lpstr>'6.5'!pomiary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2026-04-25T12:30:53Z</dcterms:created>
  <dcterms:modified xsi:type="dcterms:W3CDTF">2026-04-25T13:29:26Z</dcterms:modified>
</cp:coreProperties>
</file>