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kar\Documents\Excel zadania matura\"/>
    </mc:Choice>
  </mc:AlternateContent>
  <xr:revisionPtr revIDLastSave="0" documentId="8_{2C721DB8-000C-4CC8-81B5-AC5296CC6334}" xr6:coauthVersionLast="47" xr6:coauthVersionMax="47" xr10:uidLastSave="{00000000-0000-0000-0000-000000000000}"/>
  <bookViews>
    <workbookView xWindow="-120" yWindow="-120" windowWidth="38640" windowHeight="21120" xr2:uid="{A4DC7C22-93D3-4851-968F-6F7E635C1EF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1" l="1"/>
  <c r="I16" i="1"/>
  <c r="I17" i="1"/>
  <c r="I25" i="1"/>
  <c r="I26" i="1"/>
  <c r="I30" i="1"/>
  <c r="I31" i="1"/>
  <c r="I32" i="1"/>
  <c r="I50" i="1"/>
  <c r="I51" i="1"/>
  <c r="I61" i="1"/>
  <c r="I64" i="1"/>
  <c r="I65" i="1"/>
  <c r="I66" i="1"/>
  <c r="I67" i="1"/>
  <c r="I80" i="1"/>
  <c r="I82" i="1"/>
  <c r="I85" i="1"/>
  <c r="I99" i="1"/>
  <c r="I100" i="1"/>
  <c r="I101" i="1"/>
  <c r="I110" i="1"/>
  <c r="I114" i="1"/>
  <c r="I115" i="1"/>
  <c r="I116" i="1"/>
  <c r="I134" i="1"/>
  <c r="I135" i="1"/>
  <c r="I145" i="1"/>
  <c r="I148" i="1"/>
  <c r="I149" i="1"/>
  <c r="I150" i="1"/>
  <c r="I151" i="1"/>
  <c r="I164" i="1"/>
  <c r="I166" i="1"/>
  <c r="I169" i="1"/>
  <c r="I183" i="1"/>
  <c r="I184" i="1"/>
  <c r="I185" i="1"/>
  <c r="I198" i="1"/>
  <c r="I199" i="1"/>
  <c r="I200" i="1"/>
  <c r="B3" i="1"/>
  <c r="I3" i="1" s="1"/>
  <c r="B4" i="1"/>
  <c r="I4" i="1" s="1"/>
  <c r="B5" i="1"/>
  <c r="I5" i="1" s="1"/>
  <c r="B6" i="1"/>
  <c r="B7" i="1"/>
  <c r="B8" i="1"/>
  <c r="I8" i="1" s="1"/>
  <c r="B9" i="1"/>
  <c r="I9" i="1" s="1"/>
  <c r="B10" i="1"/>
  <c r="I10" i="1" s="1"/>
  <c r="B11" i="1"/>
  <c r="I11" i="1" s="1"/>
  <c r="B12" i="1"/>
  <c r="I12" i="1" s="1"/>
  <c r="B13" i="1"/>
  <c r="B14" i="1"/>
  <c r="B15" i="1"/>
  <c r="B16" i="1"/>
  <c r="B17" i="1"/>
  <c r="B18" i="1"/>
  <c r="I18" i="1" s="1"/>
  <c r="B19" i="1"/>
  <c r="I19" i="1" s="1"/>
  <c r="B20" i="1"/>
  <c r="B21" i="1"/>
  <c r="B22" i="1"/>
  <c r="I22" i="1" s="1"/>
  <c r="B23" i="1"/>
  <c r="I23" i="1" s="1"/>
  <c r="B24" i="1"/>
  <c r="I24" i="1" s="1"/>
  <c r="B25" i="1"/>
  <c r="B26" i="1"/>
  <c r="B27" i="1"/>
  <c r="B28" i="1"/>
  <c r="B29" i="1"/>
  <c r="I29" i="1" s="1"/>
  <c r="B30" i="1"/>
  <c r="B31" i="1"/>
  <c r="B32" i="1"/>
  <c r="B33" i="1"/>
  <c r="I33" i="1" s="1"/>
  <c r="B34" i="1"/>
  <c r="B35" i="1"/>
  <c r="B36" i="1"/>
  <c r="I36" i="1" s="1"/>
  <c r="B37" i="1"/>
  <c r="I37" i="1" s="1"/>
  <c r="B38" i="1"/>
  <c r="I38" i="1" s="1"/>
  <c r="B39" i="1"/>
  <c r="I39" i="1" s="1"/>
  <c r="B40" i="1"/>
  <c r="I40" i="1" s="1"/>
  <c r="B41" i="1"/>
  <c r="B42" i="1"/>
  <c r="B43" i="1"/>
  <c r="I43" i="1" s="1"/>
  <c r="B44" i="1"/>
  <c r="I44" i="1" s="1"/>
  <c r="B45" i="1"/>
  <c r="I45" i="1" s="1"/>
  <c r="B46" i="1"/>
  <c r="I46" i="1" s="1"/>
  <c r="B47" i="1"/>
  <c r="I47" i="1" s="1"/>
  <c r="B48" i="1"/>
  <c r="B49" i="1"/>
  <c r="B50" i="1"/>
  <c r="B51" i="1"/>
  <c r="B52" i="1"/>
  <c r="I52" i="1" s="1"/>
  <c r="B53" i="1"/>
  <c r="I53" i="1" s="1"/>
  <c r="B54" i="1"/>
  <c r="I54" i="1" s="1"/>
  <c r="B55" i="1"/>
  <c r="B56" i="1"/>
  <c r="B57" i="1"/>
  <c r="I57" i="1" s="1"/>
  <c r="B58" i="1"/>
  <c r="I58" i="1" s="1"/>
  <c r="B59" i="1"/>
  <c r="I59" i="1" s="1"/>
  <c r="B60" i="1"/>
  <c r="I60" i="1" s="1"/>
  <c r="B61" i="1"/>
  <c r="B62" i="1"/>
  <c r="B63" i="1"/>
  <c r="B64" i="1"/>
  <c r="B65" i="1"/>
  <c r="B66" i="1"/>
  <c r="B67" i="1"/>
  <c r="B68" i="1"/>
  <c r="I68" i="1" s="1"/>
  <c r="B69" i="1"/>
  <c r="B70" i="1"/>
  <c r="B71" i="1"/>
  <c r="I71" i="1" s="1"/>
  <c r="B72" i="1"/>
  <c r="I72" i="1" s="1"/>
  <c r="B73" i="1"/>
  <c r="I73" i="1" s="1"/>
  <c r="B74" i="1"/>
  <c r="I74" i="1" s="1"/>
  <c r="B75" i="1"/>
  <c r="I75" i="1" s="1"/>
  <c r="B76" i="1"/>
  <c r="B77" i="1"/>
  <c r="B78" i="1"/>
  <c r="I78" i="1" s="1"/>
  <c r="B79" i="1"/>
  <c r="I79" i="1" s="1"/>
  <c r="B80" i="1"/>
  <c r="B81" i="1"/>
  <c r="I81" i="1" s="1"/>
  <c r="B82" i="1"/>
  <c r="B83" i="1"/>
  <c r="B84" i="1"/>
  <c r="B85" i="1"/>
  <c r="B86" i="1"/>
  <c r="I86" i="1" s="1"/>
  <c r="B87" i="1"/>
  <c r="I87" i="1" s="1"/>
  <c r="B88" i="1"/>
  <c r="I88" i="1" s="1"/>
  <c r="B89" i="1"/>
  <c r="I89" i="1" s="1"/>
  <c r="B90" i="1"/>
  <c r="B91" i="1"/>
  <c r="B92" i="1"/>
  <c r="I92" i="1" s="1"/>
  <c r="B93" i="1"/>
  <c r="I93" i="1" s="1"/>
  <c r="B94" i="1"/>
  <c r="I94" i="1" s="1"/>
  <c r="B95" i="1"/>
  <c r="I95" i="1" s="1"/>
  <c r="B96" i="1"/>
  <c r="I96" i="1" s="1"/>
  <c r="B97" i="1"/>
  <c r="B98" i="1"/>
  <c r="B99" i="1"/>
  <c r="B100" i="1"/>
  <c r="B101" i="1"/>
  <c r="B102" i="1"/>
  <c r="I102" i="1" s="1"/>
  <c r="B103" i="1"/>
  <c r="I103" i="1" s="1"/>
  <c r="B104" i="1"/>
  <c r="B105" i="1"/>
  <c r="B106" i="1"/>
  <c r="I106" i="1" s="1"/>
  <c r="B107" i="1"/>
  <c r="I107" i="1" s="1"/>
  <c r="B108" i="1"/>
  <c r="I108" i="1" s="1"/>
  <c r="B109" i="1"/>
  <c r="I109" i="1" s="1"/>
  <c r="B110" i="1"/>
  <c r="B111" i="1"/>
  <c r="B112" i="1"/>
  <c r="B113" i="1"/>
  <c r="I113" i="1" s="1"/>
  <c r="B114" i="1"/>
  <c r="B115" i="1"/>
  <c r="B116" i="1"/>
  <c r="B117" i="1"/>
  <c r="I117" i="1" s="1"/>
  <c r="B118" i="1"/>
  <c r="B119" i="1"/>
  <c r="B120" i="1"/>
  <c r="I120" i="1" s="1"/>
  <c r="B121" i="1"/>
  <c r="I121" i="1" s="1"/>
  <c r="B122" i="1"/>
  <c r="I122" i="1" s="1"/>
  <c r="B123" i="1"/>
  <c r="I123" i="1" s="1"/>
  <c r="B124" i="1"/>
  <c r="I124" i="1" s="1"/>
  <c r="B125" i="1"/>
  <c r="B126" i="1"/>
  <c r="B127" i="1"/>
  <c r="I127" i="1" s="1"/>
  <c r="B128" i="1"/>
  <c r="I128" i="1" s="1"/>
  <c r="B129" i="1"/>
  <c r="I129" i="1" s="1"/>
  <c r="B130" i="1"/>
  <c r="I130" i="1" s="1"/>
  <c r="B131" i="1"/>
  <c r="I131" i="1" s="1"/>
  <c r="B132" i="1"/>
  <c r="B133" i="1"/>
  <c r="B134" i="1"/>
  <c r="B135" i="1"/>
  <c r="B136" i="1"/>
  <c r="I136" i="1" s="1"/>
  <c r="B137" i="1"/>
  <c r="I137" i="1" s="1"/>
  <c r="B138" i="1"/>
  <c r="I138" i="1" s="1"/>
  <c r="B139" i="1"/>
  <c r="B140" i="1"/>
  <c r="B141" i="1"/>
  <c r="I141" i="1" s="1"/>
  <c r="B142" i="1"/>
  <c r="I142" i="1" s="1"/>
  <c r="B143" i="1"/>
  <c r="I143" i="1" s="1"/>
  <c r="B144" i="1"/>
  <c r="I144" i="1" s="1"/>
  <c r="B145" i="1"/>
  <c r="B146" i="1"/>
  <c r="B147" i="1"/>
  <c r="B148" i="1"/>
  <c r="B149" i="1"/>
  <c r="B150" i="1"/>
  <c r="B151" i="1"/>
  <c r="B152" i="1"/>
  <c r="I152" i="1" s="1"/>
  <c r="B153" i="1"/>
  <c r="B154" i="1"/>
  <c r="B155" i="1"/>
  <c r="I155" i="1" s="1"/>
  <c r="B156" i="1"/>
  <c r="I156" i="1" s="1"/>
  <c r="B157" i="1"/>
  <c r="I157" i="1" s="1"/>
  <c r="B158" i="1"/>
  <c r="I158" i="1" s="1"/>
  <c r="B159" i="1"/>
  <c r="I159" i="1" s="1"/>
  <c r="B160" i="1"/>
  <c r="B161" i="1"/>
  <c r="B162" i="1"/>
  <c r="I162" i="1" s="1"/>
  <c r="B163" i="1"/>
  <c r="I163" i="1" s="1"/>
  <c r="B164" i="1"/>
  <c r="B165" i="1"/>
  <c r="I165" i="1" s="1"/>
  <c r="B166" i="1"/>
  <c r="B167" i="1"/>
  <c r="B168" i="1"/>
  <c r="B169" i="1"/>
  <c r="B170" i="1"/>
  <c r="I170" i="1" s="1"/>
  <c r="B171" i="1"/>
  <c r="I171" i="1" s="1"/>
  <c r="B172" i="1"/>
  <c r="I172" i="1" s="1"/>
  <c r="B173" i="1"/>
  <c r="I173" i="1" s="1"/>
  <c r="B174" i="1"/>
  <c r="B175" i="1"/>
  <c r="B176" i="1"/>
  <c r="I176" i="1" s="1"/>
  <c r="B177" i="1"/>
  <c r="I177" i="1" s="1"/>
  <c r="B178" i="1"/>
  <c r="I178" i="1" s="1"/>
  <c r="B179" i="1"/>
  <c r="I179" i="1" s="1"/>
  <c r="B180" i="1"/>
  <c r="I180" i="1" s="1"/>
  <c r="B181" i="1"/>
  <c r="B182" i="1"/>
  <c r="B183" i="1"/>
  <c r="B184" i="1"/>
  <c r="B185" i="1"/>
  <c r="B186" i="1"/>
  <c r="I186" i="1" s="1"/>
  <c r="B187" i="1"/>
  <c r="I187" i="1" s="1"/>
  <c r="B188" i="1"/>
  <c r="B189" i="1"/>
  <c r="B190" i="1"/>
  <c r="I190" i="1" s="1"/>
  <c r="B191" i="1"/>
  <c r="I191" i="1" s="1"/>
  <c r="B192" i="1"/>
  <c r="I192" i="1" s="1"/>
  <c r="B193" i="1"/>
  <c r="I193" i="1" s="1"/>
  <c r="B194" i="1"/>
  <c r="I194" i="1" s="1"/>
  <c r="B195" i="1"/>
  <c r="B196" i="1"/>
  <c r="B197" i="1"/>
  <c r="I197" i="1" s="1"/>
  <c r="B198" i="1"/>
  <c r="B199" i="1"/>
  <c r="B200" i="1"/>
  <c r="B2" i="1"/>
  <c r="I2" i="1" l="1"/>
  <c r="D2" i="1"/>
  <c r="E2" i="1" s="1"/>
  <c r="H2" i="1"/>
  <c r="F2" i="1" l="1"/>
  <c r="C3" i="1" s="1"/>
  <c r="G2" i="1"/>
  <c r="X2" i="1"/>
  <c r="D3" i="1"/>
  <c r="E3" i="1" s="1"/>
  <c r="H3" i="1"/>
  <c r="AA2" i="1"/>
  <c r="F3" i="1" l="1"/>
  <c r="C4" i="1" s="1"/>
  <c r="H4" i="1" s="1"/>
  <c r="D4" i="1"/>
  <c r="AC3" i="1"/>
  <c r="Z3" i="1"/>
  <c r="E4" i="1" l="1"/>
  <c r="G3" i="1"/>
  <c r="F4" i="1"/>
  <c r="Z4" i="1"/>
  <c r="G4" i="1" l="1"/>
  <c r="C5" i="1"/>
  <c r="AC4" i="1"/>
  <c r="H5" i="1" l="1"/>
  <c r="D5" i="1"/>
  <c r="E5" i="1" s="1"/>
  <c r="G5" i="1" l="1"/>
  <c r="F5" i="1"/>
  <c r="Z5" i="1"/>
  <c r="C6" i="1" l="1"/>
  <c r="AC5" i="1"/>
  <c r="H6" i="1" l="1"/>
  <c r="I6" i="1" s="1"/>
  <c r="D6" i="1"/>
  <c r="E6" i="1" s="1"/>
  <c r="G6" i="1" l="1"/>
  <c r="Z6" i="1"/>
  <c r="F6" i="1"/>
  <c r="C7" i="1" l="1"/>
  <c r="AC6" i="1"/>
  <c r="H7" i="1" l="1"/>
  <c r="I7" i="1" s="1"/>
  <c r="D7" i="1"/>
  <c r="E7" i="1" s="1"/>
  <c r="G7" i="1" l="1"/>
  <c r="F7" i="1"/>
  <c r="Z7" i="1"/>
  <c r="C8" i="1" l="1"/>
  <c r="AC7" i="1"/>
  <c r="H8" i="1" l="1"/>
  <c r="D8" i="1"/>
  <c r="E8" i="1" s="1"/>
  <c r="G8" i="1" l="1"/>
  <c r="F8" i="1" l="1"/>
  <c r="AC8" i="1" s="1"/>
  <c r="Z8" i="1"/>
  <c r="C9" i="1" l="1"/>
  <c r="H9" i="1"/>
  <c r="D9" i="1"/>
  <c r="E9" i="1" s="1"/>
  <c r="G9" i="1" l="1"/>
  <c r="Z9" i="1" l="1"/>
  <c r="F9" i="1"/>
  <c r="C10" i="1" s="1"/>
  <c r="AC9" i="1" l="1"/>
  <c r="H10" i="1"/>
  <c r="D10" i="1"/>
  <c r="E10" i="1" s="1"/>
  <c r="G10" i="1" l="1"/>
  <c r="F10" i="1"/>
  <c r="Z10" i="1" l="1"/>
  <c r="C11" i="1"/>
  <c r="AC10" i="1"/>
  <c r="H11" i="1" l="1"/>
  <c r="D11" i="1"/>
  <c r="E11" i="1" s="1"/>
  <c r="G11" i="1" l="1"/>
  <c r="F11" i="1" l="1"/>
  <c r="C12" i="1" s="1"/>
  <c r="Z11" i="1"/>
  <c r="AC11" i="1" l="1"/>
  <c r="H12" i="1"/>
  <c r="D12" i="1"/>
  <c r="E12" i="1" s="1"/>
  <c r="G12" i="1" l="1"/>
  <c r="Z12" i="1"/>
  <c r="F12" i="1"/>
  <c r="C13" i="1" l="1"/>
  <c r="AC12" i="1"/>
  <c r="H13" i="1" l="1"/>
  <c r="I13" i="1" s="1"/>
  <c r="D13" i="1"/>
  <c r="E13" i="1" s="1"/>
  <c r="G13" i="1" l="1"/>
  <c r="Z13" i="1"/>
  <c r="F13" i="1"/>
  <c r="C14" i="1" l="1"/>
  <c r="AC13" i="1"/>
  <c r="H14" i="1" l="1"/>
  <c r="I14" i="1" s="1"/>
  <c r="D14" i="1"/>
  <c r="E14" i="1" s="1"/>
  <c r="G14" i="1" l="1"/>
  <c r="F14" i="1"/>
  <c r="Z14" i="1" l="1"/>
  <c r="C15" i="1"/>
  <c r="AC14" i="1"/>
  <c r="H15" i="1" l="1"/>
  <c r="D15" i="1"/>
  <c r="E15" i="1" s="1"/>
  <c r="G15" i="1" l="1"/>
  <c r="F15" i="1" l="1"/>
  <c r="C16" i="1" s="1"/>
  <c r="Z15" i="1"/>
  <c r="AC15" i="1"/>
  <c r="H16" i="1" l="1"/>
  <c r="D16" i="1"/>
  <c r="E16" i="1" s="1"/>
  <c r="G16" i="1" l="1"/>
  <c r="Z16" i="1"/>
  <c r="F16" i="1"/>
  <c r="C17" i="1" l="1"/>
  <c r="AC16" i="1"/>
  <c r="H17" i="1" l="1"/>
  <c r="D17" i="1"/>
  <c r="E17" i="1" s="1"/>
  <c r="G17" i="1" l="1"/>
  <c r="Z17" i="1"/>
  <c r="F17" i="1"/>
  <c r="C18" i="1" l="1"/>
  <c r="AC17" i="1"/>
  <c r="H18" i="1" l="1"/>
  <c r="D18" i="1"/>
  <c r="E18" i="1" s="1"/>
  <c r="G18" i="1" l="1"/>
  <c r="F18" i="1" l="1"/>
  <c r="C19" i="1" s="1"/>
  <c r="E19" i="1" s="1"/>
  <c r="Z18" i="1"/>
  <c r="AC18" i="1" l="1"/>
  <c r="H19" i="1"/>
  <c r="D19" i="1"/>
  <c r="G19" i="1" l="1"/>
  <c r="F19" i="1" l="1"/>
  <c r="Z19" i="1"/>
  <c r="C20" i="1"/>
  <c r="AC19" i="1"/>
  <c r="H20" i="1" l="1"/>
  <c r="I20" i="1" s="1"/>
  <c r="D20" i="1"/>
  <c r="E20" i="1" s="1"/>
  <c r="G20" i="1" l="1"/>
  <c r="F20" i="1"/>
  <c r="Z20" i="1"/>
  <c r="C21" i="1" l="1"/>
  <c r="AC20" i="1"/>
  <c r="H21" i="1" l="1"/>
  <c r="I21" i="1" s="1"/>
  <c r="D21" i="1"/>
  <c r="E21" i="1" s="1"/>
  <c r="G21" i="1" l="1"/>
  <c r="Z21" i="1"/>
  <c r="F21" i="1"/>
  <c r="C22" i="1" l="1"/>
  <c r="AC21" i="1"/>
  <c r="H22" i="1" l="1"/>
  <c r="D22" i="1"/>
  <c r="E22" i="1" s="1"/>
  <c r="G22" i="1" l="1"/>
  <c r="Z22" i="1"/>
  <c r="F22" i="1"/>
  <c r="C23" i="1" l="1"/>
  <c r="AC22" i="1"/>
  <c r="H23" i="1" l="1"/>
  <c r="D23" i="1"/>
  <c r="E23" i="1" s="1"/>
  <c r="G23" i="1" l="1"/>
  <c r="Z23" i="1"/>
  <c r="F23" i="1"/>
  <c r="C24" i="1" l="1"/>
  <c r="AC23" i="1"/>
  <c r="H24" i="1" l="1"/>
  <c r="D24" i="1"/>
  <c r="E24" i="1" s="1"/>
  <c r="G24" i="1" l="1"/>
  <c r="Z24" i="1"/>
  <c r="F24" i="1"/>
  <c r="C25" i="1" l="1"/>
  <c r="AC24" i="1"/>
  <c r="H25" i="1" l="1"/>
  <c r="D25" i="1"/>
  <c r="E25" i="1" s="1"/>
  <c r="G25" i="1" l="1"/>
  <c r="F25" i="1" l="1"/>
  <c r="C26" i="1" s="1"/>
  <c r="Z25" i="1"/>
  <c r="AC25" i="1" l="1"/>
  <c r="H26" i="1"/>
  <c r="D26" i="1"/>
  <c r="E26" i="1" s="1"/>
  <c r="G26" i="1" l="1"/>
  <c r="F26" i="1"/>
  <c r="Z26" i="1" l="1"/>
  <c r="C27" i="1"/>
  <c r="AC26" i="1"/>
  <c r="H27" i="1" l="1"/>
  <c r="I27" i="1" s="1"/>
  <c r="D27" i="1"/>
  <c r="E27" i="1" s="1"/>
  <c r="G27" i="1" l="1"/>
  <c r="F27" i="1" l="1"/>
  <c r="Z27" i="1"/>
  <c r="C28" i="1"/>
  <c r="AC27" i="1"/>
  <c r="H28" i="1" l="1"/>
  <c r="I28" i="1" s="1"/>
  <c r="D28" i="1"/>
  <c r="E28" i="1" s="1"/>
  <c r="G28" i="1" l="1"/>
  <c r="F28" i="1" l="1"/>
  <c r="C29" i="1" s="1"/>
  <c r="Z28" i="1"/>
  <c r="AC28" i="1" l="1"/>
  <c r="H29" i="1"/>
  <c r="D29" i="1"/>
  <c r="E29" i="1" s="1"/>
  <c r="G29" i="1" l="1"/>
  <c r="Z29" i="1"/>
  <c r="F29" i="1"/>
  <c r="C30" i="1" l="1"/>
  <c r="AC29" i="1"/>
  <c r="H30" i="1" l="1"/>
  <c r="D30" i="1"/>
  <c r="E30" i="1" s="1"/>
  <c r="G30" i="1" l="1"/>
  <c r="F30" i="1" l="1"/>
  <c r="Z30" i="1"/>
  <c r="C31" i="1"/>
  <c r="AC30" i="1"/>
  <c r="H31" i="1" l="1"/>
  <c r="D31" i="1"/>
  <c r="E31" i="1" s="1"/>
  <c r="G31" i="1" l="1"/>
  <c r="Z31" i="1"/>
  <c r="F31" i="1" l="1"/>
  <c r="C32" i="1" s="1"/>
  <c r="AC31" i="1" l="1"/>
  <c r="H32" i="1"/>
  <c r="D32" i="1"/>
  <c r="E32" i="1" s="1"/>
  <c r="G32" i="1" l="1"/>
  <c r="F32" i="1" l="1"/>
  <c r="Z32" i="1"/>
  <c r="C33" i="1"/>
  <c r="AC32" i="1"/>
  <c r="H33" i="1" l="1"/>
  <c r="D33" i="1"/>
  <c r="E33" i="1" s="1"/>
  <c r="G33" i="1" l="1"/>
  <c r="F33" i="1"/>
  <c r="Z33" i="1"/>
  <c r="C34" i="1" l="1"/>
  <c r="AC33" i="1"/>
  <c r="H34" i="1" l="1"/>
  <c r="I34" i="1" s="1"/>
  <c r="D34" i="1"/>
  <c r="E34" i="1" s="1"/>
  <c r="G34" i="1" l="1"/>
  <c r="Z34" i="1"/>
  <c r="F34" i="1" l="1"/>
  <c r="C35" i="1" s="1"/>
  <c r="AC34" i="1"/>
  <c r="H35" i="1" l="1"/>
  <c r="I35" i="1" s="1"/>
  <c r="D35" i="1"/>
  <c r="E35" i="1" s="1"/>
  <c r="G35" i="1" l="1"/>
  <c r="Z35" i="1"/>
  <c r="F35" i="1"/>
  <c r="AC35" i="1" l="1"/>
  <c r="C36" i="1"/>
  <c r="H36" i="1" l="1"/>
  <c r="D36" i="1"/>
  <c r="E36" i="1" s="1"/>
  <c r="G36" i="1" l="1"/>
  <c r="F36" i="1" l="1"/>
  <c r="C37" i="1" s="1"/>
  <c r="Z36" i="1"/>
  <c r="AC36" i="1"/>
  <c r="H37" i="1" l="1"/>
  <c r="D37" i="1"/>
  <c r="E37" i="1" s="1"/>
  <c r="G37" i="1" l="1"/>
  <c r="Z37" i="1" l="1"/>
  <c r="F37" i="1"/>
  <c r="C38" i="1" s="1"/>
  <c r="AC37" i="1"/>
  <c r="H38" i="1" l="1"/>
  <c r="D38" i="1"/>
  <c r="E38" i="1" s="1"/>
  <c r="G38" i="1" l="1"/>
  <c r="Z38" i="1"/>
  <c r="F38" i="1"/>
  <c r="C39" i="1" l="1"/>
  <c r="AC38" i="1"/>
  <c r="H39" i="1" l="1"/>
  <c r="D39" i="1"/>
  <c r="E39" i="1" s="1"/>
  <c r="G39" i="1" l="1"/>
  <c r="F39" i="1"/>
  <c r="Z39" i="1" l="1"/>
  <c r="C40" i="1"/>
  <c r="AC39" i="1"/>
  <c r="H40" i="1" l="1"/>
  <c r="D40" i="1"/>
  <c r="E40" i="1" s="1"/>
  <c r="G40" i="1" l="1"/>
  <c r="F40" i="1" l="1"/>
  <c r="C41" i="1" s="1"/>
  <c r="Z40" i="1"/>
  <c r="AC40" i="1" l="1"/>
  <c r="H41" i="1"/>
  <c r="I41" i="1" s="1"/>
  <c r="D41" i="1"/>
  <c r="E41" i="1" s="1"/>
  <c r="G41" i="1" l="1"/>
  <c r="F41" i="1"/>
  <c r="Z41" i="1" l="1"/>
  <c r="C42" i="1"/>
  <c r="AC41" i="1"/>
  <c r="H42" i="1" l="1"/>
  <c r="I42" i="1" s="1"/>
  <c r="D42" i="1"/>
  <c r="E42" i="1" s="1"/>
  <c r="G42" i="1" l="1"/>
  <c r="Z42" i="1" l="1"/>
  <c r="F42" i="1"/>
  <c r="C43" i="1" s="1"/>
  <c r="AC42" i="1" l="1"/>
  <c r="H43" i="1"/>
  <c r="D43" i="1"/>
  <c r="E43" i="1" s="1"/>
  <c r="G43" i="1" l="1"/>
  <c r="F43" i="1" l="1"/>
  <c r="Z43" i="1"/>
  <c r="C44" i="1"/>
  <c r="AC43" i="1"/>
  <c r="H44" i="1" l="1"/>
  <c r="D44" i="1"/>
  <c r="E44" i="1" s="1"/>
  <c r="G44" i="1" l="1"/>
  <c r="Z44" i="1"/>
  <c r="F44" i="1"/>
  <c r="C45" i="1" l="1"/>
  <c r="AC44" i="1"/>
  <c r="H45" i="1" l="1"/>
  <c r="D45" i="1"/>
  <c r="E45" i="1" s="1"/>
  <c r="G45" i="1" l="1"/>
  <c r="F45" i="1"/>
  <c r="Z45" i="1"/>
  <c r="C46" i="1" l="1"/>
  <c r="AC45" i="1"/>
  <c r="H46" i="1" l="1"/>
  <c r="D46" i="1"/>
  <c r="E46" i="1" s="1"/>
  <c r="G46" i="1" l="1"/>
  <c r="Z46" i="1" l="1"/>
  <c r="F46" i="1"/>
  <c r="C47" i="1" s="1"/>
  <c r="AC46" i="1" l="1"/>
  <c r="H47" i="1"/>
  <c r="D47" i="1"/>
  <c r="E47" i="1" s="1"/>
  <c r="G47" i="1" l="1"/>
  <c r="Z47" i="1"/>
  <c r="F47" i="1"/>
  <c r="AC47" i="1" l="1"/>
  <c r="C48" i="1"/>
  <c r="H48" i="1" l="1"/>
  <c r="I48" i="1" s="1"/>
  <c r="D48" i="1"/>
  <c r="E48" i="1" s="1"/>
  <c r="G48" i="1" l="1"/>
  <c r="F48" i="1" l="1"/>
  <c r="Z48" i="1"/>
  <c r="AC48" i="1"/>
  <c r="C49" i="1"/>
  <c r="H49" i="1" l="1"/>
  <c r="I49" i="1" s="1"/>
  <c r="D49" i="1"/>
  <c r="E49" i="1" s="1"/>
  <c r="G49" i="1" l="1"/>
  <c r="F49" i="1" l="1"/>
  <c r="AC49" i="1" s="1"/>
  <c r="Z49" i="1"/>
  <c r="C50" i="1"/>
  <c r="H50" i="1" l="1"/>
  <c r="D50" i="1"/>
  <c r="E50" i="1" s="1"/>
  <c r="G50" i="1" l="1"/>
  <c r="Z50" i="1" l="1"/>
  <c r="F50" i="1"/>
  <c r="C51" i="1" s="1"/>
  <c r="AC50" i="1" l="1"/>
  <c r="H51" i="1"/>
  <c r="D51" i="1"/>
  <c r="E51" i="1" s="1"/>
  <c r="G51" i="1" l="1"/>
  <c r="Z51" i="1" l="1"/>
  <c r="F51" i="1"/>
  <c r="C52" i="1" s="1"/>
  <c r="AC51" i="1" l="1"/>
  <c r="H52" i="1"/>
  <c r="D52" i="1"/>
  <c r="E52" i="1" s="1"/>
  <c r="G52" i="1" l="1"/>
  <c r="Z52" i="1" l="1"/>
  <c r="F52" i="1"/>
  <c r="C53" i="1" s="1"/>
  <c r="AC52" i="1" l="1"/>
  <c r="H53" i="1"/>
  <c r="D53" i="1"/>
  <c r="E53" i="1" s="1"/>
  <c r="G53" i="1" l="1"/>
  <c r="Z53" i="1" l="1"/>
  <c r="F53" i="1"/>
  <c r="C54" i="1" s="1"/>
  <c r="AC53" i="1" l="1"/>
  <c r="H54" i="1"/>
  <c r="D54" i="1"/>
  <c r="E54" i="1" s="1"/>
  <c r="G54" i="1" l="1"/>
  <c r="Z54" i="1" l="1"/>
  <c r="F54" i="1"/>
  <c r="C55" i="1" s="1"/>
  <c r="AC54" i="1"/>
  <c r="H55" i="1" l="1"/>
  <c r="I55" i="1" s="1"/>
  <c r="D55" i="1"/>
  <c r="E55" i="1" s="1"/>
  <c r="G55" i="1" l="1"/>
  <c r="F55" i="1"/>
  <c r="Z55" i="1"/>
  <c r="AC55" i="1" l="1"/>
  <c r="C56" i="1"/>
  <c r="H56" i="1" l="1"/>
  <c r="I56" i="1" s="1"/>
  <c r="D56" i="1"/>
  <c r="E56" i="1" s="1"/>
  <c r="G56" i="1" l="1"/>
  <c r="Z56" i="1"/>
  <c r="F56" i="1" l="1"/>
  <c r="C57" i="1" s="1"/>
  <c r="AC56" i="1" l="1"/>
  <c r="H57" i="1"/>
  <c r="D57" i="1"/>
  <c r="E57" i="1" s="1"/>
  <c r="G57" i="1" l="1"/>
  <c r="Z57" i="1"/>
  <c r="F57" i="1" l="1"/>
  <c r="C58" i="1" s="1"/>
  <c r="AC57" i="1" l="1"/>
  <c r="H58" i="1"/>
  <c r="D58" i="1"/>
  <c r="E58" i="1" s="1"/>
  <c r="G58" i="1" l="1"/>
  <c r="Z58" i="1"/>
  <c r="F58" i="1"/>
  <c r="C59" i="1" l="1"/>
  <c r="AC58" i="1"/>
  <c r="H59" i="1" l="1"/>
  <c r="D59" i="1"/>
  <c r="E59" i="1" s="1"/>
  <c r="G59" i="1" l="1"/>
  <c r="F59" i="1" l="1"/>
  <c r="C60" i="1" s="1"/>
  <c r="Z59" i="1"/>
  <c r="AC59" i="1" l="1"/>
  <c r="H60" i="1"/>
  <c r="D60" i="1"/>
  <c r="E60" i="1" s="1"/>
  <c r="G60" i="1" l="1"/>
  <c r="F60" i="1"/>
  <c r="Z60" i="1" l="1"/>
  <c r="C61" i="1"/>
  <c r="AC60" i="1"/>
  <c r="H61" i="1" l="1"/>
  <c r="D61" i="1"/>
  <c r="E61" i="1" s="1"/>
  <c r="G61" i="1" l="1"/>
  <c r="Z61" i="1"/>
  <c r="F61" i="1"/>
  <c r="C62" i="1" l="1"/>
  <c r="AC61" i="1"/>
  <c r="H62" i="1" l="1"/>
  <c r="I62" i="1" s="1"/>
  <c r="D62" i="1"/>
  <c r="E62" i="1" s="1"/>
  <c r="G62" i="1" l="1"/>
  <c r="Z62" i="1"/>
  <c r="F62" i="1"/>
  <c r="C63" i="1" l="1"/>
  <c r="AC62" i="1"/>
  <c r="H63" i="1" l="1"/>
  <c r="I63" i="1" s="1"/>
  <c r="D63" i="1"/>
  <c r="E63" i="1" s="1"/>
  <c r="G63" i="1" l="1"/>
  <c r="F63" i="1"/>
  <c r="Z63" i="1"/>
  <c r="C64" i="1" l="1"/>
  <c r="AC63" i="1"/>
  <c r="H64" i="1" l="1"/>
  <c r="D64" i="1"/>
  <c r="E64" i="1" s="1"/>
  <c r="G64" i="1" l="1"/>
  <c r="Z64" i="1"/>
  <c r="F64" i="1" l="1"/>
  <c r="C65" i="1" s="1"/>
  <c r="AC64" i="1"/>
  <c r="H65" i="1" l="1"/>
  <c r="D65" i="1"/>
  <c r="E65" i="1" s="1"/>
  <c r="G65" i="1" l="1"/>
  <c r="F65" i="1"/>
  <c r="Z65" i="1"/>
  <c r="C66" i="1" l="1"/>
  <c r="AC65" i="1"/>
  <c r="H66" i="1" l="1"/>
  <c r="D66" i="1"/>
  <c r="E66" i="1" s="1"/>
  <c r="G66" i="1" l="1"/>
  <c r="Z66" i="1"/>
  <c r="F66" i="1"/>
  <c r="C67" i="1" l="1"/>
  <c r="AC66" i="1"/>
  <c r="H67" i="1" l="1"/>
  <c r="D67" i="1"/>
  <c r="E67" i="1" s="1"/>
  <c r="G67" i="1" l="1"/>
  <c r="F67" i="1"/>
  <c r="Z67" i="1"/>
  <c r="C68" i="1" l="1"/>
  <c r="AC67" i="1"/>
  <c r="H68" i="1" l="1"/>
  <c r="D68" i="1"/>
  <c r="E68" i="1" s="1"/>
  <c r="G68" i="1" l="1"/>
  <c r="Z68" i="1"/>
  <c r="F68" i="1" l="1"/>
  <c r="C69" i="1"/>
  <c r="AC68" i="1"/>
  <c r="H69" i="1" l="1"/>
  <c r="I69" i="1" s="1"/>
  <c r="D69" i="1"/>
  <c r="E69" i="1" s="1"/>
  <c r="G69" i="1" l="1"/>
  <c r="Z69" i="1"/>
  <c r="F69" i="1"/>
  <c r="C70" i="1" l="1"/>
  <c r="AC69" i="1"/>
  <c r="H70" i="1" l="1"/>
  <c r="I70" i="1" s="1"/>
  <c r="D70" i="1"/>
  <c r="E70" i="1" s="1"/>
  <c r="G70" i="1" l="1"/>
  <c r="F70" i="1"/>
  <c r="Z70" i="1"/>
  <c r="AC70" i="1" l="1"/>
  <c r="C71" i="1"/>
  <c r="H71" i="1" l="1"/>
  <c r="D71" i="1"/>
  <c r="E71" i="1" s="1"/>
  <c r="G71" i="1" l="1"/>
  <c r="F71" i="1"/>
  <c r="Z71" i="1"/>
  <c r="C72" i="1" l="1"/>
  <c r="AC71" i="1"/>
  <c r="H72" i="1" l="1"/>
  <c r="D72" i="1"/>
  <c r="E72" i="1" s="1"/>
  <c r="G72" i="1" l="1"/>
  <c r="F72" i="1" l="1"/>
  <c r="C73" i="1" s="1"/>
  <c r="Z72" i="1"/>
  <c r="AC72" i="1"/>
  <c r="H73" i="1" l="1"/>
  <c r="D73" i="1"/>
  <c r="E73" i="1" s="1"/>
  <c r="G73" i="1" l="1"/>
  <c r="Z73" i="1"/>
  <c r="F73" i="1"/>
  <c r="C74" i="1" l="1"/>
  <c r="AC73" i="1"/>
  <c r="H74" i="1" l="1"/>
  <c r="D74" i="1"/>
  <c r="E74" i="1" s="1"/>
  <c r="G74" i="1" l="1"/>
  <c r="Z74" i="1"/>
  <c r="F74" i="1"/>
  <c r="AC74" i="1" l="1"/>
  <c r="C75" i="1"/>
  <c r="H75" i="1" l="1"/>
  <c r="D75" i="1"/>
  <c r="E75" i="1" s="1"/>
  <c r="G75" i="1" l="1"/>
  <c r="F75" i="1"/>
  <c r="Z75" i="1"/>
  <c r="C76" i="1" l="1"/>
  <c r="AC75" i="1"/>
  <c r="H76" i="1" l="1"/>
  <c r="I76" i="1" s="1"/>
  <c r="D76" i="1"/>
  <c r="E76" i="1" s="1"/>
  <c r="G76" i="1" l="1"/>
  <c r="Z76" i="1"/>
  <c r="F76" i="1"/>
  <c r="C77" i="1" l="1"/>
  <c r="AC76" i="1"/>
  <c r="H77" i="1" l="1"/>
  <c r="I77" i="1" s="1"/>
  <c r="D77" i="1"/>
  <c r="E77" i="1" s="1"/>
  <c r="G77" i="1" l="1"/>
  <c r="Z77" i="1"/>
  <c r="F77" i="1"/>
  <c r="C78" i="1" l="1"/>
  <c r="AC77" i="1"/>
  <c r="H78" i="1" l="1"/>
  <c r="D78" i="1"/>
  <c r="E78" i="1" s="1"/>
  <c r="G78" i="1" l="1"/>
  <c r="F78" i="1"/>
  <c r="Z78" i="1"/>
  <c r="C79" i="1" l="1"/>
  <c r="AC78" i="1"/>
  <c r="H79" i="1" l="1"/>
  <c r="D79" i="1"/>
  <c r="E79" i="1" s="1"/>
  <c r="G79" i="1" l="1"/>
  <c r="F79" i="1"/>
  <c r="Z79" i="1"/>
  <c r="C80" i="1" l="1"/>
  <c r="AC79" i="1"/>
  <c r="H80" i="1" l="1"/>
  <c r="D80" i="1"/>
  <c r="E80" i="1" s="1"/>
  <c r="G80" i="1" l="1"/>
  <c r="F80" i="1" l="1"/>
  <c r="C81" i="1" s="1"/>
  <c r="Z80" i="1"/>
  <c r="AC80" i="1" l="1"/>
  <c r="H81" i="1"/>
  <c r="D81" i="1"/>
  <c r="E81" i="1" s="1"/>
  <c r="G81" i="1" l="1"/>
  <c r="F81" i="1"/>
  <c r="Z81" i="1"/>
  <c r="C82" i="1" l="1"/>
  <c r="AC81" i="1"/>
  <c r="H82" i="1" l="1"/>
  <c r="D82" i="1"/>
  <c r="E82" i="1" s="1"/>
  <c r="G82" i="1" l="1"/>
  <c r="Z82" i="1" l="1"/>
  <c r="F82" i="1"/>
  <c r="C83" i="1" s="1"/>
  <c r="AC82" i="1" l="1"/>
  <c r="H83" i="1"/>
  <c r="I83" i="1" s="1"/>
  <c r="D83" i="1"/>
  <c r="E83" i="1" s="1"/>
  <c r="G83" i="1" l="1"/>
  <c r="F83" i="1"/>
  <c r="Z83" i="1"/>
  <c r="C84" i="1" l="1"/>
  <c r="AC83" i="1"/>
  <c r="H84" i="1" l="1"/>
  <c r="I84" i="1" s="1"/>
  <c r="D84" i="1"/>
  <c r="E84" i="1" s="1"/>
  <c r="G84" i="1" l="1"/>
  <c r="F84" i="1"/>
  <c r="Z84" i="1"/>
  <c r="C85" i="1" l="1"/>
  <c r="AC84" i="1"/>
  <c r="H85" i="1" l="1"/>
  <c r="D85" i="1"/>
  <c r="E85" i="1" s="1"/>
  <c r="G85" i="1" l="1"/>
  <c r="Z85" i="1"/>
  <c r="F85" i="1" l="1"/>
  <c r="C86" i="1" s="1"/>
  <c r="AC85" i="1" l="1"/>
  <c r="H86" i="1"/>
  <c r="D86" i="1"/>
  <c r="E86" i="1" s="1"/>
  <c r="G86" i="1" l="1"/>
  <c r="F86" i="1" l="1"/>
  <c r="C87" i="1" s="1"/>
  <c r="Z86" i="1"/>
  <c r="AC86" i="1" l="1"/>
  <c r="H87" i="1"/>
  <c r="D87" i="1"/>
  <c r="E87" i="1" s="1"/>
  <c r="G87" i="1" l="1"/>
  <c r="Z87" i="1"/>
  <c r="F87" i="1"/>
  <c r="C88" i="1" l="1"/>
  <c r="AC87" i="1"/>
  <c r="H88" i="1" l="1"/>
  <c r="D88" i="1"/>
  <c r="E88" i="1" s="1"/>
  <c r="G88" i="1" l="1"/>
  <c r="Z88" i="1"/>
  <c r="F88" i="1"/>
  <c r="C89" i="1" l="1"/>
  <c r="AC88" i="1"/>
  <c r="H89" i="1" l="1"/>
  <c r="D89" i="1"/>
  <c r="E89" i="1" s="1"/>
  <c r="G89" i="1" l="1"/>
  <c r="Z89" i="1"/>
  <c r="F89" i="1"/>
  <c r="C90" i="1" l="1"/>
  <c r="AC89" i="1"/>
  <c r="H90" i="1" l="1"/>
  <c r="I90" i="1" s="1"/>
  <c r="D90" i="1"/>
  <c r="E90" i="1" s="1"/>
  <c r="G90" i="1" l="1"/>
  <c r="Z90" i="1"/>
  <c r="F90" i="1"/>
  <c r="C91" i="1" l="1"/>
  <c r="AC90" i="1"/>
  <c r="H91" i="1" l="1"/>
  <c r="I91" i="1" s="1"/>
  <c r="D91" i="1"/>
  <c r="E91" i="1" s="1"/>
  <c r="G91" i="1" l="1"/>
  <c r="F91" i="1"/>
  <c r="Z91" i="1"/>
  <c r="C92" i="1" l="1"/>
  <c r="AC91" i="1"/>
  <c r="H92" i="1" l="1"/>
  <c r="D92" i="1"/>
  <c r="E92" i="1" s="1"/>
  <c r="G92" i="1" l="1"/>
  <c r="Z92" i="1"/>
  <c r="F92" i="1"/>
  <c r="C93" i="1" l="1"/>
  <c r="AC92" i="1"/>
  <c r="H93" i="1" l="1"/>
  <c r="D93" i="1"/>
  <c r="E93" i="1" s="1"/>
  <c r="G93" i="1" l="1"/>
  <c r="Z93" i="1"/>
  <c r="F93" i="1"/>
  <c r="C94" i="1" l="1"/>
  <c r="AC93" i="1"/>
  <c r="H94" i="1" l="1"/>
  <c r="D94" i="1"/>
  <c r="E94" i="1" s="1"/>
  <c r="G94" i="1" l="1"/>
  <c r="F94" i="1" l="1"/>
  <c r="Z94" i="1"/>
  <c r="C95" i="1"/>
  <c r="AC94" i="1"/>
  <c r="H95" i="1" l="1"/>
  <c r="D95" i="1"/>
  <c r="E95" i="1" s="1"/>
  <c r="G95" i="1" l="1"/>
  <c r="Z95" i="1"/>
  <c r="F95" i="1"/>
  <c r="C96" i="1" l="1"/>
  <c r="AC95" i="1"/>
  <c r="H96" i="1" l="1"/>
  <c r="D96" i="1"/>
  <c r="E96" i="1" s="1"/>
  <c r="G96" i="1" l="1"/>
  <c r="Z96" i="1"/>
  <c r="F96" i="1"/>
  <c r="C97" i="1" l="1"/>
  <c r="AC96" i="1"/>
  <c r="H97" i="1" l="1"/>
  <c r="I97" i="1" s="1"/>
  <c r="D97" i="1"/>
  <c r="E97" i="1" s="1"/>
  <c r="G97" i="1" l="1"/>
  <c r="F97" i="1"/>
  <c r="Z97" i="1"/>
  <c r="C98" i="1" l="1"/>
  <c r="AC97" i="1"/>
  <c r="H98" i="1" l="1"/>
  <c r="I98" i="1" s="1"/>
  <c r="D98" i="1"/>
  <c r="E98" i="1" s="1"/>
  <c r="G98" i="1" l="1"/>
  <c r="Z98" i="1"/>
  <c r="F98" i="1"/>
  <c r="AC98" i="1" l="1"/>
  <c r="C99" i="1"/>
  <c r="H99" i="1" l="1"/>
  <c r="D99" i="1"/>
  <c r="E99" i="1" s="1"/>
  <c r="G99" i="1" l="1"/>
  <c r="F99" i="1"/>
  <c r="Z99" i="1"/>
  <c r="C100" i="1" l="1"/>
  <c r="AC99" i="1"/>
  <c r="H100" i="1" l="1"/>
  <c r="D100" i="1"/>
  <c r="E100" i="1" s="1"/>
  <c r="G100" i="1" l="1"/>
  <c r="Z100" i="1"/>
  <c r="F100" i="1"/>
  <c r="C101" i="1" l="1"/>
  <c r="AC100" i="1"/>
  <c r="H101" i="1" l="1"/>
  <c r="D101" i="1"/>
  <c r="E101" i="1" s="1"/>
  <c r="G101" i="1" l="1"/>
  <c r="F101" i="1" l="1"/>
  <c r="Z101" i="1"/>
  <c r="C102" i="1"/>
  <c r="AC101" i="1"/>
  <c r="H102" i="1" l="1"/>
  <c r="D102" i="1"/>
  <c r="E102" i="1" s="1"/>
  <c r="G102" i="1" l="1"/>
  <c r="Z102" i="1" l="1"/>
  <c r="F102" i="1"/>
  <c r="C103" i="1"/>
  <c r="AC102" i="1"/>
  <c r="H103" i="1" l="1"/>
  <c r="D103" i="1"/>
  <c r="E103" i="1" s="1"/>
  <c r="G103" i="1" l="1"/>
  <c r="F103" i="1"/>
  <c r="Z103" i="1"/>
  <c r="C104" i="1" l="1"/>
  <c r="AC103" i="1"/>
  <c r="H104" i="1" l="1"/>
  <c r="I104" i="1" s="1"/>
  <c r="D104" i="1"/>
  <c r="E104" i="1" s="1"/>
  <c r="G104" i="1" l="1"/>
  <c r="F104" i="1"/>
  <c r="Z104" i="1"/>
  <c r="C105" i="1" l="1"/>
  <c r="AC104" i="1"/>
  <c r="H105" i="1" l="1"/>
  <c r="I105" i="1" s="1"/>
  <c r="D105" i="1"/>
  <c r="E105" i="1" s="1"/>
  <c r="G105" i="1" l="1"/>
  <c r="Z105" i="1"/>
  <c r="F105" i="1"/>
  <c r="C106" i="1" l="1"/>
  <c r="AC105" i="1"/>
  <c r="H106" i="1" l="1"/>
  <c r="D106" i="1"/>
  <c r="E106" i="1" s="1"/>
  <c r="G106" i="1" l="1"/>
  <c r="Z106" i="1"/>
  <c r="F106" i="1" l="1"/>
  <c r="C107" i="1" s="1"/>
  <c r="AC106" i="1"/>
  <c r="H107" i="1" l="1"/>
  <c r="D107" i="1"/>
  <c r="E107" i="1" s="1"/>
  <c r="G107" i="1" l="1"/>
  <c r="Z107" i="1"/>
  <c r="F107" i="1"/>
  <c r="C108" i="1" l="1"/>
  <c r="AC107" i="1"/>
  <c r="H108" i="1" l="1"/>
  <c r="D108" i="1"/>
  <c r="E108" i="1" s="1"/>
  <c r="G108" i="1" l="1"/>
  <c r="F108" i="1"/>
  <c r="Z108" i="1"/>
  <c r="C109" i="1" l="1"/>
  <c r="AC108" i="1"/>
  <c r="H109" i="1" l="1"/>
  <c r="D109" i="1"/>
  <c r="E109" i="1" s="1"/>
  <c r="G109" i="1" l="1"/>
  <c r="Z109" i="1"/>
  <c r="F109" i="1"/>
  <c r="C110" i="1" l="1"/>
  <c r="AC109" i="1"/>
  <c r="H110" i="1" l="1"/>
  <c r="D110" i="1"/>
  <c r="E110" i="1" s="1"/>
  <c r="G110" i="1" l="1"/>
  <c r="Z110" i="1"/>
  <c r="F110" i="1"/>
  <c r="C111" i="1" l="1"/>
  <c r="AC110" i="1"/>
  <c r="H111" i="1" l="1"/>
  <c r="I111" i="1" s="1"/>
  <c r="D111" i="1"/>
  <c r="E111" i="1" s="1"/>
  <c r="G111" i="1" l="1"/>
  <c r="F111" i="1" l="1"/>
  <c r="Z111" i="1"/>
  <c r="C112" i="1"/>
  <c r="AC111" i="1"/>
  <c r="H112" i="1" l="1"/>
  <c r="I112" i="1" s="1"/>
  <c r="D112" i="1"/>
  <c r="E112" i="1" s="1"/>
  <c r="G112" i="1" l="1"/>
  <c r="Z112" i="1"/>
  <c r="F112" i="1"/>
  <c r="C113" i="1" l="1"/>
  <c r="AC112" i="1"/>
  <c r="H113" i="1" l="1"/>
  <c r="D113" i="1"/>
  <c r="E113" i="1" s="1"/>
  <c r="G113" i="1" l="1"/>
  <c r="Z113" i="1"/>
  <c r="F113" i="1"/>
  <c r="AC113" i="1" l="1"/>
  <c r="C114" i="1"/>
  <c r="H114" i="1" l="1"/>
  <c r="D114" i="1"/>
  <c r="E114" i="1" s="1"/>
  <c r="G114" i="1" l="1"/>
  <c r="F114" i="1" l="1"/>
  <c r="Z114" i="1"/>
  <c r="C115" i="1"/>
  <c r="AC114" i="1"/>
  <c r="H115" i="1" l="1"/>
  <c r="D115" i="1"/>
  <c r="E115" i="1" s="1"/>
  <c r="G115" i="1" l="1"/>
  <c r="Z115" i="1"/>
  <c r="F115" i="1"/>
  <c r="C116" i="1" l="1"/>
  <c r="AC115" i="1"/>
  <c r="H116" i="1" l="1"/>
  <c r="D116" i="1"/>
  <c r="E116" i="1" s="1"/>
  <c r="G116" i="1" l="1"/>
  <c r="Z116" i="1"/>
  <c r="F116" i="1"/>
  <c r="AC116" i="1" l="1"/>
  <c r="C117" i="1"/>
  <c r="H117" i="1" l="1"/>
  <c r="D117" i="1"/>
  <c r="E117" i="1" s="1"/>
  <c r="G117" i="1" l="1"/>
  <c r="Z117" i="1"/>
  <c r="F117" i="1"/>
  <c r="AC117" i="1" l="1"/>
  <c r="C118" i="1"/>
  <c r="H118" i="1" l="1"/>
  <c r="I118" i="1" s="1"/>
  <c r="D118" i="1"/>
  <c r="E118" i="1" s="1"/>
  <c r="G118" i="1" l="1"/>
  <c r="Z118" i="1"/>
  <c r="F118" i="1"/>
  <c r="C119" i="1" l="1"/>
  <c r="AC118" i="1"/>
  <c r="H119" i="1" l="1"/>
  <c r="I119" i="1" s="1"/>
  <c r="D119" i="1"/>
  <c r="E119" i="1" s="1"/>
  <c r="G119" i="1" l="1"/>
  <c r="Z119" i="1"/>
  <c r="F119" i="1"/>
  <c r="AC119" i="1" l="1"/>
  <c r="C120" i="1"/>
  <c r="H120" i="1" l="1"/>
  <c r="D120" i="1"/>
  <c r="E120" i="1" s="1"/>
  <c r="G120" i="1" l="1"/>
  <c r="Z120" i="1"/>
  <c r="F120" i="1"/>
  <c r="C121" i="1" l="1"/>
  <c r="AC120" i="1"/>
  <c r="H121" i="1" l="1"/>
  <c r="D121" i="1"/>
  <c r="E121" i="1" s="1"/>
  <c r="G121" i="1" l="1"/>
  <c r="Z121" i="1"/>
  <c r="F121" i="1"/>
  <c r="AC121" i="1" l="1"/>
  <c r="C122" i="1"/>
  <c r="H122" i="1" l="1"/>
  <c r="D122" i="1"/>
  <c r="E122" i="1" s="1"/>
  <c r="G122" i="1" l="1"/>
  <c r="Z122" i="1" l="1"/>
  <c r="F122" i="1"/>
  <c r="C123" i="1" s="1"/>
  <c r="AC122" i="1" l="1"/>
  <c r="H123" i="1"/>
  <c r="D123" i="1"/>
  <c r="E123" i="1" s="1"/>
  <c r="G123" i="1" l="1"/>
  <c r="Z123" i="1"/>
  <c r="F123" i="1"/>
  <c r="C124" i="1" l="1"/>
  <c r="AC123" i="1"/>
  <c r="H124" i="1" l="1"/>
  <c r="D124" i="1"/>
  <c r="E124" i="1" s="1"/>
  <c r="G124" i="1" l="1"/>
  <c r="F124" i="1" l="1"/>
  <c r="C125" i="1" s="1"/>
  <c r="Z124" i="1"/>
  <c r="AC124" i="1"/>
  <c r="H125" i="1" l="1"/>
  <c r="I125" i="1" s="1"/>
  <c r="D125" i="1"/>
  <c r="E125" i="1" s="1"/>
  <c r="G125" i="1" l="1"/>
  <c r="Z125" i="1"/>
  <c r="F125" i="1"/>
  <c r="AC125" i="1" l="1"/>
  <c r="C126" i="1"/>
  <c r="H126" i="1" l="1"/>
  <c r="I126" i="1" s="1"/>
  <c r="D126" i="1"/>
  <c r="E126" i="1" s="1"/>
  <c r="G126" i="1" l="1"/>
  <c r="Z126" i="1"/>
  <c r="F126" i="1"/>
  <c r="AC126" i="1" l="1"/>
  <c r="C127" i="1"/>
  <c r="H127" i="1" l="1"/>
  <c r="D127" i="1"/>
  <c r="E127" i="1" s="1"/>
  <c r="G127" i="1" l="1"/>
  <c r="Z127" i="1"/>
  <c r="F127" i="1"/>
  <c r="C128" i="1" l="1"/>
  <c r="AC127" i="1"/>
  <c r="H128" i="1" l="1"/>
  <c r="D128" i="1"/>
  <c r="E128" i="1" s="1"/>
  <c r="G128" i="1" l="1"/>
  <c r="Z128" i="1"/>
  <c r="F128" i="1"/>
  <c r="C129" i="1" l="1"/>
  <c r="AC128" i="1"/>
  <c r="H129" i="1" l="1"/>
  <c r="D129" i="1"/>
  <c r="E129" i="1" s="1"/>
  <c r="G129" i="1" l="1"/>
  <c r="F129" i="1"/>
  <c r="Z129" i="1"/>
  <c r="C130" i="1" l="1"/>
  <c r="AC129" i="1"/>
  <c r="H130" i="1" l="1"/>
  <c r="D130" i="1"/>
  <c r="E130" i="1" s="1"/>
  <c r="G130" i="1" l="1"/>
  <c r="F130" i="1" l="1"/>
  <c r="C131" i="1" s="1"/>
  <c r="Z130" i="1"/>
  <c r="AC130" i="1"/>
  <c r="H131" i="1" l="1"/>
  <c r="D131" i="1"/>
  <c r="E131" i="1" s="1"/>
  <c r="G131" i="1" l="1"/>
  <c r="Z131" i="1"/>
  <c r="F131" i="1"/>
  <c r="C132" i="1" l="1"/>
  <c r="AC131" i="1"/>
  <c r="H132" i="1" l="1"/>
  <c r="I132" i="1" s="1"/>
  <c r="D132" i="1"/>
  <c r="E132" i="1" s="1"/>
  <c r="G132" i="1" l="1"/>
  <c r="Z132" i="1"/>
  <c r="F132" i="1"/>
  <c r="C133" i="1" l="1"/>
  <c r="AC132" i="1"/>
  <c r="H133" i="1" l="1"/>
  <c r="I133" i="1" s="1"/>
  <c r="D133" i="1"/>
  <c r="E133" i="1" s="1"/>
  <c r="G133" i="1" l="1"/>
  <c r="Z133" i="1"/>
  <c r="F133" i="1" l="1"/>
  <c r="AC133" i="1" s="1"/>
  <c r="C134" i="1" l="1"/>
  <c r="H134" i="1" s="1"/>
  <c r="D134" i="1"/>
  <c r="E134" i="1" s="1"/>
  <c r="G134" i="1" l="1"/>
  <c r="Z134" i="1"/>
  <c r="F134" i="1"/>
  <c r="AC134" i="1" l="1"/>
  <c r="C135" i="1"/>
  <c r="H135" i="1" l="1"/>
  <c r="D135" i="1"/>
  <c r="E135" i="1" s="1"/>
  <c r="G135" i="1" l="1"/>
  <c r="F135" i="1"/>
  <c r="Z135" i="1"/>
  <c r="C136" i="1" l="1"/>
  <c r="AC135" i="1"/>
  <c r="H136" i="1" l="1"/>
  <c r="D136" i="1"/>
  <c r="E136" i="1" s="1"/>
  <c r="G136" i="1" l="1"/>
  <c r="Z136" i="1"/>
  <c r="F136" i="1"/>
  <c r="C137" i="1" l="1"/>
  <c r="AC136" i="1"/>
  <c r="H137" i="1" l="1"/>
  <c r="D137" i="1"/>
  <c r="E137" i="1" s="1"/>
  <c r="G137" i="1" l="1"/>
  <c r="Z137" i="1"/>
  <c r="F137" i="1"/>
  <c r="C138" i="1" l="1"/>
  <c r="AC137" i="1"/>
  <c r="H138" i="1" l="1"/>
  <c r="D138" i="1"/>
  <c r="E138" i="1" s="1"/>
  <c r="G138" i="1" l="1"/>
  <c r="Z138" i="1"/>
  <c r="F138" i="1"/>
  <c r="C139" i="1" l="1"/>
  <c r="AC138" i="1"/>
  <c r="H139" i="1" l="1"/>
  <c r="I139" i="1" s="1"/>
  <c r="D139" i="1"/>
  <c r="E139" i="1" s="1"/>
  <c r="G139" i="1" l="1"/>
  <c r="F139" i="1"/>
  <c r="Z139" i="1"/>
  <c r="AC139" i="1" l="1"/>
  <c r="C140" i="1"/>
  <c r="H140" i="1" l="1"/>
  <c r="I140" i="1" s="1"/>
  <c r="D140" i="1"/>
  <c r="E140" i="1" s="1"/>
  <c r="G140" i="1" l="1"/>
  <c r="Z140" i="1"/>
  <c r="F140" i="1"/>
  <c r="AC140" i="1" l="1"/>
  <c r="C141" i="1"/>
  <c r="H141" i="1" l="1"/>
  <c r="D141" i="1"/>
  <c r="E141" i="1" s="1"/>
  <c r="G141" i="1" l="1"/>
  <c r="Z141" i="1"/>
  <c r="F141" i="1"/>
  <c r="AC141" i="1" l="1"/>
  <c r="C142" i="1"/>
  <c r="H142" i="1" l="1"/>
  <c r="D142" i="1"/>
  <c r="E142" i="1" s="1"/>
  <c r="G142" i="1" l="1"/>
  <c r="F142" i="1"/>
  <c r="Z142" i="1"/>
  <c r="C143" i="1" l="1"/>
  <c r="AC142" i="1"/>
  <c r="H143" i="1" l="1"/>
  <c r="D143" i="1"/>
  <c r="E143" i="1" s="1"/>
  <c r="G143" i="1" l="1"/>
  <c r="Z143" i="1"/>
  <c r="F143" i="1"/>
  <c r="C144" i="1" l="1"/>
  <c r="AC143" i="1"/>
  <c r="H144" i="1" l="1"/>
  <c r="D144" i="1"/>
  <c r="E144" i="1" s="1"/>
  <c r="G144" i="1" l="1"/>
  <c r="F144" i="1"/>
  <c r="Z144" i="1"/>
  <c r="C145" i="1" l="1"/>
  <c r="AC144" i="1"/>
  <c r="H145" i="1" l="1"/>
  <c r="D145" i="1"/>
  <c r="E145" i="1" s="1"/>
  <c r="G145" i="1" l="1"/>
  <c r="Z145" i="1"/>
  <c r="F145" i="1"/>
  <c r="C146" i="1" l="1"/>
  <c r="AC145" i="1"/>
  <c r="H146" i="1" l="1"/>
  <c r="I146" i="1" s="1"/>
  <c r="D146" i="1"/>
  <c r="E146" i="1" s="1"/>
  <c r="G146" i="1" l="1"/>
  <c r="F146" i="1" l="1"/>
  <c r="C147" i="1" s="1"/>
  <c r="Z146" i="1"/>
  <c r="AC146" i="1" l="1"/>
  <c r="H147" i="1"/>
  <c r="I147" i="1" s="1"/>
  <c r="D147" i="1"/>
  <c r="E147" i="1" s="1"/>
  <c r="G147" i="1" l="1"/>
  <c r="F147" i="1"/>
  <c r="Z147" i="1" l="1"/>
  <c r="C148" i="1"/>
  <c r="AC147" i="1"/>
  <c r="H148" i="1" l="1"/>
  <c r="D148" i="1"/>
  <c r="E148" i="1" s="1"/>
  <c r="G148" i="1" l="1"/>
  <c r="F148" i="1"/>
  <c r="Z148" i="1"/>
  <c r="C149" i="1" l="1"/>
  <c r="AC148" i="1"/>
  <c r="H149" i="1" l="1"/>
  <c r="D149" i="1"/>
  <c r="E149" i="1" s="1"/>
  <c r="G149" i="1" l="1"/>
  <c r="Z149" i="1"/>
  <c r="F149" i="1"/>
  <c r="AC149" i="1" l="1"/>
  <c r="C150" i="1"/>
  <c r="H150" i="1" l="1"/>
  <c r="D150" i="1"/>
  <c r="E150" i="1" s="1"/>
  <c r="G150" i="1" l="1"/>
  <c r="F150" i="1"/>
  <c r="Z150" i="1"/>
  <c r="C151" i="1" l="1"/>
  <c r="AC150" i="1"/>
  <c r="H151" i="1" l="1"/>
  <c r="D151" i="1"/>
  <c r="E151" i="1" s="1"/>
  <c r="G151" i="1" l="1"/>
  <c r="Z151" i="1"/>
  <c r="F151" i="1"/>
  <c r="AC151" i="1" l="1"/>
  <c r="C152" i="1"/>
  <c r="H152" i="1" l="1"/>
  <c r="D152" i="1"/>
  <c r="E152" i="1" s="1"/>
  <c r="G152" i="1" l="1"/>
  <c r="Z152" i="1"/>
  <c r="F152" i="1"/>
  <c r="C153" i="1" l="1"/>
  <c r="AC152" i="1"/>
  <c r="H153" i="1" l="1"/>
  <c r="I153" i="1" s="1"/>
  <c r="D153" i="1"/>
  <c r="E153" i="1" s="1"/>
  <c r="G153" i="1" l="1"/>
  <c r="Z153" i="1"/>
  <c r="F153" i="1"/>
  <c r="C154" i="1" l="1"/>
  <c r="AC153" i="1"/>
  <c r="H154" i="1" l="1"/>
  <c r="I154" i="1" s="1"/>
  <c r="D154" i="1"/>
  <c r="E154" i="1" s="1"/>
  <c r="G154" i="1" l="1"/>
  <c r="Z154" i="1" l="1"/>
  <c r="F154" i="1"/>
  <c r="C155" i="1"/>
  <c r="AC154" i="1"/>
  <c r="H155" i="1" l="1"/>
  <c r="D155" i="1"/>
  <c r="E155" i="1" s="1"/>
  <c r="G155" i="1" l="1"/>
  <c r="Z155" i="1"/>
  <c r="F155" i="1"/>
  <c r="AC155" i="1" l="1"/>
  <c r="C156" i="1"/>
  <c r="H156" i="1" l="1"/>
  <c r="D156" i="1"/>
  <c r="E156" i="1" s="1"/>
  <c r="G156" i="1" l="1"/>
  <c r="Z156" i="1"/>
  <c r="F156" i="1"/>
  <c r="C157" i="1" l="1"/>
  <c r="AC156" i="1"/>
  <c r="H157" i="1" l="1"/>
  <c r="D157" i="1"/>
  <c r="E157" i="1" s="1"/>
  <c r="G157" i="1" l="1"/>
  <c r="Z157" i="1"/>
  <c r="F157" i="1"/>
  <c r="C158" i="1" l="1"/>
  <c r="AC157" i="1"/>
  <c r="H158" i="1" l="1"/>
  <c r="D158" i="1"/>
  <c r="E158" i="1" s="1"/>
  <c r="G158" i="1" l="1"/>
  <c r="Z158" i="1"/>
  <c r="F158" i="1"/>
  <c r="AC158" i="1" l="1"/>
  <c r="C159" i="1"/>
  <c r="H159" i="1" l="1"/>
  <c r="D159" i="1"/>
  <c r="E159" i="1" s="1"/>
  <c r="G159" i="1" l="1"/>
  <c r="Z159" i="1"/>
  <c r="F159" i="1"/>
  <c r="AC159" i="1" l="1"/>
  <c r="C160" i="1"/>
  <c r="H160" i="1" l="1"/>
  <c r="I160" i="1" s="1"/>
  <c r="D160" i="1"/>
  <c r="E160" i="1" s="1"/>
  <c r="G160" i="1" l="1"/>
  <c r="F160" i="1"/>
  <c r="Z160" i="1"/>
  <c r="C161" i="1" l="1"/>
  <c r="AC160" i="1"/>
  <c r="H161" i="1" l="1"/>
  <c r="I161" i="1" s="1"/>
  <c r="D161" i="1"/>
  <c r="E161" i="1" s="1"/>
  <c r="G161" i="1" l="1"/>
  <c r="Z161" i="1"/>
  <c r="F161" i="1"/>
  <c r="AC161" i="1" l="1"/>
  <c r="C162" i="1"/>
  <c r="H162" i="1" l="1"/>
  <c r="D162" i="1"/>
  <c r="E162" i="1" s="1"/>
  <c r="G162" i="1" l="1"/>
  <c r="F162" i="1" l="1"/>
  <c r="Z162" i="1"/>
  <c r="C163" i="1"/>
  <c r="AC162" i="1"/>
  <c r="H163" i="1" l="1"/>
  <c r="D163" i="1"/>
  <c r="E163" i="1" s="1"/>
  <c r="G163" i="1" l="1"/>
  <c r="F163" i="1"/>
  <c r="Z163" i="1"/>
  <c r="AC163" i="1" l="1"/>
  <c r="C164" i="1"/>
  <c r="H164" i="1" l="1"/>
  <c r="D164" i="1"/>
  <c r="E164" i="1" s="1"/>
  <c r="G164" i="1" l="1"/>
  <c r="F164" i="1"/>
  <c r="Z164" i="1"/>
  <c r="C165" i="1" l="1"/>
  <c r="AC164" i="1"/>
  <c r="H165" i="1" l="1"/>
  <c r="D165" i="1"/>
  <c r="E165" i="1" s="1"/>
  <c r="G165" i="1" l="1"/>
  <c r="F165" i="1" l="1"/>
  <c r="C166" i="1" s="1"/>
  <c r="Z165" i="1"/>
  <c r="AC165" i="1" l="1"/>
  <c r="H166" i="1"/>
  <c r="D166" i="1"/>
  <c r="E166" i="1" s="1"/>
  <c r="G166" i="1" l="1"/>
  <c r="Z166" i="1" l="1"/>
  <c r="F166" i="1"/>
  <c r="C167" i="1" s="1"/>
  <c r="AC166" i="1" l="1"/>
  <c r="H167" i="1"/>
  <c r="I167" i="1" s="1"/>
  <c r="D167" i="1"/>
  <c r="E167" i="1" s="1"/>
  <c r="G167" i="1" l="1"/>
  <c r="Z167" i="1"/>
  <c r="F167" i="1"/>
  <c r="AC167" i="1" l="1"/>
  <c r="C168" i="1"/>
  <c r="H168" i="1" l="1"/>
  <c r="I168" i="1" s="1"/>
  <c r="D168" i="1"/>
  <c r="E168" i="1" s="1"/>
  <c r="G168" i="1" l="1"/>
  <c r="F168" i="1" l="1"/>
  <c r="Z168" i="1"/>
  <c r="C169" i="1"/>
  <c r="AC168" i="1"/>
  <c r="H169" i="1" l="1"/>
  <c r="D169" i="1"/>
  <c r="E169" i="1" s="1"/>
  <c r="G169" i="1" l="1"/>
  <c r="Z169" i="1"/>
  <c r="F169" i="1"/>
  <c r="C170" i="1" l="1"/>
  <c r="AC169" i="1"/>
  <c r="H170" i="1" l="1"/>
  <c r="D170" i="1"/>
  <c r="E170" i="1" s="1"/>
  <c r="G170" i="1" l="1"/>
  <c r="Z170" i="1" l="1"/>
  <c r="F170" i="1"/>
  <c r="C171" i="1" s="1"/>
  <c r="H171" i="1" l="1"/>
  <c r="AC170" i="1"/>
  <c r="D171" i="1"/>
  <c r="E171" i="1" s="1"/>
  <c r="G171" i="1" l="1"/>
  <c r="F171" i="1" l="1"/>
  <c r="Z171" i="1"/>
  <c r="AC171" i="1"/>
  <c r="C172" i="1"/>
  <c r="H172" i="1" l="1"/>
  <c r="D172" i="1"/>
  <c r="E172" i="1" s="1"/>
  <c r="G172" i="1" l="1"/>
  <c r="Z172" i="1"/>
  <c r="F172" i="1"/>
  <c r="C173" i="1" l="1"/>
  <c r="AC172" i="1"/>
  <c r="H173" i="1" l="1"/>
  <c r="D173" i="1"/>
  <c r="E173" i="1" s="1"/>
  <c r="G173" i="1" l="1"/>
  <c r="Z173" i="1"/>
  <c r="F173" i="1"/>
  <c r="AC173" i="1" l="1"/>
  <c r="C174" i="1"/>
  <c r="H174" i="1" l="1"/>
  <c r="I174" i="1" s="1"/>
  <c r="D174" i="1"/>
  <c r="E174" i="1" s="1"/>
  <c r="G174" i="1" l="1"/>
  <c r="F174" i="1" l="1"/>
  <c r="C175" i="1" s="1"/>
  <c r="Z174" i="1"/>
  <c r="AC174" i="1" l="1"/>
  <c r="H175" i="1"/>
  <c r="I175" i="1" s="1"/>
  <c r="D175" i="1"/>
  <c r="E175" i="1" s="1"/>
  <c r="G175" i="1" l="1"/>
  <c r="F175" i="1" l="1"/>
  <c r="C176" i="1" s="1"/>
  <c r="Z175" i="1"/>
  <c r="AC175" i="1" l="1"/>
  <c r="H176" i="1"/>
  <c r="D176" i="1"/>
  <c r="E176" i="1" s="1"/>
  <c r="G176" i="1" l="1"/>
  <c r="F176" i="1"/>
  <c r="Z176" i="1" l="1"/>
  <c r="C177" i="1"/>
  <c r="AC176" i="1"/>
  <c r="H177" i="1" l="1"/>
  <c r="D177" i="1"/>
  <c r="E177" i="1" s="1"/>
  <c r="G177" i="1" l="1"/>
  <c r="Z177" i="1"/>
  <c r="F177" i="1"/>
  <c r="AC177" i="1" l="1"/>
  <c r="C178" i="1"/>
  <c r="H178" i="1" l="1"/>
  <c r="D178" i="1"/>
  <c r="E178" i="1" s="1"/>
  <c r="G178" i="1" l="1"/>
  <c r="F178" i="1" l="1"/>
  <c r="C179" i="1" s="1"/>
  <c r="Z178" i="1"/>
  <c r="AC178" i="1" l="1"/>
  <c r="H179" i="1"/>
  <c r="D179" i="1"/>
  <c r="E179" i="1" s="1"/>
  <c r="G179" i="1" l="1"/>
  <c r="Z179" i="1"/>
  <c r="F179" i="1" l="1"/>
  <c r="C180" i="1" s="1"/>
  <c r="AC179" i="1"/>
  <c r="H180" i="1" l="1"/>
  <c r="D180" i="1"/>
  <c r="E180" i="1" s="1"/>
  <c r="G180" i="1" l="1"/>
  <c r="Z180" i="1" l="1"/>
  <c r="F180" i="1"/>
  <c r="C181" i="1" s="1"/>
  <c r="AC180" i="1"/>
  <c r="H181" i="1" l="1"/>
  <c r="I181" i="1" s="1"/>
  <c r="D181" i="1"/>
  <c r="E181" i="1" s="1"/>
  <c r="G181" i="1" l="1"/>
  <c r="Z181" i="1" l="1"/>
  <c r="F181" i="1"/>
  <c r="C182" i="1" s="1"/>
  <c r="AC181" i="1"/>
  <c r="H182" i="1" l="1"/>
  <c r="I182" i="1" s="1"/>
  <c r="D182" i="1"/>
  <c r="E182" i="1" s="1"/>
  <c r="G182" i="1" l="1"/>
  <c r="F182" i="1" l="1"/>
  <c r="AC182" i="1" s="1"/>
  <c r="Z182" i="1"/>
  <c r="C183" i="1" l="1"/>
  <c r="D183" i="1" l="1"/>
  <c r="E183" i="1" s="1"/>
  <c r="G183" i="1" s="1"/>
  <c r="H183" i="1"/>
  <c r="Z183" i="1" l="1"/>
  <c r="F183" i="1"/>
  <c r="C184" i="1" s="1"/>
  <c r="AC183" i="1" l="1"/>
  <c r="H184" i="1"/>
  <c r="D184" i="1"/>
  <c r="E184" i="1" s="1"/>
  <c r="G184" i="1" l="1"/>
  <c r="F184" i="1" l="1"/>
  <c r="C185" i="1" s="1"/>
  <c r="Z184" i="1"/>
  <c r="AC184" i="1" l="1"/>
  <c r="H185" i="1"/>
  <c r="D185" i="1"/>
  <c r="E185" i="1" s="1"/>
  <c r="G185" i="1" l="1"/>
  <c r="Z185" i="1"/>
  <c r="F185" i="1" l="1"/>
  <c r="AC185" i="1" s="1"/>
  <c r="C186" i="1" l="1"/>
  <c r="H186" i="1"/>
  <c r="D186" i="1"/>
  <c r="E186" i="1" l="1"/>
  <c r="G186" i="1"/>
  <c r="F186" i="1"/>
  <c r="Z186" i="1"/>
  <c r="C187" i="1" l="1"/>
  <c r="AC186" i="1"/>
  <c r="H187" i="1" l="1"/>
  <c r="D187" i="1"/>
  <c r="E187" i="1" s="1"/>
  <c r="G187" i="1" l="1"/>
  <c r="Z187" i="1" l="1"/>
  <c r="F187" i="1"/>
  <c r="C188" i="1" s="1"/>
  <c r="AC187" i="1"/>
  <c r="H188" i="1" l="1"/>
  <c r="I188" i="1" s="1"/>
  <c r="D188" i="1"/>
  <c r="E188" i="1" s="1"/>
  <c r="G188" i="1" l="1"/>
  <c r="F188" i="1"/>
  <c r="Z188" i="1"/>
  <c r="C189" i="1" l="1"/>
  <c r="AC188" i="1"/>
  <c r="H189" i="1" l="1"/>
  <c r="I189" i="1" s="1"/>
  <c r="D189" i="1"/>
  <c r="E189" i="1" s="1"/>
  <c r="G189" i="1" l="1"/>
  <c r="F189" i="1"/>
  <c r="Z189" i="1" l="1"/>
  <c r="C190" i="1"/>
  <c r="AC189" i="1"/>
  <c r="H190" i="1" l="1"/>
  <c r="D190" i="1"/>
  <c r="E190" i="1" s="1"/>
  <c r="G190" i="1" l="1"/>
  <c r="F190" i="1" l="1"/>
  <c r="Z190" i="1"/>
  <c r="C191" i="1"/>
  <c r="AC190" i="1"/>
  <c r="H191" i="1" l="1"/>
  <c r="D191" i="1"/>
  <c r="E191" i="1" s="1"/>
  <c r="G191" i="1" l="1"/>
  <c r="Z191" i="1"/>
  <c r="F191" i="1"/>
  <c r="AC191" i="1" l="1"/>
  <c r="C192" i="1"/>
  <c r="H192" i="1" l="1"/>
  <c r="D192" i="1"/>
  <c r="E192" i="1" s="1"/>
  <c r="G192" i="1" l="1"/>
  <c r="F192" i="1"/>
  <c r="Z192" i="1" l="1"/>
  <c r="C193" i="1"/>
  <c r="AC192" i="1"/>
  <c r="H193" i="1" l="1"/>
  <c r="D193" i="1"/>
  <c r="E193" i="1" s="1"/>
  <c r="G193" i="1" l="1"/>
  <c r="Z193" i="1"/>
  <c r="F193" i="1"/>
  <c r="AC193" i="1" l="1"/>
  <c r="C194" i="1"/>
  <c r="H194" i="1" l="1"/>
  <c r="D194" i="1"/>
  <c r="E194" i="1" s="1"/>
  <c r="G194" i="1" l="1"/>
  <c r="Z194" i="1"/>
  <c r="F194" i="1"/>
  <c r="C195" i="1" l="1"/>
  <c r="AC194" i="1"/>
  <c r="H195" i="1" l="1"/>
  <c r="I195" i="1" s="1"/>
  <c r="D195" i="1"/>
  <c r="E195" i="1" s="1"/>
  <c r="G195" i="1" l="1"/>
  <c r="F195" i="1"/>
  <c r="Z195" i="1" l="1"/>
  <c r="C196" i="1"/>
  <c r="AC195" i="1"/>
  <c r="H196" i="1" l="1"/>
  <c r="I196" i="1" s="1"/>
  <c r="D196" i="1"/>
  <c r="E196" i="1" s="1"/>
  <c r="G196" i="1" l="1"/>
  <c r="F196" i="1"/>
  <c r="Z196" i="1"/>
  <c r="C197" i="1" l="1"/>
  <c r="AC196" i="1"/>
  <c r="H197" i="1" l="1"/>
  <c r="D197" i="1"/>
  <c r="E197" i="1" s="1"/>
  <c r="G197" i="1" l="1"/>
  <c r="F197" i="1" l="1"/>
  <c r="Z197" i="1"/>
  <c r="AC197" i="1"/>
  <c r="C198" i="1"/>
  <c r="H198" i="1" l="1"/>
  <c r="D198" i="1"/>
  <c r="E198" i="1" s="1"/>
  <c r="G198" i="1" l="1"/>
  <c r="Z198" i="1"/>
  <c r="F198" i="1"/>
  <c r="C199" i="1" l="1"/>
  <c r="AC198" i="1"/>
  <c r="H199" i="1" l="1"/>
  <c r="D199" i="1"/>
  <c r="E199" i="1" s="1"/>
  <c r="G199" i="1" l="1"/>
  <c r="Z199" i="1"/>
  <c r="F199" i="1"/>
  <c r="C200" i="1" l="1"/>
  <c r="AC199" i="1"/>
  <c r="H200" i="1" l="1"/>
  <c r="D200" i="1"/>
  <c r="E200" i="1" s="1"/>
  <c r="N4" i="1" l="1"/>
  <c r="N5" i="1"/>
  <c r="G200" i="1"/>
  <c r="K12" i="1" s="1"/>
  <c r="F200" i="1"/>
  <c r="AC200" i="1" s="1"/>
  <c r="Z200" i="1" l="1"/>
  <c r="N3" i="1" s="1"/>
</calcChain>
</file>

<file path=xl/sharedStrings.xml><?xml version="1.0" encoding="utf-8"?>
<sst xmlns="http://schemas.openxmlformats.org/spreadsheetml/2006/main" count="21" uniqueCount="17">
  <si>
    <t>Data</t>
  </si>
  <si>
    <t>drewno</t>
  </si>
  <si>
    <t>dzień tygodnia</t>
  </si>
  <si>
    <t>każdy dzień wieczorem</t>
  </si>
  <si>
    <t>dostawa drewna w piątek</t>
  </si>
  <si>
    <t>ogrzewanie w weekend</t>
  </si>
  <si>
    <t>wieczorem</t>
  </si>
  <si>
    <t>dostawa drewna</t>
  </si>
  <si>
    <t>gazem</t>
  </si>
  <si>
    <t>drewnem</t>
  </si>
  <si>
    <t>dzień okresu grzewczego</t>
  </si>
  <si>
    <t>masa drewna</t>
  </si>
  <si>
    <t>dostarczane drewno</t>
  </si>
  <si>
    <t>grzanie wieczorem</t>
  </si>
  <si>
    <t>grzanie weekend temp</t>
  </si>
  <si>
    <t>grzanie weekend</t>
  </si>
  <si>
    <t>ogrzewnia gazem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</si>
</sst>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masa</a:t>
            </a:r>
            <a:r>
              <a:rPr lang="pl-PL" baseline="0"/>
              <a:t> drewna w poszczególnych dniach okresu grzewczego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Arkusz1!$AC$1</c:f>
              <c:strCache>
                <c:ptCount val="1"/>
                <c:pt idx="0">
                  <c:v>masa drewna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Arkusz1!$AB$2:$AB$200</c:f>
              <c:numCache>
                <c:formatCode>General</c:formatCode>
                <c:ptCount val="199"/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</c:numCache>
            </c:numRef>
          </c:cat>
          <c:val>
            <c:numRef>
              <c:f>Arkusz1!$AC$2:$AC$200</c:f>
              <c:numCache>
                <c:formatCode>General</c:formatCode>
                <c:ptCount val="199"/>
                <c:pt idx="1">
                  <c:v>498</c:v>
                </c:pt>
                <c:pt idx="2">
                  <c:v>472</c:v>
                </c:pt>
                <c:pt idx="3">
                  <c:v>446</c:v>
                </c:pt>
                <c:pt idx="4">
                  <c:v>394</c:v>
                </c:pt>
                <c:pt idx="5">
                  <c:v>342</c:v>
                </c:pt>
                <c:pt idx="6">
                  <c:v>316</c:v>
                </c:pt>
                <c:pt idx="7">
                  <c:v>290</c:v>
                </c:pt>
                <c:pt idx="8">
                  <c:v>264</c:v>
                </c:pt>
                <c:pt idx="9">
                  <c:v>238</c:v>
                </c:pt>
                <c:pt idx="10">
                  <c:v>212</c:v>
                </c:pt>
                <c:pt idx="11">
                  <c:v>160</c:v>
                </c:pt>
                <c:pt idx="12">
                  <c:v>108</c:v>
                </c:pt>
                <c:pt idx="13">
                  <c:v>82</c:v>
                </c:pt>
                <c:pt idx="14">
                  <c:v>56</c:v>
                </c:pt>
                <c:pt idx="15">
                  <c:v>30</c:v>
                </c:pt>
                <c:pt idx="16">
                  <c:v>4</c:v>
                </c:pt>
                <c:pt idx="17">
                  <c:v>446</c:v>
                </c:pt>
                <c:pt idx="18">
                  <c:v>394</c:v>
                </c:pt>
                <c:pt idx="19">
                  <c:v>342</c:v>
                </c:pt>
                <c:pt idx="20">
                  <c:v>316</c:v>
                </c:pt>
                <c:pt idx="21">
                  <c:v>290</c:v>
                </c:pt>
                <c:pt idx="22">
                  <c:v>264</c:v>
                </c:pt>
                <c:pt idx="23">
                  <c:v>238</c:v>
                </c:pt>
                <c:pt idx="24">
                  <c:v>212</c:v>
                </c:pt>
                <c:pt idx="25">
                  <c:v>160</c:v>
                </c:pt>
                <c:pt idx="26">
                  <c:v>108</c:v>
                </c:pt>
                <c:pt idx="27">
                  <c:v>82</c:v>
                </c:pt>
                <c:pt idx="28">
                  <c:v>56</c:v>
                </c:pt>
                <c:pt idx="29">
                  <c:v>30</c:v>
                </c:pt>
                <c:pt idx="30">
                  <c:v>4</c:v>
                </c:pt>
                <c:pt idx="31">
                  <c:v>446</c:v>
                </c:pt>
                <c:pt idx="32">
                  <c:v>394</c:v>
                </c:pt>
                <c:pt idx="33">
                  <c:v>342</c:v>
                </c:pt>
                <c:pt idx="34">
                  <c:v>316</c:v>
                </c:pt>
                <c:pt idx="35">
                  <c:v>290</c:v>
                </c:pt>
                <c:pt idx="36">
                  <c:v>264</c:v>
                </c:pt>
                <c:pt idx="37">
                  <c:v>238</c:v>
                </c:pt>
                <c:pt idx="38">
                  <c:v>212</c:v>
                </c:pt>
                <c:pt idx="39">
                  <c:v>160</c:v>
                </c:pt>
                <c:pt idx="40">
                  <c:v>108</c:v>
                </c:pt>
                <c:pt idx="41">
                  <c:v>82</c:v>
                </c:pt>
                <c:pt idx="42">
                  <c:v>56</c:v>
                </c:pt>
                <c:pt idx="43">
                  <c:v>30</c:v>
                </c:pt>
                <c:pt idx="44">
                  <c:v>4</c:v>
                </c:pt>
                <c:pt idx="45">
                  <c:v>446</c:v>
                </c:pt>
                <c:pt idx="46">
                  <c:v>394</c:v>
                </c:pt>
                <c:pt idx="47">
                  <c:v>342</c:v>
                </c:pt>
                <c:pt idx="48">
                  <c:v>316</c:v>
                </c:pt>
                <c:pt idx="49">
                  <c:v>290</c:v>
                </c:pt>
                <c:pt idx="50">
                  <c:v>264</c:v>
                </c:pt>
                <c:pt idx="51">
                  <c:v>238</c:v>
                </c:pt>
                <c:pt idx="52">
                  <c:v>212</c:v>
                </c:pt>
                <c:pt idx="53">
                  <c:v>160</c:v>
                </c:pt>
                <c:pt idx="54">
                  <c:v>108</c:v>
                </c:pt>
                <c:pt idx="55">
                  <c:v>82</c:v>
                </c:pt>
                <c:pt idx="56">
                  <c:v>56</c:v>
                </c:pt>
                <c:pt idx="57">
                  <c:v>30</c:v>
                </c:pt>
                <c:pt idx="58">
                  <c:v>4</c:v>
                </c:pt>
                <c:pt idx="59">
                  <c:v>446</c:v>
                </c:pt>
                <c:pt idx="60">
                  <c:v>394</c:v>
                </c:pt>
                <c:pt idx="61">
                  <c:v>342</c:v>
                </c:pt>
                <c:pt idx="62">
                  <c:v>316</c:v>
                </c:pt>
                <c:pt idx="63">
                  <c:v>290</c:v>
                </c:pt>
                <c:pt idx="64">
                  <c:v>264</c:v>
                </c:pt>
                <c:pt idx="65">
                  <c:v>238</c:v>
                </c:pt>
                <c:pt idx="66">
                  <c:v>212</c:v>
                </c:pt>
                <c:pt idx="67">
                  <c:v>160</c:v>
                </c:pt>
                <c:pt idx="68">
                  <c:v>108</c:v>
                </c:pt>
                <c:pt idx="69">
                  <c:v>82</c:v>
                </c:pt>
                <c:pt idx="70">
                  <c:v>56</c:v>
                </c:pt>
                <c:pt idx="71">
                  <c:v>30</c:v>
                </c:pt>
                <c:pt idx="72">
                  <c:v>4</c:v>
                </c:pt>
                <c:pt idx="73">
                  <c:v>446</c:v>
                </c:pt>
                <c:pt idx="74">
                  <c:v>394</c:v>
                </c:pt>
                <c:pt idx="75">
                  <c:v>342</c:v>
                </c:pt>
                <c:pt idx="76">
                  <c:v>316</c:v>
                </c:pt>
                <c:pt idx="77">
                  <c:v>290</c:v>
                </c:pt>
                <c:pt idx="78">
                  <c:v>264</c:v>
                </c:pt>
                <c:pt idx="79">
                  <c:v>238</c:v>
                </c:pt>
                <c:pt idx="80">
                  <c:v>212</c:v>
                </c:pt>
                <c:pt idx="81">
                  <c:v>160</c:v>
                </c:pt>
                <c:pt idx="82">
                  <c:v>108</c:v>
                </c:pt>
                <c:pt idx="83">
                  <c:v>82</c:v>
                </c:pt>
                <c:pt idx="84">
                  <c:v>56</c:v>
                </c:pt>
                <c:pt idx="85">
                  <c:v>30</c:v>
                </c:pt>
                <c:pt idx="86">
                  <c:v>4</c:v>
                </c:pt>
                <c:pt idx="87">
                  <c:v>446</c:v>
                </c:pt>
                <c:pt idx="88">
                  <c:v>394</c:v>
                </c:pt>
                <c:pt idx="89">
                  <c:v>342</c:v>
                </c:pt>
                <c:pt idx="90">
                  <c:v>316</c:v>
                </c:pt>
                <c:pt idx="91">
                  <c:v>290</c:v>
                </c:pt>
                <c:pt idx="92">
                  <c:v>264</c:v>
                </c:pt>
                <c:pt idx="93">
                  <c:v>238</c:v>
                </c:pt>
                <c:pt idx="94">
                  <c:v>212</c:v>
                </c:pt>
                <c:pt idx="95">
                  <c:v>160</c:v>
                </c:pt>
                <c:pt idx="96">
                  <c:v>108</c:v>
                </c:pt>
                <c:pt idx="97">
                  <c:v>82</c:v>
                </c:pt>
                <c:pt idx="98">
                  <c:v>56</c:v>
                </c:pt>
                <c:pt idx="99">
                  <c:v>30</c:v>
                </c:pt>
                <c:pt idx="100">
                  <c:v>4</c:v>
                </c:pt>
                <c:pt idx="101">
                  <c:v>446</c:v>
                </c:pt>
                <c:pt idx="102">
                  <c:v>394</c:v>
                </c:pt>
                <c:pt idx="103">
                  <c:v>342</c:v>
                </c:pt>
                <c:pt idx="104">
                  <c:v>316</c:v>
                </c:pt>
                <c:pt idx="105">
                  <c:v>290</c:v>
                </c:pt>
                <c:pt idx="106">
                  <c:v>264</c:v>
                </c:pt>
                <c:pt idx="107">
                  <c:v>238</c:v>
                </c:pt>
                <c:pt idx="108">
                  <c:v>212</c:v>
                </c:pt>
                <c:pt idx="109">
                  <c:v>160</c:v>
                </c:pt>
                <c:pt idx="110">
                  <c:v>108</c:v>
                </c:pt>
                <c:pt idx="111">
                  <c:v>82</c:v>
                </c:pt>
                <c:pt idx="112">
                  <c:v>56</c:v>
                </c:pt>
                <c:pt idx="113">
                  <c:v>30</c:v>
                </c:pt>
                <c:pt idx="114">
                  <c:v>4</c:v>
                </c:pt>
                <c:pt idx="115">
                  <c:v>446</c:v>
                </c:pt>
                <c:pt idx="116">
                  <c:v>394</c:v>
                </c:pt>
                <c:pt idx="117">
                  <c:v>342</c:v>
                </c:pt>
                <c:pt idx="118">
                  <c:v>316</c:v>
                </c:pt>
                <c:pt idx="119">
                  <c:v>290</c:v>
                </c:pt>
                <c:pt idx="120">
                  <c:v>264</c:v>
                </c:pt>
                <c:pt idx="121">
                  <c:v>238</c:v>
                </c:pt>
                <c:pt idx="122">
                  <c:v>212</c:v>
                </c:pt>
                <c:pt idx="123">
                  <c:v>160</c:v>
                </c:pt>
                <c:pt idx="124">
                  <c:v>108</c:v>
                </c:pt>
                <c:pt idx="125">
                  <c:v>82</c:v>
                </c:pt>
                <c:pt idx="126">
                  <c:v>56</c:v>
                </c:pt>
                <c:pt idx="127">
                  <c:v>30</c:v>
                </c:pt>
                <c:pt idx="128">
                  <c:v>4</c:v>
                </c:pt>
                <c:pt idx="129">
                  <c:v>446</c:v>
                </c:pt>
                <c:pt idx="130">
                  <c:v>394</c:v>
                </c:pt>
                <c:pt idx="131">
                  <c:v>342</c:v>
                </c:pt>
                <c:pt idx="132">
                  <c:v>316</c:v>
                </c:pt>
                <c:pt idx="133">
                  <c:v>290</c:v>
                </c:pt>
                <c:pt idx="134">
                  <c:v>264</c:v>
                </c:pt>
                <c:pt idx="135">
                  <c:v>238</c:v>
                </c:pt>
                <c:pt idx="136">
                  <c:v>212</c:v>
                </c:pt>
                <c:pt idx="137">
                  <c:v>160</c:v>
                </c:pt>
                <c:pt idx="138">
                  <c:v>108</c:v>
                </c:pt>
                <c:pt idx="139">
                  <c:v>82</c:v>
                </c:pt>
                <c:pt idx="140">
                  <c:v>56</c:v>
                </c:pt>
                <c:pt idx="141">
                  <c:v>30</c:v>
                </c:pt>
                <c:pt idx="142">
                  <c:v>4</c:v>
                </c:pt>
                <c:pt idx="143">
                  <c:v>446</c:v>
                </c:pt>
                <c:pt idx="144">
                  <c:v>394</c:v>
                </c:pt>
                <c:pt idx="145">
                  <c:v>342</c:v>
                </c:pt>
                <c:pt idx="146">
                  <c:v>316</c:v>
                </c:pt>
                <c:pt idx="147">
                  <c:v>290</c:v>
                </c:pt>
                <c:pt idx="148">
                  <c:v>264</c:v>
                </c:pt>
                <c:pt idx="149">
                  <c:v>238</c:v>
                </c:pt>
                <c:pt idx="150">
                  <c:v>212</c:v>
                </c:pt>
                <c:pt idx="151">
                  <c:v>160</c:v>
                </c:pt>
                <c:pt idx="152">
                  <c:v>108</c:v>
                </c:pt>
                <c:pt idx="153">
                  <c:v>82</c:v>
                </c:pt>
                <c:pt idx="154">
                  <c:v>56</c:v>
                </c:pt>
                <c:pt idx="155">
                  <c:v>30</c:v>
                </c:pt>
                <c:pt idx="156">
                  <c:v>4</c:v>
                </c:pt>
                <c:pt idx="157">
                  <c:v>446</c:v>
                </c:pt>
                <c:pt idx="158">
                  <c:v>394</c:v>
                </c:pt>
                <c:pt idx="159">
                  <c:v>342</c:v>
                </c:pt>
                <c:pt idx="160">
                  <c:v>316</c:v>
                </c:pt>
                <c:pt idx="161">
                  <c:v>290</c:v>
                </c:pt>
                <c:pt idx="162">
                  <c:v>264</c:v>
                </c:pt>
                <c:pt idx="163">
                  <c:v>238</c:v>
                </c:pt>
                <c:pt idx="164">
                  <c:v>212</c:v>
                </c:pt>
                <c:pt idx="165">
                  <c:v>160</c:v>
                </c:pt>
                <c:pt idx="166">
                  <c:v>108</c:v>
                </c:pt>
                <c:pt idx="167">
                  <c:v>82</c:v>
                </c:pt>
                <c:pt idx="168">
                  <c:v>56</c:v>
                </c:pt>
                <c:pt idx="169">
                  <c:v>30</c:v>
                </c:pt>
                <c:pt idx="170">
                  <c:v>4</c:v>
                </c:pt>
                <c:pt idx="171">
                  <c:v>446</c:v>
                </c:pt>
                <c:pt idx="172">
                  <c:v>394</c:v>
                </c:pt>
                <c:pt idx="173">
                  <c:v>342</c:v>
                </c:pt>
                <c:pt idx="174">
                  <c:v>316</c:v>
                </c:pt>
                <c:pt idx="175">
                  <c:v>290</c:v>
                </c:pt>
                <c:pt idx="176">
                  <c:v>264</c:v>
                </c:pt>
                <c:pt idx="177">
                  <c:v>238</c:v>
                </c:pt>
                <c:pt idx="178">
                  <c:v>212</c:v>
                </c:pt>
                <c:pt idx="179">
                  <c:v>160</c:v>
                </c:pt>
                <c:pt idx="180">
                  <c:v>108</c:v>
                </c:pt>
                <c:pt idx="181">
                  <c:v>82</c:v>
                </c:pt>
                <c:pt idx="182">
                  <c:v>56</c:v>
                </c:pt>
                <c:pt idx="183">
                  <c:v>30</c:v>
                </c:pt>
                <c:pt idx="184">
                  <c:v>4</c:v>
                </c:pt>
                <c:pt idx="185">
                  <c:v>446</c:v>
                </c:pt>
                <c:pt idx="186">
                  <c:v>394</c:v>
                </c:pt>
                <c:pt idx="187">
                  <c:v>342</c:v>
                </c:pt>
                <c:pt idx="188">
                  <c:v>316</c:v>
                </c:pt>
                <c:pt idx="189">
                  <c:v>290</c:v>
                </c:pt>
                <c:pt idx="190">
                  <c:v>264</c:v>
                </c:pt>
                <c:pt idx="191">
                  <c:v>238</c:v>
                </c:pt>
                <c:pt idx="192">
                  <c:v>212</c:v>
                </c:pt>
                <c:pt idx="193">
                  <c:v>160</c:v>
                </c:pt>
                <c:pt idx="194">
                  <c:v>108</c:v>
                </c:pt>
                <c:pt idx="195">
                  <c:v>82</c:v>
                </c:pt>
                <c:pt idx="196">
                  <c:v>56</c:v>
                </c:pt>
                <c:pt idx="197">
                  <c:v>30</c:v>
                </c:pt>
                <c:pt idx="19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D1-41FF-BA0C-9B57723B5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7950991"/>
        <c:axId val="1237951471"/>
      </c:lineChart>
      <c:catAx>
        <c:axId val="1237950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dzień</a:t>
                </a:r>
                <a:r>
                  <a:rPr lang="pl-PL" baseline="0"/>
                  <a:t> okresu grzewczego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795147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23795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masa</a:t>
                </a:r>
                <a:r>
                  <a:rPr lang="pl-PL" baseline="0"/>
                  <a:t> drewna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7950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530806</xdr:colOff>
      <xdr:row>13</xdr:row>
      <xdr:rowOff>137917</xdr:rowOff>
    </xdr:from>
    <xdr:to>
      <xdr:col>24</xdr:col>
      <xdr:colOff>202507</xdr:colOff>
      <xdr:row>26</xdr:row>
      <xdr:rowOff>48027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68060A0-C0C9-8D38-9A02-0C9F50C10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887C3-82CF-4528-ABB8-E7BBFFD604C6}">
  <dimension ref="A1:AC200"/>
  <sheetViews>
    <sheetView tabSelected="1" topLeftCell="A11" zoomScale="55" zoomScaleNormal="55" workbookViewId="0">
      <selection activeCell="O12" sqref="O11:O12"/>
    </sheetView>
  </sheetViews>
  <sheetFormatPr defaultRowHeight="15" x14ac:dyDescent="0.25"/>
  <cols>
    <col min="1" max="1" width="10.85546875" bestFit="1" customWidth="1"/>
    <col min="2" max="2" width="14.140625" bestFit="1" customWidth="1"/>
    <col min="4" max="4" width="24" bestFit="1" customWidth="1"/>
    <col min="5" max="6" width="21.85546875" bestFit="1" customWidth="1"/>
    <col min="7" max="7" width="17.85546875" bestFit="1" customWidth="1"/>
    <col min="8" max="8" width="30.140625" bestFit="1" customWidth="1"/>
    <col min="9" max="9" width="28.140625" bestFit="1" customWidth="1"/>
    <col min="10" max="10" width="29.28515625" bestFit="1" customWidth="1"/>
    <col min="11" max="11" width="27.140625" bestFit="1" customWidth="1"/>
    <col min="12" max="12" width="10.7109375" bestFit="1" customWidth="1"/>
    <col min="13" max="13" width="15.7109375" bestFit="1" customWidth="1"/>
    <col min="15" max="15" width="19.140625" bestFit="1" customWidth="1"/>
    <col min="16" max="16" width="15.7109375" bestFit="1" customWidth="1"/>
    <col min="18" max="18" width="16.5703125" bestFit="1" customWidth="1"/>
  </cols>
  <sheetData>
    <row r="1" spans="1:29" x14ac:dyDescent="0.25">
      <c r="A1" t="s">
        <v>0</v>
      </c>
      <c r="B1" t="s">
        <v>2</v>
      </c>
      <c r="C1" t="s">
        <v>1</v>
      </c>
      <c r="D1" t="s">
        <v>5</v>
      </c>
      <c r="E1" t="s">
        <v>4</v>
      </c>
      <c r="F1" t="s">
        <v>3</v>
      </c>
      <c r="G1" t="s">
        <v>13</v>
      </c>
      <c r="H1" t="s">
        <v>14</v>
      </c>
      <c r="I1" t="s">
        <v>15</v>
      </c>
      <c r="Z1" t="s">
        <v>7</v>
      </c>
      <c r="AB1" t="s">
        <v>10</v>
      </c>
      <c r="AC1" t="s">
        <v>11</v>
      </c>
    </row>
    <row r="2" spans="1:29" x14ac:dyDescent="0.25">
      <c r="A2" s="1">
        <v>42262</v>
      </c>
      <c r="B2">
        <f>WEEKDAY(A2,2)</f>
        <v>2</v>
      </c>
      <c r="C2">
        <v>550</v>
      </c>
      <c r="D2">
        <f>IF(AND(OR(B2=6,B2=7),C2&gt;25),C2-26,C2)</f>
        <v>550</v>
      </c>
      <c r="E2">
        <f>IF(AND(C2&lt;100,B2=5),C2+$O$12,D2)</f>
        <v>550</v>
      </c>
      <c r="F2">
        <f>IF(E2&gt;25,E2-26,E2)</f>
        <v>524</v>
      </c>
      <c r="G2" t="str">
        <f>IF(E2&gt;25,"drewno","gaz")</f>
        <v>drewno</v>
      </c>
      <c r="H2" t="str">
        <f>IF(AND(OR(B2=6,B2=7),C2&gt;25),"DREWNO","GAZ")</f>
        <v>GAZ</v>
      </c>
      <c r="I2">
        <f>IF(OR(B2=6,B2=7),H2,0)</f>
        <v>0</v>
      </c>
      <c r="X2">
        <f>IF(E2-D2=300,1,0)</f>
        <v>0</v>
      </c>
      <c r="Z2">
        <v>1</v>
      </c>
      <c r="AA2">
        <f>F2</f>
        <v>524</v>
      </c>
    </row>
    <row r="3" spans="1:29" x14ac:dyDescent="0.25">
      <c r="A3" s="1">
        <v>42263</v>
      </c>
      <c r="B3">
        <f t="shared" ref="B3:B66" si="0">WEEKDAY(A3,2)</f>
        <v>3</v>
      </c>
      <c r="C3">
        <f>F2</f>
        <v>524</v>
      </c>
      <c r="D3">
        <f t="shared" ref="D3:D66" si="1">IF(AND(OR(B3=6,B3=7),C3&gt;25),C3-26,C3)</f>
        <v>524</v>
      </c>
      <c r="E3">
        <f t="shared" ref="E3:E66" si="2">IF(AND(C3&lt;100,B3=5),C3+$O$12,D3)</f>
        <v>524</v>
      </c>
      <c r="F3">
        <f t="shared" ref="F3:F66" si="3">IF(E3&gt;25,E3-26,E3)</f>
        <v>498</v>
      </c>
      <c r="G3" t="str">
        <f t="shared" ref="G3:G66" si="4">IF(E3&gt;25,"drewno","gaz")</f>
        <v>drewno</v>
      </c>
      <c r="H3" t="str">
        <f t="shared" ref="H3:H66" si="5">IF(AND(OR(B3=6,B3=7),C3&gt;25),"DREWNO","GAZ")</f>
        <v>GAZ</v>
      </c>
      <c r="I3">
        <f t="shared" ref="I3:I66" si="6">IF(OR(B3=6,B3=7),H3,0)</f>
        <v>0</v>
      </c>
      <c r="M3" t="s">
        <v>7</v>
      </c>
      <c r="N3">
        <f>SUM(Z2:Z200)</f>
        <v>1</v>
      </c>
      <c r="P3" s="2">
        <v>42275</v>
      </c>
      <c r="Q3" s="3" t="s">
        <v>6</v>
      </c>
      <c r="Z3">
        <f>IF(E3-D3=300,1,0)</f>
        <v>0</v>
      </c>
      <c r="AB3">
        <v>2</v>
      </c>
      <c r="AC3">
        <f>F3</f>
        <v>498</v>
      </c>
    </row>
    <row r="4" spans="1:29" x14ac:dyDescent="0.25">
      <c r="A4" s="1">
        <v>42264</v>
      </c>
      <c r="B4">
        <f t="shared" si="0"/>
        <v>4</v>
      </c>
      <c r="C4">
        <f t="shared" ref="C4:C67" si="7">F3</f>
        <v>498</v>
      </c>
      <c r="D4">
        <f t="shared" si="1"/>
        <v>498</v>
      </c>
      <c r="E4">
        <f t="shared" si="2"/>
        <v>498</v>
      </c>
      <c r="F4">
        <f t="shared" si="3"/>
        <v>472</v>
      </c>
      <c r="G4" t="str">
        <f t="shared" si="4"/>
        <v>drewno</v>
      </c>
      <c r="H4" t="str">
        <f t="shared" si="5"/>
        <v>GAZ</v>
      </c>
      <c r="I4">
        <f t="shared" si="6"/>
        <v>0</v>
      </c>
      <c r="M4" t="s">
        <v>8</v>
      </c>
      <c r="N4">
        <f>COUNTIF(E2:E200,"&lt;26")</f>
        <v>0</v>
      </c>
      <c r="P4" s="3"/>
      <c r="Q4" s="3"/>
      <c r="Z4">
        <f>IF(E4-D4=300,1,0)</f>
        <v>0</v>
      </c>
      <c r="AB4">
        <v>3</v>
      </c>
      <c r="AC4">
        <f>F4</f>
        <v>472</v>
      </c>
    </row>
    <row r="5" spans="1:29" x14ac:dyDescent="0.25">
      <c r="A5" s="1">
        <v>42265</v>
      </c>
      <c r="B5">
        <f t="shared" si="0"/>
        <v>5</v>
      </c>
      <c r="C5">
        <f t="shared" si="7"/>
        <v>472</v>
      </c>
      <c r="D5">
        <f t="shared" si="1"/>
        <v>472</v>
      </c>
      <c r="E5">
        <f t="shared" si="2"/>
        <v>472</v>
      </c>
      <c r="F5">
        <f t="shared" si="3"/>
        <v>446</v>
      </c>
      <c r="G5" t="str">
        <f t="shared" si="4"/>
        <v>drewno</v>
      </c>
      <c r="H5" t="str">
        <f t="shared" si="5"/>
        <v>GAZ</v>
      </c>
      <c r="I5">
        <f t="shared" si="6"/>
        <v>0</v>
      </c>
      <c r="M5" t="s">
        <v>9</v>
      </c>
      <c r="N5">
        <f>COUNTIF(E2:E200,"&gt;25")</f>
        <v>199</v>
      </c>
      <c r="P5" s="3"/>
      <c r="Q5" s="3"/>
      <c r="Z5">
        <f>IF(E5-D5=300,1,0)</f>
        <v>0</v>
      </c>
      <c r="AB5">
        <v>4</v>
      </c>
      <c r="AC5">
        <f>F5</f>
        <v>446</v>
      </c>
    </row>
    <row r="6" spans="1:29" x14ac:dyDescent="0.25">
      <c r="A6" s="1">
        <v>42266</v>
      </c>
      <c r="B6">
        <f t="shared" si="0"/>
        <v>6</v>
      </c>
      <c r="C6">
        <f t="shared" si="7"/>
        <v>446</v>
      </c>
      <c r="D6">
        <f t="shared" si="1"/>
        <v>420</v>
      </c>
      <c r="E6">
        <f t="shared" si="2"/>
        <v>420</v>
      </c>
      <c r="F6">
        <f t="shared" si="3"/>
        <v>394</v>
      </c>
      <c r="G6" t="str">
        <f t="shared" si="4"/>
        <v>drewno</v>
      </c>
      <c r="H6" t="str">
        <f t="shared" si="5"/>
        <v>DREWNO</v>
      </c>
      <c r="I6" t="str">
        <f t="shared" si="6"/>
        <v>DREWNO</v>
      </c>
      <c r="P6" s="3" t="s">
        <v>7</v>
      </c>
      <c r="Q6" s="3">
        <v>19</v>
      </c>
      <c r="Z6">
        <f>IF(E6-D6=300,1,0)</f>
        <v>0</v>
      </c>
      <c r="AB6">
        <v>5</v>
      </c>
      <c r="AC6">
        <f>F6</f>
        <v>394</v>
      </c>
    </row>
    <row r="7" spans="1:29" x14ac:dyDescent="0.25">
      <c r="A7" s="1">
        <v>42267</v>
      </c>
      <c r="B7">
        <f t="shared" si="0"/>
        <v>7</v>
      </c>
      <c r="C7">
        <f t="shared" si="7"/>
        <v>394</v>
      </c>
      <c r="D7">
        <f t="shared" si="1"/>
        <v>368</v>
      </c>
      <c r="E7">
        <f t="shared" si="2"/>
        <v>368</v>
      </c>
      <c r="F7">
        <f t="shared" si="3"/>
        <v>342</v>
      </c>
      <c r="G7" t="str">
        <f t="shared" si="4"/>
        <v>drewno</v>
      </c>
      <c r="H7" t="str">
        <f t="shared" si="5"/>
        <v>DREWNO</v>
      </c>
      <c r="I7" t="str">
        <f t="shared" si="6"/>
        <v>DREWNO</v>
      </c>
      <c r="P7" s="3" t="s">
        <v>8</v>
      </c>
      <c r="Q7" s="3">
        <v>32</v>
      </c>
      <c r="Z7">
        <f>IF(E7-D7=300,1,0)</f>
        <v>0</v>
      </c>
      <c r="AB7">
        <v>6</v>
      </c>
      <c r="AC7">
        <f>F7</f>
        <v>342</v>
      </c>
    </row>
    <row r="8" spans="1:29" x14ac:dyDescent="0.25">
      <c r="A8" s="1">
        <v>42268</v>
      </c>
      <c r="B8">
        <f t="shared" si="0"/>
        <v>1</v>
      </c>
      <c r="C8">
        <f t="shared" si="7"/>
        <v>342</v>
      </c>
      <c r="D8">
        <f t="shared" si="1"/>
        <v>342</v>
      </c>
      <c r="E8">
        <f t="shared" si="2"/>
        <v>342</v>
      </c>
      <c r="F8">
        <f t="shared" si="3"/>
        <v>316</v>
      </c>
      <c r="G8" t="str">
        <f t="shared" si="4"/>
        <v>drewno</v>
      </c>
      <c r="H8" t="str">
        <f t="shared" si="5"/>
        <v>GAZ</v>
      </c>
      <c r="I8">
        <f t="shared" si="6"/>
        <v>0</v>
      </c>
      <c r="P8" s="3" t="s">
        <v>9</v>
      </c>
      <c r="Q8" s="3">
        <v>167</v>
      </c>
      <c r="Z8">
        <f>IF(E8-D8=300,1,0)</f>
        <v>0</v>
      </c>
      <c r="AB8">
        <v>7</v>
      </c>
      <c r="AC8">
        <f>F8</f>
        <v>316</v>
      </c>
    </row>
    <row r="9" spans="1:29" x14ac:dyDescent="0.25">
      <c r="A9" s="1">
        <v>42269</v>
      </c>
      <c r="B9">
        <f t="shared" si="0"/>
        <v>2</v>
      </c>
      <c r="C9">
        <f t="shared" si="7"/>
        <v>316</v>
      </c>
      <c r="D9">
        <f t="shared" si="1"/>
        <v>316</v>
      </c>
      <c r="E9">
        <f t="shared" si="2"/>
        <v>316</v>
      </c>
      <c r="F9">
        <f t="shared" si="3"/>
        <v>290</v>
      </c>
      <c r="G9" t="str">
        <f t="shared" si="4"/>
        <v>drewno</v>
      </c>
      <c r="H9" t="str">
        <f t="shared" si="5"/>
        <v>GAZ</v>
      </c>
      <c r="I9">
        <f t="shared" si="6"/>
        <v>0</v>
      </c>
      <c r="Z9">
        <f>IF(E9-D9=300,1,0)</f>
        <v>0</v>
      </c>
      <c r="AB9">
        <v>8</v>
      </c>
      <c r="AC9">
        <f>F9</f>
        <v>290</v>
      </c>
    </row>
    <row r="10" spans="1:29" x14ac:dyDescent="0.25">
      <c r="A10" s="1">
        <v>42270</v>
      </c>
      <c r="B10">
        <f t="shared" si="0"/>
        <v>3</v>
      </c>
      <c r="C10">
        <f t="shared" si="7"/>
        <v>290</v>
      </c>
      <c r="D10">
        <f t="shared" si="1"/>
        <v>290</v>
      </c>
      <c r="E10">
        <f t="shared" si="2"/>
        <v>290</v>
      </c>
      <c r="F10">
        <f t="shared" si="3"/>
        <v>264</v>
      </c>
      <c r="G10" t="str">
        <f t="shared" si="4"/>
        <v>drewno</v>
      </c>
      <c r="H10" t="str">
        <f t="shared" si="5"/>
        <v>GAZ</v>
      </c>
      <c r="I10">
        <f t="shared" si="6"/>
        <v>0</v>
      </c>
      <c r="Z10">
        <f>IF(E10-D10=300,1,0)</f>
        <v>0</v>
      </c>
      <c r="AB10">
        <v>9</v>
      </c>
      <c r="AC10">
        <f>F10</f>
        <v>264</v>
      </c>
    </row>
    <row r="11" spans="1:29" x14ac:dyDescent="0.25">
      <c r="A11" s="1">
        <v>42271</v>
      </c>
      <c r="B11">
        <f t="shared" si="0"/>
        <v>4</v>
      </c>
      <c r="C11">
        <f t="shared" si="7"/>
        <v>264</v>
      </c>
      <c r="D11">
        <f t="shared" si="1"/>
        <v>264</v>
      </c>
      <c r="E11">
        <f t="shared" si="2"/>
        <v>264</v>
      </c>
      <c r="F11">
        <f t="shared" si="3"/>
        <v>238</v>
      </c>
      <c r="G11" t="str">
        <f t="shared" si="4"/>
        <v>drewno</v>
      </c>
      <c r="H11" t="str">
        <f t="shared" si="5"/>
        <v>GAZ</v>
      </c>
      <c r="I11">
        <f t="shared" si="6"/>
        <v>0</v>
      </c>
      <c r="K11" t="s">
        <v>16</v>
      </c>
      <c r="O11" s="3" t="s">
        <v>12</v>
      </c>
      <c r="Z11">
        <f>IF(E11-D11=300,1,0)</f>
        <v>0</v>
      </c>
      <c r="AB11">
        <v>10</v>
      </c>
      <c r="AC11">
        <f>F11</f>
        <v>238</v>
      </c>
    </row>
    <row r="12" spans="1:29" x14ac:dyDescent="0.25">
      <c r="A12" s="1">
        <v>42272</v>
      </c>
      <c r="B12">
        <f t="shared" si="0"/>
        <v>5</v>
      </c>
      <c r="C12">
        <f t="shared" si="7"/>
        <v>238</v>
      </c>
      <c r="D12">
        <f t="shared" si="1"/>
        <v>238</v>
      </c>
      <c r="E12">
        <f t="shared" si="2"/>
        <v>238</v>
      </c>
      <c r="F12">
        <f t="shared" si="3"/>
        <v>212</v>
      </c>
      <c r="G12" t="str">
        <f t="shared" si="4"/>
        <v>drewno</v>
      </c>
      <c r="H12" t="str">
        <f t="shared" si="5"/>
        <v>GAZ</v>
      </c>
      <c r="I12">
        <f t="shared" si="6"/>
        <v>0</v>
      </c>
      <c r="K12">
        <f>COUNTIF(G2:G200,"gaz")</f>
        <v>0</v>
      </c>
      <c r="O12" s="3">
        <v>468</v>
      </c>
      <c r="Z12">
        <f>IF(E12-D12=300,1,0)</f>
        <v>0</v>
      </c>
      <c r="AB12">
        <v>11</v>
      </c>
      <c r="AC12">
        <f>F12</f>
        <v>212</v>
      </c>
    </row>
    <row r="13" spans="1:29" x14ac:dyDescent="0.25">
      <c r="A13" s="1">
        <v>42273</v>
      </c>
      <c r="B13">
        <f t="shared" si="0"/>
        <v>6</v>
      </c>
      <c r="C13">
        <f t="shared" si="7"/>
        <v>212</v>
      </c>
      <c r="D13">
        <f t="shared" si="1"/>
        <v>186</v>
      </c>
      <c r="E13">
        <f t="shared" si="2"/>
        <v>186</v>
      </c>
      <c r="F13">
        <f t="shared" si="3"/>
        <v>160</v>
      </c>
      <c r="G13" t="str">
        <f t="shared" si="4"/>
        <v>drewno</v>
      </c>
      <c r="H13" t="str">
        <f t="shared" si="5"/>
        <v>DREWNO</v>
      </c>
      <c r="I13" t="str">
        <f t="shared" si="6"/>
        <v>DREWNO</v>
      </c>
      <c r="Z13">
        <f>IF(E13-D13=300,1,0)</f>
        <v>0</v>
      </c>
      <c r="AB13">
        <v>12</v>
      </c>
      <c r="AC13">
        <f>F13</f>
        <v>160</v>
      </c>
    </row>
    <row r="14" spans="1:29" x14ac:dyDescent="0.25">
      <c r="A14" s="1">
        <v>42274</v>
      </c>
      <c r="B14">
        <f t="shared" si="0"/>
        <v>7</v>
      </c>
      <c r="C14">
        <f t="shared" si="7"/>
        <v>160</v>
      </c>
      <c r="D14">
        <f t="shared" si="1"/>
        <v>134</v>
      </c>
      <c r="E14">
        <f t="shared" si="2"/>
        <v>134</v>
      </c>
      <c r="F14">
        <f t="shared" si="3"/>
        <v>108</v>
      </c>
      <c r="G14" t="str">
        <f t="shared" si="4"/>
        <v>drewno</v>
      </c>
      <c r="H14" t="str">
        <f t="shared" si="5"/>
        <v>DREWNO</v>
      </c>
      <c r="I14" t="str">
        <f t="shared" si="6"/>
        <v>DREWNO</v>
      </c>
      <c r="Z14">
        <f>IF(E14-D14=300,1,0)</f>
        <v>0</v>
      </c>
      <c r="AB14">
        <v>13</v>
      </c>
      <c r="AC14">
        <f>F14</f>
        <v>108</v>
      </c>
    </row>
    <row r="15" spans="1:29" x14ac:dyDescent="0.25">
      <c r="A15" s="2">
        <v>42275</v>
      </c>
      <c r="B15" s="3">
        <f t="shared" si="0"/>
        <v>1</v>
      </c>
      <c r="C15">
        <f t="shared" si="7"/>
        <v>108</v>
      </c>
      <c r="D15">
        <f t="shared" si="1"/>
        <v>108</v>
      </c>
      <c r="E15">
        <f t="shared" si="2"/>
        <v>108</v>
      </c>
      <c r="F15">
        <f t="shared" si="3"/>
        <v>82</v>
      </c>
      <c r="G15" t="str">
        <f t="shared" si="4"/>
        <v>drewno</v>
      </c>
      <c r="H15" t="str">
        <f t="shared" si="5"/>
        <v>GAZ</v>
      </c>
      <c r="I15">
        <f t="shared" si="6"/>
        <v>0</v>
      </c>
      <c r="Z15">
        <f>IF(E15-D15=300,1,0)</f>
        <v>0</v>
      </c>
      <c r="AB15">
        <v>14</v>
      </c>
      <c r="AC15">
        <f>F15</f>
        <v>82</v>
      </c>
    </row>
    <row r="16" spans="1:29" x14ac:dyDescent="0.25">
      <c r="A16" s="1">
        <v>42276</v>
      </c>
      <c r="B16">
        <f t="shared" si="0"/>
        <v>2</v>
      </c>
      <c r="C16">
        <f t="shared" si="7"/>
        <v>82</v>
      </c>
      <c r="D16">
        <f t="shared" si="1"/>
        <v>82</v>
      </c>
      <c r="E16">
        <f t="shared" si="2"/>
        <v>82</v>
      </c>
      <c r="F16">
        <f t="shared" si="3"/>
        <v>56</v>
      </c>
      <c r="G16" t="str">
        <f t="shared" si="4"/>
        <v>drewno</v>
      </c>
      <c r="H16" t="str">
        <f t="shared" si="5"/>
        <v>GAZ</v>
      </c>
      <c r="I16">
        <f t="shared" si="6"/>
        <v>0</v>
      </c>
      <c r="Z16">
        <f>IF(E16-D16=300,1,0)</f>
        <v>0</v>
      </c>
      <c r="AB16">
        <v>15</v>
      </c>
      <c r="AC16">
        <f>F16</f>
        <v>56</v>
      </c>
    </row>
    <row r="17" spans="1:29" x14ac:dyDescent="0.25">
      <c r="A17" s="1">
        <v>42277</v>
      </c>
      <c r="B17">
        <f t="shared" si="0"/>
        <v>3</v>
      </c>
      <c r="C17">
        <f t="shared" si="7"/>
        <v>56</v>
      </c>
      <c r="D17">
        <f t="shared" si="1"/>
        <v>56</v>
      </c>
      <c r="E17">
        <f t="shared" si="2"/>
        <v>56</v>
      </c>
      <c r="F17">
        <f t="shared" si="3"/>
        <v>30</v>
      </c>
      <c r="G17" t="str">
        <f t="shared" si="4"/>
        <v>drewno</v>
      </c>
      <c r="H17" t="str">
        <f t="shared" si="5"/>
        <v>GAZ</v>
      </c>
      <c r="I17">
        <f t="shared" si="6"/>
        <v>0</v>
      </c>
      <c r="Z17">
        <f>IF(E17-D17=300,1,0)</f>
        <v>0</v>
      </c>
      <c r="AB17">
        <v>16</v>
      </c>
      <c r="AC17">
        <f>F17</f>
        <v>30</v>
      </c>
    </row>
    <row r="18" spans="1:29" x14ac:dyDescent="0.25">
      <c r="A18" s="1">
        <v>42278</v>
      </c>
      <c r="B18">
        <f t="shared" si="0"/>
        <v>4</v>
      </c>
      <c r="C18">
        <f t="shared" si="7"/>
        <v>30</v>
      </c>
      <c r="D18">
        <f t="shared" si="1"/>
        <v>30</v>
      </c>
      <c r="E18">
        <f t="shared" si="2"/>
        <v>30</v>
      </c>
      <c r="F18">
        <f t="shared" si="3"/>
        <v>4</v>
      </c>
      <c r="G18" t="str">
        <f t="shared" si="4"/>
        <v>drewno</v>
      </c>
      <c r="H18" t="str">
        <f t="shared" si="5"/>
        <v>GAZ</v>
      </c>
      <c r="I18">
        <f t="shared" si="6"/>
        <v>0</v>
      </c>
      <c r="Z18">
        <f>IF(E18-D18=300,1,0)</f>
        <v>0</v>
      </c>
      <c r="AB18">
        <v>17</v>
      </c>
      <c r="AC18">
        <f>F18</f>
        <v>4</v>
      </c>
    </row>
    <row r="19" spans="1:29" x14ac:dyDescent="0.25">
      <c r="A19" s="1">
        <v>42279</v>
      </c>
      <c r="B19">
        <f t="shared" si="0"/>
        <v>5</v>
      </c>
      <c r="C19">
        <f t="shared" si="7"/>
        <v>4</v>
      </c>
      <c r="D19">
        <f t="shared" si="1"/>
        <v>4</v>
      </c>
      <c r="E19">
        <f t="shared" si="2"/>
        <v>472</v>
      </c>
      <c r="F19">
        <f t="shared" si="3"/>
        <v>446</v>
      </c>
      <c r="G19" t="str">
        <f t="shared" si="4"/>
        <v>drewno</v>
      </c>
      <c r="H19" t="str">
        <f t="shared" si="5"/>
        <v>GAZ</v>
      </c>
      <c r="I19">
        <f t="shared" si="6"/>
        <v>0</v>
      </c>
      <c r="Z19">
        <f>IF(E19-D19=300,1,0)</f>
        <v>0</v>
      </c>
      <c r="AB19">
        <v>18</v>
      </c>
      <c r="AC19">
        <f>F19</f>
        <v>446</v>
      </c>
    </row>
    <row r="20" spans="1:29" x14ac:dyDescent="0.25">
      <c r="A20" s="1">
        <v>42280</v>
      </c>
      <c r="B20">
        <f t="shared" si="0"/>
        <v>6</v>
      </c>
      <c r="C20">
        <f t="shared" si="7"/>
        <v>446</v>
      </c>
      <c r="D20">
        <f t="shared" si="1"/>
        <v>420</v>
      </c>
      <c r="E20">
        <f t="shared" si="2"/>
        <v>420</v>
      </c>
      <c r="F20">
        <f t="shared" si="3"/>
        <v>394</v>
      </c>
      <c r="G20" t="str">
        <f t="shared" si="4"/>
        <v>drewno</v>
      </c>
      <c r="H20" t="str">
        <f t="shared" si="5"/>
        <v>DREWNO</v>
      </c>
      <c r="I20" t="str">
        <f t="shared" si="6"/>
        <v>DREWNO</v>
      </c>
      <c r="Z20">
        <f>IF(E20-D20=300,1,0)</f>
        <v>0</v>
      </c>
      <c r="AB20">
        <v>19</v>
      </c>
      <c r="AC20">
        <f>F20</f>
        <v>394</v>
      </c>
    </row>
    <row r="21" spans="1:29" x14ac:dyDescent="0.25">
      <c r="A21" s="1">
        <v>42281</v>
      </c>
      <c r="B21">
        <f t="shared" si="0"/>
        <v>7</v>
      </c>
      <c r="C21">
        <f t="shared" si="7"/>
        <v>394</v>
      </c>
      <c r="D21">
        <f t="shared" si="1"/>
        <v>368</v>
      </c>
      <c r="E21">
        <f t="shared" si="2"/>
        <v>368</v>
      </c>
      <c r="F21">
        <f t="shared" si="3"/>
        <v>342</v>
      </c>
      <c r="G21" t="str">
        <f t="shared" si="4"/>
        <v>drewno</v>
      </c>
      <c r="H21" t="str">
        <f t="shared" si="5"/>
        <v>DREWNO</v>
      </c>
      <c r="I21" t="str">
        <f t="shared" si="6"/>
        <v>DREWNO</v>
      </c>
      <c r="Z21">
        <f>IF(E21-D21=300,1,0)</f>
        <v>0</v>
      </c>
      <c r="AB21">
        <v>20</v>
      </c>
      <c r="AC21">
        <f>F21</f>
        <v>342</v>
      </c>
    </row>
    <row r="22" spans="1:29" x14ac:dyDescent="0.25">
      <c r="A22" s="1">
        <v>42282</v>
      </c>
      <c r="B22">
        <f t="shared" si="0"/>
        <v>1</v>
      </c>
      <c r="C22">
        <f t="shared" si="7"/>
        <v>342</v>
      </c>
      <c r="D22">
        <f t="shared" si="1"/>
        <v>342</v>
      </c>
      <c r="E22">
        <f t="shared" si="2"/>
        <v>342</v>
      </c>
      <c r="F22">
        <f t="shared" si="3"/>
        <v>316</v>
      </c>
      <c r="G22" t="str">
        <f t="shared" si="4"/>
        <v>drewno</v>
      </c>
      <c r="H22" t="str">
        <f t="shared" si="5"/>
        <v>GAZ</v>
      </c>
      <c r="I22">
        <f t="shared" si="6"/>
        <v>0</v>
      </c>
      <c r="Z22">
        <f>IF(E22-D22=300,1,0)</f>
        <v>0</v>
      </c>
      <c r="AB22">
        <v>21</v>
      </c>
      <c r="AC22">
        <f>F22</f>
        <v>316</v>
      </c>
    </row>
    <row r="23" spans="1:29" x14ac:dyDescent="0.25">
      <c r="A23" s="1">
        <v>42283</v>
      </c>
      <c r="B23">
        <f t="shared" si="0"/>
        <v>2</v>
      </c>
      <c r="C23">
        <f t="shared" si="7"/>
        <v>316</v>
      </c>
      <c r="D23">
        <f t="shared" si="1"/>
        <v>316</v>
      </c>
      <c r="E23">
        <f t="shared" si="2"/>
        <v>316</v>
      </c>
      <c r="F23">
        <f t="shared" si="3"/>
        <v>290</v>
      </c>
      <c r="G23" t="str">
        <f t="shared" si="4"/>
        <v>drewno</v>
      </c>
      <c r="H23" t="str">
        <f t="shared" si="5"/>
        <v>GAZ</v>
      </c>
      <c r="I23">
        <f t="shared" si="6"/>
        <v>0</v>
      </c>
      <c r="Z23">
        <f>IF(E23-D23=300,1,0)</f>
        <v>0</v>
      </c>
      <c r="AB23">
        <v>22</v>
      </c>
      <c r="AC23">
        <f>F23</f>
        <v>290</v>
      </c>
    </row>
    <row r="24" spans="1:29" x14ac:dyDescent="0.25">
      <c r="A24" s="1">
        <v>42284</v>
      </c>
      <c r="B24">
        <f t="shared" si="0"/>
        <v>3</v>
      </c>
      <c r="C24">
        <f t="shared" si="7"/>
        <v>290</v>
      </c>
      <c r="D24">
        <f t="shared" si="1"/>
        <v>290</v>
      </c>
      <c r="E24">
        <f t="shared" si="2"/>
        <v>290</v>
      </c>
      <c r="F24">
        <f t="shared" si="3"/>
        <v>264</v>
      </c>
      <c r="G24" t="str">
        <f t="shared" si="4"/>
        <v>drewno</v>
      </c>
      <c r="H24" t="str">
        <f t="shared" si="5"/>
        <v>GAZ</v>
      </c>
      <c r="I24">
        <f t="shared" si="6"/>
        <v>0</v>
      </c>
      <c r="Z24">
        <f>IF(E24-D24=300,1,0)</f>
        <v>0</v>
      </c>
      <c r="AB24">
        <v>23</v>
      </c>
      <c r="AC24">
        <f>F24</f>
        <v>264</v>
      </c>
    </row>
    <row r="25" spans="1:29" x14ac:dyDescent="0.25">
      <c r="A25" s="1">
        <v>42285</v>
      </c>
      <c r="B25">
        <f t="shared" si="0"/>
        <v>4</v>
      </c>
      <c r="C25">
        <f t="shared" si="7"/>
        <v>264</v>
      </c>
      <c r="D25">
        <f t="shared" si="1"/>
        <v>264</v>
      </c>
      <c r="E25">
        <f t="shared" si="2"/>
        <v>264</v>
      </c>
      <c r="F25">
        <f t="shared" si="3"/>
        <v>238</v>
      </c>
      <c r="G25" t="str">
        <f t="shared" si="4"/>
        <v>drewno</v>
      </c>
      <c r="H25" t="str">
        <f t="shared" si="5"/>
        <v>GAZ</v>
      </c>
      <c r="I25">
        <f t="shared" si="6"/>
        <v>0</v>
      </c>
      <c r="Z25">
        <f>IF(E25-D25=300,1,0)</f>
        <v>0</v>
      </c>
      <c r="AB25">
        <v>24</v>
      </c>
      <c r="AC25">
        <f>F25</f>
        <v>238</v>
      </c>
    </row>
    <row r="26" spans="1:29" x14ac:dyDescent="0.25">
      <c r="A26" s="1">
        <v>42286</v>
      </c>
      <c r="B26">
        <f t="shared" si="0"/>
        <v>5</v>
      </c>
      <c r="C26">
        <f t="shared" si="7"/>
        <v>238</v>
      </c>
      <c r="D26">
        <f t="shared" si="1"/>
        <v>238</v>
      </c>
      <c r="E26">
        <f t="shared" si="2"/>
        <v>238</v>
      </c>
      <c r="F26">
        <f t="shared" si="3"/>
        <v>212</v>
      </c>
      <c r="G26" t="str">
        <f t="shared" si="4"/>
        <v>drewno</v>
      </c>
      <c r="H26" t="str">
        <f t="shared" si="5"/>
        <v>GAZ</v>
      </c>
      <c r="I26">
        <f t="shared" si="6"/>
        <v>0</v>
      </c>
      <c r="Z26">
        <f>IF(E26-D26=300,1,0)</f>
        <v>0</v>
      </c>
      <c r="AB26">
        <v>25</v>
      </c>
      <c r="AC26">
        <f>F26</f>
        <v>212</v>
      </c>
    </row>
    <row r="27" spans="1:29" x14ac:dyDescent="0.25">
      <c r="A27" s="1">
        <v>42287</v>
      </c>
      <c r="B27">
        <f t="shared" si="0"/>
        <v>6</v>
      </c>
      <c r="C27">
        <f t="shared" si="7"/>
        <v>212</v>
      </c>
      <c r="D27">
        <f t="shared" si="1"/>
        <v>186</v>
      </c>
      <c r="E27">
        <f t="shared" si="2"/>
        <v>186</v>
      </c>
      <c r="F27">
        <f t="shared" si="3"/>
        <v>160</v>
      </c>
      <c r="G27" t="str">
        <f t="shared" si="4"/>
        <v>drewno</v>
      </c>
      <c r="H27" t="str">
        <f t="shared" si="5"/>
        <v>DREWNO</v>
      </c>
      <c r="I27" t="str">
        <f t="shared" si="6"/>
        <v>DREWNO</v>
      </c>
      <c r="Z27">
        <f>IF(E27-D27=300,1,0)</f>
        <v>0</v>
      </c>
      <c r="AB27">
        <v>26</v>
      </c>
      <c r="AC27">
        <f>F27</f>
        <v>160</v>
      </c>
    </row>
    <row r="28" spans="1:29" x14ac:dyDescent="0.25">
      <c r="A28" s="1">
        <v>42288</v>
      </c>
      <c r="B28">
        <f t="shared" si="0"/>
        <v>7</v>
      </c>
      <c r="C28">
        <f t="shared" si="7"/>
        <v>160</v>
      </c>
      <c r="D28">
        <f t="shared" si="1"/>
        <v>134</v>
      </c>
      <c r="E28">
        <f t="shared" si="2"/>
        <v>134</v>
      </c>
      <c r="F28">
        <f t="shared" si="3"/>
        <v>108</v>
      </c>
      <c r="G28" t="str">
        <f t="shared" si="4"/>
        <v>drewno</v>
      </c>
      <c r="H28" t="str">
        <f t="shared" si="5"/>
        <v>DREWNO</v>
      </c>
      <c r="I28" t="str">
        <f t="shared" si="6"/>
        <v>DREWNO</v>
      </c>
      <c r="Z28">
        <f>IF(E28-D28=300,1,0)</f>
        <v>0</v>
      </c>
      <c r="AB28">
        <v>27</v>
      </c>
      <c r="AC28">
        <f>F28</f>
        <v>108</v>
      </c>
    </row>
    <row r="29" spans="1:29" x14ac:dyDescent="0.25">
      <c r="A29" s="1">
        <v>42289</v>
      </c>
      <c r="B29">
        <f t="shared" si="0"/>
        <v>1</v>
      </c>
      <c r="C29">
        <f t="shared" si="7"/>
        <v>108</v>
      </c>
      <c r="D29">
        <f t="shared" si="1"/>
        <v>108</v>
      </c>
      <c r="E29">
        <f t="shared" si="2"/>
        <v>108</v>
      </c>
      <c r="F29">
        <f t="shared" si="3"/>
        <v>82</v>
      </c>
      <c r="G29" t="str">
        <f t="shared" si="4"/>
        <v>drewno</v>
      </c>
      <c r="H29" t="str">
        <f t="shared" si="5"/>
        <v>GAZ</v>
      </c>
      <c r="I29">
        <f t="shared" si="6"/>
        <v>0</v>
      </c>
      <c r="Z29">
        <f>IF(E29-D29=300,1,0)</f>
        <v>0</v>
      </c>
      <c r="AB29">
        <v>28</v>
      </c>
      <c r="AC29">
        <f>F29</f>
        <v>82</v>
      </c>
    </row>
    <row r="30" spans="1:29" x14ac:dyDescent="0.25">
      <c r="A30" s="1">
        <v>42290</v>
      </c>
      <c r="B30">
        <f t="shared" si="0"/>
        <v>2</v>
      </c>
      <c r="C30">
        <f t="shared" si="7"/>
        <v>82</v>
      </c>
      <c r="D30">
        <f t="shared" si="1"/>
        <v>82</v>
      </c>
      <c r="E30">
        <f t="shared" si="2"/>
        <v>82</v>
      </c>
      <c r="F30">
        <f t="shared" si="3"/>
        <v>56</v>
      </c>
      <c r="G30" t="str">
        <f t="shared" si="4"/>
        <v>drewno</v>
      </c>
      <c r="H30" t="str">
        <f t="shared" si="5"/>
        <v>GAZ</v>
      </c>
      <c r="I30">
        <f t="shared" si="6"/>
        <v>0</v>
      </c>
      <c r="Z30">
        <f>IF(E30-D30=300,1,0)</f>
        <v>0</v>
      </c>
      <c r="AB30">
        <v>29</v>
      </c>
      <c r="AC30">
        <f>F30</f>
        <v>56</v>
      </c>
    </row>
    <row r="31" spans="1:29" x14ac:dyDescent="0.25">
      <c r="A31" s="1">
        <v>42291</v>
      </c>
      <c r="B31">
        <f t="shared" si="0"/>
        <v>3</v>
      </c>
      <c r="C31">
        <f t="shared" si="7"/>
        <v>56</v>
      </c>
      <c r="D31">
        <f t="shared" si="1"/>
        <v>56</v>
      </c>
      <c r="E31">
        <f t="shared" si="2"/>
        <v>56</v>
      </c>
      <c r="F31">
        <f t="shared" si="3"/>
        <v>30</v>
      </c>
      <c r="G31" t="str">
        <f t="shared" si="4"/>
        <v>drewno</v>
      </c>
      <c r="H31" t="str">
        <f t="shared" si="5"/>
        <v>GAZ</v>
      </c>
      <c r="I31">
        <f t="shared" si="6"/>
        <v>0</v>
      </c>
      <c r="Z31">
        <f>IF(E31-D31=300,1,0)</f>
        <v>0</v>
      </c>
      <c r="AB31">
        <v>30</v>
      </c>
      <c r="AC31">
        <f>F31</f>
        <v>30</v>
      </c>
    </row>
    <row r="32" spans="1:29" x14ac:dyDescent="0.25">
      <c r="A32" s="1">
        <v>42292</v>
      </c>
      <c r="B32">
        <f t="shared" si="0"/>
        <v>4</v>
      </c>
      <c r="C32">
        <f t="shared" si="7"/>
        <v>30</v>
      </c>
      <c r="D32">
        <f t="shared" si="1"/>
        <v>30</v>
      </c>
      <c r="E32">
        <f t="shared" si="2"/>
        <v>30</v>
      </c>
      <c r="F32">
        <f t="shared" si="3"/>
        <v>4</v>
      </c>
      <c r="G32" t="str">
        <f t="shared" si="4"/>
        <v>drewno</v>
      </c>
      <c r="H32" t="str">
        <f t="shared" si="5"/>
        <v>GAZ</v>
      </c>
      <c r="I32">
        <f t="shared" si="6"/>
        <v>0</v>
      </c>
      <c r="Z32">
        <f>IF(E32-D32=300,1,0)</f>
        <v>0</v>
      </c>
      <c r="AB32">
        <v>31</v>
      </c>
      <c r="AC32">
        <f>F32</f>
        <v>4</v>
      </c>
    </row>
    <row r="33" spans="1:29" x14ac:dyDescent="0.25">
      <c r="A33" s="1">
        <v>42293</v>
      </c>
      <c r="B33">
        <f t="shared" si="0"/>
        <v>5</v>
      </c>
      <c r="C33">
        <f t="shared" si="7"/>
        <v>4</v>
      </c>
      <c r="D33">
        <f t="shared" si="1"/>
        <v>4</v>
      </c>
      <c r="E33">
        <f t="shared" si="2"/>
        <v>472</v>
      </c>
      <c r="F33">
        <f t="shared" si="3"/>
        <v>446</v>
      </c>
      <c r="G33" t="str">
        <f t="shared" si="4"/>
        <v>drewno</v>
      </c>
      <c r="H33" t="str">
        <f t="shared" si="5"/>
        <v>GAZ</v>
      </c>
      <c r="I33">
        <f t="shared" si="6"/>
        <v>0</v>
      </c>
      <c r="Z33">
        <f>IF(E33-D33=300,1,0)</f>
        <v>0</v>
      </c>
      <c r="AB33">
        <v>32</v>
      </c>
      <c r="AC33">
        <f>F33</f>
        <v>446</v>
      </c>
    </row>
    <row r="34" spans="1:29" x14ac:dyDescent="0.25">
      <c r="A34" s="1">
        <v>42294</v>
      </c>
      <c r="B34">
        <f t="shared" si="0"/>
        <v>6</v>
      </c>
      <c r="C34">
        <f t="shared" si="7"/>
        <v>446</v>
      </c>
      <c r="D34">
        <f t="shared" si="1"/>
        <v>420</v>
      </c>
      <c r="E34">
        <f t="shared" si="2"/>
        <v>420</v>
      </c>
      <c r="F34">
        <f t="shared" si="3"/>
        <v>394</v>
      </c>
      <c r="G34" t="str">
        <f t="shared" si="4"/>
        <v>drewno</v>
      </c>
      <c r="H34" t="str">
        <f t="shared" si="5"/>
        <v>DREWNO</v>
      </c>
      <c r="I34" t="str">
        <f t="shared" si="6"/>
        <v>DREWNO</v>
      </c>
      <c r="Z34">
        <f>IF(E34-D34=300,1,0)</f>
        <v>0</v>
      </c>
      <c r="AB34">
        <v>33</v>
      </c>
      <c r="AC34">
        <f>F34</f>
        <v>394</v>
      </c>
    </row>
    <row r="35" spans="1:29" x14ac:dyDescent="0.25">
      <c r="A35" s="1">
        <v>42295</v>
      </c>
      <c r="B35">
        <f t="shared" si="0"/>
        <v>7</v>
      </c>
      <c r="C35">
        <f t="shared" si="7"/>
        <v>394</v>
      </c>
      <c r="D35">
        <f t="shared" si="1"/>
        <v>368</v>
      </c>
      <c r="E35">
        <f t="shared" si="2"/>
        <v>368</v>
      </c>
      <c r="F35">
        <f t="shared" si="3"/>
        <v>342</v>
      </c>
      <c r="G35" t="str">
        <f t="shared" si="4"/>
        <v>drewno</v>
      </c>
      <c r="H35" t="str">
        <f t="shared" si="5"/>
        <v>DREWNO</v>
      </c>
      <c r="I35" t="str">
        <f t="shared" si="6"/>
        <v>DREWNO</v>
      </c>
      <c r="Z35">
        <f>IF(E35-D35=300,1,0)</f>
        <v>0</v>
      </c>
      <c r="AB35">
        <v>34</v>
      </c>
      <c r="AC35">
        <f>F35</f>
        <v>342</v>
      </c>
    </row>
    <row r="36" spans="1:29" x14ac:dyDescent="0.25">
      <c r="A36" s="1">
        <v>42296</v>
      </c>
      <c r="B36">
        <f t="shared" si="0"/>
        <v>1</v>
      </c>
      <c r="C36">
        <f t="shared" si="7"/>
        <v>342</v>
      </c>
      <c r="D36">
        <f t="shared" si="1"/>
        <v>342</v>
      </c>
      <c r="E36">
        <f t="shared" si="2"/>
        <v>342</v>
      </c>
      <c r="F36">
        <f t="shared" si="3"/>
        <v>316</v>
      </c>
      <c r="G36" t="str">
        <f t="shared" si="4"/>
        <v>drewno</v>
      </c>
      <c r="H36" t="str">
        <f t="shared" si="5"/>
        <v>GAZ</v>
      </c>
      <c r="I36">
        <f t="shared" si="6"/>
        <v>0</v>
      </c>
      <c r="Z36">
        <f>IF(E36-D36=300,1,0)</f>
        <v>0</v>
      </c>
      <c r="AB36">
        <v>35</v>
      </c>
      <c r="AC36">
        <f>F36</f>
        <v>316</v>
      </c>
    </row>
    <row r="37" spans="1:29" x14ac:dyDescent="0.25">
      <c r="A37" s="1">
        <v>42297</v>
      </c>
      <c r="B37">
        <f t="shared" si="0"/>
        <v>2</v>
      </c>
      <c r="C37">
        <f t="shared" si="7"/>
        <v>316</v>
      </c>
      <c r="D37">
        <f t="shared" si="1"/>
        <v>316</v>
      </c>
      <c r="E37">
        <f t="shared" si="2"/>
        <v>316</v>
      </c>
      <c r="F37">
        <f t="shared" si="3"/>
        <v>290</v>
      </c>
      <c r="G37" t="str">
        <f t="shared" si="4"/>
        <v>drewno</v>
      </c>
      <c r="H37" t="str">
        <f t="shared" si="5"/>
        <v>GAZ</v>
      </c>
      <c r="I37">
        <f t="shared" si="6"/>
        <v>0</v>
      </c>
      <c r="Z37">
        <f>IF(E37-D37=300,1,0)</f>
        <v>0</v>
      </c>
      <c r="AB37">
        <v>36</v>
      </c>
      <c r="AC37">
        <f>F37</f>
        <v>290</v>
      </c>
    </row>
    <row r="38" spans="1:29" x14ac:dyDescent="0.25">
      <c r="A38" s="1">
        <v>42298</v>
      </c>
      <c r="B38">
        <f t="shared" si="0"/>
        <v>3</v>
      </c>
      <c r="C38">
        <f t="shared" si="7"/>
        <v>290</v>
      </c>
      <c r="D38">
        <f t="shared" si="1"/>
        <v>290</v>
      </c>
      <c r="E38">
        <f t="shared" si="2"/>
        <v>290</v>
      </c>
      <c r="F38">
        <f t="shared" si="3"/>
        <v>264</v>
      </c>
      <c r="G38" t="str">
        <f t="shared" si="4"/>
        <v>drewno</v>
      </c>
      <c r="H38" t="str">
        <f t="shared" si="5"/>
        <v>GAZ</v>
      </c>
      <c r="I38">
        <f t="shared" si="6"/>
        <v>0</v>
      </c>
      <c r="Z38">
        <f>IF(E38-D38=300,1,0)</f>
        <v>0</v>
      </c>
      <c r="AB38">
        <v>37</v>
      </c>
      <c r="AC38">
        <f>F38</f>
        <v>264</v>
      </c>
    </row>
    <row r="39" spans="1:29" x14ac:dyDescent="0.25">
      <c r="A39" s="1">
        <v>42299</v>
      </c>
      <c r="B39">
        <f t="shared" si="0"/>
        <v>4</v>
      </c>
      <c r="C39">
        <f t="shared" si="7"/>
        <v>264</v>
      </c>
      <c r="D39">
        <f t="shared" si="1"/>
        <v>264</v>
      </c>
      <c r="E39">
        <f t="shared" si="2"/>
        <v>264</v>
      </c>
      <c r="F39">
        <f t="shared" si="3"/>
        <v>238</v>
      </c>
      <c r="G39" t="str">
        <f t="shared" si="4"/>
        <v>drewno</v>
      </c>
      <c r="H39" t="str">
        <f t="shared" si="5"/>
        <v>GAZ</v>
      </c>
      <c r="I39">
        <f t="shared" si="6"/>
        <v>0</v>
      </c>
      <c r="Z39">
        <f>IF(E39-D39=300,1,0)</f>
        <v>0</v>
      </c>
      <c r="AB39">
        <v>38</v>
      </c>
      <c r="AC39">
        <f>F39</f>
        <v>238</v>
      </c>
    </row>
    <row r="40" spans="1:29" x14ac:dyDescent="0.25">
      <c r="A40" s="1">
        <v>42300</v>
      </c>
      <c r="B40">
        <f t="shared" si="0"/>
        <v>5</v>
      </c>
      <c r="C40">
        <f t="shared" si="7"/>
        <v>238</v>
      </c>
      <c r="D40">
        <f t="shared" si="1"/>
        <v>238</v>
      </c>
      <c r="E40">
        <f t="shared" si="2"/>
        <v>238</v>
      </c>
      <c r="F40">
        <f t="shared" si="3"/>
        <v>212</v>
      </c>
      <c r="G40" t="str">
        <f t="shared" si="4"/>
        <v>drewno</v>
      </c>
      <c r="H40" t="str">
        <f t="shared" si="5"/>
        <v>GAZ</v>
      </c>
      <c r="I40">
        <f t="shared" si="6"/>
        <v>0</v>
      </c>
      <c r="Z40">
        <f>IF(E40-D40=300,1,0)</f>
        <v>0</v>
      </c>
      <c r="AB40">
        <v>39</v>
      </c>
      <c r="AC40">
        <f>F40</f>
        <v>212</v>
      </c>
    </row>
    <row r="41" spans="1:29" x14ac:dyDescent="0.25">
      <c r="A41" s="1">
        <v>42301</v>
      </c>
      <c r="B41">
        <f t="shared" si="0"/>
        <v>6</v>
      </c>
      <c r="C41">
        <f t="shared" si="7"/>
        <v>212</v>
      </c>
      <c r="D41">
        <f t="shared" si="1"/>
        <v>186</v>
      </c>
      <c r="E41">
        <f t="shared" si="2"/>
        <v>186</v>
      </c>
      <c r="F41">
        <f t="shared" si="3"/>
        <v>160</v>
      </c>
      <c r="G41" t="str">
        <f t="shared" si="4"/>
        <v>drewno</v>
      </c>
      <c r="H41" t="str">
        <f t="shared" si="5"/>
        <v>DREWNO</v>
      </c>
      <c r="I41" t="str">
        <f t="shared" si="6"/>
        <v>DREWNO</v>
      </c>
      <c r="Z41">
        <f>IF(E41-D41=300,1,0)</f>
        <v>0</v>
      </c>
      <c r="AB41">
        <v>40</v>
      </c>
      <c r="AC41">
        <f>F41</f>
        <v>160</v>
      </c>
    </row>
    <row r="42" spans="1:29" x14ac:dyDescent="0.25">
      <c r="A42" s="1">
        <v>42302</v>
      </c>
      <c r="B42">
        <f t="shared" si="0"/>
        <v>7</v>
      </c>
      <c r="C42">
        <f t="shared" si="7"/>
        <v>160</v>
      </c>
      <c r="D42">
        <f t="shared" si="1"/>
        <v>134</v>
      </c>
      <c r="E42">
        <f t="shared" si="2"/>
        <v>134</v>
      </c>
      <c r="F42">
        <f t="shared" si="3"/>
        <v>108</v>
      </c>
      <c r="G42" t="str">
        <f t="shared" si="4"/>
        <v>drewno</v>
      </c>
      <c r="H42" t="str">
        <f t="shared" si="5"/>
        <v>DREWNO</v>
      </c>
      <c r="I42" t="str">
        <f t="shared" si="6"/>
        <v>DREWNO</v>
      </c>
      <c r="Z42">
        <f>IF(E42-D42=300,1,0)</f>
        <v>0</v>
      </c>
      <c r="AB42">
        <v>41</v>
      </c>
      <c r="AC42">
        <f>F42</f>
        <v>108</v>
      </c>
    </row>
    <row r="43" spans="1:29" x14ac:dyDescent="0.25">
      <c r="A43" s="1">
        <v>42303</v>
      </c>
      <c r="B43">
        <f t="shared" si="0"/>
        <v>1</v>
      </c>
      <c r="C43">
        <f t="shared" si="7"/>
        <v>108</v>
      </c>
      <c r="D43">
        <f t="shared" si="1"/>
        <v>108</v>
      </c>
      <c r="E43">
        <f t="shared" si="2"/>
        <v>108</v>
      </c>
      <c r="F43">
        <f t="shared" si="3"/>
        <v>82</v>
      </c>
      <c r="G43" t="str">
        <f t="shared" si="4"/>
        <v>drewno</v>
      </c>
      <c r="H43" t="str">
        <f t="shared" si="5"/>
        <v>GAZ</v>
      </c>
      <c r="I43">
        <f t="shared" si="6"/>
        <v>0</v>
      </c>
      <c r="Z43">
        <f>IF(E43-D43=300,1,0)</f>
        <v>0</v>
      </c>
      <c r="AB43">
        <v>42</v>
      </c>
      <c r="AC43">
        <f>F43</f>
        <v>82</v>
      </c>
    </row>
    <row r="44" spans="1:29" x14ac:dyDescent="0.25">
      <c r="A44" s="1">
        <v>42304</v>
      </c>
      <c r="B44">
        <f t="shared" si="0"/>
        <v>2</v>
      </c>
      <c r="C44">
        <f t="shared" si="7"/>
        <v>82</v>
      </c>
      <c r="D44">
        <f t="shared" si="1"/>
        <v>82</v>
      </c>
      <c r="E44">
        <f t="shared" si="2"/>
        <v>82</v>
      </c>
      <c r="F44">
        <f t="shared" si="3"/>
        <v>56</v>
      </c>
      <c r="G44" t="str">
        <f t="shared" si="4"/>
        <v>drewno</v>
      </c>
      <c r="H44" t="str">
        <f t="shared" si="5"/>
        <v>GAZ</v>
      </c>
      <c r="I44">
        <f t="shared" si="6"/>
        <v>0</v>
      </c>
      <c r="Z44">
        <f>IF(E44-D44=300,1,0)</f>
        <v>0</v>
      </c>
      <c r="AB44">
        <v>43</v>
      </c>
      <c r="AC44">
        <f>F44</f>
        <v>56</v>
      </c>
    </row>
    <row r="45" spans="1:29" x14ac:dyDescent="0.25">
      <c r="A45" s="1">
        <v>42305</v>
      </c>
      <c r="B45">
        <f t="shared" si="0"/>
        <v>3</v>
      </c>
      <c r="C45">
        <f t="shared" si="7"/>
        <v>56</v>
      </c>
      <c r="D45">
        <f t="shared" si="1"/>
        <v>56</v>
      </c>
      <c r="E45">
        <f t="shared" si="2"/>
        <v>56</v>
      </c>
      <c r="F45">
        <f t="shared" si="3"/>
        <v>30</v>
      </c>
      <c r="G45" t="str">
        <f t="shared" si="4"/>
        <v>drewno</v>
      </c>
      <c r="H45" t="str">
        <f t="shared" si="5"/>
        <v>GAZ</v>
      </c>
      <c r="I45">
        <f t="shared" si="6"/>
        <v>0</v>
      </c>
      <c r="Z45">
        <f>IF(E45-D45=300,1,0)</f>
        <v>0</v>
      </c>
      <c r="AB45">
        <v>44</v>
      </c>
      <c r="AC45">
        <f>F45</f>
        <v>30</v>
      </c>
    </row>
    <row r="46" spans="1:29" x14ac:dyDescent="0.25">
      <c r="A46" s="1">
        <v>42306</v>
      </c>
      <c r="B46">
        <f t="shared" si="0"/>
        <v>4</v>
      </c>
      <c r="C46">
        <f t="shared" si="7"/>
        <v>30</v>
      </c>
      <c r="D46">
        <f t="shared" si="1"/>
        <v>30</v>
      </c>
      <c r="E46">
        <f t="shared" si="2"/>
        <v>30</v>
      </c>
      <c r="F46">
        <f t="shared" si="3"/>
        <v>4</v>
      </c>
      <c r="G46" t="str">
        <f t="shared" si="4"/>
        <v>drewno</v>
      </c>
      <c r="H46" t="str">
        <f t="shared" si="5"/>
        <v>GAZ</v>
      </c>
      <c r="I46">
        <f t="shared" si="6"/>
        <v>0</v>
      </c>
      <c r="Z46">
        <f>IF(E46-D46=300,1,0)</f>
        <v>0</v>
      </c>
      <c r="AB46">
        <v>45</v>
      </c>
      <c r="AC46">
        <f>F46</f>
        <v>4</v>
      </c>
    </row>
    <row r="47" spans="1:29" x14ac:dyDescent="0.25">
      <c r="A47" s="1">
        <v>42307</v>
      </c>
      <c r="B47">
        <f t="shared" si="0"/>
        <v>5</v>
      </c>
      <c r="C47">
        <f t="shared" si="7"/>
        <v>4</v>
      </c>
      <c r="D47">
        <f t="shared" si="1"/>
        <v>4</v>
      </c>
      <c r="E47">
        <f t="shared" si="2"/>
        <v>472</v>
      </c>
      <c r="F47">
        <f t="shared" si="3"/>
        <v>446</v>
      </c>
      <c r="G47" t="str">
        <f t="shared" si="4"/>
        <v>drewno</v>
      </c>
      <c r="H47" t="str">
        <f t="shared" si="5"/>
        <v>GAZ</v>
      </c>
      <c r="I47">
        <f t="shared" si="6"/>
        <v>0</v>
      </c>
      <c r="Z47">
        <f>IF(E47-D47=300,1,0)</f>
        <v>0</v>
      </c>
      <c r="AB47">
        <v>46</v>
      </c>
      <c r="AC47">
        <f>F47</f>
        <v>446</v>
      </c>
    </row>
    <row r="48" spans="1:29" x14ac:dyDescent="0.25">
      <c r="A48" s="1">
        <v>42308</v>
      </c>
      <c r="B48">
        <f t="shared" si="0"/>
        <v>6</v>
      </c>
      <c r="C48">
        <f t="shared" si="7"/>
        <v>446</v>
      </c>
      <c r="D48">
        <f t="shared" si="1"/>
        <v>420</v>
      </c>
      <c r="E48">
        <f t="shared" si="2"/>
        <v>420</v>
      </c>
      <c r="F48">
        <f t="shared" si="3"/>
        <v>394</v>
      </c>
      <c r="G48" t="str">
        <f t="shared" si="4"/>
        <v>drewno</v>
      </c>
      <c r="H48" t="str">
        <f t="shared" si="5"/>
        <v>DREWNO</v>
      </c>
      <c r="I48" t="str">
        <f t="shared" si="6"/>
        <v>DREWNO</v>
      </c>
      <c r="Z48">
        <f>IF(E48-D48=300,1,0)</f>
        <v>0</v>
      </c>
      <c r="AB48">
        <v>47</v>
      </c>
      <c r="AC48">
        <f>F48</f>
        <v>394</v>
      </c>
    </row>
    <row r="49" spans="1:29" x14ac:dyDescent="0.25">
      <c r="A49" s="1">
        <v>42309</v>
      </c>
      <c r="B49">
        <f t="shared" si="0"/>
        <v>7</v>
      </c>
      <c r="C49">
        <f t="shared" si="7"/>
        <v>394</v>
      </c>
      <c r="D49">
        <f t="shared" si="1"/>
        <v>368</v>
      </c>
      <c r="E49">
        <f t="shared" si="2"/>
        <v>368</v>
      </c>
      <c r="F49">
        <f t="shared" si="3"/>
        <v>342</v>
      </c>
      <c r="G49" t="str">
        <f t="shared" si="4"/>
        <v>drewno</v>
      </c>
      <c r="H49" t="str">
        <f t="shared" si="5"/>
        <v>DREWNO</v>
      </c>
      <c r="I49" t="str">
        <f t="shared" si="6"/>
        <v>DREWNO</v>
      </c>
      <c r="Z49">
        <f>IF(E49-D49=300,1,0)</f>
        <v>0</v>
      </c>
      <c r="AB49">
        <v>48</v>
      </c>
      <c r="AC49">
        <f>F49</f>
        <v>342</v>
      </c>
    </row>
    <row r="50" spans="1:29" x14ac:dyDescent="0.25">
      <c r="A50" s="1">
        <v>42310</v>
      </c>
      <c r="B50">
        <f t="shared" si="0"/>
        <v>1</v>
      </c>
      <c r="C50">
        <f t="shared" si="7"/>
        <v>342</v>
      </c>
      <c r="D50">
        <f t="shared" si="1"/>
        <v>342</v>
      </c>
      <c r="E50">
        <f t="shared" si="2"/>
        <v>342</v>
      </c>
      <c r="F50">
        <f t="shared" si="3"/>
        <v>316</v>
      </c>
      <c r="G50" t="str">
        <f t="shared" si="4"/>
        <v>drewno</v>
      </c>
      <c r="H50" t="str">
        <f t="shared" si="5"/>
        <v>GAZ</v>
      </c>
      <c r="I50">
        <f t="shared" si="6"/>
        <v>0</v>
      </c>
      <c r="Z50">
        <f>IF(E50-D50=300,1,0)</f>
        <v>0</v>
      </c>
      <c r="AB50">
        <v>49</v>
      </c>
      <c r="AC50">
        <f>F50</f>
        <v>316</v>
      </c>
    </row>
    <row r="51" spans="1:29" x14ac:dyDescent="0.25">
      <c r="A51" s="1">
        <v>42311</v>
      </c>
      <c r="B51">
        <f t="shared" si="0"/>
        <v>2</v>
      </c>
      <c r="C51">
        <f t="shared" si="7"/>
        <v>316</v>
      </c>
      <c r="D51">
        <f t="shared" si="1"/>
        <v>316</v>
      </c>
      <c r="E51">
        <f t="shared" si="2"/>
        <v>316</v>
      </c>
      <c r="F51">
        <f t="shared" si="3"/>
        <v>290</v>
      </c>
      <c r="G51" t="str">
        <f t="shared" si="4"/>
        <v>drewno</v>
      </c>
      <c r="H51" t="str">
        <f t="shared" si="5"/>
        <v>GAZ</v>
      </c>
      <c r="I51">
        <f t="shared" si="6"/>
        <v>0</v>
      </c>
      <c r="Z51">
        <f>IF(E51-D51=300,1,0)</f>
        <v>0</v>
      </c>
      <c r="AB51">
        <v>50</v>
      </c>
      <c r="AC51">
        <f>F51</f>
        <v>290</v>
      </c>
    </row>
    <row r="52" spans="1:29" x14ac:dyDescent="0.25">
      <c r="A52" s="1">
        <v>42312</v>
      </c>
      <c r="B52">
        <f t="shared" si="0"/>
        <v>3</v>
      </c>
      <c r="C52">
        <f t="shared" si="7"/>
        <v>290</v>
      </c>
      <c r="D52">
        <f t="shared" si="1"/>
        <v>290</v>
      </c>
      <c r="E52">
        <f t="shared" si="2"/>
        <v>290</v>
      </c>
      <c r="F52">
        <f t="shared" si="3"/>
        <v>264</v>
      </c>
      <c r="G52" t="str">
        <f t="shared" si="4"/>
        <v>drewno</v>
      </c>
      <c r="H52" t="str">
        <f t="shared" si="5"/>
        <v>GAZ</v>
      </c>
      <c r="I52">
        <f t="shared" si="6"/>
        <v>0</v>
      </c>
      <c r="Z52">
        <f>IF(E52-D52=300,1,0)</f>
        <v>0</v>
      </c>
      <c r="AB52">
        <v>51</v>
      </c>
      <c r="AC52">
        <f>F52</f>
        <v>264</v>
      </c>
    </row>
    <row r="53" spans="1:29" x14ac:dyDescent="0.25">
      <c r="A53" s="1">
        <v>42313</v>
      </c>
      <c r="B53">
        <f t="shared" si="0"/>
        <v>4</v>
      </c>
      <c r="C53">
        <f t="shared" si="7"/>
        <v>264</v>
      </c>
      <c r="D53">
        <f t="shared" si="1"/>
        <v>264</v>
      </c>
      <c r="E53">
        <f t="shared" si="2"/>
        <v>264</v>
      </c>
      <c r="F53">
        <f t="shared" si="3"/>
        <v>238</v>
      </c>
      <c r="G53" t="str">
        <f t="shared" si="4"/>
        <v>drewno</v>
      </c>
      <c r="H53" t="str">
        <f t="shared" si="5"/>
        <v>GAZ</v>
      </c>
      <c r="I53">
        <f t="shared" si="6"/>
        <v>0</v>
      </c>
      <c r="Z53">
        <f>IF(E53-D53=300,1,0)</f>
        <v>0</v>
      </c>
      <c r="AB53">
        <v>52</v>
      </c>
      <c r="AC53">
        <f>F53</f>
        <v>238</v>
      </c>
    </row>
    <row r="54" spans="1:29" x14ac:dyDescent="0.25">
      <c r="A54" s="1">
        <v>42314</v>
      </c>
      <c r="B54">
        <f t="shared" si="0"/>
        <v>5</v>
      </c>
      <c r="C54">
        <f t="shared" si="7"/>
        <v>238</v>
      </c>
      <c r="D54">
        <f t="shared" si="1"/>
        <v>238</v>
      </c>
      <c r="E54">
        <f t="shared" si="2"/>
        <v>238</v>
      </c>
      <c r="F54">
        <f t="shared" si="3"/>
        <v>212</v>
      </c>
      <c r="G54" t="str">
        <f t="shared" si="4"/>
        <v>drewno</v>
      </c>
      <c r="H54" t="str">
        <f t="shared" si="5"/>
        <v>GAZ</v>
      </c>
      <c r="I54">
        <f t="shared" si="6"/>
        <v>0</v>
      </c>
      <c r="Z54">
        <f>IF(E54-D54=300,1,0)</f>
        <v>0</v>
      </c>
      <c r="AB54">
        <v>53</v>
      </c>
      <c r="AC54">
        <f>F54</f>
        <v>212</v>
      </c>
    </row>
    <row r="55" spans="1:29" x14ac:dyDescent="0.25">
      <c r="A55" s="1">
        <v>42315</v>
      </c>
      <c r="B55">
        <f t="shared" si="0"/>
        <v>6</v>
      </c>
      <c r="C55">
        <f t="shared" si="7"/>
        <v>212</v>
      </c>
      <c r="D55">
        <f t="shared" si="1"/>
        <v>186</v>
      </c>
      <c r="E55">
        <f t="shared" si="2"/>
        <v>186</v>
      </c>
      <c r="F55">
        <f t="shared" si="3"/>
        <v>160</v>
      </c>
      <c r="G55" t="str">
        <f t="shared" si="4"/>
        <v>drewno</v>
      </c>
      <c r="H55" t="str">
        <f t="shared" si="5"/>
        <v>DREWNO</v>
      </c>
      <c r="I55" t="str">
        <f t="shared" si="6"/>
        <v>DREWNO</v>
      </c>
      <c r="Z55">
        <f>IF(E55-D55=300,1,0)</f>
        <v>0</v>
      </c>
      <c r="AB55">
        <v>54</v>
      </c>
      <c r="AC55">
        <f>F55</f>
        <v>160</v>
      </c>
    </row>
    <row r="56" spans="1:29" x14ac:dyDescent="0.25">
      <c r="A56" s="1">
        <v>42316</v>
      </c>
      <c r="B56">
        <f t="shared" si="0"/>
        <v>7</v>
      </c>
      <c r="C56">
        <f t="shared" si="7"/>
        <v>160</v>
      </c>
      <c r="D56">
        <f t="shared" si="1"/>
        <v>134</v>
      </c>
      <c r="E56">
        <f t="shared" si="2"/>
        <v>134</v>
      </c>
      <c r="F56">
        <f t="shared" si="3"/>
        <v>108</v>
      </c>
      <c r="G56" t="str">
        <f t="shared" si="4"/>
        <v>drewno</v>
      </c>
      <c r="H56" t="str">
        <f t="shared" si="5"/>
        <v>DREWNO</v>
      </c>
      <c r="I56" t="str">
        <f t="shared" si="6"/>
        <v>DREWNO</v>
      </c>
      <c r="Z56">
        <f>IF(E56-D56=300,1,0)</f>
        <v>0</v>
      </c>
      <c r="AB56">
        <v>55</v>
      </c>
      <c r="AC56">
        <f>F56</f>
        <v>108</v>
      </c>
    </row>
    <row r="57" spans="1:29" x14ac:dyDescent="0.25">
      <c r="A57" s="1">
        <v>42317</v>
      </c>
      <c r="B57">
        <f t="shared" si="0"/>
        <v>1</v>
      </c>
      <c r="C57">
        <f t="shared" si="7"/>
        <v>108</v>
      </c>
      <c r="D57">
        <f t="shared" si="1"/>
        <v>108</v>
      </c>
      <c r="E57">
        <f t="shared" si="2"/>
        <v>108</v>
      </c>
      <c r="F57">
        <f t="shared" si="3"/>
        <v>82</v>
      </c>
      <c r="G57" t="str">
        <f t="shared" si="4"/>
        <v>drewno</v>
      </c>
      <c r="H57" t="str">
        <f t="shared" si="5"/>
        <v>GAZ</v>
      </c>
      <c r="I57">
        <f t="shared" si="6"/>
        <v>0</v>
      </c>
      <c r="Z57">
        <f>IF(E57-D57=300,1,0)</f>
        <v>0</v>
      </c>
      <c r="AB57">
        <v>56</v>
      </c>
      <c r="AC57">
        <f>F57</f>
        <v>82</v>
      </c>
    </row>
    <row r="58" spans="1:29" x14ac:dyDescent="0.25">
      <c r="A58" s="1">
        <v>42318</v>
      </c>
      <c r="B58">
        <f t="shared" si="0"/>
        <v>2</v>
      </c>
      <c r="C58">
        <f t="shared" si="7"/>
        <v>82</v>
      </c>
      <c r="D58">
        <f t="shared" si="1"/>
        <v>82</v>
      </c>
      <c r="E58">
        <f t="shared" si="2"/>
        <v>82</v>
      </c>
      <c r="F58">
        <f t="shared" si="3"/>
        <v>56</v>
      </c>
      <c r="G58" t="str">
        <f t="shared" si="4"/>
        <v>drewno</v>
      </c>
      <c r="H58" t="str">
        <f t="shared" si="5"/>
        <v>GAZ</v>
      </c>
      <c r="I58">
        <f t="shared" si="6"/>
        <v>0</v>
      </c>
      <c r="Z58">
        <f>IF(E58-D58=300,1,0)</f>
        <v>0</v>
      </c>
      <c r="AB58">
        <v>57</v>
      </c>
      <c r="AC58">
        <f>F58</f>
        <v>56</v>
      </c>
    </row>
    <row r="59" spans="1:29" x14ac:dyDescent="0.25">
      <c r="A59" s="1">
        <v>42319</v>
      </c>
      <c r="B59">
        <f t="shared" si="0"/>
        <v>3</v>
      </c>
      <c r="C59">
        <f t="shared" si="7"/>
        <v>56</v>
      </c>
      <c r="D59">
        <f t="shared" si="1"/>
        <v>56</v>
      </c>
      <c r="E59">
        <f t="shared" si="2"/>
        <v>56</v>
      </c>
      <c r="F59">
        <f t="shared" si="3"/>
        <v>30</v>
      </c>
      <c r="G59" t="str">
        <f t="shared" si="4"/>
        <v>drewno</v>
      </c>
      <c r="H59" t="str">
        <f t="shared" si="5"/>
        <v>GAZ</v>
      </c>
      <c r="I59">
        <f t="shared" si="6"/>
        <v>0</v>
      </c>
      <c r="Z59">
        <f>IF(E59-D59=300,1,0)</f>
        <v>0</v>
      </c>
      <c r="AB59">
        <v>58</v>
      </c>
      <c r="AC59">
        <f>F59</f>
        <v>30</v>
      </c>
    </row>
    <row r="60" spans="1:29" x14ac:dyDescent="0.25">
      <c r="A60" s="1">
        <v>42320</v>
      </c>
      <c r="B60">
        <f t="shared" si="0"/>
        <v>4</v>
      </c>
      <c r="C60">
        <f t="shared" si="7"/>
        <v>30</v>
      </c>
      <c r="D60">
        <f t="shared" si="1"/>
        <v>30</v>
      </c>
      <c r="E60">
        <f t="shared" si="2"/>
        <v>30</v>
      </c>
      <c r="F60">
        <f t="shared" si="3"/>
        <v>4</v>
      </c>
      <c r="G60" t="str">
        <f t="shared" si="4"/>
        <v>drewno</v>
      </c>
      <c r="H60" t="str">
        <f t="shared" si="5"/>
        <v>GAZ</v>
      </c>
      <c r="I60">
        <f t="shared" si="6"/>
        <v>0</v>
      </c>
      <c r="Z60">
        <f>IF(E60-D60=300,1,0)</f>
        <v>0</v>
      </c>
      <c r="AB60">
        <v>59</v>
      </c>
      <c r="AC60">
        <f>F60</f>
        <v>4</v>
      </c>
    </row>
    <row r="61" spans="1:29" x14ac:dyDescent="0.25">
      <c r="A61" s="1">
        <v>42321</v>
      </c>
      <c r="B61">
        <f t="shared" si="0"/>
        <v>5</v>
      </c>
      <c r="C61">
        <f t="shared" si="7"/>
        <v>4</v>
      </c>
      <c r="D61">
        <f t="shared" si="1"/>
        <v>4</v>
      </c>
      <c r="E61">
        <f t="shared" si="2"/>
        <v>472</v>
      </c>
      <c r="F61">
        <f t="shared" si="3"/>
        <v>446</v>
      </c>
      <c r="G61" t="str">
        <f t="shared" si="4"/>
        <v>drewno</v>
      </c>
      <c r="H61" t="str">
        <f t="shared" si="5"/>
        <v>GAZ</v>
      </c>
      <c r="I61">
        <f t="shared" si="6"/>
        <v>0</v>
      </c>
      <c r="Z61">
        <f>IF(E61-D61=300,1,0)</f>
        <v>0</v>
      </c>
      <c r="AB61">
        <v>60</v>
      </c>
      <c r="AC61">
        <f>F61</f>
        <v>446</v>
      </c>
    </row>
    <row r="62" spans="1:29" x14ac:dyDescent="0.25">
      <c r="A62" s="1">
        <v>42322</v>
      </c>
      <c r="B62">
        <f t="shared" si="0"/>
        <v>6</v>
      </c>
      <c r="C62">
        <f t="shared" si="7"/>
        <v>446</v>
      </c>
      <c r="D62">
        <f t="shared" si="1"/>
        <v>420</v>
      </c>
      <c r="E62">
        <f t="shared" si="2"/>
        <v>420</v>
      </c>
      <c r="F62">
        <f t="shared" si="3"/>
        <v>394</v>
      </c>
      <c r="G62" t="str">
        <f t="shared" si="4"/>
        <v>drewno</v>
      </c>
      <c r="H62" t="str">
        <f t="shared" si="5"/>
        <v>DREWNO</v>
      </c>
      <c r="I62" t="str">
        <f t="shared" si="6"/>
        <v>DREWNO</v>
      </c>
      <c r="Z62">
        <f>IF(E62-D62=300,1,0)</f>
        <v>0</v>
      </c>
      <c r="AB62">
        <v>61</v>
      </c>
      <c r="AC62">
        <f>F62</f>
        <v>394</v>
      </c>
    </row>
    <row r="63" spans="1:29" x14ac:dyDescent="0.25">
      <c r="A63" s="1">
        <v>42323</v>
      </c>
      <c r="B63">
        <f t="shared" si="0"/>
        <v>7</v>
      </c>
      <c r="C63">
        <f t="shared" si="7"/>
        <v>394</v>
      </c>
      <c r="D63">
        <f t="shared" si="1"/>
        <v>368</v>
      </c>
      <c r="E63">
        <f t="shared" si="2"/>
        <v>368</v>
      </c>
      <c r="F63">
        <f t="shared" si="3"/>
        <v>342</v>
      </c>
      <c r="G63" t="str">
        <f t="shared" si="4"/>
        <v>drewno</v>
      </c>
      <c r="H63" t="str">
        <f t="shared" si="5"/>
        <v>DREWNO</v>
      </c>
      <c r="I63" t="str">
        <f t="shared" si="6"/>
        <v>DREWNO</v>
      </c>
      <c r="Z63">
        <f>IF(E63-D63=300,1,0)</f>
        <v>0</v>
      </c>
      <c r="AB63">
        <v>62</v>
      </c>
      <c r="AC63">
        <f>F63</f>
        <v>342</v>
      </c>
    </row>
    <row r="64" spans="1:29" x14ac:dyDescent="0.25">
      <c r="A64" s="1">
        <v>42324</v>
      </c>
      <c r="B64">
        <f t="shared" si="0"/>
        <v>1</v>
      </c>
      <c r="C64">
        <f t="shared" si="7"/>
        <v>342</v>
      </c>
      <c r="D64">
        <f t="shared" si="1"/>
        <v>342</v>
      </c>
      <c r="E64">
        <f t="shared" si="2"/>
        <v>342</v>
      </c>
      <c r="F64">
        <f t="shared" si="3"/>
        <v>316</v>
      </c>
      <c r="G64" t="str">
        <f t="shared" si="4"/>
        <v>drewno</v>
      </c>
      <c r="H64" t="str">
        <f t="shared" si="5"/>
        <v>GAZ</v>
      </c>
      <c r="I64">
        <f t="shared" si="6"/>
        <v>0</v>
      </c>
      <c r="Z64">
        <f>IF(E64-D64=300,1,0)</f>
        <v>0</v>
      </c>
      <c r="AB64">
        <v>63</v>
      </c>
      <c r="AC64">
        <f>F64</f>
        <v>316</v>
      </c>
    </row>
    <row r="65" spans="1:29" x14ac:dyDescent="0.25">
      <c r="A65" s="1">
        <v>42325</v>
      </c>
      <c r="B65">
        <f t="shared" si="0"/>
        <v>2</v>
      </c>
      <c r="C65">
        <f t="shared" si="7"/>
        <v>316</v>
      </c>
      <c r="D65">
        <f t="shared" si="1"/>
        <v>316</v>
      </c>
      <c r="E65">
        <f t="shared" si="2"/>
        <v>316</v>
      </c>
      <c r="F65">
        <f t="shared" si="3"/>
        <v>290</v>
      </c>
      <c r="G65" t="str">
        <f t="shared" si="4"/>
        <v>drewno</v>
      </c>
      <c r="H65" t="str">
        <f t="shared" si="5"/>
        <v>GAZ</v>
      </c>
      <c r="I65">
        <f t="shared" si="6"/>
        <v>0</v>
      </c>
      <c r="Z65">
        <f>IF(E65-D65=300,1,0)</f>
        <v>0</v>
      </c>
      <c r="AB65">
        <v>64</v>
      </c>
      <c r="AC65">
        <f>F65</f>
        <v>290</v>
      </c>
    </row>
    <row r="66" spans="1:29" x14ac:dyDescent="0.25">
      <c r="A66" s="1">
        <v>42326</v>
      </c>
      <c r="B66">
        <f t="shared" si="0"/>
        <v>3</v>
      </c>
      <c r="C66">
        <f t="shared" si="7"/>
        <v>290</v>
      </c>
      <c r="D66">
        <f t="shared" si="1"/>
        <v>290</v>
      </c>
      <c r="E66">
        <f t="shared" si="2"/>
        <v>290</v>
      </c>
      <c r="F66">
        <f t="shared" si="3"/>
        <v>264</v>
      </c>
      <c r="G66" t="str">
        <f t="shared" si="4"/>
        <v>drewno</v>
      </c>
      <c r="H66" t="str">
        <f t="shared" si="5"/>
        <v>GAZ</v>
      </c>
      <c r="I66">
        <f t="shared" si="6"/>
        <v>0</v>
      </c>
      <c r="Z66">
        <f>IF(E66-D66=300,1,0)</f>
        <v>0</v>
      </c>
      <c r="AB66">
        <v>65</v>
      </c>
      <c r="AC66">
        <f>F66</f>
        <v>264</v>
      </c>
    </row>
    <row r="67" spans="1:29" x14ac:dyDescent="0.25">
      <c r="A67" s="1">
        <v>42327</v>
      </c>
      <c r="B67">
        <f t="shared" ref="B67:B130" si="8">WEEKDAY(A67,2)</f>
        <v>4</v>
      </c>
      <c r="C67">
        <f t="shared" si="7"/>
        <v>264</v>
      </c>
      <c r="D67">
        <f t="shared" ref="D67:D130" si="9">IF(AND(OR(B67=6,B67=7),C67&gt;25),C67-26,C67)</f>
        <v>264</v>
      </c>
      <c r="E67">
        <f t="shared" ref="E67:E130" si="10">IF(AND(C67&lt;100,B67=5),C67+$O$12,D67)</f>
        <v>264</v>
      </c>
      <c r="F67">
        <f t="shared" ref="F67:F130" si="11">IF(E67&gt;25,E67-26,E67)</f>
        <v>238</v>
      </c>
      <c r="G67" t="str">
        <f t="shared" ref="G67:G130" si="12">IF(E67&gt;25,"drewno","gaz")</f>
        <v>drewno</v>
      </c>
      <c r="H67" t="str">
        <f t="shared" ref="H67:H130" si="13">IF(AND(OR(B67=6,B67=7),C67&gt;25),"DREWNO","GAZ")</f>
        <v>GAZ</v>
      </c>
      <c r="I67">
        <f t="shared" ref="I67:I130" si="14">IF(OR(B67=6,B67=7),H67,0)</f>
        <v>0</v>
      </c>
      <c r="Z67">
        <f>IF(E67-D67=300,1,0)</f>
        <v>0</v>
      </c>
      <c r="AB67">
        <v>66</v>
      </c>
      <c r="AC67">
        <f>F67</f>
        <v>238</v>
      </c>
    </row>
    <row r="68" spans="1:29" x14ac:dyDescent="0.25">
      <c r="A68" s="1">
        <v>42328</v>
      </c>
      <c r="B68">
        <f t="shared" si="8"/>
        <v>5</v>
      </c>
      <c r="C68">
        <f t="shared" ref="C68:C131" si="15">F67</f>
        <v>238</v>
      </c>
      <c r="D68">
        <f t="shared" si="9"/>
        <v>238</v>
      </c>
      <c r="E68">
        <f t="shared" si="10"/>
        <v>238</v>
      </c>
      <c r="F68">
        <f t="shared" si="11"/>
        <v>212</v>
      </c>
      <c r="G68" t="str">
        <f t="shared" si="12"/>
        <v>drewno</v>
      </c>
      <c r="H68" t="str">
        <f t="shared" si="13"/>
        <v>GAZ</v>
      </c>
      <c r="I68">
        <f t="shared" si="14"/>
        <v>0</v>
      </c>
      <c r="Z68">
        <f>IF(E68-D68=300,1,0)</f>
        <v>0</v>
      </c>
      <c r="AB68">
        <v>67</v>
      </c>
      <c r="AC68">
        <f>F68</f>
        <v>212</v>
      </c>
    </row>
    <row r="69" spans="1:29" x14ac:dyDescent="0.25">
      <c r="A69" s="1">
        <v>42329</v>
      </c>
      <c r="B69">
        <f t="shared" si="8"/>
        <v>6</v>
      </c>
      <c r="C69">
        <f t="shared" si="15"/>
        <v>212</v>
      </c>
      <c r="D69">
        <f t="shared" si="9"/>
        <v>186</v>
      </c>
      <c r="E69">
        <f t="shared" si="10"/>
        <v>186</v>
      </c>
      <c r="F69">
        <f t="shared" si="11"/>
        <v>160</v>
      </c>
      <c r="G69" t="str">
        <f t="shared" si="12"/>
        <v>drewno</v>
      </c>
      <c r="H69" t="str">
        <f t="shared" si="13"/>
        <v>DREWNO</v>
      </c>
      <c r="I69" t="str">
        <f t="shared" si="14"/>
        <v>DREWNO</v>
      </c>
      <c r="Z69">
        <f>IF(E69-D69=300,1,0)</f>
        <v>0</v>
      </c>
      <c r="AB69">
        <v>68</v>
      </c>
      <c r="AC69">
        <f>F69</f>
        <v>160</v>
      </c>
    </row>
    <row r="70" spans="1:29" x14ac:dyDescent="0.25">
      <c r="A70" s="1">
        <v>42330</v>
      </c>
      <c r="B70">
        <f t="shared" si="8"/>
        <v>7</v>
      </c>
      <c r="C70">
        <f t="shared" si="15"/>
        <v>160</v>
      </c>
      <c r="D70">
        <f t="shared" si="9"/>
        <v>134</v>
      </c>
      <c r="E70">
        <f t="shared" si="10"/>
        <v>134</v>
      </c>
      <c r="F70">
        <f t="shared" si="11"/>
        <v>108</v>
      </c>
      <c r="G70" t="str">
        <f t="shared" si="12"/>
        <v>drewno</v>
      </c>
      <c r="H70" t="str">
        <f t="shared" si="13"/>
        <v>DREWNO</v>
      </c>
      <c r="I70" t="str">
        <f t="shared" si="14"/>
        <v>DREWNO</v>
      </c>
      <c r="Z70">
        <f>IF(E70-D70=300,1,0)</f>
        <v>0</v>
      </c>
      <c r="AB70">
        <v>69</v>
      </c>
      <c r="AC70">
        <f>F70</f>
        <v>108</v>
      </c>
    </row>
    <row r="71" spans="1:29" x14ac:dyDescent="0.25">
      <c r="A71" s="1">
        <v>42331</v>
      </c>
      <c r="B71">
        <f t="shared" si="8"/>
        <v>1</v>
      </c>
      <c r="C71">
        <f t="shared" si="15"/>
        <v>108</v>
      </c>
      <c r="D71">
        <f t="shared" si="9"/>
        <v>108</v>
      </c>
      <c r="E71">
        <f t="shared" si="10"/>
        <v>108</v>
      </c>
      <c r="F71">
        <f t="shared" si="11"/>
        <v>82</v>
      </c>
      <c r="G71" t="str">
        <f t="shared" si="12"/>
        <v>drewno</v>
      </c>
      <c r="H71" t="str">
        <f t="shared" si="13"/>
        <v>GAZ</v>
      </c>
      <c r="I71">
        <f t="shared" si="14"/>
        <v>0</v>
      </c>
      <c r="Z71">
        <f>IF(E71-D71=300,1,0)</f>
        <v>0</v>
      </c>
      <c r="AB71">
        <v>70</v>
      </c>
      <c r="AC71">
        <f>F71</f>
        <v>82</v>
      </c>
    </row>
    <row r="72" spans="1:29" x14ac:dyDescent="0.25">
      <c r="A72" s="1">
        <v>42332</v>
      </c>
      <c r="B72">
        <f t="shared" si="8"/>
        <v>2</v>
      </c>
      <c r="C72">
        <f t="shared" si="15"/>
        <v>82</v>
      </c>
      <c r="D72">
        <f t="shared" si="9"/>
        <v>82</v>
      </c>
      <c r="E72">
        <f t="shared" si="10"/>
        <v>82</v>
      </c>
      <c r="F72">
        <f t="shared" si="11"/>
        <v>56</v>
      </c>
      <c r="G72" t="str">
        <f t="shared" si="12"/>
        <v>drewno</v>
      </c>
      <c r="H72" t="str">
        <f t="shared" si="13"/>
        <v>GAZ</v>
      </c>
      <c r="I72">
        <f t="shared" si="14"/>
        <v>0</v>
      </c>
      <c r="Z72">
        <f>IF(E72-D72=300,1,0)</f>
        <v>0</v>
      </c>
      <c r="AB72">
        <v>71</v>
      </c>
      <c r="AC72">
        <f>F72</f>
        <v>56</v>
      </c>
    </row>
    <row r="73" spans="1:29" x14ac:dyDescent="0.25">
      <c r="A73" s="1">
        <v>42333</v>
      </c>
      <c r="B73">
        <f t="shared" si="8"/>
        <v>3</v>
      </c>
      <c r="C73">
        <f t="shared" si="15"/>
        <v>56</v>
      </c>
      <c r="D73">
        <f t="shared" si="9"/>
        <v>56</v>
      </c>
      <c r="E73">
        <f t="shared" si="10"/>
        <v>56</v>
      </c>
      <c r="F73">
        <f t="shared" si="11"/>
        <v>30</v>
      </c>
      <c r="G73" t="str">
        <f t="shared" si="12"/>
        <v>drewno</v>
      </c>
      <c r="H73" t="str">
        <f t="shared" si="13"/>
        <v>GAZ</v>
      </c>
      <c r="I73">
        <f t="shared" si="14"/>
        <v>0</v>
      </c>
      <c r="Z73">
        <f>IF(E73-D73=300,1,0)</f>
        <v>0</v>
      </c>
      <c r="AB73">
        <v>72</v>
      </c>
      <c r="AC73">
        <f>F73</f>
        <v>30</v>
      </c>
    </row>
    <row r="74" spans="1:29" x14ac:dyDescent="0.25">
      <c r="A74" s="1">
        <v>42334</v>
      </c>
      <c r="B74">
        <f t="shared" si="8"/>
        <v>4</v>
      </c>
      <c r="C74">
        <f t="shared" si="15"/>
        <v>30</v>
      </c>
      <c r="D74">
        <f t="shared" si="9"/>
        <v>30</v>
      </c>
      <c r="E74">
        <f t="shared" si="10"/>
        <v>30</v>
      </c>
      <c r="F74">
        <f t="shared" si="11"/>
        <v>4</v>
      </c>
      <c r="G74" t="str">
        <f t="shared" si="12"/>
        <v>drewno</v>
      </c>
      <c r="H74" t="str">
        <f t="shared" si="13"/>
        <v>GAZ</v>
      </c>
      <c r="I74">
        <f t="shared" si="14"/>
        <v>0</v>
      </c>
      <c r="Z74">
        <f>IF(E74-D74=300,1,0)</f>
        <v>0</v>
      </c>
      <c r="AB74">
        <v>73</v>
      </c>
      <c r="AC74">
        <f>F74</f>
        <v>4</v>
      </c>
    </row>
    <row r="75" spans="1:29" x14ac:dyDescent="0.25">
      <c r="A75" s="1">
        <v>42335</v>
      </c>
      <c r="B75">
        <f t="shared" si="8"/>
        <v>5</v>
      </c>
      <c r="C75">
        <f t="shared" si="15"/>
        <v>4</v>
      </c>
      <c r="D75">
        <f t="shared" si="9"/>
        <v>4</v>
      </c>
      <c r="E75">
        <f t="shared" si="10"/>
        <v>472</v>
      </c>
      <c r="F75">
        <f t="shared" si="11"/>
        <v>446</v>
      </c>
      <c r="G75" t="str">
        <f t="shared" si="12"/>
        <v>drewno</v>
      </c>
      <c r="H75" t="str">
        <f t="shared" si="13"/>
        <v>GAZ</v>
      </c>
      <c r="I75">
        <f t="shared" si="14"/>
        <v>0</v>
      </c>
      <c r="Z75">
        <f>IF(E75-D75=300,1,0)</f>
        <v>0</v>
      </c>
      <c r="AB75">
        <v>74</v>
      </c>
      <c r="AC75">
        <f>F75</f>
        <v>446</v>
      </c>
    </row>
    <row r="76" spans="1:29" x14ac:dyDescent="0.25">
      <c r="A76" s="1">
        <v>42336</v>
      </c>
      <c r="B76">
        <f t="shared" si="8"/>
        <v>6</v>
      </c>
      <c r="C76">
        <f t="shared" si="15"/>
        <v>446</v>
      </c>
      <c r="D76">
        <f t="shared" si="9"/>
        <v>420</v>
      </c>
      <c r="E76">
        <f t="shared" si="10"/>
        <v>420</v>
      </c>
      <c r="F76">
        <f t="shared" si="11"/>
        <v>394</v>
      </c>
      <c r="G76" t="str">
        <f t="shared" si="12"/>
        <v>drewno</v>
      </c>
      <c r="H76" t="str">
        <f t="shared" si="13"/>
        <v>DREWNO</v>
      </c>
      <c r="I76" t="str">
        <f t="shared" si="14"/>
        <v>DREWNO</v>
      </c>
      <c r="Z76">
        <f>IF(E76-D76=300,1,0)</f>
        <v>0</v>
      </c>
      <c r="AB76">
        <v>75</v>
      </c>
      <c r="AC76">
        <f>F76</f>
        <v>394</v>
      </c>
    </row>
    <row r="77" spans="1:29" x14ac:dyDescent="0.25">
      <c r="A77" s="1">
        <v>42337</v>
      </c>
      <c r="B77">
        <f t="shared" si="8"/>
        <v>7</v>
      </c>
      <c r="C77">
        <f t="shared" si="15"/>
        <v>394</v>
      </c>
      <c r="D77">
        <f t="shared" si="9"/>
        <v>368</v>
      </c>
      <c r="E77">
        <f t="shared" si="10"/>
        <v>368</v>
      </c>
      <c r="F77">
        <f t="shared" si="11"/>
        <v>342</v>
      </c>
      <c r="G77" t="str">
        <f t="shared" si="12"/>
        <v>drewno</v>
      </c>
      <c r="H77" t="str">
        <f t="shared" si="13"/>
        <v>DREWNO</v>
      </c>
      <c r="I77" t="str">
        <f t="shared" si="14"/>
        <v>DREWNO</v>
      </c>
      <c r="Z77">
        <f>IF(E77-D77=300,1,0)</f>
        <v>0</v>
      </c>
      <c r="AB77">
        <v>76</v>
      </c>
      <c r="AC77">
        <f>F77</f>
        <v>342</v>
      </c>
    </row>
    <row r="78" spans="1:29" x14ac:dyDescent="0.25">
      <c r="A78" s="1">
        <v>42338</v>
      </c>
      <c r="B78">
        <f t="shared" si="8"/>
        <v>1</v>
      </c>
      <c r="C78">
        <f t="shared" si="15"/>
        <v>342</v>
      </c>
      <c r="D78">
        <f t="shared" si="9"/>
        <v>342</v>
      </c>
      <c r="E78">
        <f t="shared" si="10"/>
        <v>342</v>
      </c>
      <c r="F78">
        <f t="shared" si="11"/>
        <v>316</v>
      </c>
      <c r="G78" t="str">
        <f t="shared" si="12"/>
        <v>drewno</v>
      </c>
      <c r="H78" t="str">
        <f t="shared" si="13"/>
        <v>GAZ</v>
      </c>
      <c r="I78">
        <f t="shared" si="14"/>
        <v>0</v>
      </c>
      <c r="Z78">
        <f>IF(E78-D78=300,1,0)</f>
        <v>0</v>
      </c>
      <c r="AB78">
        <v>77</v>
      </c>
      <c r="AC78">
        <f>F78</f>
        <v>316</v>
      </c>
    </row>
    <row r="79" spans="1:29" x14ac:dyDescent="0.25">
      <c r="A79" s="1">
        <v>42339</v>
      </c>
      <c r="B79">
        <f t="shared" si="8"/>
        <v>2</v>
      </c>
      <c r="C79">
        <f t="shared" si="15"/>
        <v>316</v>
      </c>
      <c r="D79">
        <f t="shared" si="9"/>
        <v>316</v>
      </c>
      <c r="E79">
        <f t="shared" si="10"/>
        <v>316</v>
      </c>
      <c r="F79">
        <f t="shared" si="11"/>
        <v>290</v>
      </c>
      <c r="G79" t="str">
        <f t="shared" si="12"/>
        <v>drewno</v>
      </c>
      <c r="H79" t="str">
        <f t="shared" si="13"/>
        <v>GAZ</v>
      </c>
      <c r="I79">
        <f t="shared" si="14"/>
        <v>0</v>
      </c>
      <c r="Z79">
        <f>IF(E79-D79=300,1,0)</f>
        <v>0</v>
      </c>
      <c r="AB79">
        <v>78</v>
      </c>
      <c r="AC79">
        <f>F79</f>
        <v>290</v>
      </c>
    </row>
    <row r="80" spans="1:29" x14ac:dyDescent="0.25">
      <c r="A80" s="1">
        <v>42340</v>
      </c>
      <c r="B80">
        <f t="shared" si="8"/>
        <v>3</v>
      </c>
      <c r="C80">
        <f t="shared" si="15"/>
        <v>290</v>
      </c>
      <c r="D80">
        <f t="shared" si="9"/>
        <v>290</v>
      </c>
      <c r="E80">
        <f t="shared" si="10"/>
        <v>290</v>
      </c>
      <c r="F80">
        <f t="shared" si="11"/>
        <v>264</v>
      </c>
      <c r="G80" t="str">
        <f t="shared" si="12"/>
        <v>drewno</v>
      </c>
      <c r="H80" t="str">
        <f t="shared" si="13"/>
        <v>GAZ</v>
      </c>
      <c r="I80">
        <f t="shared" si="14"/>
        <v>0</v>
      </c>
      <c r="Z80">
        <f>IF(E80-D80=300,1,0)</f>
        <v>0</v>
      </c>
      <c r="AB80">
        <v>79</v>
      </c>
      <c r="AC80">
        <f>F80</f>
        <v>264</v>
      </c>
    </row>
    <row r="81" spans="1:29" x14ac:dyDescent="0.25">
      <c r="A81" s="1">
        <v>42341</v>
      </c>
      <c r="B81">
        <f t="shared" si="8"/>
        <v>4</v>
      </c>
      <c r="C81">
        <f t="shared" si="15"/>
        <v>264</v>
      </c>
      <c r="D81">
        <f t="shared" si="9"/>
        <v>264</v>
      </c>
      <c r="E81">
        <f t="shared" si="10"/>
        <v>264</v>
      </c>
      <c r="F81">
        <f t="shared" si="11"/>
        <v>238</v>
      </c>
      <c r="G81" t="str">
        <f t="shared" si="12"/>
        <v>drewno</v>
      </c>
      <c r="H81" t="str">
        <f t="shared" si="13"/>
        <v>GAZ</v>
      </c>
      <c r="I81">
        <f t="shared" si="14"/>
        <v>0</v>
      </c>
      <c r="Z81">
        <f>IF(E81-D81=300,1,0)</f>
        <v>0</v>
      </c>
      <c r="AB81">
        <v>80</v>
      </c>
      <c r="AC81">
        <f>F81</f>
        <v>238</v>
      </c>
    </row>
    <row r="82" spans="1:29" x14ac:dyDescent="0.25">
      <c r="A82" s="1">
        <v>42342</v>
      </c>
      <c r="B82">
        <f t="shared" si="8"/>
        <v>5</v>
      </c>
      <c r="C82">
        <f t="shared" si="15"/>
        <v>238</v>
      </c>
      <c r="D82">
        <f t="shared" si="9"/>
        <v>238</v>
      </c>
      <c r="E82">
        <f t="shared" si="10"/>
        <v>238</v>
      </c>
      <c r="F82">
        <f t="shared" si="11"/>
        <v>212</v>
      </c>
      <c r="G82" t="str">
        <f t="shared" si="12"/>
        <v>drewno</v>
      </c>
      <c r="H82" t="str">
        <f t="shared" si="13"/>
        <v>GAZ</v>
      </c>
      <c r="I82">
        <f t="shared" si="14"/>
        <v>0</v>
      </c>
      <c r="Z82">
        <f>IF(E82-D82=300,1,0)</f>
        <v>0</v>
      </c>
      <c r="AB82">
        <v>81</v>
      </c>
      <c r="AC82">
        <f>F82</f>
        <v>212</v>
      </c>
    </row>
    <row r="83" spans="1:29" x14ac:dyDescent="0.25">
      <c r="A83" s="1">
        <v>42343</v>
      </c>
      <c r="B83">
        <f t="shared" si="8"/>
        <v>6</v>
      </c>
      <c r="C83">
        <f t="shared" si="15"/>
        <v>212</v>
      </c>
      <c r="D83">
        <f t="shared" si="9"/>
        <v>186</v>
      </c>
      <c r="E83">
        <f t="shared" si="10"/>
        <v>186</v>
      </c>
      <c r="F83">
        <f t="shared" si="11"/>
        <v>160</v>
      </c>
      <c r="G83" t="str">
        <f t="shared" si="12"/>
        <v>drewno</v>
      </c>
      <c r="H83" t="str">
        <f t="shared" si="13"/>
        <v>DREWNO</v>
      </c>
      <c r="I83" t="str">
        <f t="shared" si="14"/>
        <v>DREWNO</v>
      </c>
      <c r="Z83">
        <f>IF(E83-D83=300,1,0)</f>
        <v>0</v>
      </c>
      <c r="AB83">
        <v>82</v>
      </c>
      <c r="AC83">
        <f>F83</f>
        <v>160</v>
      </c>
    </row>
    <row r="84" spans="1:29" x14ac:dyDescent="0.25">
      <c r="A84" s="1">
        <v>42344</v>
      </c>
      <c r="B84">
        <f t="shared" si="8"/>
        <v>7</v>
      </c>
      <c r="C84">
        <f t="shared" si="15"/>
        <v>160</v>
      </c>
      <c r="D84">
        <f t="shared" si="9"/>
        <v>134</v>
      </c>
      <c r="E84">
        <f t="shared" si="10"/>
        <v>134</v>
      </c>
      <c r="F84">
        <f t="shared" si="11"/>
        <v>108</v>
      </c>
      <c r="G84" t="str">
        <f t="shared" si="12"/>
        <v>drewno</v>
      </c>
      <c r="H84" t="str">
        <f t="shared" si="13"/>
        <v>DREWNO</v>
      </c>
      <c r="I84" t="str">
        <f t="shared" si="14"/>
        <v>DREWNO</v>
      </c>
      <c r="Z84">
        <f>IF(E84-D84=300,1,0)</f>
        <v>0</v>
      </c>
      <c r="AB84">
        <v>83</v>
      </c>
      <c r="AC84">
        <f>F84</f>
        <v>108</v>
      </c>
    </row>
    <row r="85" spans="1:29" x14ac:dyDescent="0.25">
      <c r="A85" s="1">
        <v>42345</v>
      </c>
      <c r="B85">
        <f t="shared" si="8"/>
        <v>1</v>
      </c>
      <c r="C85">
        <f t="shared" si="15"/>
        <v>108</v>
      </c>
      <c r="D85">
        <f t="shared" si="9"/>
        <v>108</v>
      </c>
      <c r="E85">
        <f t="shared" si="10"/>
        <v>108</v>
      </c>
      <c r="F85">
        <f t="shared" si="11"/>
        <v>82</v>
      </c>
      <c r="G85" t="str">
        <f t="shared" si="12"/>
        <v>drewno</v>
      </c>
      <c r="H85" t="str">
        <f t="shared" si="13"/>
        <v>GAZ</v>
      </c>
      <c r="I85">
        <f t="shared" si="14"/>
        <v>0</v>
      </c>
      <c r="Z85">
        <f>IF(E85-D85=300,1,0)</f>
        <v>0</v>
      </c>
      <c r="AB85">
        <v>84</v>
      </c>
      <c r="AC85">
        <f>F85</f>
        <v>82</v>
      </c>
    </row>
    <row r="86" spans="1:29" x14ac:dyDescent="0.25">
      <c r="A86" s="1">
        <v>42346</v>
      </c>
      <c r="B86">
        <f t="shared" si="8"/>
        <v>2</v>
      </c>
      <c r="C86">
        <f t="shared" si="15"/>
        <v>82</v>
      </c>
      <c r="D86">
        <f t="shared" si="9"/>
        <v>82</v>
      </c>
      <c r="E86">
        <f t="shared" si="10"/>
        <v>82</v>
      </c>
      <c r="F86">
        <f t="shared" si="11"/>
        <v>56</v>
      </c>
      <c r="G86" t="str">
        <f t="shared" si="12"/>
        <v>drewno</v>
      </c>
      <c r="H86" t="str">
        <f t="shared" si="13"/>
        <v>GAZ</v>
      </c>
      <c r="I86">
        <f t="shared" si="14"/>
        <v>0</v>
      </c>
      <c r="Z86">
        <f>IF(E86-D86=300,1,0)</f>
        <v>0</v>
      </c>
      <c r="AB86">
        <v>85</v>
      </c>
      <c r="AC86">
        <f>F86</f>
        <v>56</v>
      </c>
    </row>
    <row r="87" spans="1:29" x14ac:dyDescent="0.25">
      <c r="A87" s="1">
        <v>42347</v>
      </c>
      <c r="B87">
        <f t="shared" si="8"/>
        <v>3</v>
      </c>
      <c r="C87">
        <f t="shared" si="15"/>
        <v>56</v>
      </c>
      <c r="D87">
        <f t="shared" si="9"/>
        <v>56</v>
      </c>
      <c r="E87">
        <f t="shared" si="10"/>
        <v>56</v>
      </c>
      <c r="F87">
        <f t="shared" si="11"/>
        <v>30</v>
      </c>
      <c r="G87" t="str">
        <f t="shared" si="12"/>
        <v>drewno</v>
      </c>
      <c r="H87" t="str">
        <f t="shared" si="13"/>
        <v>GAZ</v>
      </c>
      <c r="I87">
        <f t="shared" si="14"/>
        <v>0</v>
      </c>
      <c r="Z87">
        <f>IF(E87-D87=300,1,0)</f>
        <v>0</v>
      </c>
      <c r="AB87">
        <v>86</v>
      </c>
      <c r="AC87">
        <f>F87</f>
        <v>30</v>
      </c>
    </row>
    <row r="88" spans="1:29" x14ac:dyDescent="0.25">
      <c r="A88" s="1">
        <v>42348</v>
      </c>
      <c r="B88">
        <f t="shared" si="8"/>
        <v>4</v>
      </c>
      <c r="C88">
        <f t="shared" si="15"/>
        <v>30</v>
      </c>
      <c r="D88">
        <f t="shared" si="9"/>
        <v>30</v>
      </c>
      <c r="E88">
        <f t="shared" si="10"/>
        <v>30</v>
      </c>
      <c r="F88">
        <f t="shared" si="11"/>
        <v>4</v>
      </c>
      <c r="G88" t="str">
        <f t="shared" si="12"/>
        <v>drewno</v>
      </c>
      <c r="H88" t="str">
        <f t="shared" si="13"/>
        <v>GAZ</v>
      </c>
      <c r="I88">
        <f t="shared" si="14"/>
        <v>0</v>
      </c>
      <c r="Z88">
        <f>IF(E88-D88=300,1,0)</f>
        <v>0</v>
      </c>
      <c r="AB88">
        <v>87</v>
      </c>
      <c r="AC88">
        <f>F88</f>
        <v>4</v>
      </c>
    </row>
    <row r="89" spans="1:29" x14ac:dyDescent="0.25">
      <c r="A89" s="1">
        <v>42349</v>
      </c>
      <c r="B89">
        <f t="shared" si="8"/>
        <v>5</v>
      </c>
      <c r="C89">
        <f t="shared" si="15"/>
        <v>4</v>
      </c>
      <c r="D89">
        <f t="shared" si="9"/>
        <v>4</v>
      </c>
      <c r="E89">
        <f t="shared" si="10"/>
        <v>472</v>
      </c>
      <c r="F89">
        <f t="shared" si="11"/>
        <v>446</v>
      </c>
      <c r="G89" t="str">
        <f t="shared" si="12"/>
        <v>drewno</v>
      </c>
      <c r="H89" t="str">
        <f t="shared" si="13"/>
        <v>GAZ</v>
      </c>
      <c r="I89">
        <f t="shared" si="14"/>
        <v>0</v>
      </c>
      <c r="Z89">
        <f>IF(E89-D89=300,1,0)</f>
        <v>0</v>
      </c>
      <c r="AB89">
        <v>88</v>
      </c>
      <c r="AC89">
        <f>F89</f>
        <v>446</v>
      </c>
    </row>
    <row r="90" spans="1:29" x14ac:dyDescent="0.25">
      <c r="A90" s="1">
        <v>42350</v>
      </c>
      <c r="B90">
        <f t="shared" si="8"/>
        <v>6</v>
      </c>
      <c r="C90">
        <f t="shared" si="15"/>
        <v>446</v>
      </c>
      <c r="D90">
        <f t="shared" si="9"/>
        <v>420</v>
      </c>
      <c r="E90">
        <f t="shared" si="10"/>
        <v>420</v>
      </c>
      <c r="F90">
        <f t="shared" si="11"/>
        <v>394</v>
      </c>
      <c r="G90" t="str">
        <f t="shared" si="12"/>
        <v>drewno</v>
      </c>
      <c r="H90" t="str">
        <f t="shared" si="13"/>
        <v>DREWNO</v>
      </c>
      <c r="I90" t="str">
        <f t="shared" si="14"/>
        <v>DREWNO</v>
      </c>
      <c r="Z90">
        <f>IF(E90-D90=300,1,0)</f>
        <v>0</v>
      </c>
      <c r="AB90">
        <v>89</v>
      </c>
      <c r="AC90">
        <f>F90</f>
        <v>394</v>
      </c>
    </row>
    <row r="91" spans="1:29" x14ac:dyDescent="0.25">
      <c r="A91" s="1">
        <v>42351</v>
      </c>
      <c r="B91">
        <f t="shared" si="8"/>
        <v>7</v>
      </c>
      <c r="C91">
        <f t="shared" si="15"/>
        <v>394</v>
      </c>
      <c r="D91">
        <f t="shared" si="9"/>
        <v>368</v>
      </c>
      <c r="E91">
        <f t="shared" si="10"/>
        <v>368</v>
      </c>
      <c r="F91">
        <f t="shared" si="11"/>
        <v>342</v>
      </c>
      <c r="G91" t="str">
        <f t="shared" si="12"/>
        <v>drewno</v>
      </c>
      <c r="H91" t="str">
        <f t="shared" si="13"/>
        <v>DREWNO</v>
      </c>
      <c r="I91" t="str">
        <f t="shared" si="14"/>
        <v>DREWNO</v>
      </c>
      <c r="Z91">
        <f>IF(E91-D91=300,1,0)</f>
        <v>0</v>
      </c>
      <c r="AB91">
        <v>90</v>
      </c>
      <c r="AC91">
        <f>F91</f>
        <v>342</v>
      </c>
    </row>
    <row r="92" spans="1:29" x14ac:dyDescent="0.25">
      <c r="A92" s="1">
        <v>42352</v>
      </c>
      <c r="B92">
        <f t="shared" si="8"/>
        <v>1</v>
      </c>
      <c r="C92">
        <f t="shared" si="15"/>
        <v>342</v>
      </c>
      <c r="D92">
        <f t="shared" si="9"/>
        <v>342</v>
      </c>
      <c r="E92">
        <f t="shared" si="10"/>
        <v>342</v>
      </c>
      <c r="F92">
        <f t="shared" si="11"/>
        <v>316</v>
      </c>
      <c r="G92" t="str">
        <f t="shared" si="12"/>
        <v>drewno</v>
      </c>
      <c r="H92" t="str">
        <f t="shared" si="13"/>
        <v>GAZ</v>
      </c>
      <c r="I92">
        <f t="shared" si="14"/>
        <v>0</v>
      </c>
      <c r="Z92">
        <f>IF(E92-D92=300,1,0)</f>
        <v>0</v>
      </c>
      <c r="AB92">
        <v>91</v>
      </c>
      <c r="AC92">
        <f>F92</f>
        <v>316</v>
      </c>
    </row>
    <row r="93" spans="1:29" x14ac:dyDescent="0.25">
      <c r="A93" s="1">
        <v>42353</v>
      </c>
      <c r="B93">
        <f t="shared" si="8"/>
        <v>2</v>
      </c>
      <c r="C93">
        <f t="shared" si="15"/>
        <v>316</v>
      </c>
      <c r="D93">
        <f t="shared" si="9"/>
        <v>316</v>
      </c>
      <c r="E93">
        <f t="shared" si="10"/>
        <v>316</v>
      </c>
      <c r="F93">
        <f t="shared" si="11"/>
        <v>290</v>
      </c>
      <c r="G93" t="str">
        <f t="shared" si="12"/>
        <v>drewno</v>
      </c>
      <c r="H93" t="str">
        <f t="shared" si="13"/>
        <v>GAZ</v>
      </c>
      <c r="I93">
        <f t="shared" si="14"/>
        <v>0</v>
      </c>
      <c r="Z93">
        <f>IF(E93-D93=300,1,0)</f>
        <v>0</v>
      </c>
      <c r="AB93">
        <v>92</v>
      </c>
      <c r="AC93">
        <f>F93</f>
        <v>290</v>
      </c>
    </row>
    <row r="94" spans="1:29" x14ac:dyDescent="0.25">
      <c r="A94" s="1">
        <v>42354</v>
      </c>
      <c r="B94">
        <f t="shared" si="8"/>
        <v>3</v>
      </c>
      <c r="C94">
        <f t="shared" si="15"/>
        <v>290</v>
      </c>
      <c r="D94">
        <f t="shared" si="9"/>
        <v>290</v>
      </c>
      <c r="E94">
        <f t="shared" si="10"/>
        <v>290</v>
      </c>
      <c r="F94">
        <f t="shared" si="11"/>
        <v>264</v>
      </c>
      <c r="G94" t="str">
        <f t="shared" si="12"/>
        <v>drewno</v>
      </c>
      <c r="H94" t="str">
        <f t="shared" si="13"/>
        <v>GAZ</v>
      </c>
      <c r="I94">
        <f t="shared" si="14"/>
        <v>0</v>
      </c>
      <c r="Z94">
        <f>IF(E94-D94=300,1,0)</f>
        <v>0</v>
      </c>
      <c r="AB94">
        <v>93</v>
      </c>
      <c r="AC94">
        <f>F94</f>
        <v>264</v>
      </c>
    </row>
    <row r="95" spans="1:29" x14ac:dyDescent="0.25">
      <c r="A95" s="1">
        <v>42355</v>
      </c>
      <c r="B95">
        <f t="shared" si="8"/>
        <v>4</v>
      </c>
      <c r="C95">
        <f t="shared" si="15"/>
        <v>264</v>
      </c>
      <c r="D95">
        <f t="shared" si="9"/>
        <v>264</v>
      </c>
      <c r="E95">
        <f t="shared" si="10"/>
        <v>264</v>
      </c>
      <c r="F95">
        <f t="shared" si="11"/>
        <v>238</v>
      </c>
      <c r="G95" t="str">
        <f t="shared" si="12"/>
        <v>drewno</v>
      </c>
      <c r="H95" t="str">
        <f t="shared" si="13"/>
        <v>GAZ</v>
      </c>
      <c r="I95">
        <f t="shared" si="14"/>
        <v>0</v>
      </c>
      <c r="Z95">
        <f>IF(E95-D95=300,1,0)</f>
        <v>0</v>
      </c>
      <c r="AB95">
        <v>94</v>
      </c>
      <c r="AC95">
        <f>F95</f>
        <v>238</v>
      </c>
    </row>
    <row r="96" spans="1:29" x14ac:dyDescent="0.25">
      <c r="A96" s="1">
        <v>42356</v>
      </c>
      <c r="B96">
        <f t="shared" si="8"/>
        <v>5</v>
      </c>
      <c r="C96">
        <f t="shared" si="15"/>
        <v>238</v>
      </c>
      <c r="D96">
        <f t="shared" si="9"/>
        <v>238</v>
      </c>
      <c r="E96">
        <f t="shared" si="10"/>
        <v>238</v>
      </c>
      <c r="F96">
        <f t="shared" si="11"/>
        <v>212</v>
      </c>
      <c r="G96" t="str">
        <f t="shared" si="12"/>
        <v>drewno</v>
      </c>
      <c r="H96" t="str">
        <f t="shared" si="13"/>
        <v>GAZ</v>
      </c>
      <c r="I96">
        <f t="shared" si="14"/>
        <v>0</v>
      </c>
      <c r="Z96">
        <f>IF(E96-D96=300,1,0)</f>
        <v>0</v>
      </c>
      <c r="AB96">
        <v>95</v>
      </c>
      <c r="AC96">
        <f>F96</f>
        <v>212</v>
      </c>
    </row>
    <row r="97" spans="1:29" x14ac:dyDescent="0.25">
      <c r="A97" s="1">
        <v>42357</v>
      </c>
      <c r="B97">
        <f t="shared" si="8"/>
        <v>6</v>
      </c>
      <c r="C97">
        <f t="shared" si="15"/>
        <v>212</v>
      </c>
      <c r="D97">
        <f t="shared" si="9"/>
        <v>186</v>
      </c>
      <c r="E97">
        <f t="shared" si="10"/>
        <v>186</v>
      </c>
      <c r="F97">
        <f t="shared" si="11"/>
        <v>160</v>
      </c>
      <c r="G97" t="str">
        <f t="shared" si="12"/>
        <v>drewno</v>
      </c>
      <c r="H97" t="str">
        <f t="shared" si="13"/>
        <v>DREWNO</v>
      </c>
      <c r="I97" t="str">
        <f t="shared" si="14"/>
        <v>DREWNO</v>
      </c>
      <c r="Z97">
        <f>IF(E97-D97=300,1,0)</f>
        <v>0</v>
      </c>
      <c r="AB97">
        <v>96</v>
      </c>
      <c r="AC97">
        <f>F97</f>
        <v>160</v>
      </c>
    </row>
    <row r="98" spans="1:29" x14ac:dyDescent="0.25">
      <c r="A98" s="1">
        <v>42358</v>
      </c>
      <c r="B98">
        <f t="shared" si="8"/>
        <v>7</v>
      </c>
      <c r="C98">
        <f t="shared" si="15"/>
        <v>160</v>
      </c>
      <c r="D98">
        <f t="shared" si="9"/>
        <v>134</v>
      </c>
      <c r="E98">
        <f t="shared" si="10"/>
        <v>134</v>
      </c>
      <c r="F98">
        <f t="shared" si="11"/>
        <v>108</v>
      </c>
      <c r="G98" t="str">
        <f t="shared" si="12"/>
        <v>drewno</v>
      </c>
      <c r="H98" t="str">
        <f t="shared" si="13"/>
        <v>DREWNO</v>
      </c>
      <c r="I98" t="str">
        <f t="shared" si="14"/>
        <v>DREWNO</v>
      </c>
      <c r="Z98">
        <f>IF(E98-D98=300,1,0)</f>
        <v>0</v>
      </c>
      <c r="AB98">
        <v>97</v>
      </c>
      <c r="AC98">
        <f>F98</f>
        <v>108</v>
      </c>
    </row>
    <row r="99" spans="1:29" x14ac:dyDescent="0.25">
      <c r="A99" s="1">
        <v>42359</v>
      </c>
      <c r="B99">
        <f t="shared" si="8"/>
        <v>1</v>
      </c>
      <c r="C99">
        <f t="shared" si="15"/>
        <v>108</v>
      </c>
      <c r="D99">
        <f t="shared" si="9"/>
        <v>108</v>
      </c>
      <c r="E99">
        <f t="shared" si="10"/>
        <v>108</v>
      </c>
      <c r="F99">
        <f t="shared" si="11"/>
        <v>82</v>
      </c>
      <c r="G99" t="str">
        <f t="shared" si="12"/>
        <v>drewno</v>
      </c>
      <c r="H99" t="str">
        <f t="shared" si="13"/>
        <v>GAZ</v>
      </c>
      <c r="I99">
        <f t="shared" si="14"/>
        <v>0</v>
      </c>
      <c r="Z99">
        <f>IF(E99-D99=300,1,0)</f>
        <v>0</v>
      </c>
      <c r="AB99">
        <v>98</v>
      </c>
      <c r="AC99">
        <f>F99</f>
        <v>82</v>
      </c>
    </row>
    <row r="100" spans="1:29" x14ac:dyDescent="0.25">
      <c r="A100" s="1">
        <v>42360</v>
      </c>
      <c r="B100">
        <f t="shared" si="8"/>
        <v>2</v>
      </c>
      <c r="C100">
        <f t="shared" si="15"/>
        <v>82</v>
      </c>
      <c r="D100">
        <f t="shared" si="9"/>
        <v>82</v>
      </c>
      <c r="E100">
        <f t="shared" si="10"/>
        <v>82</v>
      </c>
      <c r="F100">
        <f t="shared" si="11"/>
        <v>56</v>
      </c>
      <c r="G100" t="str">
        <f t="shared" si="12"/>
        <v>drewno</v>
      </c>
      <c r="H100" t="str">
        <f t="shared" si="13"/>
        <v>GAZ</v>
      </c>
      <c r="I100">
        <f t="shared" si="14"/>
        <v>0</v>
      </c>
      <c r="Z100">
        <f>IF(E100-D100=300,1,0)</f>
        <v>0</v>
      </c>
      <c r="AB100">
        <v>99</v>
      </c>
      <c r="AC100">
        <f>F100</f>
        <v>56</v>
      </c>
    </row>
    <row r="101" spans="1:29" x14ac:dyDescent="0.25">
      <c r="A101" s="1">
        <v>42361</v>
      </c>
      <c r="B101">
        <f t="shared" si="8"/>
        <v>3</v>
      </c>
      <c r="C101">
        <f t="shared" si="15"/>
        <v>56</v>
      </c>
      <c r="D101">
        <f t="shared" si="9"/>
        <v>56</v>
      </c>
      <c r="E101">
        <f t="shared" si="10"/>
        <v>56</v>
      </c>
      <c r="F101">
        <f t="shared" si="11"/>
        <v>30</v>
      </c>
      <c r="G101" t="str">
        <f t="shared" si="12"/>
        <v>drewno</v>
      </c>
      <c r="H101" t="str">
        <f t="shared" si="13"/>
        <v>GAZ</v>
      </c>
      <c r="I101">
        <f t="shared" si="14"/>
        <v>0</v>
      </c>
      <c r="Z101">
        <f>IF(E101-D101=300,1,0)</f>
        <v>0</v>
      </c>
      <c r="AB101">
        <v>100</v>
      </c>
      <c r="AC101">
        <f>F101</f>
        <v>30</v>
      </c>
    </row>
    <row r="102" spans="1:29" x14ac:dyDescent="0.25">
      <c r="A102" s="1">
        <v>42362</v>
      </c>
      <c r="B102">
        <f t="shared" si="8"/>
        <v>4</v>
      </c>
      <c r="C102">
        <f t="shared" si="15"/>
        <v>30</v>
      </c>
      <c r="D102">
        <f t="shared" si="9"/>
        <v>30</v>
      </c>
      <c r="E102">
        <f t="shared" si="10"/>
        <v>30</v>
      </c>
      <c r="F102">
        <f t="shared" si="11"/>
        <v>4</v>
      </c>
      <c r="G102" t="str">
        <f t="shared" si="12"/>
        <v>drewno</v>
      </c>
      <c r="H102" t="str">
        <f t="shared" si="13"/>
        <v>GAZ</v>
      </c>
      <c r="I102">
        <f t="shared" si="14"/>
        <v>0</v>
      </c>
      <c r="Z102">
        <f>IF(E102-D102=300,1,0)</f>
        <v>0</v>
      </c>
      <c r="AB102">
        <v>101</v>
      </c>
      <c r="AC102">
        <f>F102</f>
        <v>4</v>
      </c>
    </row>
    <row r="103" spans="1:29" x14ac:dyDescent="0.25">
      <c r="A103" s="1">
        <v>42363</v>
      </c>
      <c r="B103">
        <f t="shared" si="8"/>
        <v>5</v>
      </c>
      <c r="C103">
        <f t="shared" si="15"/>
        <v>4</v>
      </c>
      <c r="D103">
        <f t="shared" si="9"/>
        <v>4</v>
      </c>
      <c r="E103">
        <f t="shared" si="10"/>
        <v>472</v>
      </c>
      <c r="F103">
        <f t="shared" si="11"/>
        <v>446</v>
      </c>
      <c r="G103" t="str">
        <f t="shared" si="12"/>
        <v>drewno</v>
      </c>
      <c r="H103" t="str">
        <f t="shared" si="13"/>
        <v>GAZ</v>
      </c>
      <c r="I103">
        <f t="shared" si="14"/>
        <v>0</v>
      </c>
      <c r="Z103">
        <f>IF(E103-D103=300,1,0)</f>
        <v>0</v>
      </c>
      <c r="AB103">
        <v>102</v>
      </c>
      <c r="AC103">
        <f>F103</f>
        <v>446</v>
      </c>
    </row>
    <row r="104" spans="1:29" x14ac:dyDescent="0.25">
      <c r="A104" s="1">
        <v>42364</v>
      </c>
      <c r="B104">
        <f t="shared" si="8"/>
        <v>6</v>
      </c>
      <c r="C104">
        <f t="shared" si="15"/>
        <v>446</v>
      </c>
      <c r="D104">
        <f t="shared" si="9"/>
        <v>420</v>
      </c>
      <c r="E104">
        <f t="shared" si="10"/>
        <v>420</v>
      </c>
      <c r="F104">
        <f t="shared" si="11"/>
        <v>394</v>
      </c>
      <c r="G104" t="str">
        <f t="shared" si="12"/>
        <v>drewno</v>
      </c>
      <c r="H104" t="str">
        <f t="shared" si="13"/>
        <v>DREWNO</v>
      </c>
      <c r="I104" t="str">
        <f t="shared" si="14"/>
        <v>DREWNO</v>
      </c>
      <c r="Z104">
        <f>IF(E104-D104=300,1,0)</f>
        <v>0</v>
      </c>
      <c r="AB104">
        <v>103</v>
      </c>
      <c r="AC104">
        <f>F104</f>
        <v>394</v>
      </c>
    </row>
    <row r="105" spans="1:29" x14ac:dyDescent="0.25">
      <c r="A105" s="1">
        <v>42365</v>
      </c>
      <c r="B105">
        <f t="shared" si="8"/>
        <v>7</v>
      </c>
      <c r="C105">
        <f t="shared" si="15"/>
        <v>394</v>
      </c>
      <c r="D105">
        <f t="shared" si="9"/>
        <v>368</v>
      </c>
      <c r="E105">
        <f t="shared" si="10"/>
        <v>368</v>
      </c>
      <c r="F105">
        <f t="shared" si="11"/>
        <v>342</v>
      </c>
      <c r="G105" t="str">
        <f t="shared" si="12"/>
        <v>drewno</v>
      </c>
      <c r="H105" t="str">
        <f t="shared" si="13"/>
        <v>DREWNO</v>
      </c>
      <c r="I105" t="str">
        <f t="shared" si="14"/>
        <v>DREWNO</v>
      </c>
      <c r="Z105">
        <f>IF(E105-D105=300,1,0)</f>
        <v>0</v>
      </c>
      <c r="AB105">
        <v>104</v>
      </c>
      <c r="AC105">
        <f>F105</f>
        <v>342</v>
      </c>
    </row>
    <row r="106" spans="1:29" x14ac:dyDescent="0.25">
      <c r="A106" s="1">
        <v>42366</v>
      </c>
      <c r="B106">
        <f t="shared" si="8"/>
        <v>1</v>
      </c>
      <c r="C106">
        <f t="shared" si="15"/>
        <v>342</v>
      </c>
      <c r="D106">
        <f t="shared" si="9"/>
        <v>342</v>
      </c>
      <c r="E106">
        <f t="shared" si="10"/>
        <v>342</v>
      </c>
      <c r="F106">
        <f t="shared" si="11"/>
        <v>316</v>
      </c>
      <c r="G106" t="str">
        <f t="shared" si="12"/>
        <v>drewno</v>
      </c>
      <c r="H106" t="str">
        <f t="shared" si="13"/>
        <v>GAZ</v>
      </c>
      <c r="I106">
        <f t="shared" si="14"/>
        <v>0</v>
      </c>
      <c r="Z106">
        <f>IF(E106-D106=300,1,0)</f>
        <v>0</v>
      </c>
      <c r="AB106">
        <v>105</v>
      </c>
      <c r="AC106">
        <f>F106</f>
        <v>316</v>
      </c>
    </row>
    <row r="107" spans="1:29" x14ac:dyDescent="0.25">
      <c r="A107" s="1">
        <v>42367</v>
      </c>
      <c r="B107">
        <f t="shared" si="8"/>
        <v>2</v>
      </c>
      <c r="C107">
        <f t="shared" si="15"/>
        <v>316</v>
      </c>
      <c r="D107">
        <f t="shared" si="9"/>
        <v>316</v>
      </c>
      <c r="E107">
        <f t="shared" si="10"/>
        <v>316</v>
      </c>
      <c r="F107">
        <f t="shared" si="11"/>
        <v>290</v>
      </c>
      <c r="G107" t="str">
        <f t="shared" si="12"/>
        <v>drewno</v>
      </c>
      <c r="H107" t="str">
        <f t="shared" si="13"/>
        <v>GAZ</v>
      </c>
      <c r="I107">
        <f t="shared" si="14"/>
        <v>0</v>
      </c>
      <c r="Z107">
        <f>IF(E107-D107=300,1,0)</f>
        <v>0</v>
      </c>
      <c r="AB107">
        <v>106</v>
      </c>
      <c r="AC107">
        <f>F107</f>
        <v>290</v>
      </c>
    </row>
    <row r="108" spans="1:29" x14ac:dyDescent="0.25">
      <c r="A108" s="1">
        <v>42368</v>
      </c>
      <c r="B108">
        <f t="shared" si="8"/>
        <v>3</v>
      </c>
      <c r="C108">
        <f t="shared" si="15"/>
        <v>290</v>
      </c>
      <c r="D108">
        <f t="shared" si="9"/>
        <v>290</v>
      </c>
      <c r="E108">
        <f t="shared" si="10"/>
        <v>290</v>
      </c>
      <c r="F108">
        <f t="shared" si="11"/>
        <v>264</v>
      </c>
      <c r="G108" t="str">
        <f t="shared" si="12"/>
        <v>drewno</v>
      </c>
      <c r="H108" t="str">
        <f t="shared" si="13"/>
        <v>GAZ</v>
      </c>
      <c r="I108">
        <f t="shared" si="14"/>
        <v>0</v>
      </c>
      <c r="Z108">
        <f>IF(E108-D108=300,1,0)</f>
        <v>0</v>
      </c>
      <c r="AB108">
        <v>107</v>
      </c>
      <c r="AC108">
        <f>F108</f>
        <v>264</v>
      </c>
    </row>
    <row r="109" spans="1:29" x14ac:dyDescent="0.25">
      <c r="A109" s="1">
        <v>42369</v>
      </c>
      <c r="B109">
        <f t="shared" si="8"/>
        <v>4</v>
      </c>
      <c r="C109">
        <f t="shared" si="15"/>
        <v>264</v>
      </c>
      <c r="D109">
        <f t="shared" si="9"/>
        <v>264</v>
      </c>
      <c r="E109">
        <f t="shared" si="10"/>
        <v>264</v>
      </c>
      <c r="F109">
        <f t="shared" si="11"/>
        <v>238</v>
      </c>
      <c r="G109" t="str">
        <f t="shared" si="12"/>
        <v>drewno</v>
      </c>
      <c r="H109" t="str">
        <f t="shared" si="13"/>
        <v>GAZ</v>
      </c>
      <c r="I109">
        <f t="shared" si="14"/>
        <v>0</v>
      </c>
      <c r="Z109">
        <f>IF(E109-D109=300,1,0)</f>
        <v>0</v>
      </c>
      <c r="AB109">
        <v>108</v>
      </c>
      <c r="AC109">
        <f>F109</f>
        <v>238</v>
      </c>
    </row>
    <row r="110" spans="1:29" x14ac:dyDescent="0.25">
      <c r="A110" s="1">
        <v>42370</v>
      </c>
      <c r="B110">
        <f t="shared" si="8"/>
        <v>5</v>
      </c>
      <c r="C110">
        <f t="shared" si="15"/>
        <v>238</v>
      </c>
      <c r="D110">
        <f t="shared" si="9"/>
        <v>238</v>
      </c>
      <c r="E110">
        <f t="shared" si="10"/>
        <v>238</v>
      </c>
      <c r="F110">
        <f t="shared" si="11"/>
        <v>212</v>
      </c>
      <c r="G110" t="str">
        <f t="shared" si="12"/>
        <v>drewno</v>
      </c>
      <c r="H110" t="str">
        <f t="shared" si="13"/>
        <v>GAZ</v>
      </c>
      <c r="I110">
        <f t="shared" si="14"/>
        <v>0</v>
      </c>
      <c r="Z110">
        <f>IF(E110-D110=300,1,0)</f>
        <v>0</v>
      </c>
      <c r="AB110">
        <v>109</v>
      </c>
      <c r="AC110">
        <f>F110</f>
        <v>212</v>
      </c>
    </row>
    <row r="111" spans="1:29" x14ac:dyDescent="0.25">
      <c r="A111" s="1">
        <v>42371</v>
      </c>
      <c r="B111">
        <f t="shared" si="8"/>
        <v>6</v>
      </c>
      <c r="C111">
        <f t="shared" si="15"/>
        <v>212</v>
      </c>
      <c r="D111">
        <f t="shared" si="9"/>
        <v>186</v>
      </c>
      <c r="E111">
        <f t="shared" si="10"/>
        <v>186</v>
      </c>
      <c r="F111">
        <f t="shared" si="11"/>
        <v>160</v>
      </c>
      <c r="G111" t="str">
        <f t="shared" si="12"/>
        <v>drewno</v>
      </c>
      <c r="H111" t="str">
        <f t="shared" si="13"/>
        <v>DREWNO</v>
      </c>
      <c r="I111" t="str">
        <f t="shared" si="14"/>
        <v>DREWNO</v>
      </c>
      <c r="Z111">
        <f>IF(E111-D111=300,1,0)</f>
        <v>0</v>
      </c>
      <c r="AB111">
        <v>110</v>
      </c>
      <c r="AC111">
        <f>F111</f>
        <v>160</v>
      </c>
    </row>
    <row r="112" spans="1:29" x14ac:dyDescent="0.25">
      <c r="A112" s="1">
        <v>42372</v>
      </c>
      <c r="B112">
        <f t="shared" si="8"/>
        <v>7</v>
      </c>
      <c r="C112">
        <f t="shared" si="15"/>
        <v>160</v>
      </c>
      <c r="D112">
        <f t="shared" si="9"/>
        <v>134</v>
      </c>
      <c r="E112">
        <f t="shared" si="10"/>
        <v>134</v>
      </c>
      <c r="F112">
        <f t="shared" si="11"/>
        <v>108</v>
      </c>
      <c r="G112" t="str">
        <f t="shared" si="12"/>
        <v>drewno</v>
      </c>
      <c r="H112" t="str">
        <f t="shared" si="13"/>
        <v>DREWNO</v>
      </c>
      <c r="I112" t="str">
        <f t="shared" si="14"/>
        <v>DREWNO</v>
      </c>
      <c r="Z112">
        <f>IF(E112-D112=300,1,0)</f>
        <v>0</v>
      </c>
      <c r="AB112">
        <v>111</v>
      </c>
      <c r="AC112">
        <f>F112</f>
        <v>108</v>
      </c>
    </row>
    <row r="113" spans="1:29" x14ac:dyDescent="0.25">
      <c r="A113" s="1">
        <v>42373</v>
      </c>
      <c r="B113">
        <f t="shared" si="8"/>
        <v>1</v>
      </c>
      <c r="C113">
        <f t="shared" si="15"/>
        <v>108</v>
      </c>
      <c r="D113">
        <f t="shared" si="9"/>
        <v>108</v>
      </c>
      <c r="E113">
        <f t="shared" si="10"/>
        <v>108</v>
      </c>
      <c r="F113">
        <f t="shared" si="11"/>
        <v>82</v>
      </c>
      <c r="G113" t="str">
        <f t="shared" si="12"/>
        <v>drewno</v>
      </c>
      <c r="H113" t="str">
        <f t="shared" si="13"/>
        <v>GAZ</v>
      </c>
      <c r="I113">
        <f t="shared" si="14"/>
        <v>0</v>
      </c>
      <c r="Z113">
        <f>IF(E113-D113=300,1,0)</f>
        <v>0</v>
      </c>
      <c r="AB113">
        <v>112</v>
      </c>
      <c r="AC113">
        <f>F113</f>
        <v>82</v>
      </c>
    </row>
    <row r="114" spans="1:29" x14ac:dyDescent="0.25">
      <c r="A114" s="1">
        <v>42374</v>
      </c>
      <c r="B114">
        <f t="shared" si="8"/>
        <v>2</v>
      </c>
      <c r="C114">
        <f t="shared" si="15"/>
        <v>82</v>
      </c>
      <c r="D114">
        <f t="shared" si="9"/>
        <v>82</v>
      </c>
      <c r="E114">
        <f t="shared" si="10"/>
        <v>82</v>
      </c>
      <c r="F114">
        <f t="shared" si="11"/>
        <v>56</v>
      </c>
      <c r="G114" t="str">
        <f t="shared" si="12"/>
        <v>drewno</v>
      </c>
      <c r="H114" t="str">
        <f t="shared" si="13"/>
        <v>GAZ</v>
      </c>
      <c r="I114">
        <f t="shared" si="14"/>
        <v>0</v>
      </c>
      <c r="Z114">
        <f>IF(E114-D114=300,1,0)</f>
        <v>0</v>
      </c>
      <c r="AB114">
        <v>113</v>
      </c>
      <c r="AC114">
        <f>F114</f>
        <v>56</v>
      </c>
    </row>
    <row r="115" spans="1:29" x14ac:dyDescent="0.25">
      <c r="A115" s="1">
        <v>42375</v>
      </c>
      <c r="B115">
        <f t="shared" si="8"/>
        <v>3</v>
      </c>
      <c r="C115">
        <f t="shared" si="15"/>
        <v>56</v>
      </c>
      <c r="D115">
        <f t="shared" si="9"/>
        <v>56</v>
      </c>
      <c r="E115">
        <f t="shared" si="10"/>
        <v>56</v>
      </c>
      <c r="F115">
        <f t="shared" si="11"/>
        <v>30</v>
      </c>
      <c r="G115" t="str">
        <f t="shared" si="12"/>
        <v>drewno</v>
      </c>
      <c r="H115" t="str">
        <f t="shared" si="13"/>
        <v>GAZ</v>
      </c>
      <c r="I115">
        <f t="shared" si="14"/>
        <v>0</v>
      </c>
      <c r="Z115">
        <f>IF(E115-D115=300,1,0)</f>
        <v>0</v>
      </c>
      <c r="AB115">
        <v>114</v>
      </c>
      <c r="AC115">
        <f>F115</f>
        <v>30</v>
      </c>
    </row>
    <row r="116" spans="1:29" x14ac:dyDescent="0.25">
      <c r="A116" s="1">
        <v>42376</v>
      </c>
      <c r="B116">
        <f t="shared" si="8"/>
        <v>4</v>
      </c>
      <c r="C116">
        <f t="shared" si="15"/>
        <v>30</v>
      </c>
      <c r="D116">
        <f t="shared" si="9"/>
        <v>30</v>
      </c>
      <c r="E116">
        <f t="shared" si="10"/>
        <v>30</v>
      </c>
      <c r="F116">
        <f t="shared" si="11"/>
        <v>4</v>
      </c>
      <c r="G116" t="str">
        <f t="shared" si="12"/>
        <v>drewno</v>
      </c>
      <c r="H116" t="str">
        <f t="shared" si="13"/>
        <v>GAZ</v>
      </c>
      <c r="I116">
        <f t="shared" si="14"/>
        <v>0</v>
      </c>
      <c r="Z116">
        <f>IF(E116-D116=300,1,0)</f>
        <v>0</v>
      </c>
      <c r="AB116">
        <v>115</v>
      </c>
      <c r="AC116">
        <f>F116</f>
        <v>4</v>
      </c>
    </row>
    <row r="117" spans="1:29" x14ac:dyDescent="0.25">
      <c r="A117" s="1">
        <v>42377</v>
      </c>
      <c r="B117">
        <f t="shared" si="8"/>
        <v>5</v>
      </c>
      <c r="C117">
        <f t="shared" si="15"/>
        <v>4</v>
      </c>
      <c r="D117">
        <f t="shared" si="9"/>
        <v>4</v>
      </c>
      <c r="E117">
        <f t="shared" si="10"/>
        <v>472</v>
      </c>
      <c r="F117">
        <f t="shared" si="11"/>
        <v>446</v>
      </c>
      <c r="G117" t="str">
        <f t="shared" si="12"/>
        <v>drewno</v>
      </c>
      <c r="H117" t="str">
        <f t="shared" si="13"/>
        <v>GAZ</v>
      </c>
      <c r="I117">
        <f t="shared" si="14"/>
        <v>0</v>
      </c>
      <c r="Z117">
        <f>IF(E117-D117=300,1,0)</f>
        <v>0</v>
      </c>
      <c r="AB117">
        <v>116</v>
      </c>
      <c r="AC117">
        <f>F117</f>
        <v>446</v>
      </c>
    </row>
    <row r="118" spans="1:29" x14ac:dyDescent="0.25">
      <c r="A118" s="1">
        <v>42378</v>
      </c>
      <c r="B118">
        <f t="shared" si="8"/>
        <v>6</v>
      </c>
      <c r="C118">
        <f t="shared" si="15"/>
        <v>446</v>
      </c>
      <c r="D118">
        <f t="shared" si="9"/>
        <v>420</v>
      </c>
      <c r="E118">
        <f t="shared" si="10"/>
        <v>420</v>
      </c>
      <c r="F118">
        <f t="shared" si="11"/>
        <v>394</v>
      </c>
      <c r="G118" t="str">
        <f t="shared" si="12"/>
        <v>drewno</v>
      </c>
      <c r="H118" t="str">
        <f t="shared" si="13"/>
        <v>DREWNO</v>
      </c>
      <c r="I118" t="str">
        <f t="shared" si="14"/>
        <v>DREWNO</v>
      </c>
      <c r="Z118">
        <f>IF(E118-D118=300,1,0)</f>
        <v>0</v>
      </c>
      <c r="AB118">
        <v>117</v>
      </c>
      <c r="AC118">
        <f>F118</f>
        <v>394</v>
      </c>
    </row>
    <row r="119" spans="1:29" x14ac:dyDescent="0.25">
      <c r="A119" s="1">
        <v>42379</v>
      </c>
      <c r="B119">
        <f t="shared" si="8"/>
        <v>7</v>
      </c>
      <c r="C119">
        <f t="shared" si="15"/>
        <v>394</v>
      </c>
      <c r="D119">
        <f t="shared" si="9"/>
        <v>368</v>
      </c>
      <c r="E119">
        <f t="shared" si="10"/>
        <v>368</v>
      </c>
      <c r="F119">
        <f t="shared" si="11"/>
        <v>342</v>
      </c>
      <c r="G119" t="str">
        <f t="shared" si="12"/>
        <v>drewno</v>
      </c>
      <c r="H119" t="str">
        <f t="shared" si="13"/>
        <v>DREWNO</v>
      </c>
      <c r="I119" t="str">
        <f t="shared" si="14"/>
        <v>DREWNO</v>
      </c>
      <c r="Z119">
        <f>IF(E119-D119=300,1,0)</f>
        <v>0</v>
      </c>
      <c r="AB119">
        <v>118</v>
      </c>
      <c r="AC119">
        <f>F119</f>
        <v>342</v>
      </c>
    </row>
    <row r="120" spans="1:29" x14ac:dyDescent="0.25">
      <c r="A120" s="1">
        <v>42380</v>
      </c>
      <c r="B120">
        <f t="shared" si="8"/>
        <v>1</v>
      </c>
      <c r="C120">
        <f t="shared" si="15"/>
        <v>342</v>
      </c>
      <c r="D120">
        <f t="shared" si="9"/>
        <v>342</v>
      </c>
      <c r="E120">
        <f t="shared" si="10"/>
        <v>342</v>
      </c>
      <c r="F120">
        <f t="shared" si="11"/>
        <v>316</v>
      </c>
      <c r="G120" t="str">
        <f t="shared" si="12"/>
        <v>drewno</v>
      </c>
      <c r="H120" t="str">
        <f t="shared" si="13"/>
        <v>GAZ</v>
      </c>
      <c r="I120">
        <f t="shared" si="14"/>
        <v>0</v>
      </c>
      <c r="Z120">
        <f>IF(E120-D120=300,1,0)</f>
        <v>0</v>
      </c>
      <c r="AB120">
        <v>119</v>
      </c>
      <c r="AC120">
        <f>F120</f>
        <v>316</v>
      </c>
    </row>
    <row r="121" spans="1:29" x14ac:dyDescent="0.25">
      <c r="A121" s="1">
        <v>42381</v>
      </c>
      <c r="B121">
        <f t="shared" si="8"/>
        <v>2</v>
      </c>
      <c r="C121">
        <f t="shared" si="15"/>
        <v>316</v>
      </c>
      <c r="D121">
        <f t="shared" si="9"/>
        <v>316</v>
      </c>
      <c r="E121">
        <f t="shared" si="10"/>
        <v>316</v>
      </c>
      <c r="F121">
        <f t="shared" si="11"/>
        <v>290</v>
      </c>
      <c r="G121" t="str">
        <f t="shared" si="12"/>
        <v>drewno</v>
      </c>
      <c r="H121" t="str">
        <f t="shared" si="13"/>
        <v>GAZ</v>
      </c>
      <c r="I121">
        <f t="shared" si="14"/>
        <v>0</v>
      </c>
      <c r="Z121">
        <f>IF(E121-D121=300,1,0)</f>
        <v>0</v>
      </c>
      <c r="AB121">
        <v>120</v>
      </c>
      <c r="AC121">
        <f>F121</f>
        <v>290</v>
      </c>
    </row>
    <row r="122" spans="1:29" x14ac:dyDescent="0.25">
      <c r="A122" s="1">
        <v>42382</v>
      </c>
      <c r="B122">
        <f t="shared" si="8"/>
        <v>3</v>
      </c>
      <c r="C122">
        <f t="shared" si="15"/>
        <v>290</v>
      </c>
      <c r="D122">
        <f t="shared" si="9"/>
        <v>290</v>
      </c>
      <c r="E122">
        <f t="shared" si="10"/>
        <v>290</v>
      </c>
      <c r="F122">
        <f t="shared" si="11"/>
        <v>264</v>
      </c>
      <c r="G122" t="str">
        <f t="shared" si="12"/>
        <v>drewno</v>
      </c>
      <c r="H122" t="str">
        <f t="shared" si="13"/>
        <v>GAZ</v>
      </c>
      <c r="I122">
        <f t="shared" si="14"/>
        <v>0</v>
      </c>
      <c r="Z122">
        <f>IF(E122-D122=300,1,0)</f>
        <v>0</v>
      </c>
      <c r="AB122">
        <v>121</v>
      </c>
      <c r="AC122">
        <f>F122</f>
        <v>264</v>
      </c>
    </row>
    <row r="123" spans="1:29" x14ac:dyDescent="0.25">
      <c r="A123" s="1">
        <v>42383</v>
      </c>
      <c r="B123">
        <f t="shared" si="8"/>
        <v>4</v>
      </c>
      <c r="C123">
        <f t="shared" si="15"/>
        <v>264</v>
      </c>
      <c r="D123">
        <f t="shared" si="9"/>
        <v>264</v>
      </c>
      <c r="E123">
        <f t="shared" si="10"/>
        <v>264</v>
      </c>
      <c r="F123">
        <f t="shared" si="11"/>
        <v>238</v>
      </c>
      <c r="G123" t="str">
        <f t="shared" si="12"/>
        <v>drewno</v>
      </c>
      <c r="H123" t="str">
        <f t="shared" si="13"/>
        <v>GAZ</v>
      </c>
      <c r="I123">
        <f t="shared" si="14"/>
        <v>0</v>
      </c>
      <c r="Z123">
        <f>IF(E123-D123=300,1,0)</f>
        <v>0</v>
      </c>
      <c r="AB123">
        <v>122</v>
      </c>
      <c r="AC123">
        <f>F123</f>
        <v>238</v>
      </c>
    </row>
    <row r="124" spans="1:29" x14ac:dyDescent="0.25">
      <c r="A124" s="1">
        <v>42384</v>
      </c>
      <c r="B124">
        <f t="shared" si="8"/>
        <v>5</v>
      </c>
      <c r="C124">
        <f t="shared" si="15"/>
        <v>238</v>
      </c>
      <c r="D124">
        <f t="shared" si="9"/>
        <v>238</v>
      </c>
      <c r="E124">
        <f t="shared" si="10"/>
        <v>238</v>
      </c>
      <c r="F124">
        <f t="shared" si="11"/>
        <v>212</v>
      </c>
      <c r="G124" t="str">
        <f t="shared" si="12"/>
        <v>drewno</v>
      </c>
      <c r="H124" t="str">
        <f t="shared" si="13"/>
        <v>GAZ</v>
      </c>
      <c r="I124">
        <f t="shared" si="14"/>
        <v>0</v>
      </c>
      <c r="Z124">
        <f>IF(E124-D124=300,1,0)</f>
        <v>0</v>
      </c>
      <c r="AB124">
        <v>123</v>
      </c>
      <c r="AC124">
        <f>F124</f>
        <v>212</v>
      </c>
    </row>
    <row r="125" spans="1:29" x14ac:dyDescent="0.25">
      <c r="A125" s="1">
        <v>42385</v>
      </c>
      <c r="B125">
        <f t="shared" si="8"/>
        <v>6</v>
      </c>
      <c r="C125">
        <f t="shared" si="15"/>
        <v>212</v>
      </c>
      <c r="D125">
        <f t="shared" si="9"/>
        <v>186</v>
      </c>
      <c r="E125">
        <f t="shared" si="10"/>
        <v>186</v>
      </c>
      <c r="F125">
        <f t="shared" si="11"/>
        <v>160</v>
      </c>
      <c r="G125" t="str">
        <f t="shared" si="12"/>
        <v>drewno</v>
      </c>
      <c r="H125" t="str">
        <f t="shared" si="13"/>
        <v>DREWNO</v>
      </c>
      <c r="I125" t="str">
        <f t="shared" si="14"/>
        <v>DREWNO</v>
      </c>
      <c r="Z125">
        <f>IF(E125-D125=300,1,0)</f>
        <v>0</v>
      </c>
      <c r="AB125">
        <v>124</v>
      </c>
      <c r="AC125">
        <f>F125</f>
        <v>160</v>
      </c>
    </row>
    <row r="126" spans="1:29" x14ac:dyDescent="0.25">
      <c r="A126" s="1">
        <v>42386</v>
      </c>
      <c r="B126">
        <f t="shared" si="8"/>
        <v>7</v>
      </c>
      <c r="C126">
        <f t="shared" si="15"/>
        <v>160</v>
      </c>
      <c r="D126">
        <f t="shared" si="9"/>
        <v>134</v>
      </c>
      <c r="E126">
        <f t="shared" si="10"/>
        <v>134</v>
      </c>
      <c r="F126">
        <f t="shared" si="11"/>
        <v>108</v>
      </c>
      <c r="G126" t="str">
        <f t="shared" si="12"/>
        <v>drewno</v>
      </c>
      <c r="H126" t="str">
        <f t="shared" si="13"/>
        <v>DREWNO</v>
      </c>
      <c r="I126" t="str">
        <f t="shared" si="14"/>
        <v>DREWNO</v>
      </c>
      <c r="Z126">
        <f>IF(E126-D126=300,1,0)</f>
        <v>0</v>
      </c>
      <c r="AB126">
        <v>125</v>
      </c>
      <c r="AC126">
        <f>F126</f>
        <v>108</v>
      </c>
    </row>
    <row r="127" spans="1:29" x14ac:dyDescent="0.25">
      <c r="A127" s="1">
        <v>42387</v>
      </c>
      <c r="B127">
        <f t="shared" si="8"/>
        <v>1</v>
      </c>
      <c r="C127">
        <f t="shared" si="15"/>
        <v>108</v>
      </c>
      <c r="D127">
        <f t="shared" si="9"/>
        <v>108</v>
      </c>
      <c r="E127">
        <f t="shared" si="10"/>
        <v>108</v>
      </c>
      <c r="F127">
        <f t="shared" si="11"/>
        <v>82</v>
      </c>
      <c r="G127" t="str">
        <f t="shared" si="12"/>
        <v>drewno</v>
      </c>
      <c r="H127" t="str">
        <f t="shared" si="13"/>
        <v>GAZ</v>
      </c>
      <c r="I127">
        <f t="shared" si="14"/>
        <v>0</v>
      </c>
      <c r="Z127">
        <f>IF(E127-D127=300,1,0)</f>
        <v>0</v>
      </c>
      <c r="AB127">
        <v>126</v>
      </c>
      <c r="AC127">
        <f>F127</f>
        <v>82</v>
      </c>
    </row>
    <row r="128" spans="1:29" x14ac:dyDescent="0.25">
      <c r="A128" s="1">
        <v>42388</v>
      </c>
      <c r="B128">
        <f t="shared" si="8"/>
        <v>2</v>
      </c>
      <c r="C128">
        <f t="shared" si="15"/>
        <v>82</v>
      </c>
      <c r="D128">
        <f t="shared" si="9"/>
        <v>82</v>
      </c>
      <c r="E128">
        <f t="shared" si="10"/>
        <v>82</v>
      </c>
      <c r="F128">
        <f t="shared" si="11"/>
        <v>56</v>
      </c>
      <c r="G128" t="str">
        <f t="shared" si="12"/>
        <v>drewno</v>
      </c>
      <c r="H128" t="str">
        <f t="shared" si="13"/>
        <v>GAZ</v>
      </c>
      <c r="I128">
        <f t="shared" si="14"/>
        <v>0</v>
      </c>
      <c r="Z128">
        <f>IF(E128-D128=300,1,0)</f>
        <v>0</v>
      </c>
      <c r="AB128">
        <v>127</v>
      </c>
      <c r="AC128">
        <f>F128</f>
        <v>56</v>
      </c>
    </row>
    <row r="129" spans="1:29" x14ac:dyDescent="0.25">
      <c r="A129" s="1">
        <v>42389</v>
      </c>
      <c r="B129">
        <f t="shared" si="8"/>
        <v>3</v>
      </c>
      <c r="C129">
        <f t="shared" si="15"/>
        <v>56</v>
      </c>
      <c r="D129">
        <f t="shared" si="9"/>
        <v>56</v>
      </c>
      <c r="E129">
        <f t="shared" si="10"/>
        <v>56</v>
      </c>
      <c r="F129">
        <f t="shared" si="11"/>
        <v>30</v>
      </c>
      <c r="G129" t="str">
        <f t="shared" si="12"/>
        <v>drewno</v>
      </c>
      <c r="H129" t="str">
        <f t="shared" si="13"/>
        <v>GAZ</v>
      </c>
      <c r="I129">
        <f t="shared" si="14"/>
        <v>0</v>
      </c>
      <c r="Z129">
        <f>IF(E129-D129=300,1,0)</f>
        <v>0</v>
      </c>
      <c r="AB129">
        <v>128</v>
      </c>
      <c r="AC129">
        <f>F129</f>
        <v>30</v>
      </c>
    </row>
    <row r="130" spans="1:29" x14ac:dyDescent="0.25">
      <c r="A130" s="1">
        <v>42390</v>
      </c>
      <c r="B130">
        <f t="shared" si="8"/>
        <v>4</v>
      </c>
      <c r="C130">
        <f t="shared" si="15"/>
        <v>30</v>
      </c>
      <c r="D130">
        <f t="shared" si="9"/>
        <v>30</v>
      </c>
      <c r="E130">
        <f t="shared" si="10"/>
        <v>30</v>
      </c>
      <c r="F130">
        <f t="shared" si="11"/>
        <v>4</v>
      </c>
      <c r="G130" t="str">
        <f t="shared" si="12"/>
        <v>drewno</v>
      </c>
      <c r="H130" t="str">
        <f t="shared" si="13"/>
        <v>GAZ</v>
      </c>
      <c r="I130">
        <f t="shared" si="14"/>
        <v>0</v>
      </c>
      <c r="Z130">
        <f>IF(E130-D130=300,1,0)</f>
        <v>0</v>
      </c>
      <c r="AB130">
        <v>129</v>
      </c>
      <c r="AC130">
        <f>F130</f>
        <v>4</v>
      </c>
    </row>
    <row r="131" spans="1:29" x14ac:dyDescent="0.25">
      <c r="A131" s="1">
        <v>42391</v>
      </c>
      <c r="B131">
        <f t="shared" ref="B131:B194" si="16">WEEKDAY(A131,2)</f>
        <v>5</v>
      </c>
      <c r="C131">
        <f t="shared" si="15"/>
        <v>4</v>
      </c>
      <c r="D131">
        <f t="shared" ref="D131:D194" si="17">IF(AND(OR(B131=6,B131=7),C131&gt;25),C131-26,C131)</f>
        <v>4</v>
      </c>
      <c r="E131">
        <f t="shared" ref="E131:E194" si="18">IF(AND(C131&lt;100,B131=5),C131+$O$12,D131)</f>
        <v>472</v>
      </c>
      <c r="F131">
        <f t="shared" ref="F131:F194" si="19">IF(E131&gt;25,E131-26,E131)</f>
        <v>446</v>
      </c>
      <c r="G131" t="str">
        <f t="shared" ref="G131:G194" si="20">IF(E131&gt;25,"drewno","gaz")</f>
        <v>drewno</v>
      </c>
      <c r="H131" t="str">
        <f t="shared" ref="H131:H194" si="21">IF(AND(OR(B131=6,B131=7),C131&gt;25),"DREWNO","GAZ")</f>
        <v>GAZ</v>
      </c>
      <c r="I131">
        <f t="shared" ref="I131:I194" si="22">IF(OR(B131=6,B131=7),H131,0)</f>
        <v>0</v>
      </c>
      <c r="Z131">
        <f>IF(E131-D131=300,1,0)</f>
        <v>0</v>
      </c>
      <c r="AB131">
        <v>130</v>
      </c>
      <c r="AC131">
        <f>F131</f>
        <v>446</v>
      </c>
    </row>
    <row r="132" spans="1:29" x14ac:dyDescent="0.25">
      <c r="A132" s="1">
        <v>42392</v>
      </c>
      <c r="B132">
        <f t="shared" si="16"/>
        <v>6</v>
      </c>
      <c r="C132">
        <f t="shared" ref="C132:C195" si="23">F131</f>
        <v>446</v>
      </c>
      <c r="D132">
        <f t="shared" si="17"/>
        <v>420</v>
      </c>
      <c r="E132">
        <f t="shared" si="18"/>
        <v>420</v>
      </c>
      <c r="F132">
        <f t="shared" si="19"/>
        <v>394</v>
      </c>
      <c r="G132" t="str">
        <f t="shared" si="20"/>
        <v>drewno</v>
      </c>
      <c r="H132" t="str">
        <f t="shared" si="21"/>
        <v>DREWNO</v>
      </c>
      <c r="I132" t="str">
        <f t="shared" si="22"/>
        <v>DREWNO</v>
      </c>
      <c r="Z132">
        <f>IF(E132-D132=300,1,0)</f>
        <v>0</v>
      </c>
      <c r="AB132">
        <v>131</v>
      </c>
      <c r="AC132">
        <f>F132</f>
        <v>394</v>
      </c>
    </row>
    <row r="133" spans="1:29" x14ac:dyDescent="0.25">
      <c r="A133" s="1">
        <v>42393</v>
      </c>
      <c r="B133">
        <f t="shared" si="16"/>
        <v>7</v>
      </c>
      <c r="C133">
        <f t="shared" si="23"/>
        <v>394</v>
      </c>
      <c r="D133">
        <f t="shared" si="17"/>
        <v>368</v>
      </c>
      <c r="E133">
        <f t="shared" si="18"/>
        <v>368</v>
      </c>
      <c r="F133">
        <f t="shared" si="19"/>
        <v>342</v>
      </c>
      <c r="G133" t="str">
        <f t="shared" si="20"/>
        <v>drewno</v>
      </c>
      <c r="H133" t="str">
        <f t="shared" si="21"/>
        <v>DREWNO</v>
      </c>
      <c r="I133" t="str">
        <f t="shared" si="22"/>
        <v>DREWNO</v>
      </c>
      <c r="Z133">
        <f>IF(E133-D133=300,1,0)</f>
        <v>0</v>
      </c>
      <c r="AB133">
        <v>132</v>
      </c>
      <c r="AC133">
        <f>F133</f>
        <v>342</v>
      </c>
    </row>
    <row r="134" spans="1:29" x14ac:dyDescent="0.25">
      <c r="A134" s="1">
        <v>42394</v>
      </c>
      <c r="B134">
        <f t="shared" si="16"/>
        <v>1</v>
      </c>
      <c r="C134">
        <f t="shared" si="23"/>
        <v>342</v>
      </c>
      <c r="D134">
        <f t="shared" si="17"/>
        <v>342</v>
      </c>
      <c r="E134">
        <f t="shared" si="18"/>
        <v>342</v>
      </c>
      <c r="F134">
        <f t="shared" si="19"/>
        <v>316</v>
      </c>
      <c r="G134" t="str">
        <f t="shared" si="20"/>
        <v>drewno</v>
      </c>
      <c r="H134" t="str">
        <f t="shared" si="21"/>
        <v>GAZ</v>
      </c>
      <c r="I134">
        <f t="shared" si="22"/>
        <v>0</v>
      </c>
      <c r="Z134">
        <f>IF(E134-D134=300,1,0)</f>
        <v>0</v>
      </c>
      <c r="AB134">
        <v>133</v>
      </c>
      <c r="AC134">
        <f>F134</f>
        <v>316</v>
      </c>
    </row>
    <row r="135" spans="1:29" x14ac:dyDescent="0.25">
      <c r="A135" s="1">
        <v>42395</v>
      </c>
      <c r="B135">
        <f t="shared" si="16"/>
        <v>2</v>
      </c>
      <c r="C135">
        <f t="shared" si="23"/>
        <v>316</v>
      </c>
      <c r="D135">
        <f t="shared" si="17"/>
        <v>316</v>
      </c>
      <c r="E135">
        <f t="shared" si="18"/>
        <v>316</v>
      </c>
      <c r="F135">
        <f t="shared" si="19"/>
        <v>290</v>
      </c>
      <c r="G135" t="str">
        <f t="shared" si="20"/>
        <v>drewno</v>
      </c>
      <c r="H135" t="str">
        <f t="shared" si="21"/>
        <v>GAZ</v>
      </c>
      <c r="I135">
        <f t="shared" si="22"/>
        <v>0</v>
      </c>
      <c r="Z135">
        <f>IF(E135-D135=300,1,0)</f>
        <v>0</v>
      </c>
      <c r="AB135">
        <v>134</v>
      </c>
      <c r="AC135">
        <f>F135</f>
        <v>290</v>
      </c>
    </row>
    <row r="136" spans="1:29" x14ac:dyDescent="0.25">
      <c r="A136" s="1">
        <v>42396</v>
      </c>
      <c r="B136">
        <f t="shared" si="16"/>
        <v>3</v>
      </c>
      <c r="C136">
        <f t="shared" si="23"/>
        <v>290</v>
      </c>
      <c r="D136">
        <f t="shared" si="17"/>
        <v>290</v>
      </c>
      <c r="E136">
        <f t="shared" si="18"/>
        <v>290</v>
      </c>
      <c r="F136">
        <f t="shared" si="19"/>
        <v>264</v>
      </c>
      <c r="G136" t="str">
        <f t="shared" si="20"/>
        <v>drewno</v>
      </c>
      <c r="H136" t="str">
        <f t="shared" si="21"/>
        <v>GAZ</v>
      </c>
      <c r="I136">
        <f t="shared" si="22"/>
        <v>0</v>
      </c>
      <c r="Z136">
        <f>IF(E136-D136=300,1,0)</f>
        <v>0</v>
      </c>
      <c r="AB136">
        <v>135</v>
      </c>
      <c r="AC136">
        <f>F136</f>
        <v>264</v>
      </c>
    </row>
    <row r="137" spans="1:29" x14ac:dyDescent="0.25">
      <c r="A137" s="1">
        <v>42397</v>
      </c>
      <c r="B137">
        <f t="shared" si="16"/>
        <v>4</v>
      </c>
      <c r="C137">
        <f t="shared" si="23"/>
        <v>264</v>
      </c>
      <c r="D137">
        <f t="shared" si="17"/>
        <v>264</v>
      </c>
      <c r="E137">
        <f t="shared" si="18"/>
        <v>264</v>
      </c>
      <c r="F137">
        <f t="shared" si="19"/>
        <v>238</v>
      </c>
      <c r="G137" t="str">
        <f t="shared" si="20"/>
        <v>drewno</v>
      </c>
      <c r="H137" t="str">
        <f t="shared" si="21"/>
        <v>GAZ</v>
      </c>
      <c r="I137">
        <f t="shared" si="22"/>
        <v>0</v>
      </c>
      <c r="Z137">
        <f>IF(E137-D137=300,1,0)</f>
        <v>0</v>
      </c>
      <c r="AB137">
        <v>136</v>
      </c>
      <c r="AC137">
        <f>F137</f>
        <v>238</v>
      </c>
    </row>
    <row r="138" spans="1:29" x14ac:dyDescent="0.25">
      <c r="A138" s="1">
        <v>42398</v>
      </c>
      <c r="B138">
        <f t="shared" si="16"/>
        <v>5</v>
      </c>
      <c r="C138">
        <f t="shared" si="23"/>
        <v>238</v>
      </c>
      <c r="D138">
        <f t="shared" si="17"/>
        <v>238</v>
      </c>
      <c r="E138">
        <f t="shared" si="18"/>
        <v>238</v>
      </c>
      <c r="F138">
        <f t="shared" si="19"/>
        <v>212</v>
      </c>
      <c r="G138" t="str">
        <f t="shared" si="20"/>
        <v>drewno</v>
      </c>
      <c r="H138" t="str">
        <f t="shared" si="21"/>
        <v>GAZ</v>
      </c>
      <c r="I138">
        <f t="shared" si="22"/>
        <v>0</v>
      </c>
      <c r="Z138">
        <f>IF(E138-D138=300,1,0)</f>
        <v>0</v>
      </c>
      <c r="AB138">
        <v>137</v>
      </c>
      <c r="AC138">
        <f>F138</f>
        <v>212</v>
      </c>
    </row>
    <row r="139" spans="1:29" x14ac:dyDescent="0.25">
      <c r="A139" s="1">
        <v>42399</v>
      </c>
      <c r="B139">
        <f t="shared" si="16"/>
        <v>6</v>
      </c>
      <c r="C139">
        <f t="shared" si="23"/>
        <v>212</v>
      </c>
      <c r="D139">
        <f t="shared" si="17"/>
        <v>186</v>
      </c>
      <c r="E139">
        <f t="shared" si="18"/>
        <v>186</v>
      </c>
      <c r="F139">
        <f t="shared" si="19"/>
        <v>160</v>
      </c>
      <c r="G139" t="str">
        <f t="shared" si="20"/>
        <v>drewno</v>
      </c>
      <c r="H139" t="str">
        <f t="shared" si="21"/>
        <v>DREWNO</v>
      </c>
      <c r="I139" t="str">
        <f t="shared" si="22"/>
        <v>DREWNO</v>
      </c>
      <c r="Z139">
        <f>IF(E139-D139=300,1,0)</f>
        <v>0</v>
      </c>
      <c r="AB139">
        <v>138</v>
      </c>
      <c r="AC139">
        <f>F139</f>
        <v>160</v>
      </c>
    </row>
    <row r="140" spans="1:29" x14ac:dyDescent="0.25">
      <c r="A140" s="1">
        <v>42400</v>
      </c>
      <c r="B140">
        <f t="shared" si="16"/>
        <v>7</v>
      </c>
      <c r="C140">
        <f t="shared" si="23"/>
        <v>160</v>
      </c>
      <c r="D140">
        <f t="shared" si="17"/>
        <v>134</v>
      </c>
      <c r="E140">
        <f t="shared" si="18"/>
        <v>134</v>
      </c>
      <c r="F140">
        <f t="shared" si="19"/>
        <v>108</v>
      </c>
      <c r="G140" t="str">
        <f t="shared" si="20"/>
        <v>drewno</v>
      </c>
      <c r="H140" t="str">
        <f t="shared" si="21"/>
        <v>DREWNO</v>
      </c>
      <c r="I140" t="str">
        <f t="shared" si="22"/>
        <v>DREWNO</v>
      </c>
      <c r="Z140">
        <f>IF(E140-D140=300,1,0)</f>
        <v>0</v>
      </c>
      <c r="AB140">
        <v>139</v>
      </c>
      <c r="AC140">
        <f>F140</f>
        <v>108</v>
      </c>
    </row>
    <row r="141" spans="1:29" x14ac:dyDescent="0.25">
      <c r="A141" s="1">
        <v>42401</v>
      </c>
      <c r="B141">
        <f t="shared" si="16"/>
        <v>1</v>
      </c>
      <c r="C141">
        <f t="shared" si="23"/>
        <v>108</v>
      </c>
      <c r="D141">
        <f t="shared" si="17"/>
        <v>108</v>
      </c>
      <c r="E141">
        <f t="shared" si="18"/>
        <v>108</v>
      </c>
      <c r="F141">
        <f t="shared" si="19"/>
        <v>82</v>
      </c>
      <c r="G141" t="str">
        <f t="shared" si="20"/>
        <v>drewno</v>
      </c>
      <c r="H141" t="str">
        <f t="shared" si="21"/>
        <v>GAZ</v>
      </c>
      <c r="I141">
        <f t="shared" si="22"/>
        <v>0</v>
      </c>
      <c r="Z141">
        <f>IF(E141-D141=300,1,0)</f>
        <v>0</v>
      </c>
      <c r="AB141">
        <v>140</v>
      </c>
      <c r="AC141">
        <f>F141</f>
        <v>82</v>
      </c>
    </row>
    <row r="142" spans="1:29" x14ac:dyDescent="0.25">
      <c r="A142" s="1">
        <v>42402</v>
      </c>
      <c r="B142">
        <f t="shared" si="16"/>
        <v>2</v>
      </c>
      <c r="C142">
        <f t="shared" si="23"/>
        <v>82</v>
      </c>
      <c r="D142">
        <f t="shared" si="17"/>
        <v>82</v>
      </c>
      <c r="E142">
        <f t="shared" si="18"/>
        <v>82</v>
      </c>
      <c r="F142">
        <f t="shared" si="19"/>
        <v>56</v>
      </c>
      <c r="G142" t="str">
        <f t="shared" si="20"/>
        <v>drewno</v>
      </c>
      <c r="H142" t="str">
        <f t="shared" si="21"/>
        <v>GAZ</v>
      </c>
      <c r="I142">
        <f t="shared" si="22"/>
        <v>0</v>
      </c>
      <c r="Z142">
        <f>IF(E142-D142=300,1,0)</f>
        <v>0</v>
      </c>
      <c r="AB142">
        <v>141</v>
      </c>
      <c r="AC142">
        <f>F142</f>
        <v>56</v>
      </c>
    </row>
    <row r="143" spans="1:29" x14ac:dyDescent="0.25">
      <c r="A143" s="1">
        <v>42403</v>
      </c>
      <c r="B143">
        <f t="shared" si="16"/>
        <v>3</v>
      </c>
      <c r="C143">
        <f t="shared" si="23"/>
        <v>56</v>
      </c>
      <c r="D143">
        <f t="shared" si="17"/>
        <v>56</v>
      </c>
      <c r="E143">
        <f t="shared" si="18"/>
        <v>56</v>
      </c>
      <c r="F143">
        <f t="shared" si="19"/>
        <v>30</v>
      </c>
      <c r="G143" t="str">
        <f t="shared" si="20"/>
        <v>drewno</v>
      </c>
      <c r="H143" t="str">
        <f t="shared" si="21"/>
        <v>GAZ</v>
      </c>
      <c r="I143">
        <f t="shared" si="22"/>
        <v>0</v>
      </c>
      <c r="Z143">
        <f>IF(E143-D143=300,1,0)</f>
        <v>0</v>
      </c>
      <c r="AB143">
        <v>142</v>
      </c>
      <c r="AC143">
        <f>F143</f>
        <v>30</v>
      </c>
    </row>
    <row r="144" spans="1:29" x14ac:dyDescent="0.25">
      <c r="A144" s="1">
        <v>42404</v>
      </c>
      <c r="B144">
        <f t="shared" si="16"/>
        <v>4</v>
      </c>
      <c r="C144">
        <f t="shared" si="23"/>
        <v>30</v>
      </c>
      <c r="D144">
        <f t="shared" si="17"/>
        <v>30</v>
      </c>
      <c r="E144">
        <f t="shared" si="18"/>
        <v>30</v>
      </c>
      <c r="F144">
        <f t="shared" si="19"/>
        <v>4</v>
      </c>
      <c r="G144" t="str">
        <f t="shared" si="20"/>
        <v>drewno</v>
      </c>
      <c r="H144" t="str">
        <f t="shared" si="21"/>
        <v>GAZ</v>
      </c>
      <c r="I144">
        <f t="shared" si="22"/>
        <v>0</v>
      </c>
      <c r="Z144">
        <f>IF(E144-D144=300,1,0)</f>
        <v>0</v>
      </c>
      <c r="AB144">
        <v>143</v>
      </c>
      <c r="AC144">
        <f>F144</f>
        <v>4</v>
      </c>
    </row>
    <row r="145" spans="1:29" x14ac:dyDescent="0.25">
      <c r="A145" s="1">
        <v>42405</v>
      </c>
      <c r="B145">
        <f t="shared" si="16"/>
        <v>5</v>
      </c>
      <c r="C145">
        <f t="shared" si="23"/>
        <v>4</v>
      </c>
      <c r="D145">
        <f t="shared" si="17"/>
        <v>4</v>
      </c>
      <c r="E145">
        <f t="shared" si="18"/>
        <v>472</v>
      </c>
      <c r="F145">
        <f t="shared" si="19"/>
        <v>446</v>
      </c>
      <c r="G145" t="str">
        <f t="shared" si="20"/>
        <v>drewno</v>
      </c>
      <c r="H145" t="str">
        <f t="shared" si="21"/>
        <v>GAZ</v>
      </c>
      <c r="I145">
        <f t="shared" si="22"/>
        <v>0</v>
      </c>
      <c r="Z145">
        <f>IF(E145-D145=300,1,0)</f>
        <v>0</v>
      </c>
      <c r="AB145">
        <v>144</v>
      </c>
      <c r="AC145">
        <f>F145</f>
        <v>446</v>
      </c>
    </row>
    <row r="146" spans="1:29" x14ac:dyDescent="0.25">
      <c r="A146" s="1">
        <v>42406</v>
      </c>
      <c r="B146">
        <f t="shared" si="16"/>
        <v>6</v>
      </c>
      <c r="C146">
        <f t="shared" si="23"/>
        <v>446</v>
      </c>
      <c r="D146">
        <f t="shared" si="17"/>
        <v>420</v>
      </c>
      <c r="E146">
        <f t="shared" si="18"/>
        <v>420</v>
      </c>
      <c r="F146">
        <f t="shared" si="19"/>
        <v>394</v>
      </c>
      <c r="G146" t="str">
        <f t="shared" si="20"/>
        <v>drewno</v>
      </c>
      <c r="H146" t="str">
        <f t="shared" si="21"/>
        <v>DREWNO</v>
      </c>
      <c r="I146" t="str">
        <f t="shared" si="22"/>
        <v>DREWNO</v>
      </c>
      <c r="Z146">
        <f>IF(E146-D146=300,1,0)</f>
        <v>0</v>
      </c>
      <c r="AB146">
        <v>145</v>
      </c>
      <c r="AC146">
        <f>F146</f>
        <v>394</v>
      </c>
    </row>
    <row r="147" spans="1:29" x14ac:dyDescent="0.25">
      <c r="A147" s="1">
        <v>42407</v>
      </c>
      <c r="B147">
        <f t="shared" si="16"/>
        <v>7</v>
      </c>
      <c r="C147">
        <f t="shared" si="23"/>
        <v>394</v>
      </c>
      <c r="D147">
        <f t="shared" si="17"/>
        <v>368</v>
      </c>
      <c r="E147">
        <f t="shared" si="18"/>
        <v>368</v>
      </c>
      <c r="F147">
        <f t="shared" si="19"/>
        <v>342</v>
      </c>
      <c r="G147" t="str">
        <f t="shared" si="20"/>
        <v>drewno</v>
      </c>
      <c r="H147" t="str">
        <f t="shared" si="21"/>
        <v>DREWNO</v>
      </c>
      <c r="I147" t="str">
        <f t="shared" si="22"/>
        <v>DREWNO</v>
      </c>
      <c r="Z147">
        <f>IF(E147-D147=300,1,0)</f>
        <v>0</v>
      </c>
      <c r="AB147">
        <v>146</v>
      </c>
      <c r="AC147">
        <f>F147</f>
        <v>342</v>
      </c>
    </row>
    <row r="148" spans="1:29" x14ac:dyDescent="0.25">
      <c r="A148" s="1">
        <v>42408</v>
      </c>
      <c r="B148">
        <f t="shared" si="16"/>
        <v>1</v>
      </c>
      <c r="C148">
        <f t="shared" si="23"/>
        <v>342</v>
      </c>
      <c r="D148">
        <f t="shared" si="17"/>
        <v>342</v>
      </c>
      <c r="E148">
        <f t="shared" si="18"/>
        <v>342</v>
      </c>
      <c r="F148">
        <f t="shared" si="19"/>
        <v>316</v>
      </c>
      <c r="G148" t="str">
        <f t="shared" si="20"/>
        <v>drewno</v>
      </c>
      <c r="H148" t="str">
        <f t="shared" si="21"/>
        <v>GAZ</v>
      </c>
      <c r="I148">
        <f t="shared" si="22"/>
        <v>0</v>
      </c>
      <c r="Z148">
        <f>IF(E148-D148=300,1,0)</f>
        <v>0</v>
      </c>
      <c r="AB148">
        <v>147</v>
      </c>
      <c r="AC148">
        <f>F148</f>
        <v>316</v>
      </c>
    </row>
    <row r="149" spans="1:29" x14ac:dyDescent="0.25">
      <c r="A149" s="1">
        <v>42409</v>
      </c>
      <c r="B149">
        <f t="shared" si="16"/>
        <v>2</v>
      </c>
      <c r="C149">
        <f t="shared" si="23"/>
        <v>316</v>
      </c>
      <c r="D149">
        <f t="shared" si="17"/>
        <v>316</v>
      </c>
      <c r="E149">
        <f t="shared" si="18"/>
        <v>316</v>
      </c>
      <c r="F149">
        <f t="shared" si="19"/>
        <v>290</v>
      </c>
      <c r="G149" t="str">
        <f t="shared" si="20"/>
        <v>drewno</v>
      </c>
      <c r="H149" t="str">
        <f t="shared" si="21"/>
        <v>GAZ</v>
      </c>
      <c r="I149">
        <f t="shared" si="22"/>
        <v>0</v>
      </c>
      <c r="Z149">
        <f>IF(E149-D149=300,1,0)</f>
        <v>0</v>
      </c>
      <c r="AB149">
        <v>148</v>
      </c>
      <c r="AC149">
        <f>F149</f>
        <v>290</v>
      </c>
    </row>
    <row r="150" spans="1:29" x14ac:dyDescent="0.25">
      <c r="A150" s="1">
        <v>42410</v>
      </c>
      <c r="B150">
        <f t="shared" si="16"/>
        <v>3</v>
      </c>
      <c r="C150">
        <f t="shared" si="23"/>
        <v>290</v>
      </c>
      <c r="D150">
        <f t="shared" si="17"/>
        <v>290</v>
      </c>
      <c r="E150">
        <f t="shared" si="18"/>
        <v>290</v>
      </c>
      <c r="F150">
        <f t="shared" si="19"/>
        <v>264</v>
      </c>
      <c r="G150" t="str">
        <f t="shared" si="20"/>
        <v>drewno</v>
      </c>
      <c r="H150" t="str">
        <f t="shared" si="21"/>
        <v>GAZ</v>
      </c>
      <c r="I150">
        <f t="shared" si="22"/>
        <v>0</v>
      </c>
      <c r="Z150">
        <f>IF(E150-D150=300,1,0)</f>
        <v>0</v>
      </c>
      <c r="AB150">
        <v>149</v>
      </c>
      <c r="AC150">
        <f>F150</f>
        <v>264</v>
      </c>
    </row>
    <row r="151" spans="1:29" x14ac:dyDescent="0.25">
      <c r="A151" s="1">
        <v>42411</v>
      </c>
      <c r="B151">
        <f t="shared" si="16"/>
        <v>4</v>
      </c>
      <c r="C151">
        <f t="shared" si="23"/>
        <v>264</v>
      </c>
      <c r="D151">
        <f t="shared" si="17"/>
        <v>264</v>
      </c>
      <c r="E151">
        <f t="shared" si="18"/>
        <v>264</v>
      </c>
      <c r="F151">
        <f t="shared" si="19"/>
        <v>238</v>
      </c>
      <c r="G151" t="str">
        <f t="shared" si="20"/>
        <v>drewno</v>
      </c>
      <c r="H151" t="str">
        <f t="shared" si="21"/>
        <v>GAZ</v>
      </c>
      <c r="I151">
        <f t="shared" si="22"/>
        <v>0</v>
      </c>
      <c r="Z151">
        <f>IF(E151-D151=300,1,0)</f>
        <v>0</v>
      </c>
      <c r="AB151">
        <v>150</v>
      </c>
      <c r="AC151">
        <f>F151</f>
        <v>238</v>
      </c>
    </row>
    <row r="152" spans="1:29" x14ac:dyDescent="0.25">
      <c r="A152" s="1">
        <v>42412</v>
      </c>
      <c r="B152">
        <f t="shared" si="16"/>
        <v>5</v>
      </c>
      <c r="C152">
        <f t="shared" si="23"/>
        <v>238</v>
      </c>
      <c r="D152">
        <f t="shared" si="17"/>
        <v>238</v>
      </c>
      <c r="E152">
        <f t="shared" si="18"/>
        <v>238</v>
      </c>
      <c r="F152">
        <f t="shared" si="19"/>
        <v>212</v>
      </c>
      <c r="G152" t="str">
        <f t="shared" si="20"/>
        <v>drewno</v>
      </c>
      <c r="H152" t="str">
        <f t="shared" si="21"/>
        <v>GAZ</v>
      </c>
      <c r="I152">
        <f t="shared" si="22"/>
        <v>0</v>
      </c>
      <c r="Z152">
        <f>IF(E152-D152=300,1,0)</f>
        <v>0</v>
      </c>
      <c r="AB152">
        <v>151</v>
      </c>
      <c r="AC152">
        <f>F152</f>
        <v>212</v>
      </c>
    </row>
    <row r="153" spans="1:29" x14ac:dyDescent="0.25">
      <c r="A153" s="1">
        <v>42413</v>
      </c>
      <c r="B153">
        <f t="shared" si="16"/>
        <v>6</v>
      </c>
      <c r="C153">
        <f t="shared" si="23"/>
        <v>212</v>
      </c>
      <c r="D153">
        <f t="shared" si="17"/>
        <v>186</v>
      </c>
      <c r="E153">
        <f t="shared" si="18"/>
        <v>186</v>
      </c>
      <c r="F153">
        <f t="shared" si="19"/>
        <v>160</v>
      </c>
      <c r="G153" t="str">
        <f t="shared" si="20"/>
        <v>drewno</v>
      </c>
      <c r="H153" t="str">
        <f t="shared" si="21"/>
        <v>DREWNO</v>
      </c>
      <c r="I153" t="str">
        <f t="shared" si="22"/>
        <v>DREWNO</v>
      </c>
      <c r="Z153">
        <f>IF(E153-D153=300,1,0)</f>
        <v>0</v>
      </c>
      <c r="AB153">
        <v>152</v>
      </c>
      <c r="AC153">
        <f>F153</f>
        <v>160</v>
      </c>
    </row>
    <row r="154" spans="1:29" x14ac:dyDescent="0.25">
      <c r="A154" s="1">
        <v>42414</v>
      </c>
      <c r="B154">
        <f t="shared" si="16"/>
        <v>7</v>
      </c>
      <c r="C154">
        <f t="shared" si="23"/>
        <v>160</v>
      </c>
      <c r="D154">
        <f t="shared" si="17"/>
        <v>134</v>
      </c>
      <c r="E154">
        <f t="shared" si="18"/>
        <v>134</v>
      </c>
      <c r="F154">
        <f t="shared" si="19"/>
        <v>108</v>
      </c>
      <c r="G154" t="str">
        <f t="shared" si="20"/>
        <v>drewno</v>
      </c>
      <c r="H154" t="str">
        <f t="shared" si="21"/>
        <v>DREWNO</v>
      </c>
      <c r="I154" t="str">
        <f t="shared" si="22"/>
        <v>DREWNO</v>
      </c>
      <c r="Z154">
        <f>IF(E154-D154=300,1,0)</f>
        <v>0</v>
      </c>
      <c r="AB154">
        <v>153</v>
      </c>
      <c r="AC154">
        <f>F154</f>
        <v>108</v>
      </c>
    </row>
    <row r="155" spans="1:29" x14ac:dyDescent="0.25">
      <c r="A155" s="1">
        <v>42415</v>
      </c>
      <c r="B155">
        <f t="shared" si="16"/>
        <v>1</v>
      </c>
      <c r="C155">
        <f t="shared" si="23"/>
        <v>108</v>
      </c>
      <c r="D155">
        <f t="shared" si="17"/>
        <v>108</v>
      </c>
      <c r="E155">
        <f t="shared" si="18"/>
        <v>108</v>
      </c>
      <c r="F155">
        <f t="shared" si="19"/>
        <v>82</v>
      </c>
      <c r="G155" t="str">
        <f t="shared" si="20"/>
        <v>drewno</v>
      </c>
      <c r="H155" t="str">
        <f t="shared" si="21"/>
        <v>GAZ</v>
      </c>
      <c r="I155">
        <f t="shared" si="22"/>
        <v>0</v>
      </c>
      <c r="Z155">
        <f>IF(E155-D155=300,1,0)</f>
        <v>0</v>
      </c>
      <c r="AB155">
        <v>154</v>
      </c>
      <c r="AC155">
        <f>F155</f>
        <v>82</v>
      </c>
    </row>
    <row r="156" spans="1:29" x14ac:dyDescent="0.25">
      <c r="A156" s="1">
        <v>42416</v>
      </c>
      <c r="B156">
        <f t="shared" si="16"/>
        <v>2</v>
      </c>
      <c r="C156">
        <f t="shared" si="23"/>
        <v>82</v>
      </c>
      <c r="D156">
        <f t="shared" si="17"/>
        <v>82</v>
      </c>
      <c r="E156">
        <f t="shared" si="18"/>
        <v>82</v>
      </c>
      <c r="F156">
        <f t="shared" si="19"/>
        <v>56</v>
      </c>
      <c r="G156" t="str">
        <f t="shared" si="20"/>
        <v>drewno</v>
      </c>
      <c r="H156" t="str">
        <f t="shared" si="21"/>
        <v>GAZ</v>
      </c>
      <c r="I156">
        <f t="shared" si="22"/>
        <v>0</v>
      </c>
      <c r="Z156">
        <f>IF(E156-D156=300,1,0)</f>
        <v>0</v>
      </c>
      <c r="AB156">
        <v>155</v>
      </c>
      <c r="AC156">
        <f>F156</f>
        <v>56</v>
      </c>
    </row>
    <row r="157" spans="1:29" x14ac:dyDescent="0.25">
      <c r="A157" s="1">
        <v>42417</v>
      </c>
      <c r="B157">
        <f t="shared" si="16"/>
        <v>3</v>
      </c>
      <c r="C157">
        <f t="shared" si="23"/>
        <v>56</v>
      </c>
      <c r="D157">
        <f t="shared" si="17"/>
        <v>56</v>
      </c>
      <c r="E157">
        <f t="shared" si="18"/>
        <v>56</v>
      </c>
      <c r="F157">
        <f t="shared" si="19"/>
        <v>30</v>
      </c>
      <c r="G157" t="str">
        <f t="shared" si="20"/>
        <v>drewno</v>
      </c>
      <c r="H157" t="str">
        <f t="shared" si="21"/>
        <v>GAZ</v>
      </c>
      <c r="I157">
        <f t="shared" si="22"/>
        <v>0</v>
      </c>
      <c r="Z157">
        <f>IF(E157-D157=300,1,0)</f>
        <v>0</v>
      </c>
      <c r="AB157">
        <v>156</v>
      </c>
      <c r="AC157">
        <f>F157</f>
        <v>30</v>
      </c>
    </row>
    <row r="158" spans="1:29" x14ac:dyDescent="0.25">
      <c r="A158" s="1">
        <v>42418</v>
      </c>
      <c r="B158">
        <f t="shared" si="16"/>
        <v>4</v>
      </c>
      <c r="C158">
        <f t="shared" si="23"/>
        <v>30</v>
      </c>
      <c r="D158">
        <f t="shared" si="17"/>
        <v>30</v>
      </c>
      <c r="E158">
        <f t="shared" si="18"/>
        <v>30</v>
      </c>
      <c r="F158">
        <f t="shared" si="19"/>
        <v>4</v>
      </c>
      <c r="G158" t="str">
        <f t="shared" si="20"/>
        <v>drewno</v>
      </c>
      <c r="H158" t="str">
        <f t="shared" si="21"/>
        <v>GAZ</v>
      </c>
      <c r="I158">
        <f t="shared" si="22"/>
        <v>0</v>
      </c>
      <c r="Z158">
        <f>IF(E158-D158=300,1,0)</f>
        <v>0</v>
      </c>
      <c r="AB158">
        <v>157</v>
      </c>
      <c r="AC158">
        <f>F158</f>
        <v>4</v>
      </c>
    </row>
    <row r="159" spans="1:29" x14ac:dyDescent="0.25">
      <c r="A159" s="1">
        <v>42419</v>
      </c>
      <c r="B159">
        <f t="shared" si="16"/>
        <v>5</v>
      </c>
      <c r="C159">
        <f t="shared" si="23"/>
        <v>4</v>
      </c>
      <c r="D159">
        <f t="shared" si="17"/>
        <v>4</v>
      </c>
      <c r="E159">
        <f t="shared" si="18"/>
        <v>472</v>
      </c>
      <c r="F159">
        <f t="shared" si="19"/>
        <v>446</v>
      </c>
      <c r="G159" t="str">
        <f t="shared" si="20"/>
        <v>drewno</v>
      </c>
      <c r="H159" t="str">
        <f t="shared" si="21"/>
        <v>GAZ</v>
      </c>
      <c r="I159">
        <f t="shared" si="22"/>
        <v>0</v>
      </c>
      <c r="Z159">
        <f>IF(E159-D159=300,1,0)</f>
        <v>0</v>
      </c>
      <c r="AB159">
        <v>158</v>
      </c>
      <c r="AC159">
        <f>F159</f>
        <v>446</v>
      </c>
    </row>
    <row r="160" spans="1:29" x14ac:dyDescent="0.25">
      <c r="A160" s="1">
        <v>42420</v>
      </c>
      <c r="B160">
        <f t="shared" si="16"/>
        <v>6</v>
      </c>
      <c r="C160">
        <f t="shared" si="23"/>
        <v>446</v>
      </c>
      <c r="D160">
        <f t="shared" si="17"/>
        <v>420</v>
      </c>
      <c r="E160">
        <f t="shared" si="18"/>
        <v>420</v>
      </c>
      <c r="F160">
        <f t="shared" si="19"/>
        <v>394</v>
      </c>
      <c r="G160" t="str">
        <f t="shared" si="20"/>
        <v>drewno</v>
      </c>
      <c r="H160" t="str">
        <f t="shared" si="21"/>
        <v>DREWNO</v>
      </c>
      <c r="I160" t="str">
        <f t="shared" si="22"/>
        <v>DREWNO</v>
      </c>
      <c r="Z160">
        <f>IF(E160-D160=300,1,0)</f>
        <v>0</v>
      </c>
      <c r="AB160">
        <v>159</v>
      </c>
      <c r="AC160">
        <f>F160</f>
        <v>394</v>
      </c>
    </row>
    <row r="161" spans="1:29" x14ac:dyDescent="0.25">
      <c r="A161" s="1">
        <v>42421</v>
      </c>
      <c r="B161">
        <f t="shared" si="16"/>
        <v>7</v>
      </c>
      <c r="C161">
        <f t="shared" si="23"/>
        <v>394</v>
      </c>
      <c r="D161">
        <f t="shared" si="17"/>
        <v>368</v>
      </c>
      <c r="E161">
        <f t="shared" si="18"/>
        <v>368</v>
      </c>
      <c r="F161">
        <f t="shared" si="19"/>
        <v>342</v>
      </c>
      <c r="G161" t="str">
        <f t="shared" si="20"/>
        <v>drewno</v>
      </c>
      <c r="H161" t="str">
        <f t="shared" si="21"/>
        <v>DREWNO</v>
      </c>
      <c r="I161" t="str">
        <f t="shared" si="22"/>
        <v>DREWNO</v>
      </c>
      <c r="Z161">
        <f>IF(E161-D161=300,1,0)</f>
        <v>0</v>
      </c>
      <c r="AB161">
        <v>160</v>
      </c>
      <c r="AC161">
        <f>F161</f>
        <v>342</v>
      </c>
    </row>
    <row r="162" spans="1:29" x14ac:dyDescent="0.25">
      <c r="A162" s="1">
        <v>42422</v>
      </c>
      <c r="B162">
        <f t="shared" si="16"/>
        <v>1</v>
      </c>
      <c r="C162">
        <f t="shared" si="23"/>
        <v>342</v>
      </c>
      <c r="D162">
        <f t="shared" si="17"/>
        <v>342</v>
      </c>
      <c r="E162">
        <f t="shared" si="18"/>
        <v>342</v>
      </c>
      <c r="F162">
        <f t="shared" si="19"/>
        <v>316</v>
      </c>
      <c r="G162" t="str">
        <f t="shared" si="20"/>
        <v>drewno</v>
      </c>
      <c r="H162" t="str">
        <f t="shared" si="21"/>
        <v>GAZ</v>
      </c>
      <c r="I162">
        <f t="shared" si="22"/>
        <v>0</v>
      </c>
      <c r="Z162">
        <f>IF(E162-D162=300,1,0)</f>
        <v>0</v>
      </c>
      <c r="AB162">
        <v>161</v>
      </c>
      <c r="AC162">
        <f>F162</f>
        <v>316</v>
      </c>
    </row>
    <row r="163" spans="1:29" x14ac:dyDescent="0.25">
      <c r="A163" s="1">
        <v>42423</v>
      </c>
      <c r="B163">
        <f t="shared" si="16"/>
        <v>2</v>
      </c>
      <c r="C163">
        <f t="shared" si="23"/>
        <v>316</v>
      </c>
      <c r="D163">
        <f t="shared" si="17"/>
        <v>316</v>
      </c>
      <c r="E163">
        <f t="shared" si="18"/>
        <v>316</v>
      </c>
      <c r="F163">
        <f t="shared" si="19"/>
        <v>290</v>
      </c>
      <c r="G163" t="str">
        <f t="shared" si="20"/>
        <v>drewno</v>
      </c>
      <c r="H163" t="str">
        <f t="shared" si="21"/>
        <v>GAZ</v>
      </c>
      <c r="I163">
        <f t="shared" si="22"/>
        <v>0</v>
      </c>
      <c r="Z163">
        <f>IF(E163-D163=300,1,0)</f>
        <v>0</v>
      </c>
      <c r="AB163">
        <v>162</v>
      </c>
      <c r="AC163">
        <f>F163</f>
        <v>290</v>
      </c>
    </row>
    <row r="164" spans="1:29" x14ac:dyDescent="0.25">
      <c r="A164" s="1">
        <v>42424</v>
      </c>
      <c r="B164">
        <f t="shared" si="16"/>
        <v>3</v>
      </c>
      <c r="C164">
        <f t="shared" si="23"/>
        <v>290</v>
      </c>
      <c r="D164">
        <f t="shared" si="17"/>
        <v>290</v>
      </c>
      <c r="E164">
        <f t="shared" si="18"/>
        <v>290</v>
      </c>
      <c r="F164">
        <f t="shared" si="19"/>
        <v>264</v>
      </c>
      <c r="G164" t="str">
        <f t="shared" si="20"/>
        <v>drewno</v>
      </c>
      <c r="H164" t="str">
        <f t="shared" si="21"/>
        <v>GAZ</v>
      </c>
      <c r="I164">
        <f t="shared" si="22"/>
        <v>0</v>
      </c>
      <c r="Z164">
        <f>IF(E164-D164=300,1,0)</f>
        <v>0</v>
      </c>
      <c r="AB164">
        <v>163</v>
      </c>
      <c r="AC164">
        <f>F164</f>
        <v>264</v>
      </c>
    </row>
    <row r="165" spans="1:29" x14ac:dyDescent="0.25">
      <c r="A165" s="1">
        <v>42425</v>
      </c>
      <c r="B165">
        <f t="shared" si="16"/>
        <v>4</v>
      </c>
      <c r="C165">
        <f t="shared" si="23"/>
        <v>264</v>
      </c>
      <c r="D165">
        <f t="shared" si="17"/>
        <v>264</v>
      </c>
      <c r="E165">
        <f t="shared" si="18"/>
        <v>264</v>
      </c>
      <c r="F165">
        <f t="shared" si="19"/>
        <v>238</v>
      </c>
      <c r="G165" t="str">
        <f t="shared" si="20"/>
        <v>drewno</v>
      </c>
      <c r="H165" t="str">
        <f t="shared" si="21"/>
        <v>GAZ</v>
      </c>
      <c r="I165">
        <f t="shared" si="22"/>
        <v>0</v>
      </c>
      <c r="Z165">
        <f>IF(E165-D165=300,1,0)</f>
        <v>0</v>
      </c>
      <c r="AB165">
        <v>164</v>
      </c>
      <c r="AC165">
        <f>F165</f>
        <v>238</v>
      </c>
    </row>
    <row r="166" spans="1:29" x14ac:dyDescent="0.25">
      <c r="A166" s="1">
        <v>42426</v>
      </c>
      <c r="B166">
        <f t="shared" si="16"/>
        <v>5</v>
      </c>
      <c r="C166">
        <f t="shared" si="23"/>
        <v>238</v>
      </c>
      <c r="D166">
        <f t="shared" si="17"/>
        <v>238</v>
      </c>
      <c r="E166">
        <f t="shared" si="18"/>
        <v>238</v>
      </c>
      <c r="F166">
        <f t="shared" si="19"/>
        <v>212</v>
      </c>
      <c r="G166" t="str">
        <f t="shared" si="20"/>
        <v>drewno</v>
      </c>
      <c r="H166" t="str">
        <f t="shared" si="21"/>
        <v>GAZ</v>
      </c>
      <c r="I166">
        <f t="shared" si="22"/>
        <v>0</v>
      </c>
      <c r="Z166">
        <f>IF(E166-D166=300,1,0)</f>
        <v>0</v>
      </c>
      <c r="AB166">
        <v>165</v>
      </c>
      <c r="AC166">
        <f>F166</f>
        <v>212</v>
      </c>
    </row>
    <row r="167" spans="1:29" x14ac:dyDescent="0.25">
      <c r="A167" s="1">
        <v>42427</v>
      </c>
      <c r="B167">
        <f t="shared" si="16"/>
        <v>6</v>
      </c>
      <c r="C167">
        <f t="shared" si="23"/>
        <v>212</v>
      </c>
      <c r="D167">
        <f t="shared" si="17"/>
        <v>186</v>
      </c>
      <c r="E167">
        <f t="shared" si="18"/>
        <v>186</v>
      </c>
      <c r="F167">
        <f t="shared" si="19"/>
        <v>160</v>
      </c>
      <c r="G167" t="str">
        <f t="shared" si="20"/>
        <v>drewno</v>
      </c>
      <c r="H167" t="str">
        <f t="shared" si="21"/>
        <v>DREWNO</v>
      </c>
      <c r="I167" t="str">
        <f t="shared" si="22"/>
        <v>DREWNO</v>
      </c>
      <c r="Z167">
        <f>IF(E167-D167=300,1,0)</f>
        <v>0</v>
      </c>
      <c r="AB167">
        <v>166</v>
      </c>
      <c r="AC167">
        <f>F167</f>
        <v>160</v>
      </c>
    </row>
    <row r="168" spans="1:29" x14ac:dyDescent="0.25">
      <c r="A168" s="1">
        <v>42428</v>
      </c>
      <c r="B168">
        <f t="shared" si="16"/>
        <v>7</v>
      </c>
      <c r="C168">
        <f t="shared" si="23"/>
        <v>160</v>
      </c>
      <c r="D168">
        <f t="shared" si="17"/>
        <v>134</v>
      </c>
      <c r="E168">
        <f t="shared" si="18"/>
        <v>134</v>
      </c>
      <c r="F168">
        <f t="shared" si="19"/>
        <v>108</v>
      </c>
      <c r="G168" t="str">
        <f t="shared" si="20"/>
        <v>drewno</v>
      </c>
      <c r="H168" t="str">
        <f t="shared" si="21"/>
        <v>DREWNO</v>
      </c>
      <c r="I168" t="str">
        <f t="shared" si="22"/>
        <v>DREWNO</v>
      </c>
      <c r="Z168">
        <f>IF(E168-D168=300,1,0)</f>
        <v>0</v>
      </c>
      <c r="AB168">
        <v>167</v>
      </c>
      <c r="AC168">
        <f>F168</f>
        <v>108</v>
      </c>
    </row>
    <row r="169" spans="1:29" x14ac:dyDescent="0.25">
      <c r="A169" s="1">
        <v>42429</v>
      </c>
      <c r="B169">
        <f t="shared" si="16"/>
        <v>1</v>
      </c>
      <c r="C169">
        <f t="shared" si="23"/>
        <v>108</v>
      </c>
      <c r="D169">
        <f t="shared" si="17"/>
        <v>108</v>
      </c>
      <c r="E169">
        <f t="shared" si="18"/>
        <v>108</v>
      </c>
      <c r="F169">
        <f t="shared" si="19"/>
        <v>82</v>
      </c>
      <c r="G169" t="str">
        <f t="shared" si="20"/>
        <v>drewno</v>
      </c>
      <c r="H169" t="str">
        <f t="shared" si="21"/>
        <v>GAZ</v>
      </c>
      <c r="I169">
        <f t="shared" si="22"/>
        <v>0</v>
      </c>
      <c r="Z169">
        <f>IF(E169-D169=300,1,0)</f>
        <v>0</v>
      </c>
      <c r="AB169">
        <v>168</v>
      </c>
      <c r="AC169">
        <f>F169</f>
        <v>82</v>
      </c>
    </row>
    <row r="170" spans="1:29" x14ac:dyDescent="0.25">
      <c r="A170" s="1">
        <v>42430</v>
      </c>
      <c r="B170">
        <f t="shared" si="16"/>
        <v>2</v>
      </c>
      <c r="C170">
        <f t="shared" si="23"/>
        <v>82</v>
      </c>
      <c r="D170">
        <f t="shared" si="17"/>
        <v>82</v>
      </c>
      <c r="E170">
        <f t="shared" si="18"/>
        <v>82</v>
      </c>
      <c r="F170">
        <f t="shared" si="19"/>
        <v>56</v>
      </c>
      <c r="G170" t="str">
        <f t="shared" si="20"/>
        <v>drewno</v>
      </c>
      <c r="H170" t="str">
        <f t="shared" si="21"/>
        <v>GAZ</v>
      </c>
      <c r="I170">
        <f t="shared" si="22"/>
        <v>0</v>
      </c>
      <c r="Z170">
        <f>IF(E170-D170=300,1,0)</f>
        <v>0</v>
      </c>
      <c r="AB170">
        <v>169</v>
      </c>
      <c r="AC170">
        <f>F170</f>
        <v>56</v>
      </c>
    </row>
    <row r="171" spans="1:29" x14ac:dyDescent="0.25">
      <c r="A171" s="1">
        <v>42431</v>
      </c>
      <c r="B171">
        <f t="shared" si="16"/>
        <v>3</v>
      </c>
      <c r="C171">
        <f t="shared" si="23"/>
        <v>56</v>
      </c>
      <c r="D171">
        <f t="shared" si="17"/>
        <v>56</v>
      </c>
      <c r="E171">
        <f t="shared" si="18"/>
        <v>56</v>
      </c>
      <c r="F171">
        <f t="shared" si="19"/>
        <v>30</v>
      </c>
      <c r="G171" t="str">
        <f t="shared" si="20"/>
        <v>drewno</v>
      </c>
      <c r="H171" t="str">
        <f t="shared" si="21"/>
        <v>GAZ</v>
      </c>
      <c r="I171">
        <f t="shared" si="22"/>
        <v>0</v>
      </c>
      <c r="Z171">
        <f>IF(E171-D171=300,1,0)</f>
        <v>0</v>
      </c>
      <c r="AB171">
        <v>170</v>
      </c>
      <c r="AC171">
        <f>F171</f>
        <v>30</v>
      </c>
    </row>
    <row r="172" spans="1:29" x14ac:dyDescent="0.25">
      <c r="A172" s="1">
        <v>42432</v>
      </c>
      <c r="B172">
        <f t="shared" si="16"/>
        <v>4</v>
      </c>
      <c r="C172">
        <f t="shared" si="23"/>
        <v>30</v>
      </c>
      <c r="D172">
        <f t="shared" si="17"/>
        <v>30</v>
      </c>
      <c r="E172">
        <f t="shared" si="18"/>
        <v>30</v>
      </c>
      <c r="F172">
        <f t="shared" si="19"/>
        <v>4</v>
      </c>
      <c r="G172" t="str">
        <f t="shared" si="20"/>
        <v>drewno</v>
      </c>
      <c r="H172" t="str">
        <f t="shared" si="21"/>
        <v>GAZ</v>
      </c>
      <c r="I172">
        <f t="shared" si="22"/>
        <v>0</v>
      </c>
      <c r="Z172">
        <f>IF(E172-D172=300,1,0)</f>
        <v>0</v>
      </c>
      <c r="AB172">
        <v>171</v>
      </c>
      <c r="AC172">
        <f>F172</f>
        <v>4</v>
      </c>
    </row>
    <row r="173" spans="1:29" x14ac:dyDescent="0.25">
      <c r="A173" s="1">
        <v>42433</v>
      </c>
      <c r="B173">
        <f t="shared" si="16"/>
        <v>5</v>
      </c>
      <c r="C173">
        <f t="shared" si="23"/>
        <v>4</v>
      </c>
      <c r="D173">
        <f t="shared" si="17"/>
        <v>4</v>
      </c>
      <c r="E173">
        <f t="shared" si="18"/>
        <v>472</v>
      </c>
      <c r="F173">
        <f t="shared" si="19"/>
        <v>446</v>
      </c>
      <c r="G173" t="str">
        <f t="shared" si="20"/>
        <v>drewno</v>
      </c>
      <c r="H173" t="str">
        <f t="shared" si="21"/>
        <v>GAZ</v>
      </c>
      <c r="I173">
        <f t="shared" si="22"/>
        <v>0</v>
      </c>
      <c r="Z173">
        <f>IF(E173-D173=300,1,0)</f>
        <v>0</v>
      </c>
      <c r="AB173">
        <v>172</v>
      </c>
      <c r="AC173">
        <f>F173</f>
        <v>446</v>
      </c>
    </row>
    <row r="174" spans="1:29" x14ac:dyDescent="0.25">
      <c r="A174" s="1">
        <v>42434</v>
      </c>
      <c r="B174">
        <f t="shared" si="16"/>
        <v>6</v>
      </c>
      <c r="C174">
        <f t="shared" si="23"/>
        <v>446</v>
      </c>
      <c r="D174">
        <f t="shared" si="17"/>
        <v>420</v>
      </c>
      <c r="E174">
        <f t="shared" si="18"/>
        <v>420</v>
      </c>
      <c r="F174">
        <f t="shared" si="19"/>
        <v>394</v>
      </c>
      <c r="G174" t="str">
        <f t="shared" si="20"/>
        <v>drewno</v>
      </c>
      <c r="H174" t="str">
        <f t="shared" si="21"/>
        <v>DREWNO</v>
      </c>
      <c r="I174" t="str">
        <f t="shared" si="22"/>
        <v>DREWNO</v>
      </c>
      <c r="Z174">
        <f>IF(E174-D174=300,1,0)</f>
        <v>0</v>
      </c>
      <c r="AB174">
        <v>173</v>
      </c>
      <c r="AC174">
        <f>F174</f>
        <v>394</v>
      </c>
    </row>
    <row r="175" spans="1:29" x14ac:dyDescent="0.25">
      <c r="A175" s="1">
        <v>42435</v>
      </c>
      <c r="B175">
        <f t="shared" si="16"/>
        <v>7</v>
      </c>
      <c r="C175">
        <f t="shared" si="23"/>
        <v>394</v>
      </c>
      <c r="D175">
        <f t="shared" si="17"/>
        <v>368</v>
      </c>
      <c r="E175">
        <f t="shared" si="18"/>
        <v>368</v>
      </c>
      <c r="F175">
        <f t="shared" si="19"/>
        <v>342</v>
      </c>
      <c r="G175" t="str">
        <f t="shared" si="20"/>
        <v>drewno</v>
      </c>
      <c r="H175" t="str">
        <f t="shared" si="21"/>
        <v>DREWNO</v>
      </c>
      <c r="I175" t="str">
        <f t="shared" si="22"/>
        <v>DREWNO</v>
      </c>
      <c r="Z175">
        <f>IF(E175-D175=300,1,0)</f>
        <v>0</v>
      </c>
      <c r="AB175">
        <v>174</v>
      </c>
      <c r="AC175">
        <f>F175</f>
        <v>342</v>
      </c>
    </row>
    <row r="176" spans="1:29" x14ac:dyDescent="0.25">
      <c r="A176" s="1">
        <v>42436</v>
      </c>
      <c r="B176">
        <f t="shared" si="16"/>
        <v>1</v>
      </c>
      <c r="C176">
        <f t="shared" si="23"/>
        <v>342</v>
      </c>
      <c r="D176">
        <f t="shared" si="17"/>
        <v>342</v>
      </c>
      <c r="E176">
        <f t="shared" si="18"/>
        <v>342</v>
      </c>
      <c r="F176">
        <f t="shared" si="19"/>
        <v>316</v>
      </c>
      <c r="G176" t="str">
        <f t="shared" si="20"/>
        <v>drewno</v>
      </c>
      <c r="H176" t="str">
        <f t="shared" si="21"/>
        <v>GAZ</v>
      </c>
      <c r="I176">
        <f t="shared" si="22"/>
        <v>0</v>
      </c>
      <c r="Z176">
        <f>IF(E176-D176=300,1,0)</f>
        <v>0</v>
      </c>
      <c r="AB176">
        <v>175</v>
      </c>
      <c r="AC176">
        <f>F176</f>
        <v>316</v>
      </c>
    </row>
    <row r="177" spans="1:29" x14ac:dyDescent="0.25">
      <c r="A177" s="1">
        <v>42437</v>
      </c>
      <c r="B177">
        <f t="shared" si="16"/>
        <v>2</v>
      </c>
      <c r="C177">
        <f t="shared" si="23"/>
        <v>316</v>
      </c>
      <c r="D177">
        <f t="shared" si="17"/>
        <v>316</v>
      </c>
      <c r="E177">
        <f t="shared" si="18"/>
        <v>316</v>
      </c>
      <c r="F177">
        <f t="shared" si="19"/>
        <v>290</v>
      </c>
      <c r="G177" t="str">
        <f t="shared" si="20"/>
        <v>drewno</v>
      </c>
      <c r="H177" t="str">
        <f t="shared" si="21"/>
        <v>GAZ</v>
      </c>
      <c r="I177">
        <f t="shared" si="22"/>
        <v>0</v>
      </c>
      <c r="Z177">
        <f>IF(E177-D177=300,1,0)</f>
        <v>0</v>
      </c>
      <c r="AB177">
        <v>176</v>
      </c>
      <c r="AC177">
        <f>F177</f>
        <v>290</v>
      </c>
    </row>
    <row r="178" spans="1:29" x14ac:dyDescent="0.25">
      <c r="A178" s="1">
        <v>42438</v>
      </c>
      <c r="B178">
        <f t="shared" si="16"/>
        <v>3</v>
      </c>
      <c r="C178">
        <f t="shared" si="23"/>
        <v>290</v>
      </c>
      <c r="D178">
        <f t="shared" si="17"/>
        <v>290</v>
      </c>
      <c r="E178">
        <f t="shared" si="18"/>
        <v>290</v>
      </c>
      <c r="F178">
        <f t="shared" si="19"/>
        <v>264</v>
      </c>
      <c r="G178" t="str">
        <f t="shared" si="20"/>
        <v>drewno</v>
      </c>
      <c r="H178" t="str">
        <f t="shared" si="21"/>
        <v>GAZ</v>
      </c>
      <c r="I178">
        <f t="shared" si="22"/>
        <v>0</v>
      </c>
      <c r="Z178">
        <f>IF(E178-D178=300,1,0)</f>
        <v>0</v>
      </c>
      <c r="AB178">
        <v>177</v>
      </c>
      <c r="AC178">
        <f>F178</f>
        <v>264</v>
      </c>
    </row>
    <row r="179" spans="1:29" x14ac:dyDescent="0.25">
      <c r="A179" s="1">
        <v>42439</v>
      </c>
      <c r="B179">
        <f t="shared" si="16"/>
        <v>4</v>
      </c>
      <c r="C179">
        <f t="shared" si="23"/>
        <v>264</v>
      </c>
      <c r="D179">
        <f t="shared" si="17"/>
        <v>264</v>
      </c>
      <c r="E179">
        <f t="shared" si="18"/>
        <v>264</v>
      </c>
      <c r="F179">
        <f t="shared" si="19"/>
        <v>238</v>
      </c>
      <c r="G179" t="str">
        <f t="shared" si="20"/>
        <v>drewno</v>
      </c>
      <c r="H179" t="str">
        <f t="shared" si="21"/>
        <v>GAZ</v>
      </c>
      <c r="I179">
        <f t="shared" si="22"/>
        <v>0</v>
      </c>
      <c r="Z179">
        <f>IF(E179-D179=300,1,0)</f>
        <v>0</v>
      </c>
      <c r="AB179">
        <v>178</v>
      </c>
      <c r="AC179">
        <f>F179</f>
        <v>238</v>
      </c>
    </row>
    <row r="180" spans="1:29" x14ac:dyDescent="0.25">
      <c r="A180" s="1">
        <v>42440</v>
      </c>
      <c r="B180">
        <f t="shared" si="16"/>
        <v>5</v>
      </c>
      <c r="C180">
        <f t="shared" si="23"/>
        <v>238</v>
      </c>
      <c r="D180">
        <f t="shared" si="17"/>
        <v>238</v>
      </c>
      <c r="E180">
        <f t="shared" si="18"/>
        <v>238</v>
      </c>
      <c r="F180">
        <f t="shared" si="19"/>
        <v>212</v>
      </c>
      <c r="G180" t="str">
        <f t="shared" si="20"/>
        <v>drewno</v>
      </c>
      <c r="H180" t="str">
        <f t="shared" si="21"/>
        <v>GAZ</v>
      </c>
      <c r="I180">
        <f t="shared" si="22"/>
        <v>0</v>
      </c>
      <c r="Z180">
        <f>IF(E180-D180=300,1,0)</f>
        <v>0</v>
      </c>
      <c r="AB180">
        <v>179</v>
      </c>
      <c r="AC180">
        <f>F180</f>
        <v>212</v>
      </c>
    </row>
    <row r="181" spans="1:29" x14ac:dyDescent="0.25">
      <c r="A181" s="1">
        <v>42441</v>
      </c>
      <c r="B181">
        <f t="shared" si="16"/>
        <v>6</v>
      </c>
      <c r="C181">
        <f t="shared" si="23"/>
        <v>212</v>
      </c>
      <c r="D181">
        <f t="shared" si="17"/>
        <v>186</v>
      </c>
      <c r="E181">
        <f t="shared" si="18"/>
        <v>186</v>
      </c>
      <c r="F181">
        <f t="shared" si="19"/>
        <v>160</v>
      </c>
      <c r="G181" t="str">
        <f t="shared" si="20"/>
        <v>drewno</v>
      </c>
      <c r="H181" t="str">
        <f t="shared" si="21"/>
        <v>DREWNO</v>
      </c>
      <c r="I181" t="str">
        <f t="shared" si="22"/>
        <v>DREWNO</v>
      </c>
      <c r="Z181">
        <f>IF(E181-D181=300,1,0)</f>
        <v>0</v>
      </c>
      <c r="AB181">
        <v>180</v>
      </c>
      <c r="AC181">
        <f>F181</f>
        <v>160</v>
      </c>
    </row>
    <row r="182" spans="1:29" x14ac:dyDescent="0.25">
      <c r="A182" s="1">
        <v>42442</v>
      </c>
      <c r="B182">
        <f t="shared" si="16"/>
        <v>7</v>
      </c>
      <c r="C182">
        <f t="shared" si="23"/>
        <v>160</v>
      </c>
      <c r="D182">
        <f t="shared" si="17"/>
        <v>134</v>
      </c>
      <c r="E182">
        <f t="shared" si="18"/>
        <v>134</v>
      </c>
      <c r="F182">
        <f t="shared" si="19"/>
        <v>108</v>
      </c>
      <c r="G182" t="str">
        <f t="shared" si="20"/>
        <v>drewno</v>
      </c>
      <c r="H182" t="str">
        <f t="shared" si="21"/>
        <v>DREWNO</v>
      </c>
      <c r="I182" t="str">
        <f t="shared" si="22"/>
        <v>DREWNO</v>
      </c>
      <c r="Z182">
        <f>IF(E182-D182=300,1,0)</f>
        <v>0</v>
      </c>
      <c r="AB182">
        <v>181</v>
      </c>
      <c r="AC182">
        <f>F182</f>
        <v>108</v>
      </c>
    </row>
    <row r="183" spans="1:29" x14ac:dyDescent="0.25">
      <c r="A183" s="1">
        <v>42443</v>
      </c>
      <c r="B183">
        <f t="shared" si="16"/>
        <v>1</v>
      </c>
      <c r="C183">
        <f t="shared" si="23"/>
        <v>108</v>
      </c>
      <c r="D183">
        <f t="shared" si="17"/>
        <v>108</v>
      </c>
      <c r="E183">
        <f t="shared" si="18"/>
        <v>108</v>
      </c>
      <c r="F183">
        <f t="shared" si="19"/>
        <v>82</v>
      </c>
      <c r="G183" t="str">
        <f t="shared" si="20"/>
        <v>drewno</v>
      </c>
      <c r="H183" t="str">
        <f t="shared" si="21"/>
        <v>GAZ</v>
      </c>
      <c r="I183">
        <f t="shared" si="22"/>
        <v>0</v>
      </c>
      <c r="Z183">
        <f>IF(E183-D183=300,1,0)</f>
        <v>0</v>
      </c>
      <c r="AB183">
        <v>182</v>
      </c>
      <c r="AC183">
        <f>F183</f>
        <v>82</v>
      </c>
    </row>
    <row r="184" spans="1:29" x14ac:dyDescent="0.25">
      <c r="A184" s="1">
        <v>42444</v>
      </c>
      <c r="B184">
        <f t="shared" si="16"/>
        <v>2</v>
      </c>
      <c r="C184">
        <f t="shared" si="23"/>
        <v>82</v>
      </c>
      <c r="D184">
        <f t="shared" si="17"/>
        <v>82</v>
      </c>
      <c r="E184">
        <f t="shared" si="18"/>
        <v>82</v>
      </c>
      <c r="F184">
        <f t="shared" si="19"/>
        <v>56</v>
      </c>
      <c r="G184" t="str">
        <f t="shared" si="20"/>
        <v>drewno</v>
      </c>
      <c r="H184" t="str">
        <f t="shared" si="21"/>
        <v>GAZ</v>
      </c>
      <c r="I184">
        <f t="shared" si="22"/>
        <v>0</v>
      </c>
      <c r="Z184">
        <f>IF(E184-D184=300,1,0)</f>
        <v>0</v>
      </c>
      <c r="AB184">
        <v>183</v>
      </c>
      <c r="AC184">
        <f>F184</f>
        <v>56</v>
      </c>
    </row>
    <row r="185" spans="1:29" x14ac:dyDescent="0.25">
      <c r="A185" s="1">
        <v>42445</v>
      </c>
      <c r="B185">
        <f t="shared" si="16"/>
        <v>3</v>
      </c>
      <c r="C185">
        <f t="shared" si="23"/>
        <v>56</v>
      </c>
      <c r="D185">
        <f t="shared" si="17"/>
        <v>56</v>
      </c>
      <c r="E185">
        <f t="shared" si="18"/>
        <v>56</v>
      </c>
      <c r="F185">
        <f t="shared" si="19"/>
        <v>30</v>
      </c>
      <c r="G185" t="str">
        <f t="shared" si="20"/>
        <v>drewno</v>
      </c>
      <c r="H185" t="str">
        <f t="shared" si="21"/>
        <v>GAZ</v>
      </c>
      <c r="I185">
        <f t="shared" si="22"/>
        <v>0</v>
      </c>
      <c r="Z185">
        <f>IF(E185-D185=300,1,0)</f>
        <v>0</v>
      </c>
      <c r="AB185">
        <v>184</v>
      </c>
      <c r="AC185">
        <f>F185</f>
        <v>30</v>
      </c>
    </row>
    <row r="186" spans="1:29" x14ac:dyDescent="0.25">
      <c r="A186" s="1">
        <v>42446</v>
      </c>
      <c r="B186">
        <f t="shared" si="16"/>
        <v>4</v>
      </c>
      <c r="C186">
        <f t="shared" si="23"/>
        <v>30</v>
      </c>
      <c r="D186">
        <f t="shared" si="17"/>
        <v>30</v>
      </c>
      <c r="E186">
        <f t="shared" si="18"/>
        <v>30</v>
      </c>
      <c r="F186">
        <f t="shared" si="19"/>
        <v>4</v>
      </c>
      <c r="G186" t="str">
        <f t="shared" si="20"/>
        <v>drewno</v>
      </c>
      <c r="H186" t="str">
        <f t="shared" si="21"/>
        <v>GAZ</v>
      </c>
      <c r="I186">
        <f t="shared" si="22"/>
        <v>0</v>
      </c>
      <c r="Z186">
        <f>IF(E186-D186=300,1,0)</f>
        <v>0</v>
      </c>
      <c r="AB186">
        <v>185</v>
      </c>
      <c r="AC186">
        <f>F186</f>
        <v>4</v>
      </c>
    </row>
    <row r="187" spans="1:29" x14ac:dyDescent="0.25">
      <c r="A187" s="1">
        <v>42447</v>
      </c>
      <c r="B187">
        <f t="shared" si="16"/>
        <v>5</v>
      </c>
      <c r="C187">
        <f t="shared" si="23"/>
        <v>4</v>
      </c>
      <c r="D187">
        <f t="shared" si="17"/>
        <v>4</v>
      </c>
      <c r="E187">
        <f t="shared" si="18"/>
        <v>472</v>
      </c>
      <c r="F187">
        <f t="shared" si="19"/>
        <v>446</v>
      </c>
      <c r="G187" t="str">
        <f t="shared" si="20"/>
        <v>drewno</v>
      </c>
      <c r="H187" t="str">
        <f t="shared" si="21"/>
        <v>GAZ</v>
      </c>
      <c r="I187">
        <f t="shared" si="22"/>
        <v>0</v>
      </c>
      <c r="Z187">
        <f>IF(E187-D187=300,1,0)</f>
        <v>0</v>
      </c>
      <c r="AB187">
        <v>186</v>
      </c>
      <c r="AC187">
        <f>F187</f>
        <v>446</v>
      </c>
    </row>
    <row r="188" spans="1:29" x14ac:dyDescent="0.25">
      <c r="A188" s="1">
        <v>42448</v>
      </c>
      <c r="B188">
        <f t="shared" si="16"/>
        <v>6</v>
      </c>
      <c r="C188">
        <f t="shared" si="23"/>
        <v>446</v>
      </c>
      <c r="D188">
        <f t="shared" si="17"/>
        <v>420</v>
      </c>
      <c r="E188">
        <f t="shared" si="18"/>
        <v>420</v>
      </c>
      <c r="F188">
        <f t="shared" si="19"/>
        <v>394</v>
      </c>
      <c r="G188" t="str">
        <f t="shared" si="20"/>
        <v>drewno</v>
      </c>
      <c r="H188" t="str">
        <f t="shared" si="21"/>
        <v>DREWNO</v>
      </c>
      <c r="I188" t="str">
        <f t="shared" si="22"/>
        <v>DREWNO</v>
      </c>
      <c r="Z188">
        <f>IF(E188-D188=300,1,0)</f>
        <v>0</v>
      </c>
      <c r="AB188">
        <v>187</v>
      </c>
      <c r="AC188">
        <f>F188</f>
        <v>394</v>
      </c>
    </row>
    <row r="189" spans="1:29" x14ac:dyDescent="0.25">
      <c r="A189" s="1">
        <v>42449</v>
      </c>
      <c r="B189">
        <f t="shared" si="16"/>
        <v>7</v>
      </c>
      <c r="C189">
        <f t="shared" si="23"/>
        <v>394</v>
      </c>
      <c r="D189">
        <f t="shared" si="17"/>
        <v>368</v>
      </c>
      <c r="E189">
        <f t="shared" si="18"/>
        <v>368</v>
      </c>
      <c r="F189">
        <f t="shared" si="19"/>
        <v>342</v>
      </c>
      <c r="G189" t="str">
        <f t="shared" si="20"/>
        <v>drewno</v>
      </c>
      <c r="H189" t="str">
        <f t="shared" si="21"/>
        <v>DREWNO</v>
      </c>
      <c r="I189" t="str">
        <f t="shared" si="22"/>
        <v>DREWNO</v>
      </c>
      <c r="Z189">
        <f>IF(E189-D189=300,1,0)</f>
        <v>0</v>
      </c>
      <c r="AB189">
        <v>188</v>
      </c>
      <c r="AC189">
        <f>F189</f>
        <v>342</v>
      </c>
    </row>
    <row r="190" spans="1:29" x14ac:dyDescent="0.25">
      <c r="A190" s="1">
        <v>42450</v>
      </c>
      <c r="B190">
        <f t="shared" si="16"/>
        <v>1</v>
      </c>
      <c r="C190">
        <f t="shared" si="23"/>
        <v>342</v>
      </c>
      <c r="D190">
        <f t="shared" si="17"/>
        <v>342</v>
      </c>
      <c r="E190">
        <f t="shared" si="18"/>
        <v>342</v>
      </c>
      <c r="F190">
        <f t="shared" si="19"/>
        <v>316</v>
      </c>
      <c r="G190" t="str">
        <f t="shared" si="20"/>
        <v>drewno</v>
      </c>
      <c r="H190" t="str">
        <f t="shared" si="21"/>
        <v>GAZ</v>
      </c>
      <c r="I190">
        <f t="shared" si="22"/>
        <v>0</v>
      </c>
      <c r="Z190">
        <f>IF(E190-D190=300,1,0)</f>
        <v>0</v>
      </c>
      <c r="AB190">
        <v>189</v>
      </c>
      <c r="AC190">
        <f>F190</f>
        <v>316</v>
      </c>
    </row>
    <row r="191" spans="1:29" x14ac:dyDescent="0.25">
      <c r="A191" s="1">
        <v>42451</v>
      </c>
      <c r="B191">
        <f t="shared" si="16"/>
        <v>2</v>
      </c>
      <c r="C191">
        <f t="shared" si="23"/>
        <v>316</v>
      </c>
      <c r="D191">
        <f t="shared" si="17"/>
        <v>316</v>
      </c>
      <c r="E191">
        <f t="shared" si="18"/>
        <v>316</v>
      </c>
      <c r="F191">
        <f t="shared" si="19"/>
        <v>290</v>
      </c>
      <c r="G191" t="str">
        <f t="shared" si="20"/>
        <v>drewno</v>
      </c>
      <c r="H191" t="str">
        <f t="shared" si="21"/>
        <v>GAZ</v>
      </c>
      <c r="I191">
        <f t="shared" si="22"/>
        <v>0</v>
      </c>
      <c r="Z191">
        <f>IF(E191-D191=300,1,0)</f>
        <v>0</v>
      </c>
      <c r="AB191">
        <v>190</v>
      </c>
      <c r="AC191">
        <f>F191</f>
        <v>290</v>
      </c>
    </row>
    <row r="192" spans="1:29" x14ac:dyDescent="0.25">
      <c r="A192" s="1">
        <v>42452</v>
      </c>
      <c r="B192">
        <f t="shared" si="16"/>
        <v>3</v>
      </c>
      <c r="C192">
        <f t="shared" si="23"/>
        <v>290</v>
      </c>
      <c r="D192">
        <f t="shared" si="17"/>
        <v>290</v>
      </c>
      <c r="E192">
        <f t="shared" si="18"/>
        <v>290</v>
      </c>
      <c r="F192">
        <f t="shared" si="19"/>
        <v>264</v>
      </c>
      <c r="G192" t="str">
        <f t="shared" si="20"/>
        <v>drewno</v>
      </c>
      <c r="H192" t="str">
        <f t="shared" si="21"/>
        <v>GAZ</v>
      </c>
      <c r="I192">
        <f t="shared" si="22"/>
        <v>0</v>
      </c>
      <c r="Z192">
        <f>IF(E192-D192=300,1,0)</f>
        <v>0</v>
      </c>
      <c r="AB192">
        <v>191</v>
      </c>
      <c r="AC192">
        <f>F192</f>
        <v>264</v>
      </c>
    </row>
    <row r="193" spans="1:29" x14ac:dyDescent="0.25">
      <c r="A193" s="1">
        <v>42453</v>
      </c>
      <c r="B193">
        <f t="shared" si="16"/>
        <v>4</v>
      </c>
      <c r="C193">
        <f t="shared" si="23"/>
        <v>264</v>
      </c>
      <c r="D193">
        <f t="shared" si="17"/>
        <v>264</v>
      </c>
      <c r="E193">
        <f t="shared" si="18"/>
        <v>264</v>
      </c>
      <c r="F193">
        <f t="shared" si="19"/>
        <v>238</v>
      </c>
      <c r="G193" t="str">
        <f t="shared" si="20"/>
        <v>drewno</v>
      </c>
      <c r="H193" t="str">
        <f t="shared" si="21"/>
        <v>GAZ</v>
      </c>
      <c r="I193">
        <f t="shared" si="22"/>
        <v>0</v>
      </c>
      <c r="Z193">
        <f>IF(E193-D193=300,1,0)</f>
        <v>0</v>
      </c>
      <c r="AB193">
        <v>192</v>
      </c>
      <c r="AC193">
        <f>F193</f>
        <v>238</v>
      </c>
    </row>
    <row r="194" spans="1:29" x14ac:dyDescent="0.25">
      <c r="A194" s="1">
        <v>42454</v>
      </c>
      <c r="B194">
        <f t="shared" si="16"/>
        <v>5</v>
      </c>
      <c r="C194">
        <f t="shared" si="23"/>
        <v>238</v>
      </c>
      <c r="D194">
        <f t="shared" si="17"/>
        <v>238</v>
      </c>
      <c r="E194">
        <f t="shared" si="18"/>
        <v>238</v>
      </c>
      <c r="F194">
        <f t="shared" si="19"/>
        <v>212</v>
      </c>
      <c r="G194" t="str">
        <f t="shared" si="20"/>
        <v>drewno</v>
      </c>
      <c r="H194" t="str">
        <f t="shared" si="21"/>
        <v>GAZ</v>
      </c>
      <c r="I194">
        <f t="shared" si="22"/>
        <v>0</v>
      </c>
      <c r="Z194">
        <f>IF(E194-D194=300,1,0)</f>
        <v>0</v>
      </c>
      <c r="AB194">
        <v>193</v>
      </c>
      <c r="AC194">
        <f>F194</f>
        <v>212</v>
      </c>
    </row>
    <row r="195" spans="1:29" x14ac:dyDescent="0.25">
      <c r="A195" s="1">
        <v>42455</v>
      </c>
      <c r="B195">
        <f t="shared" ref="B195:B200" si="24">WEEKDAY(A195,2)</f>
        <v>6</v>
      </c>
      <c r="C195">
        <f t="shared" si="23"/>
        <v>212</v>
      </c>
      <c r="D195">
        <f t="shared" ref="D195:D200" si="25">IF(AND(OR(B195=6,B195=7),C195&gt;25),C195-26,C195)</f>
        <v>186</v>
      </c>
      <c r="E195">
        <f t="shared" ref="E195:E200" si="26">IF(AND(C195&lt;100,B195=5),C195+$O$12,D195)</f>
        <v>186</v>
      </c>
      <c r="F195">
        <f t="shared" ref="F195:F200" si="27">IF(E195&gt;25,E195-26,E195)</f>
        <v>160</v>
      </c>
      <c r="G195" t="str">
        <f t="shared" ref="G195:G200" si="28">IF(E195&gt;25,"drewno","gaz")</f>
        <v>drewno</v>
      </c>
      <c r="H195" t="str">
        <f t="shared" ref="H195:H200" si="29">IF(AND(OR(B195=6,B195=7),C195&gt;25),"DREWNO","GAZ")</f>
        <v>DREWNO</v>
      </c>
      <c r="I195" t="str">
        <f t="shared" ref="I195:I200" si="30">IF(OR(B195=6,B195=7),H195,0)</f>
        <v>DREWNO</v>
      </c>
      <c r="Z195">
        <f>IF(E195-D195=300,1,0)</f>
        <v>0</v>
      </c>
      <c r="AB195">
        <v>194</v>
      </c>
      <c r="AC195">
        <f>F195</f>
        <v>160</v>
      </c>
    </row>
    <row r="196" spans="1:29" x14ac:dyDescent="0.25">
      <c r="A196" s="1">
        <v>42456</v>
      </c>
      <c r="B196">
        <f t="shared" si="24"/>
        <v>7</v>
      </c>
      <c r="C196">
        <f t="shared" ref="C196:C200" si="31">F195</f>
        <v>160</v>
      </c>
      <c r="D196">
        <f t="shared" si="25"/>
        <v>134</v>
      </c>
      <c r="E196">
        <f t="shared" si="26"/>
        <v>134</v>
      </c>
      <c r="F196">
        <f t="shared" si="27"/>
        <v>108</v>
      </c>
      <c r="G196" t="str">
        <f t="shared" si="28"/>
        <v>drewno</v>
      </c>
      <c r="H196" t="str">
        <f t="shared" si="29"/>
        <v>DREWNO</v>
      </c>
      <c r="I196" t="str">
        <f t="shared" si="30"/>
        <v>DREWNO</v>
      </c>
      <c r="Z196">
        <f>IF(E196-D196=300,1,0)</f>
        <v>0</v>
      </c>
      <c r="AB196">
        <v>195</v>
      </c>
      <c r="AC196">
        <f>F196</f>
        <v>108</v>
      </c>
    </row>
    <row r="197" spans="1:29" x14ac:dyDescent="0.25">
      <c r="A197" s="1">
        <v>42457</v>
      </c>
      <c r="B197">
        <f t="shared" si="24"/>
        <v>1</v>
      </c>
      <c r="C197">
        <f t="shared" si="31"/>
        <v>108</v>
      </c>
      <c r="D197">
        <f t="shared" si="25"/>
        <v>108</v>
      </c>
      <c r="E197">
        <f t="shared" si="26"/>
        <v>108</v>
      </c>
      <c r="F197">
        <f t="shared" si="27"/>
        <v>82</v>
      </c>
      <c r="G197" t="str">
        <f t="shared" si="28"/>
        <v>drewno</v>
      </c>
      <c r="H197" t="str">
        <f t="shared" si="29"/>
        <v>GAZ</v>
      </c>
      <c r="I197">
        <f t="shared" si="30"/>
        <v>0</v>
      </c>
      <c r="Z197">
        <f>IF(E197-D197=300,1,0)</f>
        <v>0</v>
      </c>
      <c r="AB197">
        <v>196</v>
      </c>
      <c r="AC197">
        <f>F197</f>
        <v>82</v>
      </c>
    </row>
    <row r="198" spans="1:29" x14ac:dyDescent="0.25">
      <c r="A198" s="1">
        <v>42458</v>
      </c>
      <c r="B198">
        <f t="shared" si="24"/>
        <v>2</v>
      </c>
      <c r="C198">
        <f t="shared" si="31"/>
        <v>82</v>
      </c>
      <c r="D198">
        <f t="shared" si="25"/>
        <v>82</v>
      </c>
      <c r="E198">
        <f t="shared" si="26"/>
        <v>82</v>
      </c>
      <c r="F198">
        <f t="shared" si="27"/>
        <v>56</v>
      </c>
      <c r="G198" t="str">
        <f t="shared" si="28"/>
        <v>drewno</v>
      </c>
      <c r="H198" t="str">
        <f t="shared" si="29"/>
        <v>GAZ</v>
      </c>
      <c r="I198">
        <f t="shared" si="30"/>
        <v>0</v>
      </c>
      <c r="Z198">
        <f>IF(E198-D198=300,1,0)</f>
        <v>0</v>
      </c>
      <c r="AB198">
        <v>197</v>
      </c>
      <c r="AC198">
        <f>F198</f>
        <v>56</v>
      </c>
    </row>
    <row r="199" spans="1:29" x14ac:dyDescent="0.25">
      <c r="A199" s="1">
        <v>42459</v>
      </c>
      <c r="B199">
        <f t="shared" si="24"/>
        <v>3</v>
      </c>
      <c r="C199">
        <f t="shared" si="31"/>
        <v>56</v>
      </c>
      <c r="D199">
        <f t="shared" si="25"/>
        <v>56</v>
      </c>
      <c r="E199">
        <f t="shared" si="26"/>
        <v>56</v>
      </c>
      <c r="F199">
        <f t="shared" si="27"/>
        <v>30</v>
      </c>
      <c r="G199" t="str">
        <f t="shared" si="28"/>
        <v>drewno</v>
      </c>
      <c r="H199" t="str">
        <f t="shared" si="29"/>
        <v>GAZ</v>
      </c>
      <c r="I199">
        <f t="shared" si="30"/>
        <v>0</v>
      </c>
      <c r="Z199">
        <f>IF(E199-D199=300,1,0)</f>
        <v>0</v>
      </c>
      <c r="AB199">
        <v>198</v>
      </c>
      <c r="AC199">
        <f>F199</f>
        <v>30</v>
      </c>
    </row>
    <row r="200" spans="1:29" x14ac:dyDescent="0.25">
      <c r="A200" s="1">
        <v>42460</v>
      </c>
      <c r="B200">
        <f t="shared" si="24"/>
        <v>4</v>
      </c>
      <c r="C200">
        <f t="shared" si="31"/>
        <v>30</v>
      </c>
      <c r="D200">
        <f t="shared" si="25"/>
        <v>30</v>
      </c>
      <c r="E200">
        <f t="shared" si="26"/>
        <v>30</v>
      </c>
      <c r="F200">
        <f t="shared" si="27"/>
        <v>4</v>
      </c>
      <c r="G200" t="str">
        <f t="shared" si="28"/>
        <v>drewno</v>
      </c>
      <c r="H200" t="str">
        <f t="shared" si="29"/>
        <v>GAZ</v>
      </c>
      <c r="I200">
        <f t="shared" si="30"/>
        <v>0</v>
      </c>
      <c r="Z200">
        <f>IF(E200-D200=300,1,0)</f>
        <v>0</v>
      </c>
      <c r="AB200">
        <v>199</v>
      </c>
      <c r="AC200">
        <f>F200</f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Pawlik</dc:creator>
  <cp:lastModifiedBy>Oskar Pawlik</cp:lastModifiedBy>
  <dcterms:created xsi:type="dcterms:W3CDTF">2026-02-19T20:47:55Z</dcterms:created>
  <dcterms:modified xsi:type="dcterms:W3CDTF">2026-02-19T21:58:39Z</dcterms:modified>
</cp:coreProperties>
</file>