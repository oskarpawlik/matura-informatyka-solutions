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83F2D700-6B93-4FA8-BF0B-A83E8725868E}" xr6:coauthVersionLast="47" xr6:coauthVersionMax="47" xr10:uidLastSave="{00000000-0000-0000-0000-000000000000}"/>
  <bookViews>
    <workbookView xWindow="-120" yWindow="-120" windowWidth="29040" windowHeight="15720" activeTab="3" xr2:uid="{E6F9001A-9048-4334-B6F0-B4C41EFAD857}"/>
  </bookViews>
  <sheets>
    <sheet name="5.1" sheetId="1" r:id="rId1"/>
    <sheet name="5.2" sheetId="2" r:id="rId2"/>
    <sheet name="5.3" sheetId="3" r:id="rId3"/>
    <sheet name="5.4" sheetId="5" r:id="rId4"/>
  </sheets>
  <definedNames>
    <definedName name="_xlnm._FilterDatabase" localSheetId="3" hidden="1">'5.4'!$A$1:$H$135</definedName>
    <definedName name="transport" localSheetId="0">'5.1'!$A$1:$F$135</definedName>
    <definedName name="transport" localSheetId="3">'5.4'!$A$1:$F$135</definedName>
  </definedNames>
  <calcPr calcId="191029"/>
  <pivotCaches>
    <pivotCache cacheId="3" r:id="rId5"/>
    <pivotCache cacheId="7" r:id="rId6"/>
    <pivotCache cacheId="2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5" l="1"/>
  <c r="H3" i="5"/>
  <c r="H4" i="5"/>
  <c r="H8" i="5"/>
  <c r="H114" i="5"/>
  <c r="H115" i="5"/>
  <c r="H40" i="5"/>
  <c r="H54" i="5"/>
  <c r="H83" i="5"/>
  <c r="H18" i="5"/>
  <c r="H41" i="5"/>
  <c r="H25" i="5"/>
  <c r="H42" i="5"/>
  <c r="H36" i="5"/>
  <c r="H87" i="5"/>
  <c r="H37" i="5"/>
  <c r="H55" i="5"/>
  <c r="H77" i="5"/>
  <c r="H2" i="5"/>
  <c r="H79" i="5"/>
  <c r="H80" i="5"/>
  <c r="H84" i="5"/>
  <c r="H38" i="5"/>
  <c r="H19" i="5"/>
  <c r="H27" i="5"/>
  <c r="H16" i="5"/>
  <c r="H88" i="5"/>
  <c r="H89" i="5"/>
  <c r="H75" i="5"/>
  <c r="H118" i="5"/>
  <c r="H69" i="5"/>
  <c r="H57" i="5"/>
  <c r="H106" i="5"/>
  <c r="H59" i="5"/>
  <c r="H65" i="5"/>
  <c r="H63" i="5"/>
  <c r="H67" i="5"/>
  <c r="H12" i="5"/>
  <c r="H90" i="5"/>
  <c r="H43" i="5"/>
  <c r="H7" i="5"/>
  <c r="H26" i="5"/>
  <c r="H28" i="5"/>
  <c r="H85" i="5"/>
  <c r="H29" i="5"/>
  <c r="H86" i="5"/>
  <c r="H52" i="5"/>
  <c r="H17" i="5"/>
  <c r="H14" i="5"/>
  <c r="H5" i="5"/>
  <c r="H45" i="5"/>
  <c r="H46" i="5"/>
  <c r="H47" i="5"/>
  <c r="H93" i="5"/>
  <c r="H66" i="5"/>
  <c r="H61" i="5"/>
  <c r="H68" i="5"/>
  <c r="H48" i="5"/>
  <c r="H49" i="5"/>
  <c r="H44" i="5"/>
  <c r="H30" i="5"/>
  <c r="H110" i="5"/>
  <c r="H111" i="5"/>
  <c r="H112" i="5"/>
  <c r="H113" i="5"/>
  <c r="H50" i="5"/>
  <c r="H51" i="5"/>
  <c r="H60" i="5"/>
  <c r="H100" i="5"/>
  <c r="H101" i="5"/>
  <c r="H102" i="5"/>
  <c r="H103" i="5"/>
  <c r="H104" i="5"/>
  <c r="H105" i="5"/>
  <c r="H13" i="5"/>
  <c r="H23" i="5"/>
  <c r="H56" i="5"/>
  <c r="H78" i="5"/>
  <c r="H39" i="5"/>
  <c r="H20" i="5"/>
  <c r="H76" i="5"/>
  <c r="H108" i="5"/>
  <c r="H10" i="5"/>
  <c r="H11" i="5"/>
  <c r="H70" i="5"/>
  <c r="H95" i="5"/>
  <c r="H96" i="5"/>
  <c r="H97" i="5"/>
  <c r="H98" i="5"/>
  <c r="H99" i="5"/>
  <c r="H91" i="5"/>
  <c r="H107" i="5"/>
  <c r="H92" i="5"/>
  <c r="H116" i="5"/>
  <c r="H94" i="5"/>
  <c r="H31" i="5"/>
  <c r="H32" i="5"/>
  <c r="H33" i="5"/>
  <c r="H34" i="5"/>
  <c r="H35" i="5"/>
  <c r="H64" i="5"/>
  <c r="H24" i="5"/>
  <c r="H81" i="5"/>
  <c r="H82" i="5"/>
  <c r="H53" i="5"/>
  <c r="H15" i="5"/>
  <c r="H119" i="5"/>
  <c r="H123" i="5"/>
  <c r="H124" i="5"/>
  <c r="H125" i="5"/>
  <c r="H126" i="5"/>
  <c r="H127" i="5"/>
  <c r="H128" i="5"/>
  <c r="H129" i="5"/>
  <c r="H130" i="5"/>
  <c r="H71" i="5"/>
  <c r="H117" i="5"/>
  <c r="H73" i="5"/>
  <c r="H74" i="5"/>
  <c r="H109" i="5"/>
  <c r="H58" i="5"/>
  <c r="H21" i="5"/>
  <c r="H120" i="5"/>
  <c r="H121" i="5"/>
  <c r="H122" i="5"/>
  <c r="H72" i="5"/>
  <c r="H22" i="5"/>
  <c r="H62" i="5"/>
  <c r="H131" i="5"/>
  <c r="H132" i="5"/>
  <c r="H133" i="5"/>
  <c r="H134" i="5"/>
  <c r="H135" i="5"/>
  <c r="H9" i="5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L3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15E3E2-1561-4C83-A711-37F25B89C8A2}" name="transport" type="6" refreshedVersion="8" background="1" saveData="1">
    <textPr codePage="852" sourceFile="C:\Users\oskar\Desktop\Excel zadania matura\transport.txt" decimal="," thousands=" ">
      <textFields count="6">
        <textField/>
        <textField/>
        <textField/>
        <textField/>
        <textField/>
        <textField type="YMD"/>
      </textFields>
    </textPr>
  </connection>
  <connection id="2" xr16:uid="{135C7EA2-C154-4C80-8273-3E54318E6AC8}" name="transport1" type="6" refreshedVersion="8" background="1" saveData="1">
    <textPr codePage="852" sourceFile="C:\Users\oskar\Desktop\Excel zadania matura\transport.txt" decimal="," thousands=" ">
      <textFields count="6">
        <textField/>
        <textField/>
        <textField/>
        <textField/>
        <textField/>
        <textField type="YMD"/>
      </textFields>
    </textPr>
  </connection>
</connections>
</file>

<file path=xl/sharedStrings.xml><?xml version="1.0" encoding="utf-8"?>
<sst xmlns="http://schemas.openxmlformats.org/spreadsheetml/2006/main" count="1034" uniqueCount="204">
  <si>
    <t>Marka_i_model</t>
  </si>
  <si>
    <t>Rok_produkcji</t>
  </si>
  <si>
    <t>Cena_zakupu</t>
  </si>
  <si>
    <t>Nr_rejestracyjny</t>
  </si>
  <si>
    <t>Przebieg</t>
  </si>
  <si>
    <t>Data_ostatniego_remontu</t>
  </si>
  <si>
    <t>Iveco Strails</t>
  </si>
  <si>
    <t>ERA 210 TR</t>
  </si>
  <si>
    <t>ERA 211 TR</t>
  </si>
  <si>
    <t>ERA 212 TR</t>
  </si>
  <si>
    <t>ERA 213 TR</t>
  </si>
  <si>
    <t>ERA 209 TR</t>
  </si>
  <si>
    <t>Mercedes Axor</t>
  </si>
  <si>
    <t>ERA 223 TR</t>
  </si>
  <si>
    <t>MAN TGA</t>
  </si>
  <si>
    <t>ERA 217 TR</t>
  </si>
  <si>
    <t>Volvo FE</t>
  </si>
  <si>
    <t>ERA 095 TR</t>
  </si>
  <si>
    <t>Volvo FM</t>
  </si>
  <si>
    <t>ERA 093 TR</t>
  </si>
  <si>
    <t>Volvo FMX</t>
  </si>
  <si>
    <t>ERA 094 TR</t>
  </si>
  <si>
    <t>Volvo FH</t>
  </si>
  <si>
    <t>ERA 092 TR</t>
  </si>
  <si>
    <t>ERA 097 TR</t>
  </si>
  <si>
    <t>Iveco 100E</t>
  </si>
  <si>
    <t>ERA 114 TR</t>
  </si>
  <si>
    <t>ERA 108 TR</t>
  </si>
  <si>
    <t>Scania L94</t>
  </si>
  <si>
    <t>ERA 100 TR</t>
  </si>
  <si>
    <t>ERA 101 TR</t>
  </si>
  <si>
    <t>ERA 111 TR</t>
  </si>
  <si>
    <t>ERA 120 TR</t>
  </si>
  <si>
    <t>Renault Premium</t>
  </si>
  <si>
    <t>ERA 110 TR</t>
  </si>
  <si>
    <t>Mercedes Atego</t>
  </si>
  <si>
    <t>ERA 112 TR</t>
  </si>
  <si>
    <t>Scania M93</t>
  </si>
  <si>
    <t>ERA 102 TR</t>
  </si>
  <si>
    <t>ERA 302 TR</t>
  </si>
  <si>
    <t>ERA 096 TR</t>
  </si>
  <si>
    <t>Iveco EuroCargo</t>
  </si>
  <si>
    <t>ERA 104 TR</t>
  </si>
  <si>
    <t>ERA 119 TR</t>
  </si>
  <si>
    <t>ERA 106 TR</t>
  </si>
  <si>
    <t>MAN TGL</t>
  </si>
  <si>
    <t>ERA 117 TR</t>
  </si>
  <si>
    <t>Volvo FL</t>
  </si>
  <si>
    <t>ERA 098 TR</t>
  </si>
  <si>
    <t>ERA 109 TR</t>
  </si>
  <si>
    <t>DAF LF45</t>
  </si>
  <si>
    <t>ERA 115 TR</t>
  </si>
  <si>
    <t>ERA 113 TR</t>
  </si>
  <si>
    <t>ERA 107 TR</t>
  </si>
  <si>
    <t>MAN TGA41</t>
  </si>
  <si>
    <t>ERA 116 TR</t>
  </si>
  <si>
    <t>MAN TGA33</t>
  </si>
  <si>
    <t>ERA 105 TR</t>
  </si>
  <si>
    <t>DAF CF85</t>
  </si>
  <si>
    <t>ERA 103 TR</t>
  </si>
  <si>
    <t>Mercedes Sided</t>
  </si>
  <si>
    <t>ERA 099 TR</t>
  </si>
  <si>
    <t>Mercedes Actros</t>
  </si>
  <si>
    <t>ERA 118 TR</t>
  </si>
  <si>
    <t>ERA 132 TR</t>
  </si>
  <si>
    <t>ERA 142 TR</t>
  </si>
  <si>
    <t>ERA 145 TR</t>
  </si>
  <si>
    <t>Renault Midlum</t>
  </si>
  <si>
    <t>ERA 146 TR</t>
  </si>
  <si>
    <t>ERA 135 TR</t>
  </si>
  <si>
    <t>ERA 136 TR</t>
  </si>
  <si>
    <t>Renault D10</t>
  </si>
  <si>
    <t>ERA 141 TR</t>
  </si>
  <si>
    <t>ERA 340 TR</t>
  </si>
  <si>
    <t>ERA 147 TR</t>
  </si>
  <si>
    <t>ERA 394 TR</t>
  </si>
  <si>
    <t>DAF CF75</t>
  </si>
  <si>
    <t>ERA 143 TR</t>
  </si>
  <si>
    <t>ERA 140 TR</t>
  </si>
  <si>
    <t>DAF CF65</t>
  </si>
  <si>
    <t>ERA 133 TR</t>
  </si>
  <si>
    <t>Iveco TrakkerEuro5</t>
  </si>
  <si>
    <t>ERA 214 TR</t>
  </si>
  <si>
    <t>Renault Magnum</t>
  </si>
  <si>
    <t>ERA 227 TR</t>
  </si>
  <si>
    <t>ERA 228 TR</t>
  </si>
  <si>
    <t>ERA 226 TR</t>
  </si>
  <si>
    <t>ERA 131 TR</t>
  </si>
  <si>
    <t>ERA 144 TR</t>
  </si>
  <si>
    <t>ERA 134 TR</t>
  </si>
  <si>
    <t>ERA 161 TR</t>
  </si>
  <si>
    <t>Renault R385</t>
  </si>
  <si>
    <t>ERA 158 TR</t>
  </si>
  <si>
    <t>ERA 160 TR</t>
  </si>
  <si>
    <t>ERA 159 TR</t>
  </si>
  <si>
    <t>ERA 157 TR</t>
  </si>
  <si>
    <t>ERA 221 TR</t>
  </si>
  <si>
    <t>ERA 225 TR</t>
  </si>
  <si>
    <t>ERA 220 TR</t>
  </si>
  <si>
    <t>ERA 222 TR</t>
  </si>
  <si>
    <t>Renault Pelen</t>
  </si>
  <si>
    <t>ERA 230 TR</t>
  </si>
  <si>
    <t>ERA 229 TR</t>
  </si>
  <si>
    <t>ERA 162 TR</t>
  </si>
  <si>
    <t>Scania R500</t>
  </si>
  <si>
    <t>ERA 237 TR</t>
  </si>
  <si>
    <t>ERA 236 TR</t>
  </si>
  <si>
    <t>ERA 238 TR</t>
  </si>
  <si>
    <t>ERA 240 TR</t>
  </si>
  <si>
    <t>ERA 241 TR</t>
  </si>
  <si>
    <t>ERA 239 TR</t>
  </si>
  <si>
    <t>ERA 168 TR</t>
  </si>
  <si>
    <t>ERA 175 TR</t>
  </si>
  <si>
    <t>ERA 173 TR</t>
  </si>
  <si>
    <t>ERA 166 TR</t>
  </si>
  <si>
    <t>ERA 176 TR</t>
  </si>
  <si>
    <t>ERA 172 TR</t>
  </si>
  <si>
    <t>ERA 169 TR</t>
  </si>
  <si>
    <t>ERA 170 TR</t>
  </si>
  <si>
    <t>Iveco STRALIS</t>
  </si>
  <si>
    <t>ERA 215 TR</t>
  </si>
  <si>
    <t>ERA 216 TR</t>
  </si>
  <si>
    <t>ERA 178 TR</t>
  </si>
  <si>
    <t>Scania R420</t>
  </si>
  <si>
    <t>ERA 232 TR</t>
  </si>
  <si>
    <t>ERA 233 TR</t>
  </si>
  <si>
    <t>ERA 231 TR</t>
  </si>
  <si>
    <t>ERA 234 TR</t>
  </si>
  <si>
    <t>ERA 235 TR</t>
  </si>
  <si>
    <t>Volvo FH13-500</t>
  </si>
  <si>
    <t>ERA 248 TR</t>
  </si>
  <si>
    <t>ERA 177 TR</t>
  </si>
  <si>
    <t>ERA 247 TR</t>
  </si>
  <si>
    <t>MAN TGX</t>
  </si>
  <si>
    <t>ERA 218 TR</t>
  </si>
  <si>
    <t>ERA 174 TR</t>
  </si>
  <si>
    <t>DAF XF460</t>
  </si>
  <si>
    <t>ERA 207 TR</t>
  </si>
  <si>
    <t>ERA 405 TR</t>
  </si>
  <si>
    <t>ERA 204 TR</t>
  </si>
  <si>
    <t>ERA 208 TR</t>
  </si>
  <si>
    <t>ERA 406 TR</t>
  </si>
  <si>
    <t>ERA 171 TR</t>
  </si>
  <si>
    <t>ERA 183 TR</t>
  </si>
  <si>
    <t>ERA 388 TR</t>
  </si>
  <si>
    <t>ERA 188 TR</t>
  </si>
  <si>
    <t>ERA 184 TR</t>
  </si>
  <si>
    <t>ERA 186 TR</t>
  </si>
  <si>
    <t>ERA 185 TR</t>
  </si>
  <si>
    <t>ERA 199 TR</t>
  </si>
  <si>
    <t>ERA 198 TR</t>
  </si>
  <si>
    <t>ERA 200 TR</t>
  </si>
  <si>
    <t>ERA 201 TR</t>
  </si>
  <si>
    <t>ERA 496 TR</t>
  </si>
  <si>
    <t>ERA 497 TR</t>
  </si>
  <si>
    <t>ERA 202 TR</t>
  </si>
  <si>
    <t>ERA 203 TR</t>
  </si>
  <si>
    <t>MAN TGS</t>
  </si>
  <si>
    <t>ERA 187 TR</t>
  </si>
  <si>
    <t>ERA 219 TR</t>
  </si>
  <si>
    <t>MAN TGA18</t>
  </si>
  <si>
    <t>ERA 193 TR</t>
  </si>
  <si>
    <t>ERA 195 TR</t>
  </si>
  <si>
    <t>ERA 197 TR</t>
  </si>
  <si>
    <t>ERA 194 TR</t>
  </si>
  <si>
    <t>ERA 196 TR</t>
  </si>
  <si>
    <t>ERA 393 TR</t>
  </si>
  <si>
    <t>ERA 494 TR</t>
  </si>
  <si>
    <t>ERA 495 TR</t>
  </si>
  <si>
    <t>ERA 192 TR</t>
  </si>
  <si>
    <t>ERA 205 TR</t>
  </si>
  <si>
    <t>ERA 206 TR</t>
  </si>
  <si>
    <t>Volvo 2015Euro6M</t>
  </si>
  <si>
    <t>ERA 242 TR</t>
  </si>
  <si>
    <t>ERA 243 TR</t>
  </si>
  <si>
    <t>ERA 244 TR</t>
  </si>
  <si>
    <t>ERA 245 TR</t>
  </si>
  <si>
    <t>ERA 246 TR</t>
  </si>
  <si>
    <t xml:space="preserve">wiek </t>
  </si>
  <si>
    <t>amortyzacja</t>
  </si>
  <si>
    <t>przejechane</t>
  </si>
  <si>
    <t>wartosc</t>
  </si>
  <si>
    <t>najnizsza wartosc</t>
  </si>
  <si>
    <t>Marka</t>
  </si>
  <si>
    <t>Etykiety wierszy</t>
  </si>
  <si>
    <t>DAF</t>
  </si>
  <si>
    <t>Iveco</t>
  </si>
  <si>
    <t>MAN</t>
  </si>
  <si>
    <t>Mercedes</t>
  </si>
  <si>
    <t>Renault</t>
  </si>
  <si>
    <t>Scania</t>
  </si>
  <si>
    <t>Volvo</t>
  </si>
  <si>
    <t>Suma końcowa</t>
  </si>
  <si>
    <t>Średnia z Przebieg</t>
  </si>
  <si>
    <t>marka</t>
  </si>
  <si>
    <t>sredni przebieg</t>
  </si>
  <si>
    <t>Liczba z Marka</t>
  </si>
  <si>
    <t>liczba samochodow</t>
  </si>
  <si>
    <t>Etykiety kolumn</t>
  </si>
  <si>
    <t>data graniczna</t>
  </si>
  <si>
    <t>ile czasu uplynelo</t>
  </si>
  <si>
    <t>marka i model</t>
  </si>
  <si>
    <t>nr rej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</si>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</sst>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2" borderId="0" xfId="1"/>
    <xf numFmtId="14" fontId="1" fillId="2" borderId="0" xfId="1" applyNumberFormat="1"/>
    <xf numFmtId="0" fontId="2" fillId="3" borderId="0" xfId="2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/>
    <xf numFmtId="0" fontId="1" fillId="2" borderId="0" xfId="1" applyAlignment="1">
      <alignment horizontal="left"/>
    </xf>
    <xf numFmtId="1" fontId="1" fillId="2" borderId="0" xfId="1" applyNumberFormat="1"/>
    <xf numFmtId="0" fontId="1" fillId="2" borderId="0" xfId="1" applyNumberFormat="1"/>
    <xf numFmtId="0" fontId="1" fillId="2" borderId="1" xfId="1" applyBorder="1" applyAlignment="1">
      <alignment horizontal="left"/>
    </xf>
    <xf numFmtId="0" fontId="1" fillId="2" borderId="1" xfId="1" applyNumberFormat="1" applyBorder="1"/>
    <xf numFmtId="0" fontId="1" fillId="2" borderId="1" xfId="1" applyBorder="1"/>
  </cellXfs>
  <cellStyles count="3">
    <cellStyle name="Dobry" xfId="1" builtinId="26"/>
    <cellStyle name="Neutralny" xfId="2" builtinId="28"/>
    <cellStyle name="Normalny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</a:t>
            </a:r>
            <a:r>
              <a:rPr lang="pl-PL" baseline="0"/>
              <a:t> przebieg każdej marki samochodu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'5.2'!$J$23</c:f>
              <c:strCache>
                <c:ptCount val="1"/>
                <c:pt idx="0">
                  <c:v>sredni przebieg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'5.2'!$I$24:$I$30</c:f>
              <c:strCache>
                <c:ptCount val="7"/>
                <c:pt idx="0">
                  <c:v>DAF</c:v>
                </c:pt>
                <c:pt idx="1">
                  <c:v>Iveco</c:v>
                </c:pt>
                <c:pt idx="2">
                  <c:v>MAN</c:v>
                </c:pt>
                <c:pt idx="3">
                  <c:v>Mercedes</c:v>
                </c:pt>
                <c:pt idx="4">
                  <c:v>Renault</c:v>
                </c:pt>
                <c:pt idx="5">
                  <c:v>Scania</c:v>
                </c:pt>
                <c:pt idx="6">
                  <c:v>Volvo</c:v>
                </c:pt>
              </c:strCache>
            </c:strRef>
          </c:cat>
          <c:val>
            <c:numRef>
              <c:f>'5.2'!$J$24:$J$30</c:f>
              <c:numCache>
                <c:formatCode>General</c:formatCode>
                <c:ptCount val="7"/>
                <c:pt idx="0">
                  <c:v>273239.59999999998</c:v>
                </c:pt>
                <c:pt idx="1">
                  <c:v>657434.5</c:v>
                </c:pt>
                <c:pt idx="2">
                  <c:v>289637.27777777775</c:v>
                </c:pt>
                <c:pt idx="3">
                  <c:v>486545.8823529412</c:v>
                </c:pt>
                <c:pt idx="4">
                  <c:v>519936.0588235294</c:v>
                </c:pt>
                <c:pt idx="5">
                  <c:v>557117.6470588235</c:v>
                </c:pt>
                <c:pt idx="6">
                  <c:v>307130.4347826087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4-4E15-82B8-246E06597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665263"/>
        <c:axId val="1084655663"/>
      </c:barChart>
      <c:catAx>
        <c:axId val="1084665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marka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4655663"/>
        <c:crosses val="autoZero"/>
        <c:auto val="1"/>
        <c:lblAlgn val="ctr"/>
        <c:lblOffset val="100"/>
        <c:noMultiLvlLbl val="0"/>
      </c:catAx>
      <c:valAx>
        <c:axId val="108465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przebieg</a:t>
                </a:r>
                <a:r>
                  <a:rPr lang="pl-PL" baseline="0"/>
                  <a:t> [km]</a:t>
                </a:r>
                <a:endParaRPr lang="pl-PL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8466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253008</xdr:colOff>
      <xdr:row>11</xdr:row>
      <xdr:rowOff>101799</xdr:rowOff>
    </xdr:from>
    <xdr:to>
      <xdr:col>17</xdr:col>
      <xdr:colOff>300633</xdr:colOff>
      <xdr:row>25</xdr:row>
      <xdr:rowOff>177999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4323870-4502-BC7C-5411-C7FA20E57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002391203707" createdVersion="8" refreshedVersion="8" minRefreshableVersion="3" recordCount="134" xr:uid="{5027760F-9FEE-4859-9393-CFBDB609181E}">
  <cacheSource type="worksheet">
    <worksheetSource ref="F1:G135" sheet="5.2"/>
  </cacheSource>
  <cacheFields count="2">
    <cacheField name="Marka" numFmtId="0">
      <sharedItems count="7">
        <s v="Iveco"/>
        <s v="Mercedes"/>
        <s v="MAN"/>
        <s v="Volvo"/>
        <s v="Scania"/>
        <s v="Renault"/>
        <s v="DAF"/>
      </sharedItems>
    </cacheField>
    <cacheField name="Przebieg" numFmtId="0">
      <sharedItems containsSemiMixedTypes="0" containsString="0" containsNumber="1" containsInteger="1" minValue="91000" maxValue="126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003611574073" createdVersion="8" refreshedVersion="8" minRefreshableVersion="3" recordCount="134" xr:uid="{0BFF1AEC-EFC0-48E4-A790-E82A4D813620}">
  <cacheSource type="worksheet">
    <worksheetSource ref="F1:F135" sheet="5.2"/>
  </cacheSource>
  <cacheFields count="1">
    <cacheField name="Marka" numFmtId="0">
      <sharedItems count="7">
        <s v="Iveco"/>
        <s v="Mercedes"/>
        <s v="MAN"/>
        <s v="Volvo"/>
        <s v="Scania"/>
        <s v="Renault"/>
        <s v="DA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7.006112499999" createdVersion="8" refreshedVersion="8" minRefreshableVersion="3" recordCount="134" xr:uid="{078A3466-8E06-4EF5-9754-0FD6A8FAD3DE}">
  <cacheSource type="worksheet">
    <worksheetSource ref="A1:B135" sheet="5.3"/>
  </cacheSource>
  <cacheFields count="2">
    <cacheField name="Marka" numFmtId="0">
      <sharedItems count="7">
        <s v="Iveco"/>
        <s v="Mercedes"/>
        <s v="MAN"/>
        <s v="Volvo"/>
        <s v="Scania"/>
        <s v="Renault"/>
        <s v="DAF"/>
      </sharedItems>
    </cacheField>
    <cacheField name="Rok_produkcji" numFmtId="0">
      <sharedItems containsSemiMixedTypes="0" containsString="0" containsNumber="1" containsInteger="1" minValue="2006" maxValue="2015" count="10">
        <n v="2006"/>
        <n v="2007"/>
        <n v="2008"/>
        <n v="2009"/>
        <n v="2010"/>
        <n v="2011"/>
        <n v="2012"/>
        <n v="2013"/>
        <n v="2014"/>
        <n v="201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n v="1200655"/>
  </r>
  <r>
    <x v="0"/>
    <n v="1068570"/>
  </r>
  <r>
    <x v="0"/>
    <n v="998704"/>
  </r>
  <r>
    <x v="0"/>
    <n v="936780"/>
  </r>
  <r>
    <x v="0"/>
    <n v="870233"/>
  </r>
  <r>
    <x v="1"/>
    <n v="1260000"/>
  </r>
  <r>
    <x v="2"/>
    <n v="890200"/>
  </r>
  <r>
    <x v="3"/>
    <n v="186000"/>
  </r>
  <r>
    <x v="3"/>
    <n v="306000"/>
  </r>
  <r>
    <x v="3"/>
    <n v="266000"/>
  </r>
  <r>
    <x v="3"/>
    <n v="305000"/>
  </r>
  <r>
    <x v="3"/>
    <n v="190000"/>
  </r>
  <r>
    <x v="0"/>
    <n v="992600"/>
  </r>
  <r>
    <x v="3"/>
    <n v="186000"/>
  </r>
  <r>
    <x v="4"/>
    <n v="850000"/>
  </r>
  <r>
    <x v="3"/>
    <n v="740000"/>
  </r>
  <r>
    <x v="4"/>
    <n v="846000"/>
  </r>
  <r>
    <x v="3"/>
    <n v="302000"/>
  </r>
  <r>
    <x v="5"/>
    <n v="846000"/>
  </r>
  <r>
    <x v="1"/>
    <n v="946000"/>
  </r>
  <r>
    <x v="4"/>
    <n v="390000"/>
  </r>
  <r>
    <x v="4"/>
    <n v="390000"/>
  </r>
  <r>
    <x v="3"/>
    <n v="270000"/>
  </r>
  <r>
    <x v="0"/>
    <n v="380000"/>
  </r>
  <r>
    <x v="3"/>
    <n v="301000"/>
  </r>
  <r>
    <x v="1"/>
    <n v="360000"/>
  </r>
  <r>
    <x v="2"/>
    <n v="226000"/>
  </r>
  <r>
    <x v="3"/>
    <n v="482000"/>
  </r>
  <r>
    <x v="3"/>
    <n v="478000"/>
  </r>
  <r>
    <x v="6"/>
    <n v="306000"/>
  </r>
  <r>
    <x v="2"/>
    <n v="403000"/>
  </r>
  <r>
    <x v="5"/>
    <n v="370000"/>
  </r>
  <r>
    <x v="2"/>
    <n v="186300"/>
  </r>
  <r>
    <x v="2"/>
    <n v="290000"/>
  </r>
  <r>
    <x v="6"/>
    <n v="190000"/>
  </r>
  <r>
    <x v="1"/>
    <n v="305000"/>
  </r>
  <r>
    <x v="1"/>
    <n v="166000"/>
  </r>
  <r>
    <x v="6"/>
    <n v="978000"/>
  </r>
  <r>
    <x v="6"/>
    <n v="326000"/>
  </r>
  <r>
    <x v="3"/>
    <n v="736000"/>
  </r>
  <r>
    <x v="5"/>
    <n v="99250"/>
  </r>
  <r>
    <x v="1"/>
    <n v="950000"/>
  </r>
  <r>
    <x v="0"/>
    <n v="103260"/>
  </r>
  <r>
    <x v="5"/>
    <n v="302000"/>
  </r>
  <r>
    <x v="3"/>
    <n v="266000"/>
  </r>
  <r>
    <x v="1"/>
    <n v="356000"/>
  </r>
  <r>
    <x v="2"/>
    <n v="266000"/>
  </r>
  <r>
    <x v="6"/>
    <n v="91000"/>
  </r>
  <r>
    <x v="2"/>
    <n v="230000"/>
  </r>
  <r>
    <x v="6"/>
    <n v="251000"/>
  </r>
  <r>
    <x v="0"/>
    <n v="263000"/>
  </r>
  <r>
    <x v="5"/>
    <n v="930000"/>
  </r>
  <r>
    <x v="5"/>
    <n v="912000"/>
  </r>
  <r>
    <x v="5"/>
    <n v="856000"/>
  </r>
  <r>
    <x v="5"/>
    <n v="455000"/>
  </r>
  <r>
    <x v="1"/>
    <n v="301000"/>
  </r>
  <r>
    <x v="1"/>
    <n v="164700"/>
  </r>
  <r>
    <x v="6"/>
    <n v="574000"/>
  </r>
  <r>
    <x v="5"/>
    <n v="290000"/>
  </r>
  <r>
    <x v="5"/>
    <n v="286000"/>
  </r>
  <r>
    <x v="5"/>
    <n v="103250"/>
  </r>
  <r>
    <x v="5"/>
    <n v="306000"/>
  </r>
  <r>
    <x v="1"/>
    <n v="780000"/>
  </r>
  <r>
    <x v="1"/>
    <n v="760300"/>
  </r>
  <r>
    <x v="1"/>
    <n v="680000"/>
  </r>
  <r>
    <x v="1"/>
    <n v="655000"/>
  </r>
  <r>
    <x v="5"/>
    <n v="731000"/>
  </r>
  <r>
    <x v="5"/>
    <n v="685413"/>
  </r>
  <r>
    <x v="6"/>
    <n v="186000"/>
  </r>
  <r>
    <x v="4"/>
    <n v="720000"/>
  </r>
  <r>
    <x v="4"/>
    <n v="680000"/>
  </r>
  <r>
    <x v="4"/>
    <n v="660000"/>
  </r>
  <r>
    <x v="4"/>
    <n v="630000"/>
  </r>
  <r>
    <x v="4"/>
    <n v="655000"/>
  </r>
  <r>
    <x v="4"/>
    <n v="590000"/>
  </r>
  <r>
    <x v="6"/>
    <n v="330000"/>
  </r>
  <r>
    <x v="6"/>
    <n v="268650"/>
  </r>
  <r>
    <x v="3"/>
    <n v="302000"/>
  </r>
  <r>
    <x v="5"/>
    <n v="850000"/>
  </r>
  <r>
    <x v="0"/>
    <n v="376000"/>
  </r>
  <r>
    <x v="3"/>
    <n v="201000"/>
  </r>
  <r>
    <x v="6"/>
    <n v="310000"/>
  </r>
  <r>
    <x v="2"/>
    <n v="247000"/>
  </r>
  <r>
    <x v="0"/>
    <n v="386732"/>
  </r>
  <r>
    <x v="0"/>
    <n v="312680"/>
  </r>
  <r>
    <x v="5"/>
    <n v="366000"/>
  </r>
  <r>
    <x v="4"/>
    <n v="520000"/>
  </r>
  <r>
    <x v="4"/>
    <n v="530000"/>
  </r>
  <r>
    <x v="4"/>
    <n v="490000"/>
  </r>
  <r>
    <x v="4"/>
    <n v="481000"/>
  </r>
  <r>
    <x v="4"/>
    <n v="454000"/>
  </r>
  <r>
    <x v="3"/>
    <n v="517000"/>
  </r>
  <r>
    <x v="2"/>
    <n v="286000"/>
  </r>
  <r>
    <x v="3"/>
    <n v="435000"/>
  </r>
  <r>
    <x v="2"/>
    <n v="417671"/>
  </r>
  <r>
    <x v="5"/>
    <n v="451000"/>
  </r>
  <r>
    <x v="6"/>
    <n v="301344"/>
  </r>
  <r>
    <x v="6"/>
    <n v="315988"/>
  </r>
  <r>
    <x v="6"/>
    <n v="234760"/>
  </r>
  <r>
    <x v="6"/>
    <n v="210780"/>
  </r>
  <r>
    <x v="6"/>
    <n v="198240"/>
  </r>
  <r>
    <x v="1"/>
    <n v="170000"/>
  </r>
  <r>
    <x v="6"/>
    <n v="272650"/>
  </r>
  <r>
    <x v="4"/>
    <n v="350000"/>
  </r>
  <r>
    <x v="4"/>
    <n v="235000"/>
  </r>
  <r>
    <x v="6"/>
    <n v="195000"/>
  </r>
  <r>
    <x v="6"/>
    <n v="247000"/>
  </r>
  <r>
    <x v="2"/>
    <n v="407000"/>
  </r>
  <r>
    <x v="6"/>
    <n v="301232"/>
  </r>
  <r>
    <x v="6"/>
    <n v="289567"/>
  </r>
  <r>
    <x v="6"/>
    <n v="245211"/>
  </r>
  <r>
    <x v="6"/>
    <n v="200123"/>
  </r>
  <r>
    <x v="6"/>
    <n v="235811"/>
  </r>
  <r>
    <x v="6"/>
    <n v="250021"/>
  </r>
  <r>
    <x v="6"/>
    <n v="198340"/>
  </r>
  <r>
    <x v="6"/>
    <n v="189761"/>
  </r>
  <r>
    <x v="2"/>
    <n v="153000"/>
  </r>
  <r>
    <x v="2"/>
    <n v="123000"/>
  </r>
  <r>
    <x v="2"/>
    <n v="251000"/>
  </r>
  <r>
    <x v="2"/>
    <n v="247000"/>
  </r>
  <r>
    <x v="2"/>
    <n v="243000"/>
  </r>
  <r>
    <x v="2"/>
    <n v="190300"/>
  </r>
  <r>
    <x v="1"/>
    <n v="126290"/>
  </r>
  <r>
    <x v="6"/>
    <n v="183788"/>
  </r>
  <r>
    <x v="6"/>
    <n v="160198"/>
  </r>
  <r>
    <x v="6"/>
    <n v="156724"/>
  </r>
  <r>
    <x v="2"/>
    <n v="157000"/>
  </r>
  <r>
    <x v="1"/>
    <n v="130290"/>
  </r>
  <r>
    <x v="1"/>
    <n v="160700"/>
  </r>
  <r>
    <x v="3"/>
    <n v="100000"/>
  </r>
  <r>
    <x v="3"/>
    <n v="115000"/>
  </r>
  <r>
    <x v="3"/>
    <n v="132000"/>
  </r>
  <r>
    <x v="3"/>
    <n v="108000"/>
  </r>
  <r>
    <x v="3"/>
    <n v="14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</r>
  <r>
    <x v="0"/>
  </r>
  <r>
    <x v="0"/>
  </r>
  <r>
    <x v="0"/>
  </r>
  <r>
    <x v="0"/>
  </r>
  <r>
    <x v="1"/>
  </r>
  <r>
    <x v="2"/>
  </r>
  <r>
    <x v="3"/>
  </r>
  <r>
    <x v="3"/>
  </r>
  <r>
    <x v="3"/>
  </r>
  <r>
    <x v="3"/>
  </r>
  <r>
    <x v="3"/>
  </r>
  <r>
    <x v="0"/>
  </r>
  <r>
    <x v="3"/>
  </r>
  <r>
    <x v="4"/>
  </r>
  <r>
    <x v="3"/>
  </r>
  <r>
    <x v="4"/>
  </r>
  <r>
    <x v="3"/>
  </r>
  <r>
    <x v="5"/>
  </r>
  <r>
    <x v="1"/>
  </r>
  <r>
    <x v="4"/>
  </r>
  <r>
    <x v="4"/>
  </r>
  <r>
    <x v="3"/>
  </r>
  <r>
    <x v="0"/>
  </r>
  <r>
    <x v="3"/>
  </r>
  <r>
    <x v="1"/>
  </r>
  <r>
    <x v="2"/>
  </r>
  <r>
    <x v="3"/>
  </r>
  <r>
    <x v="3"/>
  </r>
  <r>
    <x v="6"/>
  </r>
  <r>
    <x v="2"/>
  </r>
  <r>
    <x v="5"/>
  </r>
  <r>
    <x v="2"/>
  </r>
  <r>
    <x v="2"/>
  </r>
  <r>
    <x v="6"/>
  </r>
  <r>
    <x v="1"/>
  </r>
  <r>
    <x v="1"/>
  </r>
  <r>
    <x v="6"/>
  </r>
  <r>
    <x v="6"/>
  </r>
  <r>
    <x v="3"/>
  </r>
  <r>
    <x v="5"/>
  </r>
  <r>
    <x v="1"/>
  </r>
  <r>
    <x v="0"/>
  </r>
  <r>
    <x v="5"/>
  </r>
  <r>
    <x v="3"/>
  </r>
  <r>
    <x v="1"/>
  </r>
  <r>
    <x v="2"/>
  </r>
  <r>
    <x v="6"/>
  </r>
  <r>
    <x v="2"/>
  </r>
  <r>
    <x v="6"/>
  </r>
  <r>
    <x v="0"/>
  </r>
  <r>
    <x v="5"/>
  </r>
  <r>
    <x v="5"/>
  </r>
  <r>
    <x v="5"/>
  </r>
  <r>
    <x v="5"/>
  </r>
  <r>
    <x v="1"/>
  </r>
  <r>
    <x v="1"/>
  </r>
  <r>
    <x v="6"/>
  </r>
  <r>
    <x v="5"/>
  </r>
  <r>
    <x v="5"/>
  </r>
  <r>
    <x v="5"/>
  </r>
  <r>
    <x v="5"/>
  </r>
  <r>
    <x v="1"/>
  </r>
  <r>
    <x v="1"/>
  </r>
  <r>
    <x v="1"/>
  </r>
  <r>
    <x v="1"/>
  </r>
  <r>
    <x v="5"/>
  </r>
  <r>
    <x v="5"/>
  </r>
  <r>
    <x v="6"/>
  </r>
  <r>
    <x v="4"/>
  </r>
  <r>
    <x v="4"/>
  </r>
  <r>
    <x v="4"/>
  </r>
  <r>
    <x v="4"/>
  </r>
  <r>
    <x v="4"/>
  </r>
  <r>
    <x v="4"/>
  </r>
  <r>
    <x v="6"/>
  </r>
  <r>
    <x v="6"/>
  </r>
  <r>
    <x v="3"/>
  </r>
  <r>
    <x v="5"/>
  </r>
  <r>
    <x v="0"/>
  </r>
  <r>
    <x v="3"/>
  </r>
  <r>
    <x v="6"/>
  </r>
  <r>
    <x v="2"/>
  </r>
  <r>
    <x v="0"/>
  </r>
  <r>
    <x v="0"/>
  </r>
  <r>
    <x v="5"/>
  </r>
  <r>
    <x v="4"/>
  </r>
  <r>
    <x v="4"/>
  </r>
  <r>
    <x v="4"/>
  </r>
  <r>
    <x v="4"/>
  </r>
  <r>
    <x v="4"/>
  </r>
  <r>
    <x v="3"/>
  </r>
  <r>
    <x v="2"/>
  </r>
  <r>
    <x v="3"/>
  </r>
  <r>
    <x v="2"/>
  </r>
  <r>
    <x v="5"/>
  </r>
  <r>
    <x v="6"/>
  </r>
  <r>
    <x v="6"/>
  </r>
  <r>
    <x v="6"/>
  </r>
  <r>
    <x v="6"/>
  </r>
  <r>
    <x v="6"/>
  </r>
  <r>
    <x v="1"/>
  </r>
  <r>
    <x v="6"/>
  </r>
  <r>
    <x v="4"/>
  </r>
  <r>
    <x v="4"/>
  </r>
  <r>
    <x v="6"/>
  </r>
  <r>
    <x v="6"/>
  </r>
  <r>
    <x v="2"/>
  </r>
  <r>
    <x v="6"/>
  </r>
  <r>
    <x v="6"/>
  </r>
  <r>
    <x v="6"/>
  </r>
  <r>
    <x v="6"/>
  </r>
  <r>
    <x v="6"/>
  </r>
  <r>
    <x v="6"/>
  </r>
  <r>
    <x v="6"/>
  </r>
  <r>
    <x v="6"/>
  </r>
  <r>
    <x v="2"/>
  </r>
  <r>
    <x v="2"/>
  </r>
  <r>
    <x v="2"/>
  </r>
  <r>
    <x v="2"/>
  </r>
  <r>
    <x v="2"/>
  </r>
  <r>
    <x v="2"/>
  </r>
  <r>
    <x v="1"/>
  </r>
  <r>
    <x v="6"/>
  </r>
  <r>
    <x v="6"/>
  </r>
  <r>
    <x v="6"/>
  </r>
  <r>
    <x v="2"/>
  </r>
  <r>
    <x v="1"/>
  </r>
  <r>
    <x v="1"/>
  </r>
  <r>
    <x v="3"/>
  </r>
  <r>
    <x v="3"/>
  </r>
  <r>
    <x v="3"/>
  </r>
  <r>
    <x v="3"/>
  </r>
  <r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"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1"/>
  </r>
  <r>
    <x v="3"/>
    <x v="2"/>
  </r>
  <r>
    <x v="3"/>
    <x v="2"/>
  </r>
  <r>
    <x v="3"/>
    <x v="2"/>
  </r>
  <r>
    <x v="3"/>
    <x v="2"/>
  </r>
  <r>
    <x v="3"/>
    <x v="3"/>
  </r>
  <r>
    <x v="0"/>
    <x v="3"/>
  </r>
  <r>
    <x v="3"/>
    <x v="3"/>
  </r>
  <r>
    <x v="4"/>
    <x v="3"/>
  </r>
  <r>
    <x v="3"/>
    <x v="3"/>
  </r>
  <r>
    <x v="4"/>
    <x v="3"/>
  </r>
  <r>
    <x v="3"/>
    <x v="3"/>
  </r>
  <r>
    <x v="5"/>
    <x v="3"/>
  </r>
  <r>
    <x v="1"/>
    <x v="3"/>
  </r>
  <r>
    <x v="4"/>
    <x v="3"/>
  </r>
  <r>
    <x v="4"/>
    <x v="3"/>
  </r>
  <r>
    <x v="3"/>
    <x v="3"/>
  </r>
  <r>
    <x v="0"/>
    <x v="3"/>
  </r>
  <r>
    <x v="3"/>
    <x v="3"/>
  </r>
  <r>
    <x v="1"/>
    <x v="3"/>
  </r>
  <r>
    <x v="2"/>
    <x v="3"/>
  </r>
  <r>
    <x v="3"/>
    <x v="3"/>
  </r>
  <r>
    <x v="3"/>
    <x v="3"/>
  </r>
  <r>
    <x v="6"/>
    <x v="3"/>
  </r>
  <r>
    <x v="2"/>
    <x v="3"/>
  </r>
  <r>
    <x v="5"/>
    <x v="3"/>
  </r>
  <r>
    <x v="2"/>
    <x v="3"/>
  </r>
  <r>
    <x v="2"/>
    <x v="3"/>
  </r>
  <r>
    <x v="6"/>
    <x v="3"/>
  </r>
  <r>
    <x v="1"/>
    <x v="3"/>
  </r>
  <r>
    <x v="1"/>
    <x v="3"/>
  </r>
  <r>
    <x v="6"/>
    <x v="4"/>
  </r>
  <r>
    <x v="6"/>
    <x v="4"/>
  </r>
  <r>
    <x v="3"/>
    <x v="4"/>
  </r>
  <r>
    <x v="5"/>
    <x v="4"/>
  </r>
  <r>
    <x v="1"/>
    <x v="4"/>
  </r>
  <r>
    <x v="0"/>
    <x v="4"/>
  </r>
  <r>
    <x v="5"/>
    <x v="4"/>
  </r>
  <r>
    <x v="3"/>
    <x v="4"/>
  </r>
  <r>
    <x v="1"/>
    <x v="4"/>
  </r>
  <r>
    <x v="2"/>
    <x v="4"/>
  </r>
  <r>
    <x v="6"/>
    <x v="4"/>
  </r>
  <r>
    <x v="2"/>
    <x v="4"/>
  </r>
  <r>
    <x v="6"/>
    <x v="4"/>
  </r>
  <r>
    <x v="0"/>
    <x v="4"/>
  </r>
  <r>
    <x v="5"/>
    <x v="4"/>
  </r>
  <r>
    <x v="5"/>
    <x v="4"/>
  </r>
  <r>
    <x v="5"/>
    <x v="4"/>
  </r>
  <r>
    <x v="5"/>
    <x v="4"/>
  </r>
  <r>
    <x v="1"/>
    <x v="4"/>
  </r>
  <r>
    <x v="1"/>
    <x v="4"/>
  </r>
  <r>
    <x v="6"/>
    <x v="5"/>
  </r>
  <r>
    <x v="5"/>
    <x v="5"/>
  </r>
  <r>
    <x v="5"/>
    <x v="5"/>
  </r>
  <r>
    <x v="5"/>
    <x v="5"/>
  </r>
  <r>
    <x v="5"/>
    <x v="5"/>
  </r>
  <r>
    <x v="1"/>
    <x v="5"/>
  </r>
  <r>
    <x v="1"/>
    <x v="5"/>
  </r>
  <r>
    <x v="1"/>
    <x v="5"/>
  </r>
  <r>
    <x v="1"/>
    <x v="5"/>
  </r>
  <r>
    <x v="5"/>
    <x v="5"/>
  </r>
  <r>
    <x v="5"/>
    <x v="5"/>
  </r>
  <r>
    <x v="6"/>
    <x v="5"/>
  </r>
  <r>
    <x v="4"/>
    <x v="5"/>
  </r>
  <r>
    <x v="4"/>
    <x v="5"/>
  </r>
  <r>
    <x v="4"/>
    <x v="5"/>
  </r>
  <r>
    <x v="4"/>
    <x v="5"/>
  </r>
  <r>
    <x v="4"/>
    <x v="5"/>
  </r>
  <r>
    <x v="4"/>
    <x v="5"/>
  </r>
  <r>
    <x v="6"/>
    <x v="6"/>
  </r>
  <r>
    <x v="6"/>
    <x v="6"/>
  </r>
  <r>
    <x v="3"/>
    <x v="6"/>
  </r>
  <r>
    <x v="5"/>
    <x v="6"/>
  </r>
  <r>
    <x v="0"/>
    <x v="6"/>
  </r>
  <r>
    <x v="3"/>
    <x v="6"/>
  </r>
  <r>
    <x v="6"/>
    <x v="6"/>
  </r>
  <r>
    <x v="2"/>
    <x v="6"/>
  </r>
  <r>
    <x v="0"/>
    <x v="6"/>
  </r>
  <r>
    <x v="0"/>
    <x v="6"/>
  </r>
  <r>
    <x v="5"/>
    <x v="6"/>
  </r>
  <r>
    <x v="4"/>
    <x v="6"/>
  </r>
  <r>
    <x v="4"/>
    <x v="6"/>
  </r>
  <r>
    <x v="4"/>
    <x v="6"/>
  </r>
  <r>
    <x v="4"/>
    <x v="6"/>
  </r>
  <r>
    <x v="4"/>
    <x v="6"/>
  </r>
  <r>
    <x v="3"/>
    <x v="6"/>
  </r>
  <r>
    <x v="2"/>
    <x v="6"/>
  </r>
  <r>
    <x v="3"/>
    <x v="6"/>
  </r>
  <r>
    <x v="2"/>
    <x v="6"/>
  </r>
  <r>
    <x v="5"/>
    <x v="6"/>
  </r>
  <r>
    <x v="6"/>
    <x v="6"/>
  </r>
  <r>
    <x v="6"/>
    <x v="6"/>
  </r>
  <r>
    <x v="6"/>
    <x v="6"/>
  </r>
  <r>
    <x v="6"/>
    <x v="6"/>
  </r>
  <r>
    <x v="6"/>
    <x v="6"/>
  </r>
  <r>
    <x v="1"/>
    <x v="6"/>
  </r>
  <r>
    <x v="6"/>
    <x v="7"/>
  </r>
  <r>
    <x v="4"/>
    <x v="7"/>
  </r>
  <r>
    <x v="4"/>
    <x v="7"/>
  </r>
  <r>
    <x v="6"/>
    <x v="7"/>
  </r>
  <r>
    <x v="6"/>
    <x v="7"/>
  </r>
  <r>
    <x v="2"/>
    <x v="7"/>
  </r>
  <r>
    <x v="6"/>
    <x v="7"/>
  </r>
  <r>
    <x v="6"/>
    <x v="7"/>
  </r>
  <r>
    <x v="6"/>
    <x v="7"/>
  </r>
  <r>
    <x v="6"/>
    <x v="7"/>
  </r>
  <r>
    <x v="6"/>
    <x v="7"/>
  </r>
  <r>
    <x v="6"/>
    <x v="7"/>
  </r>
  <r>
    <x v="6"/>
    <x v="7"/>
  </r>
  <r>
    <x v="6"/>
    <x v="7"/>
  </r>
  <r>
    <x v="2"/>
    <x v="7"/>
  </r>
  <r>
    <x v="2"/>
    <x v="7"/>
  </r>
  <r>
    <x v="2"/>
    <x v="8"/>
  </r>
  <r>
    <x v="2"/>
    <x v="8"/>
  </r>
  <r>
    <x v="2"/>
    <x v="8"/>
  </r>
  <r>
    <x v="2"/>
    <x v="8"/>
  </r>
  <r>
    <x v="1"/>
    <x v="8"/>
  </r>
  <r>
    <x v="6"/>
    <x v="8"/>
  </r>
  <r>
    <x v="6"/>
    <x v="8"/>
  </r>
  <r>
    <x v="6"/>
    <x v="8"/>
  </r>
  <r>
    <x v="2"/>
    <x v="8"/>
  </r>
  <r>
    <x v="1"/>
    <x v="9"/>
  </r>
  <r>
    <x v="1"/>
    <x v="9"/>
  </r>
  <r>
    <x v="3"/>
    <x v="9"/>
  </r>
  <r>
    <x v="3"/>
    <x v="9"/>
  </r>
  <r>
    <x v="3"/>
    <x v="9"/>
  </r>
  <r>
    <x v="3"/>
    <x v="9"/>
  </r>
  <r>
    <x v="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46E04F-7843-41B6-9811-DFDD69AF2B71}" name="Tabela przestawna2" cacheId="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L2:M10" firstHeaderRow="1" firstDataRow="1" firstDataCol="1"/>
  <pivotFields count="1">
    <pivotField axis="axisRow" dataField="1" showAll="0">
      <items count="8">
        <item x="6"/>
        <item x="0"/>
        <item x="2"/>
        <item x="1"/>
        <item x="5"/>
        <item x="4"/>
        <item x="3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Liczba z Marka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D3F29E-F6D0-49BB-A271-074757BBECAB}" name="Tabela przestawna1" cacheId="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2:J10" firstHeaderRow="1" firstDataRow="1" firstDataCol="1"/>
  <pivotFields count="2">
    <pivotField axis="axisRow" showAll="0">
      <items count="8">
        <item x="6"/>
        <item x="0"/>
        <item x="2"/>
        <item x="1"/>
        <item x="5"/>
        <item x="4"/>
        <item x="3"/>
        <item t="default"/>
      </items>
    </pivotField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Średnia z Przebieg" fld="1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C3EAAA-C8B8-471C-AEE3-B999C2307E84}" name="Tabela przestawna6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D2:L14" firstHeaderRow="1" firstDataRow="2" firstDataCol="1"/>
  <pivotFields count="2">
    <pivotField axis="axisCol" dataField="1" showAll="0">
      <items count="8">
        <item x="6"/>
        <item x="0"/>
        <item x="2"/>
        <item x="1"/>
        <item x="5"/>
        <item x="4"/>
        <item x="3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0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Liczba z Marka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" connectionId="1" xr16:uid="{43F8743F-55F4-4285-8F79-F75270C1A13D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port" connectionId="2" xr16:uid="{157D16D1-3E83-40B5-8504-9A79044FB13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8ADE-1312-4363-8FFC-14EDBAE24E67}">
  <dimension ref="A1:L135"/>
  <sheetViews>
    <sheetView zoomScale="145" zoomScaleNormal="145" workbookViewId="0">
      <selection sqref="A1:F135"/>
    </sheetView>
  </sheetViews>
  <sheetFormatPr defaultRowHeight="15" x14ac:dyDescent="0.25"/>
  <cols>
    <col min="1" max="1" width="18" bestFit="1" customWidth="1"/>
    <col min="2" max="2" width="13.7109375" bestFit="1" customWidth="1"/>
    <col min="3" max="3" width="12.7109375" bestFit="1" customWidth="1"/>
    <col min="4" max="4" width="15.7109375" bestFit="1" customWidth="1"/>
    <col min="5" max="5" width="8.7109375" bestFit="1" customWidth="1"/>
    <col min="6" max="6" width="24.5703125" bestFit="1" customWidth="1"/>
    <col min="7" max="7" width="17.42578125" bestFit="1" customWidth="1"/>
    <col min="8" max="8" width="11.5703125" bestFit="1" customWidth="1"/>
    <col min="9" max="9" width="11.85546875" bestFit="1" customWidth="1"/>
    <col min="10" max="10" width="10.7109375" bestFit="1" customWidth="1"/>
    <col min="12" max="12" width="16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178</v>
      </c>
      <c r="H1" t="s">
        <v>179</v>
      </c>
      <c r="I1" t="s">
        <v>180</v>
      </c>
      <c r="J1" t="s">
        <v>181</v>
      </c>
    </row>
    <row r="2" spans="1:12" x14ac:dyDescent="0.25">
      <c r="A2" t="s">
        <v>6</v>
      </c>
      <c r="B2">
        <v>2006</v>
      </c>
      <c r="C2">
        <v>85900</v>
      </c>
      <c r="D2" t="s">
        <v>7</v>
      </c>
      <c r="E2">
        <v>1200655</v>
      </c>
      <c r="F2" s="1">
        <v>42035</v>
      </c>
      <c r="G2">
        <f>2017-B2</f>
        <v>11</v>
      </c>
      <c r="H2">
        <f>5%*C2*G2</f>
        <v>47245</v>
      </c>
      <c r="I2">
        <f>2%*C2*ROUNDDOWN(E2/100000,0)</f>
        <v>20616</v>
      </c>
      <c r="J2">
        <f>C2-H2-I2</f>
        <v>18039</v>
      </c>
      <c r="L2" t="s">
        <v>182</v>
      </c>
    </row>
    <row r="3" spans="1:12" x14ac:dyDescent="0.25">
      <c r="A3" t="s">
        <v>6</v>
      </c>
      <c r="B3">
        <v>2006</v>
      </c>
      <c r="C3">
        <v>85900</v>
      </c>
      <c r="D3" t="s">
        <v>8</v>
      </c>
      <c r="E3">
        <v>1068570</v>
      </c>
      <c r="F3" s="1">
        <v>42029</v>
      </c>
      <c r="G3">
        <f t="shared" ref="G3:G66" si="0">2017-B3</f>
        <v>11</v>
      </c>
      <c r="H3">
        <f t="shared" ref="H3:H66" si="1">5%*C3*G3</f>
        <v>47245</v>
      </c>
      <c r="I3">
        <f t="shared" ref="I3:I66" si="2">2%*C3*ROUNDDOWN(E3/100000,0)</f>
        <v>17180</v>
      </c>
      <c r="J3">
        <f t="shared" ref="J3:J66" si="3">C3-H3-I3</f>
        <v>21475</v>
      </c>
      <c r="L3">
        <f>MIN(J2:J135)</f>
        <v>17390</v>
      </c>
    </row>
    <row r="4" spans="1:12" x14ac:dyDescent="0.25">
      <c r="A4" t="s">
        <v>6</v>
      </c>
      <c r="B4">
        <v>2006</v>
      </c>
      <c r="C4">
        <v>85900</v>
      </c>
      <c r="D4" t="s">
        <v>9</v>
      </c>
      <c r="E4">
        <v>998704</v>
      </c>
      <c r="F4" s="1">
        <v>42028</v>
      </c>
      <c r="G4">
        <f t="shared" si="0"/>
        <v>11</v>
      </c>
      <c r="H4">
        <f t="shared" si="1"/>
        <v>47245</v>
      </c>
      <c r="I4">
        <f t="shared" si="2"/>
        <v>15462</v>
      </c>
      <c r="J4">
        <f t="shared" si="3"/>
        <v>23193</v>
      </c>
    </row>
    <row r="5" spans="1:12" x14ac:dyDescent="0.25">
      <c r="A5" t="s">
        <v>6</v>
      </c>
      <c r="B5">
        <v>2006</v>
      </c>
      <c r="C5">
        <v>85900</v>
      </c>
      <c r="D5" t="s">
        <v>10</v>
      </c>
      <c r="E5">
        <v>936780</v>
      </c>
      <c r="F5" s="1">
        <v>42028</v>
      </c>
      <c r="G5">
        <f t="shared" si="0"/>
        <v>11</v>
      </c>
      <c r="H5">
        <f t="shared" si="1"/>
        <v>47245</v>
      </c>
      <c r="I5">
        <f t="shared" si="2"/>
        <v>15462</v>
      </c>
      <c r="J5">
        <f t="shared" si="3"/>
        <v>23193</v>
      </c>
    </row>
    <row r="6" spans="1:12" x14ac:dyDescent="0.25">
      <c r="A6" t="s">
        <v>6</v>
      </c>
      <c r="B6">
        <v>2006</v>
      </c>
      <c r="C6">
        <v>85900</v>
      </c>
      <c r="D6" t="s">
        <v>11</v>
      </c>
      <c r="E6">
        <v>870233</v>
      </c>
      <c r="F6" s="1">
        <v>42034</v>
      </c>
      <c r="G6">
        <f t="shared" si="0"/>
        <v>11</v>
      </c>
      <c r="H6">
        <f t="shared" si="1"/>
        <v>47245</v>
      </c>
      <c r="I6">
        <f t="shared" si="2"/>
        <v>13744</v>
      </c>
      <c r="J6">
        <f t="shared" si="3"/>
        <v>24911</v>
      </c>
    </row>
    <row r="7" spans="1:12" x14ac:dyDescent="0.25">
      <c r="A7" t="s">
        <v>12</v>
      </c>
      <c r="B7">
        <v>2007</v>
      </c>
      <c r="C7">
        <v>205000</v>
      </c>
      <c r="D7" t="s">
        <v>13</v>
      </c>
      <c r="E7">
        <v>1260000</v>
      </c>
      <c r="F7" s="1">
        <v>42483</v>
      </c>
      <c r="G7">
        <f t="shared" si="0"/>
        <v>10</v>
      </c>
      <c r="H7">
        <f t="shared" si="1"/>
        <v>102500</v>
      </c>
      <c r="I7">
        <f t="shared" si="2"/>
        <v>49200</v>
      </c>
      <c r="J7">
        <f t="shared" si="3"/>
        <v>53300</v>
      </c>
    </row>
    <row r="8" spans="1:12" x14ac:dyDescent="0.25">
      <c r="A8" t="s">
        <v>14</v>
      </c>
      <c r="B8">
        <v>2007</v>
      </c>
      <c r="C8">
        <v>198000</v>
      </c>
      <c r="D8" t="s">
        <v>15</v>
      </c>
      <c r="E8">
        <v>890200</v>
      </c>
      <c r="F8" s="1">
        <v>42520</v>
      </c>
      <c r="G8">
        <f t="shared" si="0"/>
        <v>10</v>
      </c>
      <c r="H8">
        <f t="shared" si="1"/>
        <v>99000</v>
      </c>
      <c r="I8">
        <f t="shared" si="2"/>
        <v>31680</v>
      </c>
      <c r="J8">
        <f t="shared" si="3"/>
        <v>67320</v>
      </c>
    </row>
    <row r="9" spans="1:12" x14ac:dyDescent="0.25">
      <c r="A9" t="s">
        <v>16</v>
      </c>
      <c r="B9">
        <v>2008</v>
      </c>
      <c r="C9">
        <v>49411</v>
      </c>
      <c r="D9" t="s">
        <v>17</v>
      </c>
      <c r="E9">
        <v>186000</v>
      </c>
      <c r="F9" s="1">
        <v>42210</v>
      </c>
      <c r="G9">
        <f t="shared" si="0"/>
        <v>9</v>
      </c>
      <c r="H9">
        <f t="shared" si="1"/>
        <v>22234.95</v>
      </c>
      <c r="I9">
        <f t="shared" si="2"/>
        <v>988.22</v>
      </c>
      <c r="J9">
        <f t="shared" si="3"/>
        <v>26187.829999999998</v>
      </c>
    </row>
    <row r="10" spans="1:12" x14ac:dyDescent="0.25">
      <c r="A10" t="s">
        <v>18</v>
      </c>
      <c r="B10">
        <v>2008</v>
      </c>
      <c r="C10">
        <v>58000</v>
      </c>
      <c r="D10" t="s">
        <v>19</v>
      </c>
      <c r="E10">
        <v>306000</v>
      </c>
      <c r="F10" s="1">
        <v>42271</v>
      </c>
      <c r="G10">
        <f t="shared" si="0"/>
        <v>9</v>
      </c>
      <c r="H10">
        <f t="shared" si="1"/>
        <v>26100</v>
      </c>
      <c r="I10">
        <f t="shared" si="2"/>
        <v>3480</v>
      </c>
      <c r="J10">
        <f t="shared" si="3"/>
        <v>28420</v>
      </c>
    </row>
    <row r="11" spans="1:12" x14ac:dyDescent="0.25">
      <c r="A11" t="s">
        <v>20</v>
      </c>
      <c r="B11">
        <v>2008</v>
      </c>
      <c r="C11">
        <v>84000</v>
      </c>
      <c r="D11" t="s">
        <v>21</v>
      </c>
      <c r="E11">
        <v>266000</v>
      </c>
      <c r="F11" s="1">
        <v>42382</v>
      </c>
      <c r="G11">
        <f t="shared" si="0"/>
        <v>9</v>
      </c>
      <c r="H11">
        <f t="shared" si="1"/>
        <v>37800</v>
      </c>
      <c r="I11">
        <f t="shared" si="2"/>
        <v>3360</v>
      </c>
      <c r="J11">
        <f t="shared" si="3"/>
        <v>42840</v>
      </c>
    </row>
    <row r="12" spans="1:12" s="2" customFormat="1" x14ac:dyDescent="0.25">
      <c r="A12" s="2" t="s">
        <v>22</v>
      </c>
      <c r="B12" s="2">
        <v>2008</v>
      </c>
      <c r="C12" s="2">
        <v>89000</v>
      </c>
      <c r="D12" s="2" t="s">
        <v>23</v>
      </c>
      <c r="E12" s="2">
        <v>305000</v>
      </c>
      <c r="F12" s="3">
        <v>42075</v>
      </c>
      <c r="G12" s="2">
        <f t="shared" si="0"/>
        <v>9</v>
      </c>
      <c r="H12" s="4">
        <f t="shared" si="1"/>
        <v>40050</v>
      </c>
      <c r="I12" s="4">
        <f t="shared" si="2"/>
        <v>5340</v>
      </c>
      <c r="J12" s="4">
        <f t="shared" si="3"/>
        <v>43610</v>
      </c>
    </row>
    <row r="13" spans="1:12" x14ac:dyDescent="0.25">
      <c r="A13" t="s">
        <v>16</v>
      </c>
      <c r="B13">
        <v>2009</v>
      </c>
      <c r="C13">
        <v>48411</v>
      </c>
      <c r="D13" t="s">
        <v>24</v>
      </c>
      <c r="E13">
        <v>190000</v>
      </c>
      <c r="F13" s="1">
        <v>42210</v>
      </c>
      <c r="G13">
        <f t="shared" si="0"/>
        <v>8</v>
      </c>
      <c r="H13">
        <f t="shared" si="1"/>
        <v>19364.400000000001</v>
      </c>
      <c r="I13">
        <f t="shared" si="2"/>
        <v>968.22</v>
      </c>
      <c r="J13">
        <f t="shared" si="3"/>
        <v>28078.379999999997</v>
      </c>
    </row>
    <row r="14" spans="1:12" x14ac:dyDescent="0.25">
      <c r="A14" t="s">
        <v>25</v>
      </c>
      <c r="B14">
        <v>2009</v>
      </c>
      <c r="C14">
        <v>68000</v>
      </c>
      <c r="D14" t="s">
        <v>26</v>
      </c>
      <c r="E14">
        <v>992600</v>
      </c>
      <c r="F14" s="1">
        <v>42157</v>
      </c>
      <c r="G14">
        <f t="shared" si="0"/>
        <v>8</v>
      </c>
      <c r="H14">
        <f t="shared" si="1"/>
        <v>27200</v>
      </c>
      <c r="I14">
        <f t="shared" si="2"/>
        <v>12240</v>
      </c>
      <c r="J14">
        <f t="shared" si="3"/>
        <v>28560</v>
      </c>
    </row>
    <row r="15" spans="1:12" x14ac:dyDescent="0.25">
      <c r="A15" t="s">
        <v>16</v>
      </c>
      <c r="B15">
        <v>2009</v>
      </c>
      <c r="C15">
        <v>49411</v>
      </c>
      <c r="D15" t="s">
        <v>27</v>
      </c>
      <c r="E15">
        <v>186000</v>
      </c>
      <c r="F15" s="1">
        <v>42210</v>
      </c>
      <c r="G15">
        <f t="shared" si="0"/>
        <v>8</v>
      </c>
      <c r="H15">
        <f t="shared" si="1"/>
        <v>19764.400000000001</v>
      </c>
      <c r="I15">
        <f t="shared" si="2"/>
        <v>988.22</v>
      </c>
      <c r="J15">
        <f t="shared" si="3"/>
        <v>28658.379999999997</v>
      </c>
    </row>
    <row r="16" spans="1:12" x14ac:dyDescent="0.25">
      <c r="A16" t="s">
        <v>28</v>
      </c>
      <c r="B16">
        <v>2009</v>
      </c>
      <c r="C16">
        <v>67900</v>
      </c>
      <c r="D16" t="s">
        <v>29</v>
      </c>
      <c r="E16">
        <v>850000</v>
      </c>
      <c r="F16" s="1">
        <v>42194</v>
      </c>
      <c r="G16">
        <f t="shared" si="0"/>
        <v>8</v>
      </c>
      <c r="H16">
        <f t="shared" si="1"/>
        <v>27160</v>
      </c>
      <c r="I16">
        <f t="shared" si="2"/>
        <v>10864</v>
      </c>
      <c r="J16">
        <f t="shared" si="3"/>
        <v>29876</v>
      </c>
    </row>
    <row r="17" spans="1:10" x14ac:dyDescent="0.25">
      <c r="A17" t="s">
        <v>16</v>
      </c>
      <c r="B17">
        <v>2009</v>
      </c>
      <c r="C17">
        <v>65000</v>
      </c>
      <c r="D17" t="s">
        <v>30</v>
      </c>
      <c r="E17">
        <v>740000</v>
      </c>
      <c r="F17" s="1">
        <v>42385</v>
      </c>
      <c r="G17">
        <f t="shared" si="0"/>
        <v>8</v>
      </c>
      <c r="H17">
        <f t="shared" si="1"/>
        <v>26000</v>
      </c>
      <c r="I17">
        <f t="shared" si="2"/>
        <v>9100</v>
      </c>
      <c r="J17">
        <f t="shared" si="3"/>
        <v>29900</v>
      </c>
    </row>
    <row r="18" spans="1:10" x14ac:dyDescent="0.25">
      <c r="A18" t="s">
        <v>28</v>
      </c>
      <c r="B18">
        <v>2009</v>
      </c>
      <c r="C18">
        <v>68900</v>
      </c>
      <c r="D18" t="s">
        <v>31</v>
      </c>
      <c r="E18">
        <v>846000</v>
      </c>
      <c r="F18" s="1">
        <v>42194</v>
      </c>
      <c r="G18">
        <f t="shared" si="0"/>
        <v>8</v>
      </c>
      <c r="H18">
        <f t="shared" si="1"/>
        <v>27560</v>
      </c>
      <c r="I18">
        <f t="shared" si="2"/>
        <v>11024</v>
      </c>
      <c r="J18">
        <f t="shared" si="3"/>
        <v>30316</v>
      </c>
    </row>
    <row r="19" spans="1:10" x14ac:dyDescent="0.25">
      <c r="A19" t="s">
        <v>18</v>
      </c>
      <c r="B19">
        <v>2009</v>
      </c>
      <c r="C19">
        <v>59000</v>
      </c>
      <c r="D19" t="s">
        <v>32</v>
      </c>
      <c r="E19">
        <v>302000</v>
      </c>
      <c r="F19" s="1">
        <v>42271</v>
      </c>
      <c r="G19">
        <f t="shared" si="0"/>
        <v>8</v>
      </c>
      <c r="H19">
        <f t="shared" si="1"/>
        <v>23600</v>
      </c>
      <c r="I19">
        <f t="shared" si="2"/>
        <v>3540</v>
      </c>
      <c r="J19">
        <f t="shared" si="3"/>
        <v>31860</v>
      </c>
    </row>
    <row r="20" spans="1:10" x14ac:dyDescent="0.25">
      <c r="A20" t="s">
        <v>33</v>
      </c>
      <c r="B20">
        <v>2009</v>
      </c>
      <c r="C20">
        <v>77000</v>
      </c>
      <c r="D20" t="s">
        <v>34</v>
      </c>
      <c r="E20">
        <v>846000</v>
      </c>
      <c r="F20" s="1">
        <v>42376</v>
      </c>
      <c r="G20">
        <f t="shared" si="0"/>
        <v>8</v>
      </c>
      <c r="H20">
        <f t="shared" si="1"/>
        <v>30800</v>
      </c>
      <c r="I20">
        <f t="shared" si="2"/>
        <v>12320</v>
      </c>
      <c r="J20">
        <f t="shared" si="3"/>
        <v>33880</v>
      </c>
    </row>
    <row r="21" spans="1:10" x14ac:dyDescent="0.25">
      <c r="A21" t="s">
        <v>35</v>
      </c>
      <c r="B21">
        <v>2009</v>
      </c>
      <c r="C21">
        <v>85000</v>
      </c>
      <c r="D21" t="s">
        <v>36</v>
      </c>
      <c r="E21">
        <v>946000</v>
      </c>
      <c r="F21" s="1">
        <v>42014</v>
      </c>
      <c r="G21">
        <f t="shared" si="0"/>
        <v>8</v>
      </c>
      <c r="H21">
        <f t="shared" si="1"/>
        <v>34000</v>
      </c>
      <c r="I21">
        <f t="shared" si="2"/>
        <v>15300</v>
      </c>
      <c r="J21">
        <f t="shared" si="3"/>
        <v>35700</v>
      </c>
    </row>
    <row r="22" spans="1:10" x14ac:dyDescent="0.25">
      <c r="A22" t="s">
        <v>37</v>
      </c>
      <c r="B22">
        <v>2009</v>
      </c>
      <c r="C22">
        <v>79000</v>
      </c>
      <c r="D22" t="s">
        <v>38</v>
      </c>
      <c r="E22">
        <v>390000</v>
      </c>
      <c r="F22" s="1">
        <v>42379</v>
      </c>
      <c r="G22">
        <f t="shared" si="0"/>
        <v>8</v>
      </c>
      <c r="H22">
        <f t="shared" si="1"/>
        <v>31600</v>
      </c>
      <c r="I22">
        <f t="shared" si="2"/>
        <v>4740</v>
      </c>
      <c r="J22">
        <f t="shared" si="3"/>
        <v>42660</v>
      </c>
    </row>
    <row r="23" spans="1:10" x14ac:dyDescent="0.25">
      <c r="A23" t="s">
        <v>37</v>
      </c>
      <c r="B23">
        <v>2009</v>
      </c>
      <c r="C23">
        <v>79000</v>
      </c>
      <c r="D23" t="s">
        <v>39</v>
      </c>
      <c r="E23">
        <v>390000</v>
      </c>
      <c r="F23" s="1">
        <v>42379</v>
      </c>
      <c r="G23">
        <f t="shared" si="0"/>
        <v>8</v>
      </c>
      <c r="H23">
        <f t="shared" si="1"/>
        <v>31600</v>
      </c>
      <c r="I23">
        <f t="shared" si="2"/>
        <v>4740</v>
      </c>
      <c r="J23">
        <f t="shared" si="3"/>
        <v>42660</v>
      </c>
    </row>
    <row r="24" spans="1:10" x14ac:dyDescent="0.25">
      <c r="A24" t="s">
        <v>20</v>
      </c>
      <c r="B24">
        <v>2009</v>
      </c>
      <c r="C24">
        <v>83000</v>
      </c>
      <c r="D24" t="s">
        <v>40</v>
      </c>
      <c r="E24">
        <v>270000</v>
      </c>
      <c r="F24" s="1">
        <v>42382</v>
      </c>
      <c r="G24">
        <f t="shared" si="0"/>
        <v>8</v>
      </c>
      <c r="H24">
        <f t="shared" si="1"/>
        <v>33200</v>
      </c>
      <c r="I24">
        <f t="shared" si="2"/>
        <v>3320</v>
      </c>
      <c r="J24">
        <f t="shared" si="3"/>
        <v>46480</v>
      </c>
    </row>
    <row r="25" spans="1:10" x14ac:dyDescent="0.25">
      <c r="A25" t="s">
        <v>41</v>
      </c>
      <c r="B25">
        <v>2009</v>
      </c>
      <c r="C25">
        <v>86133</v>
      </c>
      <c r="D25" t="s">
        <v>42</v>
      </c>
      <c r="E25">
        <v>380000</v>
      </c>
      <c r="F25" s="1">
        <v>42208</v>
      </c>
      <c r="G25">
        <f t="shared" si="0"/>
        <v>8</v>
      </c>
      <c r="H25">
        <f t="shared" si="1"/>
        <v>34453.200000000004</v>
      </c>
      <c r="I25">
        <f t="shared" si="2"/>
        <v>5167.9800000000005</v>
      </c>
      <c r="J25">
        <f t="shared" si="3"/>
        <v>46511.819999999992</v>
      </c>
    </row>
    <row r="26" spans="1:10" x14ac:dyDescent="0.25">
      <c r="A26" t="s">
        <v>22</v>
      </c>
      <c r="B26">
        <v>2009</v>
      </c>
      <c r="C26">
        <v>90000</v>
      </c>
      <c r="D26" t="s">
        <v>43</v>
      </c>
      <c r="E26">
        <v>301000</v>
      </c>
      <c r="F26" s="1">
        <v>42075</v>
      </c>
      <c r="G26">
        <f t="shared" si="0"/>
        <v>8</v>
      </c>
      <c r="H26">
        <f t="shared" si="1"/>
        <v>36000</v>
      </c>
      <c r="I26">
        <f t="shared" si="2"/>
        <v>5400</v>
      </c>
      <c r="J26">
        <f t="shared" si="3"/>
        <v>48600</v>
      </c>
    </row>
    <row r="27" spans="1:10" x14ac:dyDescent="0.25">
      <c r="A27" t="s">
        <v>35</v>
      </c>
      <c r="B27">
        <v>2009</v>
      </c>
      <c r="C27">
        <v>91000</v>
      </c>
      <c r="D27" t="s">
        <v>44</v>
      </c>
      <c r="E27">
        <v>360000</v>
      </c>
      <c r="F27" s="1">
        <v>42174</v>
      </c>
      <c r="G27">
        <f t="shared" si="0"/>
        <v>8</v>
      </c>
      <c r="H27">
        <f t="shared" si="1"/>
        <v>36400</v>
      </c>
      <c r="I27">
        <f t="shared" si="2"/>
        <v>5460</v>
      </c>
      <c r="J27">
        <f t="shared" si="3"/>
        <v>49140</v>
      </c>
    </row>
    <row r="28" spans="1:10" x14ac:dyDescent="0.25">
      <c r="A28" t="s">
        <v>45</v>
      </c>
      <c r="B28">
        <v>2009</v>
      </c>
      <c r="C28">
        <v>114400</v>
      </c>
      <c r="D28" t="s">
        <v>46</v>
      </c>
      <c r="E28">
        <v>226000</v>
      </c>
      <c r="F28" s="1">
        <v>42073</v>
      </c>
      <c r="G28">
        <f t="shared" si="0"/>
        <v>8</v>
      </c>
      <c r="H28">
        <f t="shared" si="1"/>
        <v>45760</v>
      </c>
      <c r="I28">
        <f t="shared" si="2"/>
        <v>4576</v>
      </c>
      <c r="J28">
        <f t="shared" si="3"/>
        <v>64064</v>
      </c>
    </row>
    <row r="29" spans="1:10" x14ac:dyDescent="0.25">
      <c r="A29" t="s">
        <v>47</v>
      </c>
      <c r="B29">
        <v>2009</v>
      </c>
      <c r="C29">
        <v>134000</v>
      </c>
      <c r="D29" t="s">
        <v>48</v>
      </c>
      <c r="E29">
        <v>482000</v>
      </c>
      <c r="F29" s="1">
        <v>42385</v>
      </c>
      <c r="G29">
        <f t="shared" si="0"/>
        <v>8</v>
      </c>
      <c r="H29">
        <f t="shared" si="1"/>
        <v>53600</v>
      </c>
      <c r="I29">
        <f t="shared" si="2"/>
        <v>10720</v>
      </c>
      <c r="J29">
        <f t="shared" si="3"/>
        <v>69680</v>
      </c>
    </row>
    <row r="30" spans="1:10" x14ac:dyDescent="0.25">
      <c r="A30" t="s">
        <v>47</v>
      </c>
      <c r="B30">
        <v>2009</v>
      </c>
      <c r="C30">
        <v>135000</v>
      </c>
      <c r="D30" t="s">
        <v>49</v>
      </c>
      <c r="E30">
        <v>478000</v>
      </c>
      <c r="F30" s="1">
        <v>42385</v>
      </c>
      <c r="G30">
        <f t="shared" si="0"/>
        <v>8</v>
      </c>
      <c r="H30">
        <f t="shared" si="1"/>
        <v>54000</v>
      </c>
      <c r="I30">
        <f t="shared" si="2"/>
        <v>10800</v>
      </c>
      <c r="J30">
        <f t="shared" si="3"/>
        <v>70200</v>
      </c>
    </row>
    <row r="31" spans="1:10" x14ac:dyDescent="0.25">
      <c r="A31" t="s">
        <v>50</v>
      </c>
      <c r="B31">
        <v>2009</v>
      </c>
      <c r="C31">
        <v>131780</v>
      </c>
      <c r="D31" t="s">
        <v>51</v>
      </c>
      <c r="E31">
        <v>306000</v>
      </c>
      <c r="F31" s="1">
        <v>42365</v>
      </c>
      <c r="G31">
        <f t="shared" si="0"/>
        <v>8</v>
      </c>
      <c r="H31">
        <f t="shared" si="1"/>
        <v>52712</v>
      </c>
      <c r="I31">
        <f t="shared" si="2"/>
        <v>7906.7999999999993</v>
      </c>
      <c r="J31">
        <f t="shared" si="3"/>
        <v>71161.2</v>
      </c>
    </row>
    <row r="32" spans="1:10" x14ac:dyDescent="0.25">
      <c r="A32" t="s">
        <v>45</v>
      </c>
      <c r="B32">
        <v>2009</v>
      </c>
      <c r="C32">
        <v>159000</v>
      </c>
      <c r="D32" t="s">
        <v>52</v>
      </c>
      <c r="E32">
        <v>403000</v>
      </c>
      <c r="F32" s="1">
        <v>42681</v>
      </c>
      <c r="G32">
        <f t="shared" si="0"/>
        <v>8</v>
      </c>
      <c r="H32">
        <f t="shared" si="1"/>
        <v>63600</v>
      </c>
      <c r="I32">
        <f t="shared" si="2"/>
        <v>12720</v>
      </c>
      <c r="J32">
        <f t="shared" si="3"/>
        <v>82680</v>
      </c>
    </row>
    <row r="33" spans="1:10" x14ac:dyDescent="0.25">
      <c r="A33" t="s">
        <v>33</v>
      </c>
      <c r="B33">
        <v>2009</v>
      </c>
      <c r="C33">
        <v>162800</v>
      </c>
      <c r="D33" t="s">
        <v>53</v>
      </c>
      <c r="E33">
        <v>370000</v>
      </c>
      <c r="F33" s="1">
        <v>42329</v>
      </c>
      <c r="G33">
        <f t="shared" si="0"/>
        <v>8</v>
      </c>
      <c r="H33">
        <f t="shared" si="1"/>
        <v>65120</v>
      </c>
      <c r="I33">
        <f t="shared" si="2"/>
        <v>9768</v>
      </c>
      <c r="J33">
        <f t="shared" si="3"/>
        <v>87912</v>
      </c>
    </row>
    <row r="34" spans="1:10" x14ac:dyDescent="0.25">
      <c r="A34" t="s">
        <v>54</v>
      </c>
      <c r="B34">
        <v>2009</v>
      </c>
      <c r="C34">
        <v>168800</v>
      </c>
      <c r="D34" t="s">
        <v>55</v>
      </c>
      <c r="E34">
        <v>186300</v>
      </c>
      <c r="F34" s="1">
        <v>42272</v>
      </c>
      <c r="G34">
        <f t="shared" si="0"/>
        <v>8</v>
      </c>
      <c r="H34">
        <f t="shared" si="1"/>
        <v>67520</v>
      </c>
      <c r="I34">
        <f t="shared" si="2"/>
        <v>3376</v>
      </c>
      <c r="J34">
        <f t="shared" si="3"/>
        <v>97904</v>
      </c>
    </row>
    <row r="35" spans="1:10" x14ac:dyDescent="0.25">
      <c r="A35" t="s">
        <v>56</v>
      </c>
      <c r="B35">
        <v>2009</v>
      </c>
      <c r="C35">
        <v>195370</v>
      </c>
      <c r="D35" t="s">
        <v>57</v>
      </c>
      <c r="E35">
        <v>290000</v>
      </c>
      <c r="F35" s="1">
        <v>42467</v>
      </c>
      <c r="G35">
        <f t="shared" si="0"/>
        <v>8</v>
      </c>
      <c r="H35">
        <f t="shared" si="1"/>
        <v>78148</v>
      </c>
      <c r="I35">
        <f t="shared" si="2"/>
        <v>7814.8</v>
      </c>
      <c r="J35">
        <f t="shared" si="3"/>
        <v>109407.2</v>
      </c>
    </row>
    <row r="36" spans="1:10" x14ac:dyDescent="0.25">
      <c r="A36" t="s">
        <v>58</v>
      </c>
      <c r="B36">
        <v>2009</v>
      </c>
      <c r="C36">
        <v>195340</v>
      </c>
      <c r="D36" t="s">
        <v>59</v>
      </c>
      <c r="E36">
        <v>190000</v>
      </c>
      <c r="F36" s="1">
        <v>42278</v>
      </c>
      <c r="G36">
        <f t="shared" si="0"/>
        <v>8</v>
      </c>
      <c r="H36">
        <f t="shared" si="1"/>
        <v>78136</v>
      </c>
      <c r="I36">
        <f t="shared" si="2"/>
        <v>3906.8</v>
      </c>
      <c r="J36">
        <f t="shared" si="3"/>
        <v>113297.2</v>
      </c>
    </row>
    <row r="37" spans="1:10" x14ac:dyDescent="0.25">
      <c r="A37" t="s">
        <v>60</v>
      </c>
      <c r="B37">
        <v>2009</v>
      </c>
      <c r="C37">
        <v>230000</v>
      </c>
      <c r="D37" t="s">
        <v>61</v>
      </c>
      <c r="E37">
        <v>305000</v>
      </c>
      <c r="F37" s="1">
        <v>42307</v>
      </c>
      <c r="G37">
        <f t="shared" si="0"/>
        <v>8</v>
      </c>
      <c r="H37">
        <f t="shared" si="1"/>
        <v>92000</v>
      </c>
      <c r="I37">
        <f t="shared" si="2"/>
        <v>13800</v>
      </c>
      <c r="J37">
        <f t="shared" si="3"/>
        <v>124200</v>
      </c>
    </row>
    <row r="38" spans="1:10" x14ac:dyDescent="0.25">
      <c r="A38" t="s">
        <v>62</v>
      </c>
      <c r="B38">
        <v>2009</v>
      </c>
      <c r="C38">
        <v>291000</v>
      </c>
      <c r="D38" t="s">
        <v>63</v>
      </c>
      <c r="E38">
        <v>166000</v>
      </c>
      <c r="F38" s="1">
        <v>42297</v>
      </c>
      <c r="G38">
        <f t="shared" si="0"/>
        <v>8</v>
      </c>
      <c r="H38">
        <f t="shared" si="1"/>
        <v>116400</v>
      </c>
      <c r="I38">
        <f t="shared" si="2"/>
        <v>5820</v>
      </c>
      <c r="J38">
        <f t="shared" si="3"/>
        <v>168780</v>
      </c>
    </row>
    <row r="39" spans="1:10" s="2" customFormat="1" x14ac:dyDescent="0.25">
      <c r="A39" s="4" t="s">
        <v>50</v>
      </c>
      <c r="B39" s="2">
        <v>2010</v>
      </c>
      <c r="C39" s="2">
        <v>37000</v>
      </c>
      <c r="D39" s="4" t="s">
        <v>64</v>
      </c>
      <c r="E39" s="2">
        <v>978000</v>
      </c>
      <c r="F39" s="3">
        <v>42309</v>
      </c>
      <c r="G39" s="2">
        <f t="shared" si="0"/>
        <v>7</v>
      </c>
      <c r="H39" s="2">
        <f t="shared" si="1"/>
        <v>12950</v>
      </c>
      <c r="I39" s="2">
        <f t="shared" si="2"/>
        <v>6660</v>
      </c>
      <c r="J39" s="4">
        <f t="shared" si="3"/>
        <v>17390</v>
      </c>
    </row>
    <row r="40" spans="1:10" x14ac:dyDescent="0.25">
      <c r="A40" t="s">
        <v>50</v>
      </c>
      <c r="B40">
        <v>2010</v>
      </c>
      <c r="C40">
        <v>40830</v>
      </c>
      <c r="D40" t="s">
        <v>65</v>
      </c>
      <c r="E40">
        <v>326000</v>
      </c>
      <c r="F40" s="1">
        <v>42062</v>
      </c>
      <c r="G40">
        <f t="shared" si="0"/>
        <v>7</v>
      </c>
      <c r="H40">
        <f t="shared" si="1"/>
        <v>14290.5</v>
      </c>
      <c r="I40">
        <f t="shared" si="2"/>
        <v>2449.8000000000002</v>
      </c>
      <c r="J40">
        <f t="shared" si="3"/>
        <v>24089.7</v>
      </c>
    </row>
    <row r="41" spans="1:10" x14ac:dyDescent="0.25">
      <c r="A41" t="s">
        <v>16</v>
      </c>
      <c r="B41">
        <v>2010</v>
      </c>
      <c r="C41">
        <v>66000</v>
      </c>
      <c r="D41" t="s">
        <v>66</v>
      </c>
      <c r="E41">
        <v>736000</v>
      </c>
      <c r="F41" s="1">
        <v>42385</v>
      </c>
      <c r="G41">
        <f t="shared" si="0"/>
        <v>7</v>
      </c>
      <c r="H41">
        <f t="shared" si="1"/>
        <v>23100</v>
      </c>
      <c r="I41">
        <f t="shared" si="2"/>
        <v>9240</v>
      </c>
      <c r="J41">
        <f t="shared" si="3"/>
        <v>33660</v>
      </c>
    </row>
    <row r="42" spans="1:10" x14ac:dyDescent="0.25">
      <c r="A42" t="s">
        <v>67</v>
      </c>
      <c r="B42">
        <v>2010</v>
      </c>
      <c r="C42">
        <v>60000</v>
      </c>
      <c r="D42" t="s">
        <v>68</v>
      </c>
      <c r="E42">
        <v>99250</v>
      </c>
      <c r="F42" s="1">
        <v>42226</v>
      </c>
      <c r="G42">
        <f t="shared" si="0"/>
        <v>7</v>
      </c>
      <c r="H42">
        <f t="shared" si="1"/>
        <v>21000</v>
      </c>
      <c r="I42">
        <f t="shared" si="2"/>
        <v>0</v>
      </c>
      <c r="J42">
        <f t="shared" si="3"/>
        <v>39000</v>
      </c>
    </row>
    <row r="43" spans="1:10" x14ac:dyDescent="0.25">
      <c r="A43" t="s">
        <v>35</v>
      </c>
      <c r="B43">
        <v>2010</v>
      </c>
      <c r="C43">
        <v>84000</v>
      </c>
      <c r="D43" t="s">
        <v>69</v>
      </c>
      <c r="E43">
        <v>950000</v>
      </c>
      <c r="F43" s="1">
        <v>42029</v>
      </c>
      <c r="G43">
        <f t="shared" si="0"/>
        <v>7</v>
      </c>
      <c r="H43">
        <f t="shared" si="1"/>
        <v>29400</v>
      </c>
      <c r="I43">
        <f t="shared" si="2"/>
        <v>15120</v>
      </c>
      <c r="J43">
        <f t="shared" si="3"/>
        <v>39480</v>
      </c>
    </row>
    <row r="44" spans="1:10" x14ac:dyDescent="0.25">
      <c r="A44" t="s">
        <v>25</v>
      </c>
      <c r="B44">
        <v>2010</v>
      </c>
      <c r="C44">
        <v>67000</v>
      </c>
      <c r="D44" t="s">
        <v>70</v>
      </c>
      <c r="E44">
        <v>103260</v>
      </c>
      <c r="F44" s="1">
        <v>42157</v>
      </c>
      <c r="G44">
        <f t="shared" si="0"/>
        <v>7</v>
      </c>
      <c r="H44">
        <f t="shared" si="1"/>
        <v>23450</v>
      </c>
      <c r="I44">
        <f t="shared" si="2"/>
        <v>1340</v>
      </c>
      <c r="J44">
        <f t="shared" si="3"/>
        <v>42210</v>
      </c>
    </row>
    <row r="45" spans="1:10" x14ac:dyDescent="0.25">
      <c r="A45" t="s">
        <v>71</v>
      </c>
      <c r="B45">
        <v>2010</v>
      </c>
      <c r="C45">
        <v>75300</v>
      </c>
      <c r="D45" t="s">
        <v>72</v>
      </c>
      <c r="E45">
        <v>302000</v>
      </c>
      <c r="F45" s="1">
        <v>42174</v>
      </c>
      <c r="G45">
        <f t="shared" si="0"/>
        <v>7</v>
      </c>
      <c r="H45">
        <f t="shared" si="1"/>
        <v>26355</v>
      </c>
      <c r="I45">
        <f t="shared" si="2"/>
        <v>4518</v>
      </c>
      <c r="J45">
        <f t="shared" si="3"/>
        <v>44427</v>
      </c>
    </row>
    <row r="46" spans="1:10" x14ac:dyDescent="0.25">
      <c r="A46" t="s">
        <v>20</v>
      </c>
      <c r="B46">
        <v>2010</v>
      </c>
      <c r="C46">
        <v>84000</v>
      </c>
      <c r="D46" t="s">
        <v>73</v>
      </c>
      <c r="E46">
        <v>266000</v>
      </c>
      <c r="F46" s="1">
        <v>42382</v>
      </c>
      <c r="G46">
        <f t="shared" si="0"/>
        <v>7</v>
      </c>
      <c r="H46">
        <f t="shared" si="1"/>
        <v>29400</v>
      </c>
      <c r="I46">
        <f t="shared" si="2"/>
        <v>3360</v>
      </c>
      <c r="J46">
        <f t="shared" si="3"/>
        <v>51240</v>
      </c>
    </row>
    <row r="47" spans="1:10" x14ac:dyDescent="0.25">
      <c r="A47" t="s">
        <v>35</v>
      </c>
      <c r="B47">
        <v>2010</v>
      </c>
      <c r="C47">
        <v>92000</v>
      </c>
      <c r="D47" t="s">
        <v>74</v>
      </c>
      <c r="E47">
        <v>356000</v>
      </c>
      <c r="F47" s="1">
        <v>42174</v>
      </c>
      <c r="G47">
        <f t="shared" si="0"/>
        <v>7</v>
      </c>
      <c r="H47">
        <f t="shared" si="1"/>
        <v>32200</v>
      </c>
      <c r="I47">
        <f t="shared" si="2"/>
        <v>5520</v>
      </c>
      <c r="J47">
        <f t="shared" si="3"/>
        <v>54280</v>
      </c>
    </row>
    <row r="48" spans="1:10" x14ac:dyDescent="0.25">
      <c r="A48" t="s">
        <v>45</v>
      </c>
      <c r="B48">
        <v>2010</v>
      </c>
      <c r="C48">
        <v>89000</v>
      </c>
      <c r="D48" t="s">
        <v>75</v>
      </c>
      <c r="E48">
        <v>266000</v>
      </c>
      <c r="F48" s="1">
        <v>42382</v>
      </c>
      <c r="G48">
        <f t="shared" si="0"/>
        <v>7</v>
      </c>
      <c r="H48">
        <f t="shared" si="1"/>
        <v>31150</v>
      </c>
      <c r="I48">
        <f t="shared" si="2"/>
        <v>3560</v>
      </c>
      <c r="J48">
        <f t="shared" si="3"/>
        <v>54290</v>
      </c>
    </row>
    <row r="49" spans="1:10" x14ac:dyDescent="0.25">
      <c r="A49" t="s">
        <v>76</v>
      </c>
      <c r="B49">
        <v>2010</v>
      </c>
      <c r="C49">
        <v>94000</v>
      </c>
      <c r="D49" t="s">
        <v>77</v>
      </c>
      <c r="E49">
        <v>91000</v>
      </c>
      <c r="F49" s="1">
        <v>42268</v>
      </c>
      <c r="G49">
        <f t="shared" si="0"/>
        <v>7</v>
      </c>
      <c r="H49">
        <f t="shared" si="1"/>
        <v>32900</v>
      </c>
      <c r="I49">
        <f t="shared" si="2"/>
        <v>0</v>
      </c>
      <c r="J49">
        <f t="shared" si="3"/>
        <v>61100</v>
      </c>
    </row>
    <row r="50" spans="1:10" x14ac:dyDescent="0.25">
      <c r="A50" t="s">
        <v>45</v>
      </c>
      <c r="B50">
        <v>2010</v>
      </c>
      <c r="C50">
        <v>113400</v>
      </c>
      <c r="D50" t="s">
        <v>78</v>
      </c>
      <c r="E50">
        <v>230000</v>
      </c>
      <c r="F50" s="1">
        <v>42073</v>
      </c>
      <c r="G50">
        <f t="shared" si="0"/>
        <v>7</v>
      </c>
      <c r="H50">
        <f t="shared" si="1"/>
        <v>39690</v>
      </c>
      <c r="I50">
        <f t="shared" si="2"/>
        <v>4536</v>
      </c>
      <c r="J50">
        <f t="shared" si="3"/>
        <v>69174</v>
      </c>
    </row>
    <row r="51" spans="1:10" x14ac:dyDescent="0.25">
      <c r="A51" t="s">
        <v>79</v>
      </c>
      <c r="B51">
        <v>2010</v>
      </c>
      <c r="C51">
        <v>135000</v>
      </c>
      <c r="D51" t="s">
        <v>80</v>
      </c>
      <c r="E51">
        <v>251000</v>
      </c>
      <c r="F51" s="1">
        <v>42067</v>
      </c>
      <c r="G51">
        <f t="shared" si="0"/>
        <v>7</v>
      </c>
      <c r="H51">
        <f t="shared" si="1"/>
        <v>47250</v>
      </c>
      <c r="I51">
        <f t="shared" si="2"/>
        <v>5400</v>
      </c>
      <c r="J51">
        <f t="shared" si="3"/>
        <v>82350</v>
      </c>
    </row>
    <row r="52" spans="1:10" x14ac:dyDescent="0.25">
      <c r="A52" t="s">
        <v>81</v>
      </c>
      <c r="B52">
        <v>2010</v>
      </c>
      <c r="C52">
        <v>160000</v>
      </c>
      <c r="D52" t="s">
        <v>82</v>
      </c>
      <c r="E52">
        <v>263000</v>
      </c>
      <c r="F52" s="1">
        <v>42028</v>
      </c>
      <c r="G52">
        <f t="shared" si="0"/>
        <v>7</v>
      </c>
      <c r="H52">
        <f t="shared" si="1"/>
        <v>56000</v>
      </c>
      <c r="I52">
        <f t="shared" si="2"/>
        <v>6400</v>
      </c>
      <c r="J52">
        <f t="shared" si="3"/>
        <v>97600</v>
      </c>
    </row>
    <row r="53" spans="1:10" x14ac:dyDescent="0.25">
      <c r="A53" t="s">
        <v>83</v>
      </c>
      <c r="B53">
        <v>2010</v>
      </c>
      <c r="C53">
        <v>265000</v>
      </c>
      <c r="D53" t="s">
        <v>84</v>
      </c>
      <c r="E53">
        <v>930000</v>
      </c>
      <c r="F53" s="1">
        <v>42236</v>
      </c>
      <c r="G53">
        <f t="shared" si="0"/>
        <v>7</v>
      </c>
      <c r="H53">
        <f t="shared" si="1"/>
        <v>92750</v>
      </c>
      <c r="I53">
        <f t="shared" si="2"/>
        <v>47700</v>
      </c>
      <c r="J53">
        <f t="shared" si="3"/>
        <v>124550</v>
      </c>
    </row>
    <row r="54" spans="1:10" x14ac:dyDescent="0.25">
      <c r="A54" t="s">
        <v>83</v>
      </c>
      <c r="B54">
        <v>2010</v>
      </c>
      <c r="C54">
        <v>265000</v>
      </c>
      <c r="D54" t="s">
        <v>85</v>
      </c>
      <c r="E54">
        <v>912000</v>
      </c>
      <c r="F54" s="1">
        <v>42236</v>
      </c>
      <c r="G54">
        <f t="shared" si="0"/>
        <v>7</v>
      </c>
      <c r="H54">
        <f t="shared" si="1"/>
        <v>92750</v>
      </c>
      <c r="I54">
        <f t="shared" si="2"/>
        <v>47700</v>
      </c>
      <c r="J54">
        <f t="shared" si="3"/>
        <v>124550</v>
      </c>
    </row>
    <row r="55" spans="1:10" x14ac:dyDescent="0.25">
      <c r="A55" t="s">
        <v>83</v>
      </c>
      <c r="B55">
        <v>2010</v>
      </c>
      <c r="C55">
        <v>265000</v>
      </c>
      <c r="D55" t="s">
        <v>86</v>
      </c>
      <c r="E55">
        <v>856000</v>
      </c>
      <c r="F55" s="1">
        <v>42236</v>
      </c>
      <c r="G55">
        <f t="shared" si="0"/>
        <v>7</v>
      </c>
      <c r="H55">
        <f t="shared" si="1"/>
        <v>92750</v>
      </c>
      <c r="I55">
        <f t="shared" si="2"/>
        <v>42400</v>
      </c>
      <c r="J55">
        <f t="shared" si="3"/>
        <v>129850</v>
      </c>
    </row>
    <row r="56" spans="1:10" x14ac:dyDescent="0.25">
      <c r="A56" t="s">
        <v>33</v>
      </c>
      <c r="B56">
        <v>2010</v>
      </c>
      <c r="C56">
        <v>230000</v>
      </c>
      <c r="D56" t="s">
        <v>87</v>
      </c>
      <c r="E56">
        <v>455000</v>
      </c>
      <c r="F56" s="1">
        <v>42439</v>
      </c>
      <c r="G56">
        <f t="shared" si="0"/>
        <v>7</v>
      </c>
      <c r="H56">
        <f t="shared" si="1"/>
        <v>80500</v>
      </c>
      <c r="I56">
        <f t="shared" si="2"/>
        <v>18400</v>
      </c>
      <c r="J56">
        <f t="shared" si="3"/>
        <v>131100</v>
      </c>
    </row>
    <row r="57" spans="1:10" x14ac:dyDescent="0.25">
      <c r="A57" t="s">
        <v>60</v>
      </c>
      <c r="B57">
        <v>2010</v>
      </c>
      <c r="C57">
        <v>231000</v>
      </c>
      <c r="D57" t="s">
        <v>88</v>
      </c>
      <c r="E57">
        <v>301000</v>
      </c>
      <c r="F57" s="1">
        <v>42307</v>
      </c>
      <c r="G57">
        <f t="shared" si="0"/>
        <v>7</v>
      </c>
      <c r="H57">
        <f t="shared" si="1"/>
        <v>80850</v>
      </c>
      <c r="I57">
        <f t="shared" si="2"/>
        <v>13860</v>
      </c>
      <c r="J57">
        <f t="shared" si="3"/>
        <v>136290</v>
      </c>
    </row>
    <row r="58" spans="1:10" x14ac:dyDescent="0.25">
      <c r="A58" t="s">
        <v>62</v>
      </c>
      <c r="B58">
        <v>2010</v>
      </c>
      <c r="C58">
        <v>257000</v>
      </c>
      <c r="D58" t="s">
        <v>89</v>
      </c>
      <c r="E58">
        <v>164700</v>
      </c>
      <c r="F58" s="1">
        <v>42286</v>
      </c>
      <c r="G58">
        <f t="shared" si="0"/>
        <v>7</v>
      </c>
      <c r="H58">
        <f t="shared" si="1"/>
        <v>89950</v>
      </c>
      <c r="I58">
        <f t="shared" si="2"/>
        <v>5140</v>
      </c>
      <c r="J58">
        <f t="shared" si="3"/>
        <v>161910</v>
      </c>
    </row>
    <row r="59" spans="1:10" x14ac:dyDescent="0.25">
      <c r="A59" t="s">
        <v>50</v>
      </c>
      <c r="B59">
        <v>2011</v>
      </c>
      <c r="C59">
        <v>38000</v>
      </c>
      <c r="D59" t="s">
        <v>90</v>
      </c>
      <c r="E59">
        <v>574000</v>
      </c>
      <c r="F59" s="1">
        <v>42309</v>
      </c>
      <c r="G59">
        <f t="shared" si="0"/>
        <v>6</v>
      </c>
      <c r="H59">
        <f t="shared" si="1"/>
        <v>11400</v>
      </c>
      <c r="I59">
        <f t="shared" si="2"/>
        <v>3800</v>
      </c>
      <c r="J59">
        <f t="shared" si="3"/>
        <v>22800</v>
      </c>
    </row>
    <row r="60" spans="1:10" x14ac:dyDescent="0.25">
      <c r="A60" t="s">
        <v>91</v>
      </c>
      <c r="B60">
        <v>2011</v>
      </c>
      <c r="C60">
        <v>56700</v>
      </c>
      <c r="D60" t="s">
        <v>92</v>
      </c>
      <c r="E60">
        <v>290000</v>
      </c>
      <c r="F60" s="1">
        <v>42236</v>
      </c>
      <c r="G60">
        <f t="shared" si="0"/>
        <v>6</v>
      </c>
      <c r="H60">
        <f t="shared" si="1"/>
        <v>17010</v>
      </c>
      <c r="I60">
        <f t="shared" si="2"/>
        <v>2268</v>
      </c>
      <c r="J60">
        <f t="shared" si="3"/>
        <v>37422</v>
      </c>
    </row>
    <row r="61" spans="1:10" x14ac:dyDescent="0.25">
      <c r="A61" t="s">
        <v>91</v>
      </c>
      <c r="B61">
        <v>2011</v>
      </c>
      <c r="C61">
        <v>57700</v>
      </c>
      <c r="D61" t="s">
        <v>93</v>
      </c>
      <c r="E61">
        <v>286000</v>
      </c>
      <c r="F61" s="1">
        <v>42236</v>
      </c>
      <c r="G61">
        <f t="shared" si="0"/>
        <v>6</v>
      </c>
      <c r="H61">
        <f t="shared" si="1"/>
        <v>17310</v>
      </c>
      <c r="I61">
        <f t="shared" si="2"/>
        <v>2308</v>
      </c>
      <c r="J61">
        <f t="shared" si="3"/>
        <v>38082</v>
      </c>
    </row>
    <row r="62" spans="1:10" x14ac:dyDescent="0.25">
      <c r="A62" t="s">
        <v>67</v>
      </c>
      <c r="B62">
        <v>2011</v>
      </c>
      <c r="C62">
        <v>59000</v>
      </c>
      <c r="D62" t="s">
        <v>94</v>
      </c>
      <c r="E62">
        <v>103250</v>
      </c>
      <c r="F62" s="1">
        <v>42226</v>
      </c>
      <c r="G62">
        <f t="shared" si="0"/>
        <v>6</v>
      </c>
      <c r="H62">
        <f t="shared" si="1"/>
        <v>17700</v>
      </c>
      <c r="I62">
        <f t="shared" si="2"/>
        <v>1180</v>
      </c>
      <c r="J62">
        <f t="shared" si="3"/>
        <v>40120</v>
      </c>
    </row>
    <row r="63" spans="1:10" x14ac:dyDescent="0.25">
      <c r="A63" t="s">
        <v>71</v>
      </c>
      <c r="B63">
        <v>2011</v>
      </c>
      <c r="C63">
        <v>74300</v>
      </c>
      <c r="D63" t="s">
        <v>95</v>
      </c>
      <c r="E63">
        <v>306000</v>
      </c>
      <c r="F63" s="1">
        <v>42174</v>
      </c>
      <c r="G63">
        <f t="shared" si="0"/>
        <v>6</v>
      </c>
      <c r="H63">
        <f t="shared" si="1"/>
        <v>22290</v>
      </c>
      <c r="I63">
        <f t="shared" si="2"/>
        <v>4458</v>
      </c>
      <c r="J63">
        <f t="shared" si="3"/>
        <v>47552</v>
      </c>
    </row>
    <row r="64" spans="1:10" x14ac:dyDescent="0.25">
      <c r="A64" t="s">
        <v>62</v>
      </c>
      <c r="B64">
        <v>2011</v>
      </c>
      <c r="C64">
        <v>210000</v>
      </c>
      <c r="D64" t="s">
        <v>96</v>
      </c>
      <c r="E64">
        <v>780000</v>
      </c>
      <c r="F64" s="1">
        <v>42481</v>
      </c>
      <c r="G64">
        <f t="shared" si="0"/>
        <v>6</v>
      </c>
      <c r="H64">
        <f t="shared" si="1"/>
        <v>63000</v>
      </c>
      <c r="I64">
        <f t="shared" si="2"/>
        <v>29400</v>
      </c>
      <c r="J64">
        <f t="shared" si="3"/>
        <v>117600</v>
      </c>
    </row>
    <row r="65" spans="1:10" x14ac:dyDescent="0.25">
      <c r="A65" t="s">
        <v>62</v>
      </c>
      <c r="B65">
        <v>2011</v>
      </c>
      <c r="C65">
        <v>210000</v>
      </c>
      <c r="D65" t="s">
        <v>97</v>
      </c>
      <c r="E65">
        <v>760300</v>
      </c>
      <c r="F65" s="1">
        <v>42481</v>
      </c>
      <c r="G65">
        <f t="shared" si="0"/>
        <v>6</v>
      </c>
      <c r="H65">
        <f t="shared" si="1"/>
        <v>63000</v>
      </c>
      <c r="I65">
        <f t="shared" si="2"/>
        <v>29400</v>
      </c>
      <c r="J65">
        <f t="shared" si="3"/>
        <v>117600</v>
      </c>
    </row>
    <row r="66" spans="1:10" x14ac:dyDescent="0.25">
      <c r="A66" t="s">
        <v>62</v>
      </c>
      <c r="B66">
        <v>2011</v>
      </c>
      <c r="C66">
        <v>210000</v>
      </c>
      <c r="D66" t="s">
        <v>98</v>
      </c>
      <c r="E66">
        <v>680000</v>
      </c>
      <c r="F66" s="1">
        <v>42481</v>
      </c>
      <c r="G66">
        <f t="shared" si="0"/>
        <v>6</v>
      </c>
      <c r="H66">
        <f t="shared" si="1"/>
        <v>63000</v>
      </c>
      <c r="I66">
        <f t="shared" si="2"/>
        <v>25200</v>
      </c>
      <c r="J66">
        <f t="shared" si="3"/>
        <v>121800</v>
      </c>
    </row>
    <row r="67" spans="1:10" x14ac:dyDescent="0.25">
      <c r="A67" t="s">
        <v>62</v>
      </c>
      <c r="B67">
        <v>2011</v>
      </c>
      <c r="C67">
        <v>210000</v>
      </c>
      <c r="D67" t="s">
        <v>99</v>
      </c>
      <c r="E67">
        <v>655000</v>
      </c>
      <c r="F67" s="1">
        <v>42481</v>
      </c>
      <c r="G67">
        <f t="shared" ref="G67:G130" si="4">2017-B67</f>
        <v>6</v>
      </c>
      <c r="H67">
        <f t="shared" ref="H67:H130" si="5">5%*C67*G67</f>
        <v>63000</v>
      </c>
      <c r="I67">
        <f t="shared" ref="I67:I130" si="6">2%*C67*ROUNDDOWN(E67/100000,0)</f>
        <v>25200</v>
      </c>
      <c r="J67">
        <f t="shared" ref="J67:J130" si="7">C67-H67-I67</f>
        <v>121800</v>
      </c>
    </row>
    <row r="68" spans="1:10" x14ac:dyDescent="0.25">
      <c r="A68" t="s">
        <v>100</v>
      </c>
      <c r="B68">
        <v>2011</v>
      </c>
      <c r="C68">
        <v>220000</v>
      </c>
      <c r="D68" t="s">
        <v>101</v>
      </c>
      <c r="E68">
        <v>731000</v>
      </c>
      <c r="F68" s="1">
        <v>42236</v>
      </c>
      <c r="G68">
        <f t="shared" si="4"/>
        <v>6</v>
      </c>
      <c r="H68">
        <f t="shared" si="5"/>
        <v>66000</v>
      </c>
      <c r="I68">
        <f t="shared" si="6"/>
        <v>30800</v>
      </c>
      <c r="J68">
        <f t="shared" si="7"/>
        <v>123200</v>
      </c>
    </row>
    <row r="69" spans="1:10" x14ac:dyDescent="0.25">
      <c r="A69" t="s">
        <v>100</v>
      </c>
      <c r="B69">
        <v>2011</v>
      </c>
      <c r="C69">
        <v>220000</v>
      </c>
      <c r="D69" t="s">
        <v>102</v>
      </c>
      <c r="E69">
        <v>685413</v>
      </c>
      <c r="F69" s="1">
        <v>42236</v>
      </c>
      <c r="G69">
        <f t="shared" si="4"/>
        <v>6</v>
      </c>
      <c r="H69">
        <f t="shared" si="5"/>
        <v>66000</v>
      </c>
      <c r="I69">
        <f t="shared" si="6"/>
        <v>26400</v>
      </c>
      <c r="J69">
        <f t="shared" si="7"/>
        <v>127600</v>
      </c>
    </row>
    <row r="70" spans="1:10" x14ac:dyDescent="0.25">
      <c r="A70" t="s">
        <v>58</v>
      </c>
      <c r="B70">
        <v>2011</v>
      </c>
      <c r="C70">
        <v>196340</v>
      </c>
      <c r="D70" t="s">
        <v>103</v>
      </c>
      <c r="E70">
        <v>186000</v>
      </c>
      <c r="F70" s="1">
        <v>42278</v>
      </c>
      <c r="G70">
        <f t="shared" si="4"/>
        <v>6</v>
      </c>
      <c r="H70">
        <f t="shared" si="5"/>
        <v>58902</v>
      </c>
      <c r="I70">
        <f t="shared" si="6"/>
        <v>3926.8</v>
      </c>
      <c r="J70">
        <f t="shared" si="7"/>
        <v>133511.20000000001</v>
      </c>
    </row>
    <row r="71" spans="1:10" x14ac:dyDescent="0.25">
      <c r="A71" t="s">
        <v>104</v>
      </c>
      <c r="B71">
        <v>2011</v>
      </c>
      <c r="C71">
        <v>245000</v>
      </c>
      <c r="D71" t="s">
        <v>105</v>
      </c>
      <c r="E71">
        <v>720000</v>
      </c>
      <c r="F71" s="1">
        <v>42462</v>
      </c>
      <c r="G71">
        <f t="shared" si="4"/>
        <v>6</v>
      </c>
      <c r="H71">
        <f t="shared" si="5"/>
        <v>73500</v>
      </c>
      <c r="I71">
        <f t="shared" si="6"/>
        <v>34300</v>
      </c>
      <c r="J71">
        <f t="shared" si="7"/>
        <v>137200</v>
      </c>
    </row>
    <row r="72" spans="1:10" x14ac:dyDescent="0.25">
      <c r="A72" t="s">
        <v>104</v>
      </c>
      <c r="B72">
        <v>2011</v>
      </c>
      <c r="C72">
        <v>245000</v>
      </c>
      <c r="D72" t="s">
        <v>106</v>
      </c>
      <c r="E72">
        <v>680000</v>
      </c>
      <c r="F72" s="1">
        <v>42462</v>
      </c>
      <c r="G72">
        <f t="shared" si="4"/>
        <v>6</v>
      </c>
      <c r="H72">
        <f t="shared" si="5"/>
        <v>73500</v>
      </c>
      <c r="I72">
        <f t="shared" si="6"/>
        <v>29400</v>
      </c>
      <c r="J72">
        <f t="shared" si="7"/>
        <v>142100</v>
      </c>
    </row>
    <row r="73" spans="1:10" x14ac:dyDescent="0.25">
      <c r="A73" t="s">
        <v>104</v>
      </c>
      <c r="B73">
        <v>2011</v>
      </c>
      <c r="C73">
        <v>245000</v>
      </c>
      <c r="D73" t="s">
        <v>107</v>
      </c>
      <c r="E73">
        <v>660000</v>
      </c>
      <c r="F73" s="1">
        <v>42462</v>
      </c>
      <c r="G73">
        <f t="shared" si="4"/>
        <v>6</v>
      </c>
      <c r="H73">
        <f t="shared" si="5"/>
        <v>73500</v>
      </c>
      <c r="I73">
        <f t="shared" si="6"/>
        <v>29400</v>
      </c>
      <c r="J73">
        <f t="shared" si="7"/>
        <v>142100</v>
      </c>
    </row>
    <row r="74" spans="1:10" x14ac:dyDescent="0.25">
      <c r="A74" t="s">
        <v>104</v>
      </c>
      <c r="B74">
        <v>2011</v>
      </c>
      <c r="C74">
        <v>245000</v>
      </c>
      <c r="D74" t="s">
        <v>108</v>
      </c>
      <c r="E74">
        <v>630000</v>
      </c>
      <c r="F74" s="1">
        <v>42462</v>
      </c>
      <c r="G74">
        <f t="shared" si="4"/>
        <v>6</v>
      </c>
      <c r="H74">
        <f t="shared" si="5"/>
        <v>73500</v>
      </c>
      <c r="I74">
        <f t="shared" si="6"/>
        <v>29400</v>
      </c>
      <c r="J74">
        <f t="shared" si="7"/>
        <v>142100</v>
      </c>
    </row>
    <row r="75" spans="1:10" x14ac:dyDescent="0.25">
      <c r="A75" t="s">
        <v>104</v>
      </c>
      <c r="B75">
        <v>2011</v>
      </c>
      <c r="C75">
        <v>245000</v>
      </c>
      <c r="D75" t="s">
        <v>109</v>
      </c>
      <c r="E75">
        <v>655000</v>
      </c>
      <c r="F75" s="1">
        <v>42462</v>
      </c>
      <c r="G75">
        <f t="shared" si="4"/>
        <v>6</v>
      </c>
      <c r="H75">
        <f t="shared" si="5"/>
        <v>73500</v>
      </c>
      <c r="I75">
        <f t="shared" si="6"/>
        <v>29400</v>
      </c>
      <c r="J75">
        <f t="shared" si="7"/>
        <v>142100</v>
      </c>
    </row>
    <row r="76" spans="1:10" x14ac:dyDescent="0.25">
      <c r="A76" t="s">
        <v>104</v>
      </c>
      <c r="B76">
        <v>2011</v>
      </c>
      <c r="C76">
        <v>245000</v>
      </c>
      <c r="D76" t="s">
        <v>110</v>
      </c>
      <c r="E76">
        <v>590000</v>
      </c>
      <c r="F76" s="1">
        <v>42462</v>
      </c>
      <c r="G76">
        <f t="shared" si="4"/>
        <v>6</v>
      </c>
      <c r="H76">
        <f t="shared" si="5"/>
        <v>73500</v>
      </c>
      <c r="I76">
        <f t="shared" si="6"/>
        <v>24500</v>
      </c>
      <c r="J76">
        <f t="shared" si="7"/>
        <v>147000</v>
      </c>
    </row>
    <row r="77" spans="1:10" x14ac:dyDescent="0.25">
      <c r="A77" t="s">
        <v>50</v>
      </c>
      <c r="B77">
        <v>2012</v>
      </c>
      <c r="C77">
        <v>39830</v>
      </c>
      <c r="D77" t="s">
        <v>111</v>
      </c>
      <c r="E77">
        <v>330000</v>
      </c>
      <c r="F77" s="1">
        <v>42062</v>
      </c>
      <c r="G77">
        <f t="shared" si="4"/>
        <v>5</v>
      </c>
      <c r="H77">
        <f t="shared" si="5"/>
        <v>9957.5</v>
      </c>
      <c r="I77">
        <f t="shared" si="6"/>
        <v>2389.8000000000002</v>
      </c>
      <c r="J77">
        <f t="shared" si="7"/>
        <v>27482.7</v>
      </c>
    </row>
    <row r="78" spans="1:10" x14ac:dyDescent="0.25">
      <c r="A78" t="s">
        <v>50</v>
      </c>
      <c r="B78">
        <v>2012</v>
      </c>
      <c r="C78">
        <v>48800</v>
      </c>
      <c r="D78" t="s">
        <v>112</v>
      </c>
      <c r="E78">
        <v>268650</v>
      </c>
      <c r="F78" s="1">
        <v>42117</v>
      </c>
      <c r="G78">
        <f t="shared" si="4"/>
        <v>5</v>
      </c>
      <c r="H78">
        <f t="shared" si="5"/>
        <v>12200</v>
      </c>
      <c r="I78">
        <f t="shared" si="6"/>
        <v>1952</v>
      </c>
      <c r="J78">
        <f t="shared" si="7"/>
        <v>34648</v>
      </c>
    </row>
    <row r="79" spans="1:10" x14ac:dyDescent="0.25">
      <c r="A79" t="s">
        <v>18</v>
      </c>
      <c r="B79">
        <v>2012</v>
      </c>
      <c r="C79">
        <v>59000</v>
      </c>
      <c r="D79" t="s">
        <v>113</v>
      </c>
      <c r="E79">
        <v>302000</v>
      </c>
      <c r="F79" s="1">
        <v>42271</v>
      </c>
      <c r="G79">
        <f t="shared" si="4"/>
        <v>5</v>
      </c>
      <c r="H79">
        <f t="shared" si="5"/>
        <v>14750</v>
      </c>
      <c r="I79">
        <f t="shared" si="6"/>
        <v>3540</v>
      </c>
      <c r="J79">
        <f t="shared" si="7"/>
        <v>40710</v>
      </c>
    </row>
    <row r="80" spans="1:10" x14ac:dyDescent="0.25">
      <c r="A80" t="s">
        <v>33</v>
      </c>
      <c r="B80">
        <v>2012</v>
      </c>
      <c r="C80">
        <v>76000</v>
      </c>
      <c r="D80" t="s">
        <v>114</v>
      </c>
      <c r="E80">
        <v>850000</v>
      </c>
      <c r="F80" s="1">
        <v>42376</v>
      </c>
      <c r="G80">
        <f t="shared" si="4"/>
        <v>5</v>
      </c>
      <c r="H80">
        <f t="shared" si="5"/>
        <v>19000</v>
      </c>
      <c r="I80">
        <f t="shared" si="6"/>
        <v>12160</v>
      </c>
      <c r="J80">
        <f t="shared" si="7"/>
        <v>44840</v>
      </c>
    </row>
    <row r="81" spans="1:10" x14ac:dyDescent="0.25">
      <c r="A81" t="s">
        <v>41</v>
      </c>
      <c r="B81">
        <v>2012</v>
      </c>
      <c r="C81">
        <v>87133</v>
      </c>
      <c r="D81" t="s">
        <v>115</v>
      </c>
      <c r="E81">
        <v>376000</v>
      </c>
      <c r="F81" s="1">
        <v>42208</v>
      </c>
      <c r="G81">
        <f t="shared" si="4"/>
        <v>5</v>
      </c>
      <c r="H81">
        <f t="shared" si="5"/>
        <v>21783.250000000004</v>
      </c>
      <c r="I81">
        <f t="shared" si="6"/>
        <v>5227.9800000000005</v>
      </c>
      <c r="J81">
        <f t="shared" si="7"/>
        <v>60121.77</v>
      </c>
    </row>
    <row r="82" spans="1:10" x14ac:dyDescent="0.25">
      <c r="A82" t="s">
        <v>22</v>
      </c>
      <c r="B82">
        <v>2012</v>
      </c>
      <c r="C82">
        <v>110000</v>
      </c>
      <c r="D82" t="s">
        <v>116</v>
      </c>
      <c r="E82">
        <v>201000</v>
      </c>
      <c r="F82" s="1">
        <v>42075</v>
      </c>
      <c r="G82">
        <f t="shared" si="4"/>
        <v>5</v>
      </c>
      <c r="H82">
        <f t="shared" si="5"/>
        <v>27500</v>
      </c>
      <c r="I82">
        <f t="shared" si="6"/>
        <v>4400</v>
      </c>
      <c r="J82">
        <f t="shared" si="7"/>
        <v>78100</v>
      </c>
    </row>
    <row r="83" spans="1:10" x14ac:dyDescent="0.25">
      <c r="A83" t="s">
        <v>50</v>
      </c>
      <c r="B83">
        <v>2012</v>
      </c>
      <c r="C83">
        <v>130780</v>
      </c>
      <c r="D83" t="s">
        <v>117</v>
      </c>
      <c r="E83">
        <v>310000</v>
      </c>
      <c r="F83" s="1">
        <v>42365</v>
      </c>
      <c r="G83">
        <f t="shared" si="4"/>
        <v>5</v>
      </c>
      <c r="H83">
        <f t="shared" si="5"/>
        <v>32695</v>
      </c>
      <c r="I83">
        <f t="shared" si="6"/>
        <v>7846.7999999999993</v>
      </c>
      <c r="J83">
        <f t="shared" si="7"/>
        <v>90238.2</v>
      </c>
    </row>
    <row r="84" spans="1:10" x14ac:dyDescent="0.25">
      <c r="A84" t="s">
        <v>45</v>
      </c>
      <c r="B84">
        <v>2012</v>
      </c>
      <c r="C84">
        <v>135502</v>
      </c>
      <c r="D84" t="s">
        <v>118</v>
      </c>
      <c r="E84">
        <v>247000</v>
      </c>
      <c r="F84" s="1">
        <v>42476</v>
      </c>
      <c r="G84">
        <f t="shared" si="4"/>
        <v>5</v>
      </c>
      <c r="H84">
        <f t="shared" si="5"/>
        <v>33875.5</v>
      </c>
      <c r="I84">
        <f t="shared" si="6"/>
        <v>5420.08</v>
      </c>
      <c r="J84">
        <f t="shared" si="7"/>
        <v>96206.42</v>
      </c>
    </row>
    <row r="85" spans="1:10" x14ac:dyDescent="0.25">
      <c r="A85" t="s">
        <v>119</v>
      </c>
      <c r="B85">
        <v>2012</v>
      </c>
      <c r="C85">
        <v>145000</v>
      </c>
      <c r="D85" t="s">
        <v>120</v>
      </c>
      <c r="E85">
        <v>386732</v>
      </c>
      <c r="F85" s="1">
        <v>42059</v>
      </c>
      <c r="G85">
        <f t="shared" si="4"/>
        <v>5</v>
      </c>
      <c r="H85">
        <f t="shared" si="5"/>
        <v>36250</v>
      </c>
      <c r="I85">
        <f t="shared" si="6"/>
        <v>8700</v>
      </c>
      <c r="J85">
        <f t="shared" si="7"/>
        <v>100050</v>
      </c>
    </row>
    <row r="86" spans="1:10" x14ac:dyDescent="0.25">
      <c r="A86" t="s">
        <v>119</v>
      </c>
      <c r="B86">
        <v>2012</v>
      </c>
      <c r="C86">
        <v>145000</v>
      </c>
      <c r="D86" t="s">
        <v>121</v>
      </c>
      <c r="E86">
        <v>312680</v>
      </c>
      <c r="F86" s="1">
        <v>42059</v>
      </c>
      <c r="G86">
        <f t="shared" si="4"/>
        <v>5</v>
      </c>
      <c r="H86">
        <f t="shared" si="5"/>
        <v>36250</v>
      </c>
      <c r="I86">
        <f t="shared" si="6"/>
        <v>8700</v>
      </c>
      <c r="J86">
        <f t="shared" si="7"/>
        <v>100050</v>
      </c>
    </row>
    <row r="87" spans="1:10" x14ac:dyDescent="0.25">
      <c r="A87" t="s">
        <v>33</v>
      </c>
      <c r="B87">
        <v>2012</v>
      </c>
      <c r="C87">
        <v>163800</v>
      </c>
      <c r="D87" t="s">
        <v>122</v>
      </c>
      <c r="E87">
        <v>366000</v>
      </c>
      <c r="F87" s="1">
        <v>42329</v>
      </c>
      <c r="G87">
        <f t="shared" si="4"/>
        <v>5</v>
      </c>
      <c r="H87">
        <f t="shared" si="5"/>
        <v>40950</v>
      </c>
      <c r="I87">
        <f t="shared" si="6"/>
        <v>9828</v>
      </c>
      <c r="J87">
        <f t="shared" si="7"/>
        <v>113022</v>
      </c>
    </row>
    <row r="88" spans="1:10" x14ac:dyDescent="0.25">
      <c r="A88" t="s">
        <v>123</v>
      </c>
      <c r="B88">
        <v>2012</v>
      </c>
      <c r="C88">
        <v>183000</v>
      </c>
      <c r="D88" t="s">
        <v>124</v>
      </c>
      <c r="E88">
        <v>520000</v>
      </c>
      <c r="F88" s="1">
        <v>42444</v>
      </c>
      <c r="G88">
        <f t="shared" si="4"/>
        <v>5</v>
      </c>
      <c r="H88">
        <f t="shared" si="5"/>
        <v>45750</v>
      </c>
      <c r="I88">
        <f t="shared" si="6"/>
        <v>18300</v>
      </c>
      <c r="J88">
        <f t="shared" si="7"/>
        <v>118950</v>
      </c>
    </row>
    <row r="89" spans="1:10" x14ac:dyDescent="0.25">
      <c r="A89" t="s">
        <v>123</v>
      </c>
      <c r="B89">
        <v>2012</v>
      </c>
      <c r="C89">
        <v>183000</v>
      </c>
      <c r="D89" t="s">
        <v>125</v>
      </c>
      <c r="E89">
        <v>530000</v>
      </c>
      <c r="F89" s="1">
        <v>42444</v>
      </c>
      <c r="G89">
        <f t="shared" si="4"/>
        <v>5</v>
      </c>
      <c r="H89">
        <f t="shared" si="5"/>
        <v>45750</v>
      </c>
      <c r="I89">
        <f t="shared" si="6"/>
        <v>18300</v>
      </c>
      <c r="J89">
        <f t="shared" si="7"/>
        <v>118950</v>
      </c>
    </row>
    <row r="90" spans="1:10" x14ac:dyDescent="0.25">
      <c r="A90" t="s">
        <v>123</v>
      </c>
      <c r="B90">
        <v>2012</v>
      </c>
      <c r="C90">
        <v>183000</v>
      </c>
      <c r="D90" t="s">
        <v>126</v>
      </c>
      <c r="E90">
        <v>490000</v>
      </c>
      <c r="F90" s="1">
        <v>42444</v>
      </c>
      <c r="G90">
        <f t="shared" si="4"/>
        <v>5</v>
      </c>
      <c r="H90">
        <f t="shared" si="5"/>
        <v>45750</v>
      </c>
      <c r="I90">
        <f t="shared" si="6"/>
        <v>14640</v>
      </c>
      <c r="J90">
        <f t="shared" si="7"/>
        <v>122610</v>
      </c>
    </row>
    <row r="91" spans="1:10" x14ac:dyDescent="0.25">
      <c r="A91" t="s">
        <v>123</v>
      </c>
      <c r="B91">
        <v>2012</v>
      </c>
      <c r="C91">
        <v>183000</v>
      </c>
      <c r="D91" t="s">
        <v>127</v>
      </c>
      <c r="E91">
        <v>481000</v>
      </c>
      <c r="F91" s="1">
        <v>42444</v>
      </c>
      <c r="G91">
        <f t="shared" si="4"/>
        <v>5</v>
      </c>
      <c r="H91">
        <f t="shared" si="5"/>
        <v>45750</v>
      </c>
      <c r="I91">
        <f t="shared" si="6"/>
        <v>14640</v>
      </c>
      <c r="J91">
        <f t="shared" si="7"/>
        <v>122610</v>
      </c>
    </row>
    <row r="92" spans="1:10" x14ac:dyDescent="0.25">
      <c r="A92" t="s">
        <v>123</v>
      </c>
      <c r="B92">
        <v>2012</v>
      </c>
      <c r="C92">
        <v>183000</v>
      </c>
      <c r="D92" t="s">
        <v>128</v>
      </c>
      <c r="E92">
        <v>454000</v>
      </c>
      <c r="F92" s="1">
        <v>42444</v>
      </c>
      <c r="G92">
        <f t="shared" si="4"/>
        <v>5</v>
      </c>
      <c r="H92">
        <f t="shared" si="5"/>
        <v>45750</v>
      </c>
      <c r="I92">
        <f t="shared" si="6"/>
        <v>14640</v>
      </c>
      <c r="J92">
        <f t="shared" si="7"/>
        <v>122610</v>
      </c>
    </row>
    <row r="93" spans="1:10" x14ac:dyDescent="0.25">
      <c r="A93" t="s">
        <v>129</v>
      </c>
      <c r="B93">
        <v>2012</v>
      </c>
      <c r="C93">
        <v>210000</v>
      </c>
      <c r="D93" t="s">
        <v>130</v>
      </c>
      <c r="E93">
        <v>517000</v>
      </c>
      <c r="F93" s="1">
        <v>42415</v>
      </c>
      <c r="G93">
        <f t="shared" si="4"/>
        <v>5</v>
      </c>
      <c r="H93">
        <f t="shared" si="5"/>
        <v>52500</v>
      </c>
      <c r="I93">
        <f t="shared" si="6"/>
        <v>21000</v>
      </c>
      <c r="J93">
        <f t="shared" si="7"/>
        <v>136500</v>
      </c>
    </row>
    <row r="94" spans="1:10" x14ac:dyDescent="0.25">
      <c r="A94" t="s">
        <v>56</v>
      </c>
      <c r="B94">
        <v>2012</v>
      </c>
      <c r="C94">
        <v>196370</v>
      </c>
      <c r="D94" t="s">
        <v>131</v>
      </c>
      <c r="E94">
        <v>286000</v>
      </c>
      <c r="F94" s="1">
        <v>42467</v>
      </c>
      <c r="G94">
        <f t="shared" si="4"/>
        <v>5</v>
      </c>
      <c r="H94">
        <f t="shared" si="5"/>
        <v>49092.5</v>
      </c>
      <c r="I94">
        <f t="shared" si="6"/>
        <v>7854.8</v>
      </c>
      <c r="J94">
        <f t="shared" si="7"/>
        <v>139422.70000000001</v>
      </c>
    </row>
    <row r="95" spans="1:10" x14ac:dyDescent="0.25">
      <c r="A95" t="s">
        <v>129</v>
      </c>
      <c r="B95">
        <v>2012</v>
      </c>
      <c r="C95">
        <v>210000</v>
      </c>
      <c r="D95" t="s">
        <v>132</v>
      </c>
      <c r="E95">
        <v>435000</v>
      </c>
      <c r="F95" s="1">
        <v>42415</v>
      </c>
      <c r="G95">
        <f t="shared" si="4"/>
        <v>5</v>
      </c>
      <c r="H95">
        <f t="shared" si="5"/>
        <v>52500</v>
      </c>
      <c r="I95">
        <f t="shared" si="6"/>
        <v>16800</v>
      </c>
      <c r="J95">
        <f t="shared" si="7"/>
        <v>140700</v>
      </c>
    </row>
    <row r="96" spans="1:10" x14ac:dyDescent="0.25">
      <c r="A96" t="s">
        <v>133</v>
      </c>
      <c r="B96">
        <v>2012</v>
      </c>
      <c r="C96">
        <v>210300</v>
      </c>
      <c r="D96" t="s">
        <v>134</v>
      </c>
      <c r="E96">
        <v>417671</v>
      </c>
      <c r="F96" s="1">
        <v>42520</v>
      </c>
      <c r="G96">
        <f t="shared" si="4"/>
        <v>5</v>
      </c>
      <c r="H96">
        <f t="shared" si="5"/>
        <v>52575</v>
      </c>
      <c r="I96">
        <f t="shared" si="6"/>
        <v>16824</v>
      </c>
      <c r="J96">
        <f t="shared" si="7"/>
        <v>140901</v>
      </c>
    </row>
    <row r="97" spans="1:10" x14ac:dyDescent="0.25">
      <c r="A97" t="s">
        <v>33</v>
      </c>
      <c r="B97">
        <v>2012</v>
      </c>
      <c r="C97">
        <v>231000</v>
      </c>
      <c r="D97" t="s">
        <v>135</v>
      </c>
      <c r="E97">
        <v>451000</v>
      </c>
      <c r="F97" s="1">
        <v>42439</v>
      </c>
      <c r="G97">
        <f t="shared" si="4"/>
        <v>5</v>
      </c>
      <c r="H97">
        <f t="shared" si="5"/>
        <v>57750</v>
      </c>
      <c r="I97">
        <f t="shared" si="6"/>
        <v>18480</v>
      </c>
      <c r="J97">
        <f t="shared" si="7"/>
        <v>154770</v>
      </c>
    </row>
    <row r="98" spans="1:10" x14ac:dyDescent="0.25">
      <c r="A98" t="s">
        <v>136</v>
      </c>
      <c r="B98">
        <v>2012</v>
      </c>
      <c r="C98">
        <v>240000</v>
      </c>
      <c r="D98" t="s">
        <v>137</v>
      </c>
      <c r="E98">
        <v>301344</v>
      </c>
      <c r="F98" s="1">
        <v>42185</v>
      </c>
      <c r="G98">
        <f t="shared" si="4"/>
        <v>5</v>
      </c>
      <c r="H98">
        <f t="shared" si="5"/>
        <v>60000</v>
      </c>
      <c r="I98">
        <f t="shared" si="6"/>
        <v>14400</v>
      </c>
      <c r="J98">
        <f t="shared" si="7"/>
        <v>165600</v>
      </c>
    </row>
    <row r="99" spans="1:10" x14ac:dyDescent="0.25">
      <c r="A99" t="s">
        <v>136</v>
      </c>
      <c r="B99">
        <v>2012</v>
      </c>
      <c r="C99">
        <v>240000</v>
      </c>
      <c r="D99" t="s">
        <v>138</v>
      </c>
      <c r="E99">
        <v>315988</v>
      </c>
      <c r="F99" s="1">
        <v>42185</v>
      </c>
      <c r="G99">
        <f t="shared" si="4"/>
        <v>5</v>
      </c>
      <c r="H99">
        <f t="shared" si="5"/>
        <v>60000</v>
      </c>
      <c r="I99">
        <f t="shared" si="6"/>
        <v>14400</v>
      </c>
      <c r="J99">
        <f t="shared" si="7"/>
        <v>165600</v>
      </c>
    </row>
    <row r="100" spans="1:10" x14ac:dyDescent="0.25">
      <c r="A100" t="s">
        <v>136</v>
      </c>
      <c r="B100">
        <v>2012</v>
      </c>
      <c r="C100">
        <v>240000</v>
      </c>
      <c r="D100" t="s">
        <v>139</v>
      </c>
      <c r="E100">
        <v>234760</v>
      </c>
      <c r="F100" s="1">
        <v>42185</v>
      </c>
      <c r="G100">
        <f t="shared" si="4"/>
        <v>5</v>
      </c>
      <c r="H100">
        <f t="shared" si="5"/>
        <v>60000</v>
      </c>
      <c r="I100">
        <f t="shared" si="6"/>
        <v>9600</v>
      </c>
      <c r="J100">
        <f t="shared" si="7"/>
        <v>170400</v>
      </c>
    </row>
    <row r="101" spans="1:10" x14ac:dyDescent="0.25">
      <c r="A101" t="s">
        <v>136</v>
      </c>
      <c r="B101">
        <v>2012</v>
      </c>
      <c r="C101">
        <v>240000</v>
      </c>
      <c r="D101" t="s">
        <v>140</v>
      </c>
      <c r="E101">
        <v>210780</v>
      </c>
      <c r="F101" s="1">
        <v>42185</v>
      </c>
      <c r="G101">
        <f t="shared" si="4"/>
        <v>5</v>
      </c>
      <c r="H101">
        <f t="shared" si="5"/>
        <v>60000</v>
      </c>
      <c r="I101">
        <f t="shared" si="6"/>
        <v>9600</v>
      </c>
      <c r="J101">
        <f t="shared" si="7"/>
        <v>170400</v>
      </c>
    </row>
    <row r="102" spans="1:10" x14ac:dyDescent="0.25">
      <c r="A102" t="s">
        <v>136</v>
      </c>
      <c r="B102">
        <v>2012</v>
      </c>
      <c r="C102">
        <v>240000</v>
      </c>
      <c r="D102" t="s">
        <v>141</v>
      </c>
      <c r="E102">
        <v>198240</v>
      </c>
      <c r="F102" s="1">
        <v>42185</v>
      </c>
      <c r="G102">
        <f t="shared" si="4"/>
        <v>5</v>
      </c>
      <c r="H102">
        <f t="shared" si="5"/>
        <v>60000</v>
      </c>
      <c r="I102">
        <f t="shared" si="6"/>
        <v>4800</v>
      </c>
      <c r="J102">
        <f t="shared" si="7"/>
        <v>175200</v>
      </c>
    </row>
    <row r="103" spans="1:10" x14ac:dyDescent="0.25">
      <c r="A103" t="s">
        <v>62</v>
      </c>
      <c r="B103">
        <v>2012</v>
      </c>
      <c r="C103">
        <v>290000</v>
      </c>
      <c r="D103" t="s">
        <v>142</v>
      </c>
      <c r="E103">
        <v>170000</v>
      </c>
      <c r="F103" s="1">
        <v>42297</v>
      </c>
      <c r="G103">
        <f t="shared" si="4"/>
        <v>5</v>
      </c>
      <c r="H103">
        <f t="shared" si="5"/>
        <v>72500</v>
      </c>
      <c r="I103">
        <f t="shared" si="6"/>
        <v>5800</v>
      </c>
      <c r="J103">
        <f t="shared" si="7"/>
        <v>211700</v>
      </c>
    </row>
    <row r="104" spans="1:10" x14ac:dyDescent="0.25">
      <c r="A104" t="s">
        <v>50</v>
      </c>
      <c r="B104">
        <v>2013</v>
      </c>
      <c r="C104">
        <v>47800</v>
      </c>
      <c r="D104" t="s">
        <v>143</v>
      </c>
      <c r="E104">
        <v>272650</v>
      </c>
      <c r="F104" s="1">
        <v>42117</v>
      </c>
      <c r="G104">
        <f t="shared" si="4"/>
        <v>4</v>
      </c>
      <c r="H104">
        <f t="shared" si="5"/>
        <v>9560</v>
      </c>
      <c r="I104">
        <f t="shared" si="6"/>
        <v>1912</v>
      </c>
      <c r="J104">
        <f t="shared" si="7"/>
        <v>36328</v>
      </c>
    </row>
    <row r="105" spans="1:10" x14ac:dyDescent="0.25">
      <c r="A105" t="s">
        <v>37</v>
      </c>
      <c r="B105">
        <v>2013</v>
      </c>
      <c r="C105">
        <v>80000</v>
      </c>
      <c r="D105" t="s">
        <v>144</v>
      </c>
      <c r="E105">
        <v>350000</v>
      </c>
      <c r="F105" s="1">
        <v>42379</v>
      </c>
      <c r="G105">
        <f t="shared" si="4"/>
        <v>4</v>
      </c>
      <c r="H105">
        <f t="shared" si="5"/>
        <v>16000</v>
      </c>
      <c r="I105">
        <f t="shared" si="6"/>
        <v>4800</v>
      </c>
      <c r="J105">
        <f t="shared" si="7"/>
        <v>59200</v>
      </c>
    </row>
    <row r="106" spans="1:10" x14ac:dyDescent="0.25">
      <c r="A106" t="s">
        <v>37</v>
      </c>
      <c r="B106">
        <v>2013</v>
      </c>
      <c r="C106">
        <v>80000</v>
      </c>
      <c r="D106" t="s">
        <v>145</v>
      </c>
      <c r="E106">
        <v>235000</v>
      </c>
      <c r="F106" s="1">
        <v>42379</v>
      </c>
      <c r="G106">
        <f t="shared" si="4"/>
        <v>4</v>
      </c>
      <c r="H106">
        <f t="shared" si="5"/>
        <v>16000</v>
      </c>
      <c r="I106">
        <f t="shared" si="6"/>
        <v>3200</v>
      </c>
      <c r="J106">
        <f t="shared" si="7"/>
        <v>60800</v>
      </c>
    </row>
    <row r="107" spans="1:10" x14ac:dyDescent="0.25">
      <c r="A107" t="s">
        <v>76</v>
      </c>
      <c r="B107">
        <v>2013</v>
      </c>
      <c r="C107">
        <v>93000</v>
      </c>
      <c r="D107" t="s">
        <v>146</v>
      </c>
      <c r="E107">
        <v>195000</v>
      </c>
      <c r="F107" s="1">
        <v>42268</v>
      </c>
      <c r="G107">
        <f t="shared" si="4"/>
        <v>4</v>
      </c>
      <c r="H107">
        <f t="shared" si="5"/>
        <v>18600</v>
      </c>
      <c r="I107">
        <f t="shared" si="6"/>
        <v>1860</v>
      </c>
      <c r="J107">
        <f t="shared" si="7"/>
        <v>72540</v>
      </c>
    </row>
    <row r="108" spans="1:10" x14ac:dyDescent="0.25">
      <c r="A108" t="s">
        <v>79</v>
      </c>
      <c r="B108">
        <v>2013</v>
      </c>
      <c r="C108">
        <v>136000</v>
      </c>
      <c r="D108" t="s">
        <v>147</v>
      </c>
      <c r="E108">
        <v>247000</v>
      </c>
      <c r="F108" s="1">
        <v>42067</v>
      </c>
      <c r="G108">
        <f t="shared" si="4"/>
        <v>4</v>
      </c>
      <c r="H108">
        <f t="shared" si="5"/>
        <v>27200</v>
      </c>
      <c r="I108">
        <f t="shared" si="6"/>
        <v>5440</v>
      </c>
      <c r="J108">
        <f t="shared" si="7"/>
        <v>103360</v>
      </c>
    </row>
    <row r="109" spans="1:10" x14ac:dyDescent="0.25">
      <c r="A109" t="s">
        <v>45</v>
      </c>
      <c r="B109">
        <v>2013</v>
      </c>
      <c r="C109">
        <v>158000</v>
      </c>
      <c r="D109" t="s">
        <v>148</v>
      </c>
      <c r="E109">
        <v>407000</v>
      </c>
      <c r="F109" s="1">
        <v>42681</v>
      </c>
      <c r="G109">
        <f t="shared" si="4"/>
        <v>4</v>
      </c>
      <c r="H109">
        <f t="shared" si="5"/>
        <v>31600</v>
      </c>
      <c r="I109">
        <f t="shared" si="6"/>
        <v>12640</v>
      </c>
      <c r="J109">
        <f t="shared" si="7"/>
        <v>113760</v>
      </c>
    </row>
    <row r="110" spans="1:10" x14ac:dyDescent="0.25">
      <c r="A110" t="s">
        <v>136</v>
      </c>
      <c r="B110">
        <v>2013</v>
      </c>
      <c r="C110">
        <v>240000</v>
      </c>
      <c r="D110" t="s">
        <v>149</v>
      </c>
      <c r="E110">
        <v>301232</v>
      </c>
      <c r="F110" s="1">
        <v>42719</v>
      </c>
      <c r="G110">
        <f t="shared" si="4"/>
        <v>4</v>
      </c>
      <c r="H110">
        <f t="shared" si="5"/>
        <v>48000</v>
      </c>
      <c r="I110">
        <f t="shared" si="6"/>
        <v>14400</v>
      </c>
      <c r="J110">
        <f t="shared" si="7"/>
        <v>177600</v>
      </c>
    </row>
    <row r="111" spans="1:10" x14ac:dyDescent="0.25">
      <c r="A111" t="s">
        <v>136</v>
      </c>
      <c r="B111">
        <v>2013</v>
      </c>
      <c r="C111">
        <v>240000</v>
      </c>
      <c r="D111" t="s">
        <v>150</v>
      </c>
      <c r="E111">
        <v>289567</v>
      </c>
      <c r="F111" s="1">
        <v>42719</v>
      </c>
      <c r="G111">
        <f t="shared" si="4"/>
        <v>4</v>
      </c>
      <c r="H111">
        <f t="shared" si="5"/>
        <v>48000</v>
      </c>
      <c r="I111">
        <f t="shared" si="6"/>
        <v>9600</v>
      </c>
      <c r="J111">
        <f t="shared" si="7"/>
        <v>182400</v>
      </c>
    </row>
    <row r="112" spans="1:10" x14ac:dyDescent="0.25">
      <c r="A112" t="s">
        <v>136</v>
      </c>
      <c r="B112">
        <v>2013</v>
      </c>
      <c r="C112">
        <v>240000</v>
      </c>
      <c r="D112" t="s">
        <v>151</v>
      </c>
      <c r="E112">
        <v>245211</v>
      </c>
      <c r="F112" s="1">
        <v>42719</v>
      </c>
      <c r="G112">
        <f t="shared" si="4"/>
        <v>4</v>
      </c>
      <c r="H112">
        <f t="shared" si="5"/>
        <v>48000</v>
      </c>
      <c r="I112">
        <f t="shared" si="6"/>
        <v>9600</v>
      </c>
      <c r="J112">
        <f t="shared" si="7"/>
        <v>182400</v>
      </c>
    </row>
    <row r="113" spans="1:10" x14ac:dyDescent="0.25">
      <c r="A113" t="s">
        <v>136</v>
      </c>
      <c r="B113">
        <v>2013</v>
      </c>
      <c r="C113">
        <v>240000</v>
      </c>
      <c r="D113" t="s">
        <v>152</v>
      </c>
      <c r="E113">
        <v>200123</v>
      </c>
      <c r="F113" s="1">
        <v>42719</v>
      </c>
      <c r="G113">
        <f t="shared" si="4"/>
        <v>4</v>
      </c>
      <c r="H113">
        <f t="shared" si="5"/>
        <v>48000</v>
      </c>
      <c r="I113">
        <f t="shared" si="6"/>
        <v>9600</v>
      </c>
      <c r="J113">
        <f t="shared" si="7"/>
        <v>182400</v>
      </c>
    </row>
    <row r="114" spans="1:10" x14ac:dyDescent="0.25">
      <c r="A114" t="s">
        <v>136</v>
      </c>
      <c r="B114">
        <v>2013</v>
      </c>
      <c r="C114">
        <v>240000</v>
      </c>
      <c r="D114" t="s">
        <v>153</v>
      </c>
      <c r="E114">
        <v>235811</v>
      </c>
      <c r="F114" s="1">
        <v>42719</v>
      </c>
      <c r="G114">
        <f t="shared" si="4"/>
        <v>4</v>
      </c>
      <c r="H114">
        <f t="shared" si="5"/>
        <v>48000</v>
      </c>
      <c r="I114">
        <f t="shared" si="6"/>
        <v>9600</v>
      </c>
      <c r="J114">
        <f t="shared" si="7"/>
        <v>182400</v>
      </c>
    </row>
    <row r="115" spans="1:10" x14ac:dyDescent="0.25">
      <c r="A115" t="s">
        <v>136</v>
      </c>
      <c r="B115">
        <v>2013</v>
      </c>
      <c r="C115">
        <v>240000</v>
      </c>
      <c r="D115" t="s">
        <v>154</v>
      </c>
      <c r="E115">
        <v>250021</v>
      </c>
      <c r="F115" s="1">
        <v>42719</v>
      </c>
      <c r="G115">
        <f t="shared" si="4"/>
        <v>4</v>
      </c>
      <c r="H115">
        <f t="shared" si="5"/>
        <v>48000</v>
      </c>
      <c r="I115">
        <f t="shared" si="6"/>
        <v>9600</v>
      </c>
      <c r="J115">
        <f t="shared" si="7"/>
        <v>182400</v>
      </c>
    </row>
    <row r="116" spans="1:10" x14ac:dyDescent="0.25">
      <c r="A116" t="s">
        <v>136</v>
      </c>
      <c r="B116">
        <v>2013</v>
      </c>
      <c r="C116">
        <v>240000</v>
      </c>
      <c r="D116" t="s">
        <v>155</v>
      </c>
      <c r="E116">
        <v>198340</v>
      </c>
      <c r="F116" s="1">
        <v>42719</v>
      </c>
      <c r="G116">
        <f t="shared" si="4"/>
        <v>4</v>
      </c>
      <c r="H116">
        <f t="shared" si="5"/>
        <v>48000</v>
      </c>
      <c r="I116">
        <f t="shared" si="6"/>
        <v>4800</v>
      </c>
      <c r="J116">
        <f t="shared" si="7"/>
        <v>187200</v>
      </c>
    </row>
    <row r="117" spans="1:10" x14ac:dyDescent="0.25">
      <c r="A117" t="s">
        <v>136</v>
      </c>
      <c r="B117">
        <v>2013</v>
      </c>
      <c r="C117">
        <v>240000</v>
      </c>
      <c r="D117" t="s">
        <v>156</v>
      </c>
      <c r="E117">
        <v>189761</v>
      </c>
      <c r="F117" s="1">
        <v>42719</v>
      </c>
      <c r="G117">
        <f t="shared" si="4"/>
        <v>4</v>
      </c>
      <c r="H117">
        <f t="shared" si="5"/>
        <v>48000</v>
      </c>
      <c r="I117">
        <f t="shared" si="6"/>
        <v>4800</v>
      </c>
      <c r="J117">
        <f t="shared" si="7"/>
        <v>187200</v>
      </c>
    </row>
    <row r="118" spans="1:10" x14ac:dyDescent="0.25">
      <c r="A118" t="s">
        <v>157</v>
      </c>
      <c r="B118">
        <v>2013</v>
      </c>
      <c r="C118">
        <v>271000</v>
      </c>
      <c r="D118" t="s">
        <v>158</v>
      </c>
      <c r="E118">
        <v>153000</v>
      </c>
      <c r="F118" s="1">
        <v>42334</v>
      </c>
      <c r="G118">
        <f t="shared" si="4"/>
        <v>4</v>
      </c>
      <c r="H118">
        <f t="shared" si="5"/>
        <v>54200</v>
      </c>
      <c r="I118">
        <f t="shared" si="6"/>
        <v>5420</v>
      </c>
      <c r="J118">
        <f t="shared" si="7"/>
        <v>211380</v>
      </c>
    </row>
    <row r="119" spans="1:10" x14ac:dyDescent="0.25">
      <c r="A119" t="s">
        <v>157</v>
      </c>
      <c r="B119">
        <v>2013</v>
      </c>
      <c r="C119">
        <v>271000</v>
      </c>
      <c r="D119" t="s">
        <v>159</v>
      </c>
      <c r="E119">
        <v>123000</v>
      </c>
      <c r="F119" s="1">
        <v>42520</v>
      </c>
      <c r="G119">
        <f t="shared" si="4"/>
        <v>4</v>
      </c>
      <c r="H119">
        <f t="shared" si="5"/>
        <v>54200</v>
      </c>
      <c r="I119">
        <f t="shared" si="6"/>
        <v>5420</v>
      </c>
      <c r="J119">
        <f t="shared" si="7"/>
        <v>211380</v>
      </c>
    </row>
    <row r="120" spans="1:10" x14ac:dyDescent="0.25">
      <c r="A120" t="s">
        <v>160</v>
      </c>
      <c r="B120">
        <v>2014</v>
      </c>
      <c r="C120">
        <v>98000</v>
      </c>
      <c r="D120" t="s">
        <v>161</v>
      </c>
      <c r="E120">
        <v>251000</v>
      </c>
      <c r="F120" s="1">
        <v>42344</v>
      </c>
      <c r="G120">
        <f t="shared" si="4"/>
        <v>3</v>
      </c>
      <c r="H120">
        <f t="shared" si="5"/>
        <v>14700</v>
      </c>
      <c r="I120">
        <f t="shared" si="6"/>
        <v>3920</v>
      </c>
      <c r="J120">
        <f t="shared" si="7"/>
        <v>79380</v>
      </c>
    </row>
    <row r="121" spans="1:10" x14ac:dyDescent="0.25">
      <c r="A121" t="s">
        <v>160</v>
      </c>
      <c r="B121">
        <v>2014</v>
      </c>
      <c r="C121">
        <v>99000</v>
      </c>
      <c r="D121" t="s">
        <v>162</v>
      </c>
      <c r="E121">
        <v>247000</v>
      </c>
      <c r="F121" s="1">
        <v>42344</v>
      </c>
      <c r="G121">
        <f t="shared" si="4"/>
        <v>3</v>
      </c>
      <c r="H121">
        <f t="shared" si="5"/>
        <v>14850</v>
      </c>
      <c r="I121">
        <f t="shared" si="6"/>
        <v>3960</v>
      </c>
      <c r="J121">
        <f t="shared" si="7"/>
        <v>80190</v>
      </c>
    </row>
    <row r="122" spans="1:10" x14ac:dyDescent="0.25">
      <c r="A122" t="s">
        <v>45</v>
      </c>
      <c r="B122">
        <v>2014</v>
      </c>
      <c r="C122">
        <v>136502</v>
      </c>
      <c r="D122" t="s">
        <v>163</v>
      </c>
      <c r="E122">
        <v>243000</v>
      </c>
      <c r="F122" s="1">
        <v>42476</v>
      </c>
      <c r="G122">
        <f t="shared" si="4"/>
        <v>3</v>
      </c>
      <c r="H122">
        <f t="shared" si="5"/>
        <v>20475.300000000003</v>
      </c>
      <c r="I122">
        <f t="shared" si="6"/>
        <v>5460.08</v>
      </c>
      <c r="J122">
        <f t="shared" si="7"/>
        <v>110566.62</v>
      </c>
    </row>
    <row r="123" spans="1:10" x14ac:dyDescent="0.25">
      <c r="A123" t="s">
        <v>54</v>
      </c>
      <c r="B123">
        <v>2014</v>
      </c>
      <c r="C123">
        <v>167800</v>
      </c>
      <c r="D123" t="s">
        <v>164</v>
      </c>
      <c r="E123">
        <v>190300</v>
      </c>
      <c r="F123" s="1">
        <v>42272</v>
      </c>
      <c r="G123">
        <f t="shared" si="4"/>
        <v>3</v>
      </c>
      <c r="H123">
        <f t="shared" si="5"/>
        <v>25170</v>
      </c>
      <c r="I123">
        <f t="shared" si="6"/>
        <v>3356</v>
      </c>
      <c r="J123">
        <f t="shared" si="7"/>
        <v>139274</v>
      </c>
    </row>
    <row r="124" spans="1:10" x14ac:dyDescent="0.25">
      <c r="A124" t="s">
        <v>35</v>
      </c>
      <c r="B124">
        <v>2014</v>
      </c>
      <c r="C124">
        <v>219000</v>
      </c>
      <c r="D124" t="s">
        <v>165</v>
      </c>
      <c r="E124">
        <v>126290</v>
      </c>
      <c r="F124" s="1">
        <v>42083</v>
      </c>
      <c r="G124">
        <f t="shared" si="4"/>
        <v>3</v>
      </c>
      <c r="H124">
        <f t="shared" si="5"/>
        <v>32850</v>
      </c>
      <c r="I124">
        <f t="shared" si="6"/>
        <v>4380</v>
      </c>
      <c r="J124">
        <f t="shared" si="7"/>
        <v>181770</v>
      </c>
    </row>
    <row r="125" spans="1:10" x14ac:dyDescent="0.25">
      <c r="A125" t="s">
        <v>136</v>
      </c>
      <c r="B125">
        <v>2014</v>
      </c>
      <c r="C125">
        <v>240000</v>
      </c>
      <c r="D125" t="s">
        <v>166</v>
      </c>
      <c r="E125">
        <v>183788</v>
      </c>
      <c r="F125" s="1">
        <v>42681</v>
      </c>
      <c r="G125">
        <f t="shared" si="4"/>
        <v>3</v>
      </c>
      <c r="H125">
        <f t="shared" si="5"/>
        <v>36000</v>
      </c>
      <c r="I125">
        <f t="shared" si="6"/>
        <v>4800</v>
      </c>
      <c r="J125">
        <f t="shared" si="7"/>
        <v>199200</v>
      </c>
    </row>
    <row r="126" spans="1:10" x14ac:dyDescent="0.25">
      <c r="A126" t="s">
        <v>136</v>
      </c>
      <c r="B126">
        <v>2014</v>
      </c>
      <c r="C126">
        <v>240000</v>
      </c>
      <c r="D126" t="s">
        <v>167</v>
      </c>
      <c r="E126">
        <v>160198</v>
      </c>
      <c r="F126" s="1">
        <v>42681</v>
      </c>
      <c r="G126">
        <f t="shared" si="4"/>
        <v>3</v>
      </c>
      <c r="H126">
        <f t="shared" si="5"/>
        <v>36000</v>
      </c>
      <c r="I126">
        <f t="shared" si="6"/>
        <v>4800</v>
      </c>
      <c r="J126">
        <f t="shared" si="7"/>
        <v>199200</v>
      </c>
    </row>
    <row r="127" spans="1:10" x14ac:dyDescent="0.25">
      <c r="A127" t="s">
        <v>136</v>
      </c>
      <c r="B127">
        <v>2014</v>
      </c>
      <c r="C127">
        <v>240000</v>
      </c>
      <c r="D127" t="s">
        <v>168</v>
      </c>
      <c r="E127">
        <v>156724</v>
      </c>
      <c r="F127" s="1">
        <v>42681</v>
      </c>
      <c r="G127">
        <f t="shared" si="4"/>
        <v>3</v>
      </c>
      <c r="H127">
        <f t="shared" si="5"/>
        <v>36000</v>
      </c>
      <c r="I127">
        <f t="shared" si="6"/>
        <v>4800</v>
      </c>
      <c r="J127">
        <f t="shared" si="7"/>
        <v>199200</v>
      </c>
    </row>
    <row r="128" spans="1:10" x14ac:dyDescent="0.25">
      <c r="A128" t="s">
        <v>157</v>
      </c>
      <c r="B128">
        <v>2014</v>
      </c>
      <c r="C128">
        <v>270000</v>
      </c>
      <c r="D128" t="s">
        <v>169</v>
      </c>
      <c r="E128">
        <v>157000</v>
      </c>
      <c r="F128" s="1">
        <v>42334</v>
      </c>
      <c r="G128">
        <f t="shared" si="4"/>
        <v>3</v>
      </c>
      <c r="H128">
        <f t="shared" si="5"/>
        <v>40500</v>
      </c>
      <c r="I128">
        <f t="shared" si="6"/>
        <v>5400</v>
      </c>
      <c r="J128">
        <f t="shared" si="7"/>
        <v>224100</v>
      </c>
    </row>
    <row r="129" spans="1:10" x14ac:dyDescent="0.25">
      <c r="A129" t="s">
        <v>35</v>
      </c>
      <c r="B129">
        <v>2015</v>
      </c>
      <c r="C129">
        <v>218000</v>
      </c>
      <c r="D129" t="s">
        <v>170</v>
      </c>
      <c r="E129">
        <v>130290</v>
      </c>
      <c r="F129" s="1">
        <v>42083</v>
      </c>
      <c r="G129">
        <f t="shared" si="4"/>
        <v>2</v>
      </c>
      <c r="H129">
        <f t="shared" si="5"/>
        <v>21800</v>
      </c>
      <c r="I129">
        <f t="shared" si="6"/>
        <v>4360</v>
      </c>
      <c r="J129">
        <f t="shared" si="7"/>
        <v>191840</v>
      </c>
    </row>
    <row r="130" spans="1:10" x14ac:dyDescent="0.25">
      <c r="A130" t="s">
        <v>62</v>
      </c>
      <c r="B130">
        <v>2015</v>
      </c>
      <c r="C130">
        <v>258000</v>
      </c>
      <c r="D130" t="s">
        <v>171</v>
      </c>
      <c r="E130">
        <v>160700</v>
      </c>
      <c r="F130" s="1">
        <v>42286</v>
      </c>
      <c r="G130">
        <f t="shared" si="4"/>
        <v>2</v>
      </c>
      <c r="H130">
        <f t="shared" si="5"/>
        <v>25800</v>
      </c>
      <c r="I130">
        <f t="shared" si="6"/>
        <v>5160</v>
      </c>
      <c r="J130">
        <f t="shared" si="7"/>
        <v>227040</v>
      </c>
    </row>
    <row r="131" spans="1:10" x14ac:dyDescent="0.25">
      <c r="A131" t="s">
        <v>172</v>
      </c>
      <c r="B131">
        <v>2015</v>
      </c>
      <c r="C131">
        <v>360000</v>
      </c>
      <c r="D131" t="s">
        <v>173</v>
      </c>
      <c r="E131">
        <v>100000</v>
      </c>
      <c r="F131" s="1">
        <v>42734</v>
      </c>
      <c r="G131">
        <f t="shared" ref="G131:G135" si="8">2017-B131</f>
        <v>2</v>
      </c>
      <c r="H131">
        <f t="shared" ref="H131:H135" si="9">5%*C131*G131</f>
        <v>36000</v>
      </c>
      <c r="I131">
        <f t="shared" ref="I131:I135" si="10">2%*C131*ROUNDDOWN(E131/100000,0)</f>
        <v>7200</v>
      </c>
      <c r="J131">
        <f t="shared" ref="J131:J135" si="11">C131-H131-I131</f>
        <v>316800</v>
      </c>
    </row>
    <row r="132" spans="1:10" x14ac:dyDescent="0.25">
      <c r="A132" t="s">
        <v>172</v>
      </c>
      <c r="B132">
        <v>2015</v>
      </c>
      <c r="C132">
        <v>360000</v>
      </c>
      <c r="D132" t="s">
        <v>174</v>
      </c>
      <c r="E132">
        <v>115000</v>
      </c>
      <c r="F132" s="1">
        <v>42734</v>
      </c>
      <c r="G132">
        <f t="shared" si="8"/>
        <v>2</v>
      </c>
      <c r="H132">
        <f t="shared" si="9"/>
        <v>36000</v>
      </c>
      <c r="I132">
        <f t="shared" si="10"/>
        <v>7200</v>
      </c>
      <c r="J132">
        <f t="shared" si="11"/>
        <v>316800</v>
      </c>
    </row>
    <row r="133" spans="1:10" x14ac:dyDescent="0.25">
      <c r="A133" t="s">
        <v>172</v>
      </c>
      <c r="B133">
        <v>2015</v>
      </c>
      <c r="C133">
        <v>360000</v>
      </c>
      <c r="D133" t="s">
        <v>175</v>
      </c>
      <c r="E133">
        <v>132000</v>
      </c>
      <c r="F133" s="1">
        <v>42734</v>
      </c>
      <c r="G133">
        <f t="shared" si="8"/>
        <v>2</v>
      </c>
      <c r="H133">
        <f t="shared" si="9"/>
        <v>36000</v>
      </c>
      <c r="I133">
        <f t="shared" si="10"/>
        <v>7200</v>
      </c>
      <c r="J133">
        <f t="shared" si="11"/>
        <v>316800</v>
      </c>
    </row>
    <row r="134" spans="1:10" x14ac:dyDescent="0.25">
      <c r="A134" t="s">
        <v>172</v>
      </c>
      <c r="B134">
        <v>2015</v>
      </c>
      <c r="C134">
        <v>360000</v>
      </c>
      <c r="D134" t="s">
        <v>176</v>
      </c>
      <c r="E134">
        <v>108000</v>
      </c>
      <c r="F134" s="1">
        <v>42734</v>
      </c>
      <c r="G134">
        <f t="shared" si="8"/>
        <v>2</v>
      </c>
      <c r="H134">
        <f t="shared" si="9"/>
        <v>36000</v>
      </c>
      <c r="I134">
        <f t="shared" si="10"/>
        <v>7200</v>
      </c>
      <c r="J134">
        <f t="shared" si="11"/>
        <v>316800</v>
      </c>
    </row>
    <row r="135" spans="1:10" x14ac:dyDescent="0.25">
      <c r="A135" t="s">
        <v>172</v>
      </c>
      <c r="B135">
        <v>2015</v>
      </c>
      <c r="C135">
        <v>360000</v>
      </c>
      <c r="D135" t="s">
        <v>177</v>
      </c>
      <c r="E135">
        <v>140000</v>
      </c>
      <c r="F135" s="1">
        <v>42734</v>
      </c>
      <c r="G135">
        <f t="shared" si="8"/>
        <v>2</v>
      </c>
      <c r="H135">
        <f t="shared" si="9"/>
        <v>36000</v>
      </c>
      <c r="I135">
        <f t="shared" si="10"/>
        <v>7200</v>
      </c>
      <c r="J135">
        <f t="shared" si="11"/>
        <v>316800</v>
      </c>
    </row>
  </sheetData>
  <conditionalFormatting sqref="J1">
    <cfRule type="cellIs" dxfId="1" priority="2" operator="equal">
      <formula>17390</formula>
    </cfRule>
  </conditionalFormatting>
  <conditionalFormatting sqref="J1:J1048576">
    <cfRule type="cellIs" dxfId="0" priority="1" operator="equal">
      <formula>17390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1DAB-94FC-4ACE-94A8-1025A486062B}">
  <dimension ref="A1:M135"/>
  <sheetViews>
    <sheetView zoomScale="160" zoomScaleNormal="160" workbookViewId="0">
      <selection sqref="A1:D1"/>
    </sheetView>
  </sheetViews>
  <sheetFormatPr defaultRowHeight="15" x14ac:dyDescent="0.25"/>
  <cols>
    <col min="1" max="1" width="18" bestFit="1" customWidth="1"/>
    <col min="2" max="2" width="9.28515625" customWidth="1"/>
    <col min="3" max="3" width="12.7109375" bestFit="1" customWidth="1"/>
    <col min="4" max="4" width="15.7109375" bestFit="1" customWidth="1"/>
    <col min="9" max="9" width="17.7109375" bestFit="1" customWidth="1"/>
    <col min="10" max="10" width="17.42578125" bestFit="1" customWidth="1"/>
    <col min="11" max="11" width="14.85546875" bestFit="1" customWidth="1"/>
    <col min="12" max="12" width="17.7109375" bestFit="1" customWidth="1"/>
    <col min="13" max="13" width="13.71093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F1" t="s">
        <v>183</v>
      </c>
      <c r="G1" t="s">
        <v>4</v>
      </c>
    </row>
    <row r="2" spans="1:13" x14ac:dyDescent="0.25">
      <c r="A2" t="s">
        <v>6</v>
      </c>
      <c r="B2">
        <v>2006</v>
      </c>
      <c r="C2">
        <v>85900</v>
      </c>
      <c r="D2" t="s">
        <v>7</v>
      </c>
      <c r="F2" t="str">
        <f>LEFT(A2,FIND(" ",A2)-1)</f>
        <v>Iveco</v>
      </c>
      <c r="G2">
        <v>1200655</v>
      </c>
      <c r="I2" s="5" t="s">
        <v>184</v>
      </c>
      <c r="J2" t="s">
        <v>193</v>
      </c>
      <c r="L2" s="5" t="s">
        <v>184</v>
      </c>
      <c r="M2" t="s">
        <v>196</v>
      </c>
    </row>
    <row r="3" spans="1:13" x14ac:dyDescent="0.25">
      <c r="A3" t="s">
        <v>6</v>
      </c>
      <c r="B3">
        <v>2006</v>
      </c>
      <c r="C3">
        <v>85900</v>
      </c>
      <c r="D3" t="s">
        <v>8</v>
      </c>
      <c r="F3" t="str">
        <f t="shared" ref="F3:F66" si="0">LEFT(A3,FIND(" ",A3)-1)</f>
        <v>Iveco</v>
      </c>
      <c r="G3">
        <v>1068570</v>
      </c>
      <c r="I3" s="6" t="s">
        <v>185</v>
      </c>
      <c r="J3" s="8">
        <v>273239.59999999998</v>
      </c>
      <c r="L3" s="6" t="s">
        <v>185</v>
      </c>
      <c r="M3" s="7">
        <v>30</v>
      </c>
    </row>
    <row r="4" spans="1:13" x14ac:dyDescent="0.25">
      <c r="A4" t="s">
        <v>6</v>
      </c>
      <c r="B4">
        <v>2006</v>
      </c>
      <c r="C4">
        <v>85900</v>
      </c>
      <c r="D4" t="s">
        <v>9</v>
      </c>
      <c r="F4" t="str">
        <f t="shared" si="0"/>
        <v>Iveco</v>
      </c>
      <c r="G4">
        <v>998704</v>
      </c>
      <c r="I4" s="6" t="s">
        <v>186</v>
      </c>
      <c r="J4" s="8">
        <v>657434.5</v>
      </c>
      <c r="L4" s="6" t="s">
        <v>186</v>
      </c>
      <c r="M4" s="7">
        <v>12</v>
      </c>
    </row>
    <row r="5" spans="1:13" x14ac:dyDescent="0.25">
      <c r="A5" t="s">
        <v>6</v>
      </c>
      <c r="B5">
        <v>2006</v>
      </c>
      <c r="C5">
        <v>85900</v>
      </c>
      <c r="D5" t="s">
        <v>10</v>
      </c>
      <c r="F5" t="str">
        <f t="shared" si="0"/>
        <v>Iveco</v>
      </c>
      <c r="G5">
        <v>936780</v>
      </c>
      <c r="I5" s="6" t="s">
        <v>187</v>
      </c>
      <c r="J5" s="8">
        <v>289637.27777777775</v>
      </c>
      <c r="L5" s="6" t="s">
        <v>187</v>
      </c>
      <c r="M5" s="7">
        <v>18</v>
      </c>
    </row>
    <row r="6" spans="1:13" x14ac:dyDescent="0.25">
      <c r="A6" t="s">
        <v>6</v>
      </c>
      <c r="B6">
        <v>2006</v>
      </c>
      <c r="C6">
        <v>85900</v>
      </c>
      <c r="D6" t="s">
        <v>11</v>
      </c>
      <c r="F6" t="str">
        <f t="shared" si="0"/>
        <v>Iveco</v>
      </c>
      <c r="G6">
        <v>870233</v>
      </c>
      <c r="I6" s="6" t="s">
        <v>188</v>
      </c>
      <c r="J6" s="8">
        <v>486545.8823529412</v>
      </c>
      <c r="L6" s="6" t="s">
        <v>188</v>
      </c>
      <c r="M6" s="7">
        <v>17</v>
      </c>
    </row>
    <row r="7" spans="1:13" x14ac:dyDescent="0.25">
      <c r="A7" t="s">
        <v>12</v>
      </c>
      <c r="B7">
        <v>2007</v>
      </c>
      <c r="C7">
        <v>205000</v>
      </c>
      <c r="D7" t="s">
        <v>13</v>
      </c>
      <c r="F7" t="str">
        <f t="shared" si="0"/>
        <v>Mercedes</v>
      </c>
      <c r="G7">
        <v>1260000</v>
      </c>
      <c r="I7" s="6" t="s">
        <v>189</v>
      </c>
      <c r="J7" s="8">
        <v>519936.0588235294</v>
      </c>
      <c r="L7" s="6" t="s">
        <v>189</v>
      </c>
      <c r="M7" s="7">
        <v>17</v>
      </c>
    </row>
    <row r="8" spans="1:13" x14ac:dyDescent="0.25">
      <c r="A8" t="s">
        <v>14</v>
      </c>
      <c r="B8">
        <v>2007</v>
      </c>
      <c r="C8">
        <v>198000</v>
      </c>
      <c r="D8" t="s">
        <v>15</v>
      </c>
      <c r="F8" t="str">
        <f t="shared" si="0"/>
        <v>MAN</v>
      </c>
      <c r="G8">
        <v>890200</v>
      </c>
      <c r="I8" s="6" t="s">
        <v>190</v>
      </c>
      <c r="J8" s="8">
        <v>557117.6470588235</v>
      </c>
      <c r="L8" s="6" t="s">
        <v>190</v>
      </c>
      <c r="M8" s="7">
        <v>17</v>
      </c>
    </row>
    <row r="9" spans="1:13" x14ac:dyDescent="0.25">
      <c r="A9" t="s">
        <v>16</v>
      </c>
      <c r="B9">
        <v>2008</v>
      </c>
      <c r="C9">
        <v>49411</v>
      </c>
      <c r="D9" t="s">
        <v>17</v>
      </c>
      <c r="F9" t="str">
        <f t="shared" si="0"/>
        <v>Volvo</v>
      </c>
      <c r="G9">
        <v>186000</v>
      </c>
      <c r="I9" s="6" t="s">
        <v>191</v>
      </c>
      <c r="J9" s="8">
        <v>307130.4347826087</v>
      </c>
      <c r="L9" s="6" t="s">
        <v>191</v>
      </c>
      <c r="M9" s="7">
        <v>23</v>
      </c>
    </row>
    <row r="10" spans="1:13" x14ac:dyDescent="0.25">
      <c r="A10" t="s">
        <v>18</v>
      </c>
      <c r="B10">
        <v>2008</v>
      </c>
      <c r="C10">
        <v>58000</v>
      </c>
      <c r="D10" t="s">
        <v>19</v>
      </c>
      <c r="F10" t="str">
        <f t="shared" si="0"/>
        <v>Volvo</v>
      </c>
      <c r="G10">
        <v>306000</v>
      </c>
      <c r="I10" s="6" t="s">
        <v>192</v>
      </c>
      <c r="J10" s="8">
        <v>410037.80597014923</v>
      </c>
      <c r="L10" s="6" t="s">
        <v>192</v>
      </c>
      <c r="M10" s="7">
        <v>134</v>
      </c>
    </row>
    <row r="11" spans="1:13" x14ac:dyDescent="0.25">
      <c r="A11" t="s">
        <v>20</v>
      </c>
      <c r="B11">
        <v>2008</v>
      </c>
      <c r="C11">
        <v>84000</v>
      </c>
      <c r="D11" t="s">
        <v>21</v>
      </c>
      <c r="F11" t="str">
        <f t="shared" si="0"/>
        <v>Volvo</v>
      </c>
      <c r="G11">
        <v>266000</v>
      </c>
    </row>
    <row r="12" spans="1:13" x14ac:dyDescent="0.25">
      <c r="A12" t="s">
        <v>22</v>
      </c>
      <c r="B12">
        <v>2008</v>
      </c>
      <c r="C12">
        <v>89000</v>
      </c>
      <c r="D12" t="s">
        <v>23</v>
      </c>
      <c r="F12" t="str">
        <f t="shared" si="0"/>
        <v>Volvo</v>
      </c>
      <c r="G12">
        <v>305000</v>
      </c>
      <c r="I12" s="9" t="s">
        <v>194</v>
      </c>
      <c r="J12" s="2" t="s">
        <v>197</v>
      </c>
      <c r="K12" s="2" t="s">
        <v>195</v>
      </c>
    </row>
    <row r="13" spans="1:13" x14ac:dyDescent="0.25">
      <c r="A13" t="s">
        <v>16</v>
      </c>
      <c r="B13">
        <v>2009</v>
      </c>
      <c r="C13">
        <v>48411</v>
      </c>
      <c r="D13" t="s">
        <v>24</v>
      </c>
      <c r="F13" t="str">
        <f t="shared" si="0"/>
        <v>Volvo</v>
      </c>
      <c r="G13">
        <v>190000</v>
      </c>
      <c r="I13" s="9" t="s">
        <v>185</v>
      </c>
      <c r="J13" s="11">
        <v>30</v>
      </c>
      <c r="K13" s="10">
        <v>273239.59999999998</v>
      </c>
    </row>
    <row r="14" spans="1:13" x14ac:dyDescent="0.25">
      <c r="A14" t="s">
        <v>25</v>
      </c>
      <c r="B14">
        <v>2009</v>
      </c>
      <c r="C14">
        <v>68000</v>
      </c>
      <c r="D14" t="s">
        <v>26</v>
      </c>
      <c r="F14" t="str">
        <f t="shared" si="0"/>
        <v>Iveco</v>
      </c>
      <c r="G14">
        <v>992600</v>
      </c>
      <c r="I14" s="9" t="s">
        <v>186</v>
      </c>
      <c r="J14" s="11">
        <v>12</v>
      </c>
      <c r="K14" s="10">
        <v>657434.5</v>
      </c>
    </row>
    <row r="15" spans="1:13" x14ac:dyDescent="0.25">
      <c r="A15" t="s">
        <v>16</v>
      </c>
      <c r="B15">
        <v>2009</v>
      </c>
      <c r="C15">
        <v>49411</v>
      </c>
      <c r="D15" t="s">
        <v>27</v>
      </c>
      <c r="F15" t="str">
        <f t="shared" si="0"/>
        <v>Volvo</v>
      </c>
      <c r="G15">
        <v>186000</v>
      </c>
      <c r="I15" s="9" t="s">
        <v>187</v>
      </c>
      <c r="J15" s="11">
        <v>18</v>
      </c>
      <c r="K15" s="10">
        <v>289637.27777777775</v>
      </c>
    </row>
    <row r="16" spans="1:13" x14ac:dyDescent="0.25">
      <c r="A16" t="s">
        <v>28</v>
      </c>
      <c r="B16">
        <v>2009</v>
      </c>
      <c r="C16">
        <v>67900</v>
      </c>
      <c r="D16" t="s">
        <v>29</v>
      </c>
      <c r="F16" t="str">
        <f t="shared" si="0"/>
        <v>Scania</v>
      </c>
      <c r="G16">
        <v>850000</v>
      </c>
      <c r="I16" s="9" t="s">
        <v>188</v>
      </c>
      <c r="J16" s="11">
        <v>17</v>
      </c>
      <c r="K16" s="10">
        <v>486545.8823529412</v>
      </c>
    </row>
    <row r="17" spans="1:11" x14ac:dyDescent="0.25">
      <c r="A17" t="s">
        <v>16</v>
      </c>
      <c r="B17">
        <v>2009</v>
      </c>
      <c r="C17">
        <v>65000</v>
      </c>
      <c r="D17" t="s">
        <v>30</v>
      </c>
      <c r="F17" t="str">
        <f t="shared" si="0"/>
        <v>Volvo</v>
      </c>
      <c r="G17">
        <v>740000</v>
      </c>
      <c r="I17" s="9" t="s">
        <v>189</v>
      </c>
      <c r="J17" s="11">
        <v>17</v>
      </c>
      <c r="K17" s="10">
        <v>519936.0588235294</v>
      </c>
    </row>
    <row r="18" spans="1:11" x14ac:dyDescent="0.25">
      <c r="A18" t="s">
        <v>28</v>
      </c>
      <c r="B18">
        <v>2009</v>
      </c>
      <c r="C18">
        <v>68900</v>
      </c>
      <c r="D18" t="s">
        <v>31</v>
      </c>
      <c r="F18" t="str">
        <f t="shared" si="0"/>
        <v>Scania</v>
      </c>
      <c r="G18">
        <v>846000</v>
      </c>
      <c r="I18" s="9" t="s">
        <v>190</v>
      </c>
      <c r="J18" s="11">
        <v>17</v>
      </c>
      <c r="K18" s="10">
        <v>557117.6470588235</v>
      </c>
    </row>
    <row r="19" spans="1:11" x14ac:dyDescent="0.25">
      <c r="A19" t="s">
        <v>18</v>
      </c>
      <c r="B19">
        <v>2009</v>
      </c>
      <c r="C19">
        <v>59000</v>
      </c>
      <c r="D19" t="s">
        <v>32</v>
      </c>
      <c r="F19" t="str">
        <f t="shared" si="0"/>
        <v>Volvo</v>
      </c>
      <c r="G19">
        <v>302000</v>
      </c>
      <c r="I19" s="9" t="s">
        <v>191</v>
      </c>
      <c r="J19" s="11">
        <v>23</v>
      </c>
      <c r="K19" s="10">
        <v>307130.4347826087</v>
      </c>
    </row>
    <row r="20" spans="1:11" x14ac:dyDescent="0.25">
      <c r="A20" t="s">
        <v>33</v>
      </c>
      <c r="B20">
        <v>2009</v>
      </c>
      <c r="C20">
        <v>77000</v>
      </c>
      <c r="D20" t="s">
        <v>34</v>
      </c>
      <c r="F20" t="str">
        <f t="shared" si="0"/>
        <v>Renault</v>
      </c>
      <c r="G20">
        <v>846000</v>
      </c>
    </row>
    <row r="21" spans="1:11" x14ac:dyDescent="0.25">
      <c r="A21" t="s">
        <v>35</v>
      </c>
      <c r="B21">
        <v>2009</v>
      </c>
      <c r="C21">
        <v>85000</v>
      </c>
      <c r="D21" t="s">
        <v>36</v>
      </c>
      <c r="F21" t="str">
        <f t="shared" si="0"/>
        <v>Mercedes</v>
      </c>
      <c r="G21">
        <v>946000</v>
      </c>
    </row>
    <row r="22" spans="1:11" x14ac:dyDescent="0.25">
      <c r="A22" t="s">
        <v>37</v>
      </c>
      <c r="B22">
        <v>2009</v>
      </c>
      <c r="C22">
        <v>79000</v>
      </c>
      <c r="D22" t="s">
        <v>38</v>
      </c>
      <c r="F22" t="str">
        <f t="shared" si="0"/>
        <v>Scania</v>
      </c>
      <c r="G22">
        <v>390000</v>
      </c>
    </row>
    <row r="23" spans="1:11" x14ac:dyDescent="0.25">
      <c r="A23" t="s">
        <v>37</v>
      </c>
      <c r="B23">
        <v>2009</v>
      </c>
      <c r="C23">
        <v>79000</v>
      </c>
      <c r="D23" t="s">
        <v>39</v>
      </c>
      <c r="F23" t="str">
        <f t="shared" si="0"/>
        <v>Scania</v>
      </c>
      <c r="G23">
        <v>390000</v>
      </c>
      <c r="I23" t="s">
        <v>194</v>
      </c>
      <c r="J23" t="s">
        <v>195</v>
      </c>
    </row>
    <row r="24" spans="1:11" x14ac:dyDescent="0.25">
      <c r="A24" t="s">
        <v>20</v>
      </c>
      <c r="B24">
        <v>2009</v>
      </c>
      <c r="C24">
        <v>83000</v>
      </c>
      <c r="D24" t="s">
        <v>40</v>
      </c>
      <c r="F24" t="str">
        <f t="shared" si="0"/>
        <v>Volvo</v>
      </c>
      <c r="G24">
        <v>270000</v>
      </c>
      <c r="I24" t="s">
        <v>185</v>
      </c>
      <c r="J24">
        <v>273239.59999999998</v>
      </c>
    </row>
    <row r="25" spans="1:11" x14ac:dyDescent="0.25">
      <c r="A25" t="s">
        <v>41</v>
      </c>
      <c r="B25">
        <v>2009</v>
      </c>
      <c r="C25">
        <v>86133</v>
      </c>
      <c r="D25" t="s">
        <v>42</v>
      </c>
      <c r="F25" t="str">
        <f t="shared" si="0"/>
        <v>Iveco</v>
      </c>
      <c r="G25">
        <v>380000</v>
      </c>
      <c r="I25" t="s">
        <v>186</v>
      </c>
      <c r="J25">
        <v>657434.5</v>
      </c>
    </row>
    <row r="26" spans="1:11" x14ac:dyDescent="0.25">
      <c r="A26" t="s">
        <v>22</v>
      </c>
      <c r="B26">
        <v>2009</v>
      </c>
      <c r="C26">
        <v>90000</v>
      </c>
      <c r="D26" t="s">
        <v>43</v>
      </c>
      <c r="F26" t="str">
        <f t="shared" si="0"/>
        <v>Volvo</v>
      </c>
      <c r="G26">
        <v>301000</v>
      </c>
      <c r="I26" t="s">
        <v>187</v>
      </c>
      <c r="J26">
        <v>289637.27777777775</v>
      </c>
    </row>
    <row r="27" spans="1:11" x14ac:dyDescent="0.25">
      <c r="A27" t="s">
        <v>35</v>
      </c>
      <c r="B27">
        <v>2009</v>
      </c>
      <c r="C27">
        <v>91000</v>
      </c>
      <c r="D27" t="s">
        <v>44</v>
      </c>
      <c r="F27" t="str">
        <f t="shared" si="0"/>
        <v>Mercedes</v>
      </c>
      <c r="G27">
        <v>360000</v>
      </c>
      <c r="I27" t="s">
        <v>188</v>
      </c>
      <c r="J27">
        <v>486545.8823529412</v>
      </c>
    </row>
    <row r="28" spans="1:11" x14ac:dyDescent="0.25">
      <c r="A28" t="s">
        <v>45</v>
      </c>
      <c r="B28">
        <v>2009</v>
      </c>
      <c r="C28">
        <v>114400</v>
      </c>
      <c r="D28" t="s">
        <v>46</v>
      </c>
      <c r="F28" t="str">
        <f t="shared" si="0"/>
        <v>MAN</v>
      </c>
      <c r="G28">
        <v>226000</v>
      </c>
      <c r="I28" t="s">
        <v>189</v>
      </c>
      <c r="J28">
        <v>519936.0588235294</v>
      </c>
    </row>
    <row r="29" spans="1:11" x14ac:dyDescent="0.25">
      <c r="A29" t="s">
        <v>47</v>
      </c>
      <c r="B29">
        <v>2009</v>
      </c>
      <c r="C29">
        <v>134000</v>
      </c>
      <c r="D29" t="s">
        <v>48</v>
      </c>
      <c r="F29" t="str">
        <f t="shared" si="0"/>
        <v>Volvo</v>
      </c>
      <c r="G29">
        <v>482000</v>
      </c>
      <c r="I29" t="s">
        <v>190</v>
      </c>
      <c r="J29">
        <v>557117.6470588235</v>
      </c>
    </row>
    <row r="30" spans="1:11" x14ac:dyDescent="0.25">
      <c r="A30" t="s">
        <v>47</v>
      </c>
      <c r="B30">
        <v>2009</v>
      </c>
      <c r="C30">
        <v>135000</v>
      </c>
      <c r="D30" t="s">
        <v>49</v>
      </c>
      <c r="F30" t="str">
        <f t="shared" si="0"/>
        <v>Volvo</v>
      </c>
      <c r="G30">
        <v>478000</v>
      </c>
      <c r="I30" t="s">
        <v>191</v>
      </c>
      <c r="J30">
        <v>307130.4347826087</v>
      </c>
    </row>
    <row r="31" spans="1:11" x14ac:dyDescent="0.25">
      <c r="A31" t="s">
        <v>50</v>
      </c>
      <c r="B31">
        <v>2009</v>
      </c>
      <c r="C31">
        <v>131780</v>
      </c>
      <c r="D31" t="s">
        <v>51</v>
      </c>
      <c r="F31" t="str">
        <f t="shared" si="0"/>
        <v>DAF</v>
      </c>
      <c r="G31">
        <v>306000</v>
      </c>
    </row>
    <row r="32" spans="1:11" x14ac:dyDescent="0.25">
      <c r="A32" t="s">
        <v>45</v>
      </c>
      <c r="B32">
        <v>2009</v>
      </c>
      <c r="C32">
        <v>159000</v>
      </c>
      <c r="D32" t="s">
        <v>52</v>
      </c>
      <c r="F32" t="str">
        <f t="shared" si="0"/>
        <v>MAN</v>
      </c>
      <c r="G32">
        <v>403000</v>
      </c>
    </row>
    <row r="33" spans="1:7" x14ac:dyDescent="0.25">
      <c r="A33" t="s">
        <v>33</v>
      </c>
      <c r="B33">
        <v>2009</v>
      </c>
      <c r="C33">
        <v>162800</v>
      </c>
      <c r="D33" t="s">
        <v>53</v>
      </c>
      <c r="F33" t="str">
        <f t="shared" si="0"/>
        <v>Renault</v>
      </c>
      <c r="G33">
        <v>370000</v>
      </c>
    </row>
    <row r="34" spans="1:7" x14ac:dyDescent="0.25">
      <c r="A34" t="s">
        <v>54</v>
      </c>
      <c r="B34">
        <v>2009</v>
      </c>
      <c r="C34">
        <v>168800</v>
      </c>
      <c r="D34" t="s">
        <v>55</v>
      </c>
      <c r="F34" t="str">
        <f t="shared" si="0"/>
        <v>MAN</v>
      </c>
      <c r="G34">
        <v>186300</v>
      </c>
    </row>
    <row r="35" spans="1:7" x14ac:dyDescent="0.25">
      <c r="A35" t="s">
        <v>56</v>
      </c>
      <c r="B35">
        <v>2009</v>
      </c>
      <c r="C35">
        <v>195370</v>
      </c>
      <c r="D35" t="s">
        <v>57</v>
      </c>
      <c r="F35" t="str">
        <f t="shared" si="0"/>
        <v>MAN</v>
      </c>
      <c r="G35">
        <v>290000</v>
      </c>
    </row>
    <row r="36" spans="1:7" x14ac:dyDescent="0.25">
      <c r="A36" t="s">
        <v>58</v>
      </c>
      <c r="B36">
        <v>2009</v>
      </c>
      <c r="C36">
        <v>195340</v>
      </c>
      <c r="D36" t="s">
        <v>59</v>
      </c>
      <c r="F36" t="str">
        <f t="shared" si="0"/>
        <v>DAF</v>
      </c>
      <c r="G36">
        <v>190000</v>
      </c>
    </row>
    <row r="37" spans="1:7" x14ac:dyDescent="0.25">
      <c r="A37" t="s">
        <v>60</v>
      </c>
      <c r="B37">
        <v>2009</v>
      </c>
      <c r="C37">
        <v>230000</v>
      </c>
      <c r="D37" t="s">
        <v>61</v>
      </c>
      <c r="F37" t="str">
        <f t="shared" si="0"/>
        <v>Mercedes</v>
      </c>
      <c r="G37">
        <v>305000</v>
      </c>
    </row>
    <row r="38" spans="1:7" x14ac:dyDescent="0.25">
      <c r="A38" t="s">
        <v>62</v>
      </c>
      <c r="B38">
        <v>2009</v>
      </c>
      <c r="C38">
        <v>291000</v>
      </c>
      <c r="D38" t="s">
        <v>63</v>
      </c>
      <c r="F38" t="str">
        <f t="shared" si="0"/>
        <v>Mercedes</v>
      </c>
      <c r="G38">
        <v>166000</v>
      </c>
    </row>
    <row r="39" spans="1:7" x14ac:dyDescent="0.25">
      <c r="A39" t="s">
        <v>50</v>
      </c>
      <c r="B39">
        <v>2010</v>
      </c>
      <c r="C39">
        <v>37000</v>
      </c>
      <c r="D39" t="s">
        <v>64</v>
      </c>
      <c r="F39" t="str">
        <f t="shared" si="0"/>
        <v>DAF</v>
      </c>
      <c r="G39">
        <v>978000</v>
      </c>
    </row>
    <row r="40" spans="1:7" x14ac:dyDescent="0.25">
      <c r="A40" t="s">
        <v>50</v>
      </c>
      <c r="B40">
        <v>2010</v>
      </c>
      <c r="C40">
        <v>40830</v>
      </c>
      <c r="D40" t="s">
        <v>65</v>
      </c>
      <c r="F40" t="str">
        <f t="shared" si="0"/>
        <v>DAF</v>
      </c>
      <c r="G40">
        <v>326000</v>
      </c>
    </row>
    <row r="41" spans="1:7" x14ac:dyDescent="0.25">
      <c r="A41" t="s">
        <v>16</v>
      </c>
      <c r="B41">
        <v>2010</v>
      </c>
      <c r="C41">
        <v>66000</v>
      </c>
      <c r="D41" t="s">
        <v>66</v>
      </c>
      <c r="F41" t="str">
        <f t="shared" si="0"/>
        <v>Volvo</v>
      </c>
      <c r="G41">
        <v>736000</v>
      </c>
    </row>
    <row r="42" spans="1:7" x14ac:dyDescent="0.25">
      <c r="A42" t="s">
        <v>67</v>
      </c>
      <c r="B42">
        <v>2010</v>
      </c>
      <c r="C42">
        <v>60000</v>
      </c>
      <c r="D42" t="s">
        <v>68</v>
      </c>
      <c r="F42" t="str">
        <f t="shared" si="0"/>
        <v>Renault</v>
      </c>
      <c r="G42">
        <v>99250</v>
      </c>
    </row>
    <row r="43" spans="1:7" x14ac:dyDescent="0.25">
      <c r="A43" t="s">
        <v>35</v>
      </c>
      <c r="B43">
        <v>2010</v>
      </c>
      <c r="C43">
        <v>84000</v>
      </c>
      <c r="D43" t="s">
        <v>69</v>
      </c>
      <c r="F43" t="str">
        <f t="shared" si="0"/>
        <v>Mercedes</v>
      </c>
      <c r="G43">
        <v>950000</v>
      </c>
    </row>
    <row r="44" spans="1:7" x14ac:dyDescent="0.25">
      <c r="A44" t="s">
        <v>25</v>
      </c>
      <c r="B44">
        <v>2010</v>
      </c>
      <c r="C44">
        <v>67000</v>
      </c>
      <c r="D44" t="s">
        <v>70</v>
      </c>
      <c r="F44" t="str">
        <f t="shared" si="0"/>
        <v>Iveco</v>
      </c>
      <c r="G44">
        <v>103260</v>
      </c>
    </row>
    <row r="45" spans="1:7" x14ac:dyDescent="0.25">
      <c r="A45" t="s">
        <v>71</v>
      </c>
      <c r="B45">
        <v>2010</v>
      </c>
      <c r="C45">
        <v>75300</v>
      </c>
      <c r="D45" t="s">
        <v>72</v>
      </c>
      <c r="F45" t="str">
        <f t="shared" si="0"/>
        <v>Renault</v>
      </c>
      <c r="G45">
        <v>302000</v>
      </c>
    </row>
    <row r="46" spans="1:7" x14ac:dyDescent="0.25">
      <c r="A46" t="s">
        <v>20</v>
      </c>
      <c r="B46">
        <v>2010</v>
      </c>
      <c r="C46">
        <v>84000</v>
      </c>
      <c r="D46" t="s">
        <v>73</v>
      </c>
      <c r="F46" t="str">
        <f t="shared" si="0"/>
        <v>Volvo</v>
      </c>
      <c r="G46">
        <v>266000</v>
      </c>
    </row>
    <row r="47" spans="1:7" x14ac:dyDescent="0.25">
      <c r="A47" t="s">
        <v>35</v>
      </c>
      <c r="B47">
        <v>2010</v>
      </c>
      <c r="C47">
        <v>92000</v>
      </c>
      <c r="D47" t="s">
        <v>74</v>
      </c>
      <c r="F47" t="str">
        <f t="shared" si="0"/>
        <v>Mercedes</v>
      </c>
      <c r="G47">
        <v>356000</v>
      </c>
    </row>
    <row r="48" spans="1:7" x14ac:dyDescent="0.25">
      <c r="A48" t="s">
        <v>45</v>
      </c>
      <c r="B48">
        <v>2010</v>
      </c>
      <c r="C48">
        <v>89000</v>
      </c>
      <c r="D48" t="s">
        <v>75</v>
      </c>
      <c r="F48" t="str">
        <f t="shared" si="0"/>
        <v>MAN</v>
      </c>
      <c r="G48">
        <v>266000</v>
      </c>
    </row>
    <row r="49" spans="1:7" x14ac:dyDescent="0.25">
      <c r="A49" t="s">
        <v>76</v>
      </c>
      <c r="B49">
        <v>2010</v>
      </c>
      <c r="C49">
        <v>94000</v>
      </c>
      <c r="D49" t="s">
        <v>77</v>
      </c>
      <c r="F49" t="str">
        <f t="shared" si="0"/>
        <v>DAF</v>
      </c>
      <c r="G49">
        <v>91000</v>
      </c>
    </row>
    <row r="50" spans="1:7" x14ac:dyDescent="0.25">
      <c r="A50" t="s">
        <v>45</v>
      </c>
      <c r="B50">
        <v>2010</v>
      </c>
      <c r="C50">
        <v>113400</v>
      </c>
      <c r="D50" t="s">
        <v>78</v>
      </c>
      <c r="F50" t="str">
        <f t="shared" si="0"/>
        <v>MAN</v>
      </c>
      <c r="G50">
        <v>230000</v>
      </c>
    </row>
    <row r="51" spans="1:7" x14ac:dyDescent="0.25">
      <c r="A51" t="s">
        <v>79</v>
      </c>
      <c r="B51">
        <v>2010</v>
      </c>
      <c r="C51">
        <v>135000</v>
      </c>
      <c r="D51" t="s">
        <v>80</v>
      </c>
      <c r="F51" t="str">
        <f t="shared" si="0"/>
        <v>DAF</v>
      </c>
      <c r="G51">
        <v>251000</v>
      </c>
    </row>
    <row r="52" spans="1:7" x14ac:dyDescent="0.25">
      <c r="A52" t="s">
        <v>81</v>
      </c>
      <c r="B52">
        <v>2010</v>
      </c>
      <c r="C52">
        <v>160000</v>
      </c>
      <c r="D52" t="s">
        <v>82</v>
      </c>
      <c r="F52" t="str">
        <f t="shared" si="0"/>
        <v>Iveco</v>
      </c>
      <c r="G52">
        <v>263000</v>
      </c>
    </row>
    <row r="53" spans="1:7" x14ac:dyDescent="0.25">
      <c r="A53" t="s">
        <v>83</v>
      </c>
      <c r="B53">
        <v>2010</v>
      </c>
      <c r="C53">
        <v>265000</v>
      </c>
      <c r="D53" t="s">
        <v>84</v>
      </c>
      <c r="F53" t="str">
        <f t="shared" si="0"/>
        <v>Renault</v>
      </c>
      <c r="G53">
        <v>930000</v>
      </c>
    </row>
    <row r="54" spans="1:7" x14ac:dyDescent="0.25">
      <c r="A54" t="s">
        <v>83</v>
      </c>
      <c r="B54">
        <v>2010</v>
      </c>
      <c r="C54">
        <v>265000</v>
      </c>
      <c r="D54" t="s">
        <v>85</v>
      </c>
      <c r="F54" t="str">
        <f t="shared" si="0"/>
        <v>Renault</v>
      </c>
      <c r="G54">
        <v>912000</v>
      </c>
    </row>
    <row r="55" spans="1:7" x14ac:dyDescent="0.25">
      <c r="A55" t="s">
        <v>83</v>
      </c>
      <c r="B55">
        <v>2010</v>
      </c>
      <c r="C55">
        <v>265000</v>
      </c>
      <c r="D55" t="s">
        <v>86</v>
      </c>
      <c r="F55" t="str">
        <f t="shared" si="0"/>
        <v>Renault</v>
      </c>
      <c r="G55">
        <v>856000</v>
      </c>
    </row>
    <row r="56" spans="1:7" x14ac:dyDescent="0.25">
      <c r="A56" t="s">
        <v>33</v>
      </c>
      <c r="B56">
        <v>2010</v>
      </c>
      <c r="C56">
        <v>230000</v>
      </c>
      <c r="D56" t="s">
        <v>87</v>
      </c>
      <c r="F56" t="str">
        <f t="shared" si="0"/>
        <v>Renault</v>
      </c>
      <c r="G56">
        <v>455000</v>
      </c>
    </row>
    <row r="57" spans="1:7" x14ac:dyDescent="0.25">
      <c r="A57" t="s">
        <v>60</v>
      </c>
      <c r="B57">
        <v>2010</v>
      </c>
      <c r="C57">
        <v>231000</v>
      </c>
      <c r="D57" t="s">
        <v>88</v>
      </c>
      <c r="F57" t="str">
        <f t="shared" si="0"/>
        <v>Mercedes</v>
      </c>
      <c r="G57">
        <v>301000</v>
      </c>
    </row>
    <row r="58" spans="1:7" x14ac:dyDescent="0.25">
      <c r="A58" t="s">
        <v>62</v>
      </c>
      <c r="B58">
        <v>2010</v>
      </c>
      <c r="C58">
        <v>257000</v>
      </c>
      <c r="D58" t="s">
        <v>89</v>
      </c>
      <c r="F58" t="str">
        <f t="shared" si="0"/>
        <v>Mercedes</v>
      </c>
      <c r="G58">
        <v>164700</v>
      </c>
    </row>
    <row r="59" spans="1:7" x14ac:dyDescent="0.25">
      <c r="A59" t="s">
        <v>50</v>
      </c>
      <c r="B59">
        <v>2011</v>
      </c>
      <c r="C59">
        <v>38000</v>
      </c>
      <c r="D59" t="s">
        <v>90</v>
      </c>
      <c r="F59" t="str">
        <f t="shared" si="0"/>
        <v>DAF</v>
      </c>
      <c r="G59">
        <v>574000</v>
      </c>
    </row>
    <row r="60" spans="1:7" x14ac:dyDescent="0.25">
      <c r="A60" t="s">
        <v>91</v>
      </c>
      <c r="B60">
        <v>2011</v>
      </c>
      <c r="C60">
        <v>56700</v>
      </c>
      <c r="D60" t="s">
        <v>92</v>
      </c>
      <c r="F60" t="str">
        <f t="shared" si="0"/>
        <v>Renault</v>
      </c>
      <c r="G60">
        <v>290000</v>
      </c>
    </row>
    <row r="61" spans="1:7" x14ac:dyDescent="0.25">
      <c r="A61" t="s">
        <v>91</v>
      </c>
      <c r="B61">
        <v>2011</v>
      </c>
      <c r="C61">
        <v>57700</v>
      </c>
      <c r="D61" t="s">
        <v>93</v>
      </c>
      <c r="F61" t="str">
        <f t="shared" si="0"/>
        <v>Renault</v>
      </c>
      <c r="G61">
        <v>286000</v>
      </c>
    </row>
    <row r="62" spans="1:7" x14ac:dyDescent="0.25">
      <c r="A62" t="s">
        <v>67</v>
      </c>
      <c r="B62">
        <v>2011</v>
      </c>
      <c r="C62">
        <v>59000</v>
      </c>
      <c r="D62" t="s">
        <v>94</v>
      </c>
      <c r="F62" t="str">
        <f t="shared" si="0"/>
        <v>Renault</v>
      </c>
      <c r="G62">
        <v>103250</v>
      </c>
    </row>
    <row r="63" spans="1:7" x14ac:dyDescent="0.25">
      <c r="A63" t="s">
        <v>71</v>
      </c>
      <c r="B63">
        <v>2011</v>
      </c>
      <c r="C63">
        <v>74300</v>
      </c>
      <c r="D63" t="s">
        <v>95</v>
      </c>
      <c r="F63" t="str">
        <f t="shared" si="0"/>
        <v>Renault</v>
      </c>
      <c r="G63">
        <v>306000</v>
      </c>
    </row>
    <row r="64" spans="1:7" x14ac:dyDescent="0.25">
      <c r="A64" t="s">
        <v>62</v>
      </c>
      <c r="B64">
        <v>2011</v>
      </c>
      <c r="C64">
        <v>210000</v>
      </c>
      <c r="D64" t="s">
        <v>96</v>
      </c>
      <c r="F64" t="str">
        <f t="shared" si="0"/>
        <v>Mercedes</v>
      </c>
      <c r="G64">
        <v>780000</v>
      </c>
    </row>
    <row r="65" spans="1:7" x14ac:dyDescent="0.25">
      <c r="A65" t="s">
        <v>62</v>
      </c>
      <c r="B65">
        <v>2011</v>
      </c>
      <c r="C65">
        <v>210000</v>
      </c>
      <c r="D65" t="s">
        <v>97</v>
      </c>
      <c r="F65" t="str">
        <f t="shared" si="0"/>
        <v>Mercedes</v>
      </c>
      <c r="G65">
        <v>760300</v>
      </c>
    </row>
    <row r="66" spans="1:7" x14ac:dyDescent="0.25">
      <c r="A66" t="s">
        <v>62</v>
      </c>
      <c r="B66">
        <v>2011</v>
      </c>
      <c r="C66">
        <v>210000</v>
      </c>
      <c r="D66" t="s">
        <v>98</v>
      </c>
      <c r="F66" t="str">
        <f t="shared" si="0"/>
        <v>Mercedes</v>
      </c>
      <c r="G66">
        <v>680000</v>
      </c>
    </row>
    <row r="67" spans="1:7" x14ac:dyDescent="0.25">
      <c r="A67" t="s">
        <v>62</v>
      </c>
      <c r="B67">
        <v>2011</v>
      </c>
      <c r="C67">
        <v>210000</v>
      </c>
      <c r="D67" t="s">
        <v>99</v>
      </c>
      <c r="F67" t="str">
        <f t="shared" ref="F67:F130" si="1">LEFT(A67,FIND(" ",A67)-1)</f>
        <v>Mercedes</v>
      </c>
      <c r="G67">
        <v>655000</v>
      </c>
    </row>
    <row r="68" spans="1:7" x14ac:dyDescent="0.25">
      <c r="A68" t="s">
        <v>100</v>
      </c>
      <c r="B68">
        <v>2011</v>
      </c>
      <c r="C68">
        <v>220000</v>
      </c>
      <c r="D68" t="s">
        <v>101</v>
      </c>
      <c r="F68" t="str">
        <f t="shared" si="1"/>
        <v>Renault</v>
      </c>
      <c r="G68">
        <v>731000</v>
      </c>
    </row>
    <row r="69" spans="1:7" x14ac:dyDescent="0.25">
      <c r="A69" t="s">
        <v>100</v>
      </c>
      <c r="B69">
        <v>2011</v>
      </c>
      <c r="C69">
        <v>220000</v>
      </c>
      <c r="D69" t="s">
        <v>102</v>
      </c>
      <c r="F69" t="str">
        <f t="shared" si="1"/>
        <v>Renault</v>
      </c>
      <c r="G69">
        <v>685413</v>
      </c>
    </row>
    <row r="70" spans="1:7" x14ac:dyDescent="0.25">
      <c r="A70" t="s">
        <v>58</v>
      </c>
      <c r="B70">
        <v>2011</v>
      </c>
      <c r="C70">
        <v>196340</v>
      </c>
      <c r="D70" t="s">
        <v>103</v>
      </c>
      <c r="F70" t="str">
        <f t="shared" si="1"/>
        <v>DAF</v>
      </c>
      <c r="G70">
        <v>186000</v>
      </c>
    </row>
    <row r="71" spans="1:7" x14ac:dyDescent="0.25">
      <c r="A71" t="s">
        <v>104</v>
      </c>
      <c r="B71">
        <v>2011</v>
      </c>
      <c r="C71">
        <v>245000</v>
      </c>
      <c r="D71" t="s">
        <v>105</v>
      </c>
      <c r="F71" t="str">
        <f t="shared" si="1"/>
        <v>Scania</v>
      </c>
      <c r="G71">
        <v>720000</v>
      </c>
    </row>
    <row r="72" spans="1:7" x14ac:dyDescent="0.25">
      <c r="A72" t="s">
        <v>104</v>
      </c>
      <c r="B72">
        <v>2011</v>
      </c>
      <c r="C72">
        <v>245000</v>
      </c>
      <c r="D72" t="s">
        <v>106</v>
      </c>
      <c r="F72" t="str">
        <f t="shared" si="1"/>
        <v>Scania</v>
      </c>
      <c r="G72">
        <v>680000</v>
      </c>
    </row>
    <row r="73" spans="1:7" x14ac:dyDescent="0.25">
      <c r="A73" t="s">
        <v>104</v>
      </c>
      <c r="B73">
        <v>2011</v>
      </c>
      <c r="C73">
        <v>245000</v>
      </c>
      <c r="D73" t="s">
        <v>107</v>
      </c>
      <c r="F73" t="str">
        <f t="shared" si="1"/>
        <v>Scania</v>
      </c>
      <c r="G73">
        <v>660000</v>
      </c>
    </row>
    <row r="74" spans="1:7" x14ac:dyDescent="0.25">
      <c r="A74" t="s">
        <v>104</v>
      </c>
      <c r="B74">
        <v>2011</v>
      </c>
      <c r="C74">
        <v>245000</v>
      </c>
      <c r="D74" t="s">
        <v>108</v>
      </c>
      <c r="F74" t="str">
        <f t="shared" si="1"/>
        <v>Scania</v>
      </c>
      <c r="G74">
        <v>630000</v>
      </c>
    </row>
    <row r="75" spans="1:7" x14ac:dyDescent="0.25">
      <c r="A75" t="s">
        <v>104</v>
      </c>
      <c r="B75">
        <v>2011</v>
      </c>
      <c r="C75">
        <v>245000</v>
      </c>
      <c r="D75" t="s">
        <v>109</v>
      </c>
      <c r="F75" t="str">
        <f t="shared" si="1"/>
        <v>Scania</v>
      </c>
      <c r="G75">
        <v>655000</v>
      </c>
    </row>
    <row r="76" spans="1:7" x14ac:dyDescent="0.25">
      <c r="A76" t="s">
        <v>104</v>
      </c>
      <c r="B76">
        <v>2011</v>
      </c>
      <c r="C76">
        <v>245000</v>
      </c>
      <c r="D76" t="s">
        <v>110</v>
      </c>
      <c r="F76" t="str">
        <f t="shared" si="1"/>
        <v>Scania</v>
      </c>
      <c r="G76">
        <v>590000</v>
      </c>
    </row>
    <row r="77" spans="1:7" x14ac:dyDescent="0.25">
      <c r="A77" t="s">
        <v>50</v>
      </c>
      <c r="B77">
        <v>2012</v>
      </c>
      <c r="C77">
        <v>39830</v>
      </c>
      <c r="D77" t="s">
        <v>111</v>
      </c>
      <c r="F77" t="str">
        <f t="shared" si="1"/>
        <v>DAF</v>
      </c>
      <c r="G77">
        <v>330000</v>
      </c>
    </row>
    <row r="78" spans="1:7" x14ac:dyDescent="0.25">
      <c r="A78" t="s">
        <v>50</v>
      </c>
      <c r="B78">
        <v>2012</v>
      </c>
      <c r="C78">
        <v>48800</v>
      </c>
      <c r="D78" t="s">
        <v>112</v>
      </c>
      <c r="F78" t="str">
        <f t="shared" si="1"/>
        <v>DAF</v>
      </c>
      <c r="G78">
        <v>268650</v>
      </c>
    </row>
    <row r="79" spans="1:7" x14ac:dyDescent="0.25">
      <c r="A79" t="s">
        <v>18</v>
      </c>
      <c r="B79">
        <v>2012</v>
      </c>
      <c r="C79">
        <v>59000</v>
      </c>
      <c r="D79" t="s">
        <v>113</v>
      </c>
      <c r="F79" t="str">
        <f t="shared" si="1"/>
        <v>Volvo</v>
      </c>
      <c r="G79">
        <v>302000</v>
      </c>
    </row>
    <row r="80" spans="1:7" x14ac:dyDescent="0.25">
      <c r="A80" t="s">
        <v>33</v>
      </c>
      <c r="B80">
        <v>2012</v>
      </c>
      <c r="C80">
        <v>76000</v>
      </c>
      <c r="D80" t="s">
        <v>114</v>
      </c>
      <c r="F80" t="str">
        <f t="shared" si="1"/>
        <v>Renault</v>
      </c>
      <c r="G80">
        <v>850000</v>
      </c>
    </row>
    <row r="81" spans="1:7" x14ac:dyDescent="0.25">
      <c r="A81" t="s">
        <v>41</v>
      </c>
      <c r="B81">
        <v>2012</v>
      </c>
      <c r="C81">
        <v>87133</v>
      </c>
      <c r="D81" t="s">
        <v>115</v>
      </c>
      <c r="F81" t="str">
        <f t="shared" si="1"/>
        <v>Iveco</v>
      </c>
      <c r="G81">
        <v>376000</v>
      </c>
    </row>
    <row r="82" spans="1:7" x14ac:dyDescent="0.25">
      <c r="A82" t="s">
        <v>22</v>
      </c>
      <c r="B82">
        <v>2012</v>
      </c>
      <c r="C82">
        <v>110000</v>
      </c>
      <c r="D82" t="s">
        <v>116</v>
      </c>
      <c r="F82" t="str">
        <f t="shared" si="1"/>
        <v>Volvo</v>
      </c>
      <c r="G82">
        <v>201000</v>
      </c>
    </row>
    <row r="83" spans="1:7" x14ac:dyDescent="0.25">
      <c r="A83" t="s">
        <v>50</v>
      </c>
      <c r="B83">
        <v>2012</v>
      </c>
      <c r="C83">
        <v>130780</v>
      </c>
      <c r="D83" t="s">
        <v>117</v>
      </c>
      <c r="F83" t="str">
        <f t="shared" si="1"/>
        <v>DAF</v>
      </c>
      <c r="G83">
        <v>310000</v>
      </c>
    </row>
    <row r="84" spans="1:7" x14ac:dyDescent="0.25">
      <c r="A84" t="s">
        <v>45</v>
      </c>
      <c r="B84">
        <v>2012</v>
      </c>
      <c r="C84">
        <v>135502</v>
      </c>
      <c r="D84" t="s">
        <v>118</v>
      </c>
      <c r="F84" t="str">
        <f t="shared" si="1"/>
        <v>MAN</v>
      </c>
      <c r="G84">
        <v>247000</v>
      </c>
    </row>
    <row r="85" spans="1:7" x14ac:dyDescent="0.25">
      <c r="A85" t="s">
        <v>119</v>
      </c>
      <c r="B85">
        <v>2012</v>
      </c>
      <c r="C85">
        <v>145000</v>
      </c>
      <c r="D85" t="s">
        <v>120</v>
      </c>
      <c r="F85" t="str">
        <f t="shared" si="1"/>
        <v>Iveco</v>
      </c>
      <c r="G85">
        <v>386732</v>
      </c>
    </row>
    <row r="86" spans="1:7" x14ac:dyDescent="0.25">
      <c r="A86" t="s">
        <v>119</v>
      </c>
      <c r="B86">
        <v>2012</v>
      </c>
      <c r="C86">
        <v>145000</v>
      </c>
      <c r="D86" t="s">
        <v>121</v>
      </c>
      <c r="F86" t="str">
        <f t="shared" si="1"/>
        <v>Iveco</v>
      </c>
      <c r="G86">
        <v>312680</v>
      </c>
    </row>
    <row r="87" spans="1:7" x14ac:dyDescent="0.25">
      <c r="A87" t="s">
        <v>33</v>
      </c>
      <c r="B87">
        <v>2012</v>
      </c>
      <c r="C87">
        <v>163800</v>
      </c>
      <c r="D87" t="s">
        <v>122</v>
      </c>
      <c r="F87" t="str">
        <f t="shared" si="1"/>
        <v>Renault</v>
      </c>
      <c r="G87">
        <v>366000</v>
      </c>
    </row>
    <row r="88" spans="1:7" x14ac:dyDescent="0.25">
      <c r="A88" t="s">
        <v>123</v>
      </c>
      <c r="B88">
        <v>2012</v>
      </c>
      <c r="C88">
        <v>183000</v>
      </c>
      <c r="D88" t="s">
        <v>124</v>
      </c>
      <c r="F88" t="str">
        <f t="shared" si="1"/>
        <v>Scania</v>
      </c>
      <c r="G88">
        <v>520000</v>
      </c>
    </row>
    <row r="89" spans="1:7" x14ac:dyDescent="0.25">
      <c r="A89" t="s">
        <v>123</v>
      </c>
      <c r="B89">
        <v>2012</v>
      </c>
      <c r="C89">
        <v>183000</v>
      </c>
      <c r="D89" t="s">
        <v>125</v>
      </c>
      <c r="F89" t="str">
        <f t="shared" si="1"/>
        <v>Scania</v>
      </c>
      <c r="G89">
        <v>530000</v>
      </c>
    </row>
    <row r="90" spans="1:7" x14ac:dyDescent="0.25">
      <c r="A90" t="s">
        <v>123</v>
      </c>
      <c r="B90">
        <v>2012</v>
      </c>
      <c r="C90">
        <v>183000</v>
      </c>
      <c r="D90" t="s">
        <v>126</v>
      </c>
      <c r="F90" t="str">
        <f t="shared" si="1"/>
        <v>Scania</v>
      </c>
      <c r="G90">
        <v>490000</v>
      </c>
    </row>
    <row r="91" spans="1:7" x14ac:dyDescent="0.25">
      <c r="A91" t="s">
        <v>123</v>
      </c>
      <c r="B91">
        <v>2012</v>
      </c>
      <c r="C91">
        <v>183000</v>
      </c>
      <c r="D91" t="s">
        <v>127</v>
      </c>
      <c r="F91" t="str">
        <f t="shared" si="1"/>
        <v>Scania</v>
      </c>
      <c r="G91">
        <v>481000</v>
      </c>
    </row>
    <row r="92" spans="1:7" x14ac:dyDescent="0.25">
      <c r="A92" t="s">
        <v>123</v>
      </c>
      <c r="B92">
        <v>2012</v>
      </c>
      <c r="C92">
        <v>183000</v>
      </c>
      <c r="D92" t="s">
        <v>128</v>
      </c>
      <c r="F92" t="str">
        <f t="shared" si="1"/>
        <v>Scania</v>
      </c>
      <c r="G92">
        <v>454000</v>
      </c>
    </row>
    <row r="93" spans="1:7" x14ac:dyDescent="0.25">
      <c r="A93" t="s">
        <v>129</v>
      </c>
      <c r="B93">
        <v>2012</v>
      </c>
      <c r="C93">
        <v>210000</v>
      </c>
      <c r="D93" t="s">
        <v>130</v>
      </c>
      <c r="F93" t="str">
        <f t="shared" si="1"/>
        <v>Volvo</v>
      </c>
      <c r="G93">
        <v>517000</v>
      </c>
    </row>
    <row r="94" spans="1:7" x14ac:dyDescent="0.25">
      <c r="A94" t="s">
        <v>56</v>
      </c>
      <c r="B94">
        <v>2012</v>
      </c>
      <c r="C94">
        <v>196370</v>
      </c>
      <c r="D94" t="s">
        <v>131</v>
      </c>
      <c r="F94" t="str">
        <f t="shared" si="1"/>
        <v>MAN</v>
      </c>
      <c r="G94">
        <v>286000</v>
      </c>
    </row>
    <row r="95" spans="1:7" x14ac:dyDescent="0.25">
      <c r="A95" t="s">
        <v>129</v>
      </c>
      <c r="B95">
        <v>2012</v>
      </c>
      <c r="C95">
        <v>210000</v>
      </c>
      <c r="D95" t="s">
        <v>132</v>
      </c>
      <c r="F95" t="str">
        <f t="shared" si="1"/>
        <v>Volvo</v>
      </c>
      <c r="G95">
        <v>435000</v>
      </c>
    </row>
    <row r="96" spans="1:7" x14ac:dyDescent="0.25">
      <c r="A96" t="s">
        <v>133</v>
      </c>
      <c r="B96">
        <v>2012</v>
      </c>
      <c r="C96">
        <v>210300</v>
      </c>
      <c r="D96" t="s">
        <v>134</v>
      </c>
      <c r="F96" t="str">
        <f t="shared" si="1"/>
        <v>MAN</v>
      </c>
      <c r="G96">
        <v>417671</v>
      </c>
    </row>
    <row r="97" spans="1:7" x14ac:dyDescent="0.25">
      <c r="A97" t="s">
        <v>33</v>
      </c>
      <c r="B97">
        <v>2012</v>
      </c>
      <c r="C97">
        <v>231000</v>
      </c>
      <c r="D97" t="s">
        <v>135</v>
      </c>
      <c r="F97" t="str">
        <f t="shared" si="1"/>
        <v>Renault</v>
      </c>
      <c r="G97">
        <v>451000</v>
      </c>
    </row>
    <row r="98" spans="1:7" x14ac:dyDescent="0.25">
      <c r="A98" t="s">
        <v>136</v>
      </c>
      <c r="B98">
        <v>2012</v>
      </c>
      <c r="C98">
        <v>240000</v>
      </c>
      <c r="D98" t="s">
        <v>137</v>
      </c>
      <c r="F98" t="str">
        <f t="shared" si="1"/>
        <v>DAF</v>
      </c>
      <c r="G98">
        <v>301344</v>
      </c>
    </row>
    <row r="99" spans="1:7" x14ac:dyDescent="0.25">
      <c r="A99" t="s">
        <v>136</v>
      </c>
      <c r="B99">
        <v>2012</v>
      </c>
      <c r="C99">
        <v>240000</v>
      </c>
      <c r="D99" t="s">
        <v>138</v>
      </c>
      <c r="F99" t="str">
        <f t="shared" si="1"/>
        <v>DAF</v>
      </c>
      <c r="G99">
        <v>315988</v>
      </c>
    </row>
    <row r="100" spans="1:7" x14ac:dyDescent="0.25">
      <c r="A100" t="s">
        <v>136</v>
      </c>
      <c r="B100">
        <v>2012</v>
      </c>
      <c r="C100">
        <v>240000</v>
      </c>
      <c r="D100" t="s">
        <v>139</v>
      </c>
      <c r="F100" t="str">
        <f t="shared" si="1"/>
        <v>DAF</v>
      </c>
      <c r="G100">
        <v>234760</v>
      </c>
    </row>
    <row r="101" spans="1:7" x14ac:dyDescent="0.25">
      <c r="A101" t="s">
        <v>136</v>
      </c>
      <c r="B101">
        <v>2012</v>
      </c>
      <c r="C101">
        <v>240000</v>
      </c>
      <c r="D101" t="s">
        <v>140</v>
      </c>
      <c r="F101" t="str">
        <f t="shared" si="1"/>
        <v>DAF</v>
      </c>
      <c r="G101">
        <v>210780</v>
      </c>
    </row>
    <row r="102" spans="1:7" x14ac:dyDescent="0.25">
      <c r="A102" t="s">
        <v>136</v>
      </c>
      <c r="B102">
        <v>2012</v>
      </c>
      <c r="C102">
        <v>240000</v>
      </c>
      <c r="D102" t="s">
        <v>141</v>
      </c>
      <c r="F102" t="str">
        <f t="shared" si="1"/>
        <v>DAF</v>
      </c>
      <c r="G102">
        <v>198240</v>
      </c>
    </row>
    <row r="103" spans="1:7" x14ac:dyDescent="0.25">
      <c r="A103" t="s">
        <v>62</v>
      </c>
      <c r="B103">
        <v>2012</v>
      </c>
      <c r="C103">
        <v>290000</v>
      </c>
      <c r="D103" t="s">
        <v>142</v>
      </c>
      <c r="F103" t="str">
        <f t="shared" si="1"/>
        <v>Mercedes</v>
      </c>
      <c r="G103">
        <v>170000</v>
      </c>
    </row>
    <row r="104" spans="1:7" x14ac:dyDescent="0.25">
      <c r="A104" t="s">
        <v>50</v>
      </c>
      <c r="B104">
        <v>2013</v>
      </c>
      <c r="C104">
        <v>47800</v>
      </c>
      <c r="D104" t="s">
        <v>143</v>
      </c>
      <c r="F104" t="str">
        <f t="shared" si="1"/>
        <v>DAF</v>
      </c>
      <c r="G104">
        <v>272650</v>
      </c>
    </row>
    <row r="105" spans="1:7" x14ac:dyDescent="0.25">
      <c r="A105" t="s">
        <v>37</v>
      </c>
      <c r="B105">
        <v>2013</v>
      </c>
      <c r="C105">
        <v>80000</v>
      </c>
      <c r="D105" t="s">
        <v>144</v>
      </c>
      <c r="F105" t="str">
        <f t="shared" si="1"/>
        <v>Scania</v>
      </c>
      <c r="G105">
        <v>350000</v>
      </c>
    </row>
    <row r="106" spans="1:7" x14ac:dyDescent="0.25">
      <c r="A106" t="s">
        <v>37</v>
      </c>
      <c r="B106">
        <v>2013</v>
      </c>
      <c r="C106">
        <v>80000</v>
      </c>
      <c r="D106" t="s">
        <v>145</v>
      </c>
      <c r="F106" t="str">
        <f t="shared" si="1"/>
        <v>Scania</v>
      </c>
      <c r="G106">
        <v>235000</v>
      </c>
    </row>
    <row r="107" spans="1:7" x14ac:dyDescent="0.25">
      <c r="A107" t="s">
        <v>76</v>
      </c>
      <c r="B107">
        <v>2013</v>
      </c>
      <c r="C107">
        <v>93000</v>
      </c>
      <c r="D107" t="s">
        <v>146</v>
      </c>
      <c r="F107" t="str">
        <f t="shared" si="1"/>
        <v>DAF</v>
      </c>
      <c r="G107">
        <v>195000</v>
      </c>
    </row>
    <row r="108" spans="1:7" x14ac:dyDescent="0.25">
      <c r="A108" t="s">
        <v>79</v>
      </c>
      <c r="B108">
        <v>2013</v>
      </c>
      <c r="C108">
        <v>136000</v>
      </c>
      <c r="D108" t="s">
        <v>147</v>
      </c>
      <c r="F108" t="str">
        <f t="shared" si="1"/>
        <v>DAF</v>
      </c>
      <c r="G108">
        <v>247000</v>
      </c>
    </row>
    <row r="109" spans="1:7" x14ac:dyDescent="0.25">
      <c r="A109" t="s">
        <v>45</v>
      </c>
      <c r="B109">
        <v>2013</v>
      </c>
      <c r="C109">
        <v>158000</v>
      </c>
      <c r="D109" t="s">
        <v>148</v>
      </c>
      <c r="F109" t="str">
        <f t="shared" si="1"/>
        <v>MAN</v>
      </c>
      <c r="G109">
        <v>407000</v>
      </c>
    </row>
    <row r="110" spans="1:7" x14ac:dyDescent="0.25">
      <c r="A110" t="s">
        <v>136</v>
      </c>
      <c r="B110">
        <v>2013</v>
      </c>
      <c r="C110">
        <v>240000</v>
      </c>
      <c r="D110" t="s">
        <v>149</v>
      </c>
      <c r="F110" t="str">
        <f t="shared" si="1"/>
        <v>DAF</v>
      </c>
      <c r="G110">
        <v>301232</v>
      </c>
    </row>
    <row r="111" spans="1:7" x14ac:dyDescent="0.25">
      <c r="A111" t="s">
        <v>136</v>
      </c>
      <c r="B111">
        <v>2013</v>
      </c>
      <c r="C111">
        <v>240000</v>
      </c>
      <c r="D111" t="s">
        <v>150</v>
      </c>
      <c r="F111" t="str">
        <f t="shared" si="1"/>
        <v>DAF</v>
      </c>
      <c r="G111">
        <v>289567</v>
      </c>
    </row>
    <row r="112" spans="1:7" x14ac:dyDescent="0.25">
      <c r="A112" t="s">
        <v>136</v>
      </c>
      <c r="B112">
        <v>2013</v>
      </c>
      <c r="C112">
        <v>240000</v>
      </c>
      <c r="D112" t="s">
        <v>151</v>
      </c>
      <c r="F112" t="str">
        <f t="shared" si="1"/>
        <v>DAF</v>
      </c>
      <c r="G112">
        <v>245211</v>
      </c>
    </row>
    <row r="113" spans="1:7" x14ac:dyDescent="0.25">
      <c r="A113" t="s">
        <v>136</v>
      </c>
      <c r="B113">
        <v>2013</v>
      </c>
      <c r="C113">
        <v>240000</v>
      </c>
      <c r="D113" t="s">
        <v>152</v>
      </c>
      <c r="F113" t="str">
        <f t="shared" si="1"/>
        <v>DAF</v>
      </c>
      <c r="G113">
        <v>200123</v>
      </c>
    </row>
    <row r="114" spans="1:7" x14ac:dyDescent="0.25">
      <c r="A114" t="s">
        <v>136</v>
      </c>
      <c r="B114">
        <v>2013</v>
      </c>
      <c r="C114">
        <v>240000</v>
      </c>
      <c r="D114" t="s">
        <v>153</v>
      </c>
      <c r="F114" t="str">
        <f t="shared" si="1"/>
        <v>DAF</v>
      </c>
      <c r="G114">
        <v>235811</v>
      </c>
    </row>
    <row r="115" spans="1:7" x14ac:dyDescent="0.25">
      <c r="A115" t="s">
        <v>136</v>
      </c>
      <c r="B115">
        <v>2013</v>
      </c>
      <c r="C115">
        <v>240000</v>
      </c>
      <c r="D115" t="s">
        <v>154</v>
      </c>
      <c r="F115" t="str">
        <f t="shared" si="1"/>
        <v>DAF</v>
      </c>
      <c r="G115">
        <v>250021</v>
      </c>
    </row>
    <row r="116" spans="1:7" x14ac:dyDescent="0.25">
      <c r="A116" t="s">
        <v>136</v>
      </c>
      <c r="B116">
        <v>2013</v>
      </c>
      <c r="C116">
        <v>240000</v>
      </c>
      <c r="D116" t="s">
        <v>155</v>
      </c>
      <c r="F116" t="str">
        <f t="shared" si="1"/>
        <v>DAF</v>
      </c>
      <c r="G116">
        <v>198340</v>
      </c>
    </row>
    <row r="117" spans="1:7" x14ac:dyDescent="0.25">
      <c r="A117" t="s">
        <v>136</v>
      </c>
      <c r="B117">
        <v>2013</v>
      </c>
      <c r="C117">
        <v>240000</v>
      </c>
      <c r="D117" t="s">
        <v>156</v>
      </c>
      <c r="F117" t="str">
        <f t="shared" si="1"/>
        <v>DAF</v>
      </c>
      <c r="G117">
        <v>189761</v>
      </c>
    </row>
    <row r="118" spans="1:7" x14ac:dyDescent="0.25">
      <c r="A118" t="s">
        <v>157</v>
      </c>
      <c r="B118">
        <v>2013</v>
      </c>
      <c r="C118">
        <v>271000</v>
      </c>
      <c r="D118" t="s">
        <v>158</v>
      </c>
      <c r="F118" t="str">
        <f t="shared" si="1"/>
        <v>MAN</v>
      </c>
      <c r="G118">
        <v>153000</v>
      </c>
    </row>
    <row r="119" spans="1:7" x14ac:dyDescent="0.25">
      <c r="A119" t="s">
        <v>157</v>
      </c>
      <c r="B119">
        <v>2013</v>
      </c>
      <c r="C119">
        <v>271000</v>
      </c>
      <c r="D119" t="s">
        <v>159</v>
      </c>
      <c r="F119" t="str">
        <f t="shared" si="1"/>
        <v>MAN</v>
      </c>
      <c r="G119">
        <v>123000</v>
      </c>
    </row>
    <row r="120" spans="1:7" x14ac:dyDescent="0.25">
      <c r="A120" t="s">
        <v>160</v>
      </c>
      <c r="B120">
        <v>2014</v>
      </c>
      <c r="C120">
        <v>98000</v>
      </c>
      <c r="D120" t="s">
        <v>161</v>
      </c>
      <c r="F120" t="str">
        <f t="shared" si="1"/>
        <v>MAN</v>
      </c>
      <c r="G120">
        <v>251000</v>
      </c>
    </row>
    <row r="121" spans="1:7" x14ac:dyDescent="0.25">
      <c r="A121" t="s">
        <v>160</v>
      </c>
      <c r="B121">
        <v>2014</v>
      </c>
      <c r="C121">
        <v>99000</v>
      </c>
      <c r="D121" t="s">
        <v>162</v>
      </c>
      <c r="F121" t="str">
        <f t="shared" si="1"/>
        <v>MAN</v>
      </c>
      <c r="G121">
        <v>247000</v>
      </c>
    </row>
    <row r="122" spans="1:7" x14ac:dyDescent="0.25">
      <c r="A122" t="s">
        <v>45</v>
      </c>
      <c r="B122">
        <v>2014</v>
      </c>
      <c r="C122">
        <v>136502</v>
      </c>
      <c r="D122" t="s">
        <v>163</v>
      </c>
      <c r="F122" t="str">
        <f t="shared" si="1"/>
        <v>MAN</v>
      </c>
      <c r="G122">
        <v>243000</v>
      </c>
    </row>
    <row r="123" spans="1:7" x14ac:dyDescent="0.25">
      <c r="A123" t="s">
        <v>54</v>
      </c>
      <c r="B123">
        <v>2014</v>
      </c>
      <c r="C123">
        <v>167800</v>
      </c>
      <c r="D123" t="s">
        <v>164</v>
      </c>
      <c r="F123" t="str">
        <f t="shared" si="1"/>
        <v>MAN</v>
      </c>
      <c r="G123">
        <v>190300</v>
      </c>
    </row>
    <row r="124" spans="1:7" x14ac:dyDescent="0.25">
      <c r="A124" t="s">
        <v>35</v>
      </c>
      <c r="B124">
        <v>2014</v>
      </c>
      <c r="C124">
        <v>219000</v>
      </c>
      <c r="D124" t="s">
        <v>165</v>
      </c>
      <c r="F124" t="str">
        <f t="shared" si="1"/>
        <v>Mercedes</v>
      </c>
      <c r="G124">
        <v>126290</v>
      </c>
    </row>
    <row r="125" spans="1:7" x14ac:dyDescent="0.25">
      <c r="A125" t="s">
        <v>136</v>
      </c>
      <c r="B125">
        <v>2014</v>
      </c>
      <c r="C125">
        <v>240000</v>
      </c>
      <c r="D125" t="s">
        <v>166</v>
      </c>
      <c r="F125" t="str">
        <f t="shared" si="1"/>
        <v>DAF</v>
      </c>
      <c r="G125">
        <v>183788</v>
      </c>
    </row>
    <row r="126" spans="1:7" x14ac:dyDescent="0.25">
      <c r="A126" t="s">
        <v>136</v>
      </c>
      <c r="B126">
        <v>2014</v>
      </c>
      <c r="C126">
        <v>240000</v>
      </c>
      <c r="D126" t="s">
        <v>167</v>
      </c>
      <c r="F126" t="str">
        <f t="shared" si="1"/>
        <v>DAF</v>
      </c>
      <c r="G126">
        <v>160198</v>
      </c>
    </row>
    <row r="127" spans="1:7" x14ac:dyDescent="0.25">
      <c r="A127" t="s">
        <v>136</v>
      </c>
      <c r="B127">
        <v>2014</v>
      </c>
      <c r="C127">
        <v>240000</v>
      </c>
      <c r="D127" t="s">
        <v>168</v>
      </c>
      <c r="F127" t="str">
        <f t="shared" si="1"/>
        <v>DAF</v>
      </c>
      <c r="G127">
        <v>156724</v>
      </c>
    </row>
    <row r="128" spans="1:7" x14ac:dyDescent="0.25">
      <c r="A128" t="s">
        <v>157</v>
      </c>
      <c r="B128">
        <v>2014</v>
      </c>
      <c r="C128">
        <v>270000</v>
      </c>
      <c r="D128" t="s">
        <v>169</v>
      </c>
      <c r="F128" t="str">
        <f t="shared" si="1"/>
        <v>MAN</v>
      </c>
      <c r="G128">
        <v>157000</v>
      </c>
    </row>
    <row r="129" spans="1:7" x14ac:dyDescent="0.25">
      <c r="A129" t="s">
        <v>35</v>
      </c>
      <c r="B129">
        <v>2015</v>
      </c>
      <c r="C129">
        <v>218000</v>
      </c>
      <c r="D129" t="s">
        <v>170</v>
      </c>
      <c r="F129" t="str">
        <f t="shared" si="1"/>
        <v>Mercedes</v>
      </c>
      <c r="G129">
        <v>130290</v>
      </c>
    </row>
    <row r="130" spans="1:7" x14ac:dyDescent="0.25">
      <c r="A130" t="s">
        <v>62</v>
      </c>
      <c r="B130">
        <v>2015</v>
      </c>
      <c r="C130">
        <v>258000</v>
      </c>
      <c r="D130" t="s">
        <v>171</v>
      </c>
      <c r="F130" t="str">
        <f t="shared" si="1"/>
        <v>Mercedes</v>
      </c>
      <c r="G130">
        <v>160700</v>
      </c>
    </row>
    <row r="131" spans="1:7" x14ac:dyDescent="0.25">
      <c r="A131" t="s">
        <v>172</v>
      </c>
      <c r="B131">
        <v>2015</v>
      </c>
      <c r="C131">
        <v>360000</v>
      </c>
      <c r="D131" t="s">
        <v>173</v>
      </c>
      <c r="F131" t="str">
        <f t="shared" ref="F131:F135" si="2">LEFT(A131,FIND(" ",A131)-1)</f>
        <v>Volvo</v>
      </c>
      <c r="G131">
        <v>100000</v>
      </c>
    </row>
    <row r="132" spans="1:7" x14ac:dyDescent="0.25">
      <c r="A132" t="s">
        <v>172</v>
      </c>
      <c r="B132">
        <v>2015</v>
      </c>
      <c r="C132">
        <v>360000</v>
      </c>
      <c r="D132" t="s">
        <v>174</v>
      </c>
      <c r="F132" t="str">
        <f t="shared" si="2"/>
        <v>Volvo</v>
      </c>
      <c r="G132">
        <v>115000</v>
      </c>
    </row>
    <row r="133" spans="1:7" x14ac:dyDescent="0.25">
      <c r="A133" t="s">
        <v>172</v>
      </c>
      <c r="B133">
        <v>2015</v>
      </c>
      <c r="C133">
        <v>360000</v>
      </c>
      <c r="D133" t="s">
        <v>175</v>
      </c>
      <c r="F133" t="str">
        <f t="shared" si="2"/>
        <v>Volvo</v>
      </c>
      <c r="G133">
        <v>132000</v>
      </c>
    </row>
    <row r="134" spans="1:7" x14ac:dyDescent="0.25">
      <c r="A134" t="s">
        <v>172</v>
      </c>
      <c r="B134">
        <v>2015</v>
      </c>
      <c r="C134">
        <v>360000</v>
      </c>
      <c r="D134" t="s">
        <v>176</v>
      </c>
      <c r="F134" t="str">
        <f t="shared" si="2"/>
        <v>Volvo</v>
      </c>
      <c r="G134">
        <v>108000</v>
      </c>
    </row>
    <row r="135" spans="1:7" x14ac:dyDescent="0.25">
      <c r="A135" t="s">
        <v>172</v>
      </c>
      <c r="B135">
        <v>2015</v>
      </c>
      <c r="C135">
        <v>360000</v>
      </c>
      <c r="D135" t="s">
        <v>177</v>
      </c>
      <c r="F135" t="str">
        <f t="shared" si="2"/>
        <v>Volvo</v>
      </c>
      <c r="G135">
        <v>140000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614E0-1956-4E16-BC3A-C6F64E20A038}">
  <dimension ref="A1:L135"/>
  <sheetViews>
    <sheetView topLeftCell="A4" zoomScale="130" zoomScaleNormal="130" workbookViewId="0">
      <selection activeCell="L19" sqref="L19"/>
    </sheetView>
  </sheetViews>
  <sheetFormatPr defaultRowHeight="15" x14ac:dyDescent="0.25"/>
  <cols>
    <col min="2" max="2" width="13.7109375" bestFit="1" customWidth="1"/>
    <col min="3" max="3" width="12.7109375" bestFit="1" customWidth="1"/>
    <col min="4" max="5" width="17.7109375" bestFit="1" customWidth="1"/>
    <col min="6" max="6" width="5.7109375" bestFit="1" customWidth="1"/>
    <col min="7" max="7" width="5.5703125" bestFit="1" customWidth="1"/>
    <col min="8" max="8" width="9.85546875" bestFit="1" customWidth="1"/>
    <col min="9" max="9" width="7.85546875" bestFit="1" customWidth="1"/>
    <col min="10" max="10" width="6.5703125" bestFit="1" customWidth="1"/>
    <col min="11" max="11" width="6.140625" bestFit="1" customWidth="1"/>
    <col min="12" max="12" width="14.28515625" bestFit="1" customWidth="1"/>
  </cols>
  <sheetData>
    <row r="1" spans="1:12" x14ac:dyDescent="0.25">
      <c r="A1" t="s">
        <v>183</v>
      </c>
      <c r="B1" t="s">
        <v>1</v>
      </c>
    </row>
    <row r="2" spans="1:12" x14ac:dyDescent="0.25">
      <c r="A2" t="s">
        <v>186</v>
      </c>
      <c r="B2">
        <v>2006</v>
      </c>
      <c r="D2" s="5" t="s">
        <v>196</v>
      </c>
      <c r="E2" s="5" t="s">
        <v>198</v>
      </c>
    </row>
    <row r="3" spans="1:12" x14ac:dyDescent="0.25">
      <c r="A3" t="s">
        <v>186</v>
      </c>
      <c r="B3">
        <v>2006</v>
      </c>
      <c r="D3" s="5" t="s">
        <v>184</v>
      </c>
      <c r="E3" t="s">
        <v>185</v>
      </c>
      <c r="F3" t="s">
        <v>186</v>
      </c>
      <c r="G3" t="s">
        <v>187</v>
      </c>
      <c r="H3" t="s">
        <v>188</v>
      </c>
      <c r="I3" t="s">
        <v>189</v>
      </c>
      <c r="J3" t="s">
        <v>190</v>
      </c>
      <c r="K3" t="s">
        <v>191</v>
      </c>
      <c r="L3" t="s">
        <v>192</v>
      </c>
    </row>
    <row r="4" spans="1:12" x14ac:dyDescent="0.25">
      <c r="A4" t="s">
        <v>186</v>
      </c>
      <c r="B4">
        <v>2006</v>
      </c>
      <c r="D4" s="6">
        <v>2006</v>
      </c>
      <c r="E4" s="7"/>
      <c r="F4" s="7">
        <v>5</v>
      </c>
      <c r="G4" s="7"/>
      <c r="H4" s="7"/>
      <c r="I4" s="7"/>
      <c r="J4" s="7"/>
      <c r="K4" s="7"/>
      <c r="L4" s="7">
        <v>5</v>
      </c>
    </row>
    <row r="5" spans="1:12" x14ac:dyDescent="0.25">
      <c r="A5" t="s">
        <v>186</v>
      </c>
      <c r="B5">
        <v>2006</v>
      </c>
      <c r="D5" s="6">
        <v>2007</v>
      </c>
      <c r="E5" s="7"/>
      <c r="F5" s="7"/>
      <c r="G5" s="7">
        <v>1</v>
      </c>
      <c r="H5" s="7">
        <v>1</v>
      </c>
      <c r="I5" s="7"/>
      <c r="J5" s="7"/>
      <c r="K5" s="7"/>
      <c r="L5" s="7">
        <v>2</v>
      </c>
    </row>
    <row r="6" spans="1:12" x14ac:dyDescent="0.25">
      <c r="A6" t="s">
        <v>186</v>
      </c>
      <c r="B6">
        <v>2006</v>
      </c>
      <c r="D6" s="6">
        <v>2008</v>
      </c>
      <c r="E6" s="7"/>
      <c r="F6" s="7"/>
      <c r="G6" s="7"/>
      <c r="H6" s="7"/>
      <c r="I6" s="7"/>
      <c r="J6" s="7"/>
      <c r="K6" s="7">
        <v>4</v>
      </c>
      <c r="L6" s="7">
        <v>4</v>
      </c>
    </row>
    <row r="7" spans="1:12" x14ac:dyDescent="0.25">
      <c r="A7" t="s">
        <v>188</v>
      </c>
      <c r="B7">
        <v>2007</v>
      </c>
      <c r="D7" s="6">
        <v>2009</v>
      </c>
      <c r="E7" s="7">
        <v>2</v>
      </c>
      <c r="F7" s="7">
        <v>2</v>
      </c>
      <c r="G7" s="7">
        <v>4</v>
      </c>
      <c r="H7" s="7">
        <v>4</v>
      </c>
      <c r="I7" s="7">
        <v>2</v>
      </c>
      <c r="J7" s="7">
        <v>4</v>
      </c>
      <c r="K7" s="7">
        <v>8</v>
      </c>
      <c r="L7" s="7">
        <v>26</v>
      </c>
    </row>
    <row r="8" spans="1:12" x14ac:dyDescent="0.25">
      <c r="A8" t="s">
        <v>187</v>
      </c>
      <c r="B8">
        <v>2007</v>
      </c>
      <c r="D8" s="6">
        <v>2010</v>
      </c>
      <c r="E8" s="7">
        <v>4</v>
      </c>
      <c r="F8" s="7">
        <v>2</v>
      </c>
      <c r="G8" s="7">
        <v>2</v>
      </c>
      <c r="H8" s="7">
        <v>4</v>
      </c>
      <c r="I8" s="7">
        <v>6</v>
      </c>
      <c r="J8" s="7"/>
      <c r="K8" s="7">
        <v>2</v>
      </c>
      <c r="L8" s="7">
        <v>20</v>
      </c>
    </row>
    <row r="9" spans="1:12" x14ac:dyDescent="0.25">
      <c r="A9" t="s">
        <v>191</v>
      </c>
      <c r="B9">
        <v>2008</v>
      </c>
      <c r="D9" s="6">
        <v>2011</v>
      </c>
      <c r="E9" s="7">
        <v>2</v>
      </c>
      <c r="F9" s="7"/>
      <c r="G9" s="7"/>
      <c r="H9" s="7">
        <v>4</v>
      </c>
      <c r="I9" s="7">
        <v>6</v>
      </c>
      <c r="J9" s="7">
        <v>6</v>
      </c>
      <c r="K9" s="7"/>
      <c r="L9" s="7">
        <v>18</v>
      </c>
    </row>
    <row r="10" spans="1:12" x14ac:dyDescent="0.25">
      <c r="A10" t="s">
        <v>191</v>
      </c>
      <c r="B10">
        <v>2008</v>
      </c>
      <c r="D10" s="6">
        <v>2012</v>
      </c>
      <c r="E10" s="7">
        <v>8</v>
      </c>
      <c r="F10" s="7">
        <v>3</v>
      </c>
      <c r="G10" s="7">
        <v>3</v>
      </c>
      <c r="H10" s="7">
        <v>1</v>
      </c>
      <c r="I10" s="7">
        <v>3</v>
      </c>
      <c r="J10" s="7">
        <v>5</v>
      </c>
      <c r="K10" s="7">
        <v>4</v>
      </c>
      <c r="L10" s="7">
        <v>27</v>
      </c>
    </row>
    <row r="11" spans="1:12" x14ac:dyDescent="0.25">
      <c r="A11" t="s">
        <v>191</v>
      </c>
      <c r="B11">
        <v>2008</v>
      </c>
      <c r="D11" s="6">
        <v>2013</v>
      </c>
      <c r="E11" s="7">
        <v>11</v>
      </c>
      <c r="F11" s="7"/>
      <c r="G11" s="7">
        <v>3</v>
      </c>
      <c r="H11" s="7"/>
      <c r="I11" s="7"/>
      <c r="J11" s="7">
        <v>2</v>
      </c>
      <c r="K11" s="7"/>
      <c r="L11" s="7">
        <v>16</v>
      </c>
    </row>
    <row r="12" spans="1:12" x14ac:dyDescent="0.25">
      <c r="A12" t="s">
        <v>191</v>
      </c>
      <c r="B12">
        <v>2008</v>
      </c>
      <c r="D12" s="6">
        <v>2014</v>
      </c>
      <c r="E12" s="7">
        <v>3</v>
      </c>
      <c r="F12" s="7"/>
      <c r="G12" s="7">
        <v>5</v>
      </c>
      <c r="H12" s="7">
        <v>1</v>
      </c>
      <c r="I12" s="7"/>
      <c r="J12" s="7"/>
      <c r="K12" s="7"/>
      <c r="L12" s="7">
        <v>9</v>
      </c>
    </row>
    <row r="13" spans="1:12" x14ac:dyDescent="0.25">
      <c r="A13" t="s">
        <v>191</v>
      </c>
      <c r="B13">
        <v>2009</v>
      </c>
      <c r="D13" s="6">
        <v>2015</v>
      </c>
      <c r="E13" s="7"/>
      <c r="F13" s="7"/>
      <c r="G13" s="7"/>
      <c r="H13" s="7">
        <v>2</v>
      </c>
      <c r="I13" s="7"/>
      <c r="J13" s="7"/>
      <c r="K13" s="7">
        <v>5</v>
      </c>
      <c r="L13" s="7">
        <v>7</v>
      </c>
    </row>
    <row r="14" spans="1:12" x14ac:dyDescent="0.25">
      <c r="A14" t="s">
        <v>186</v>
      </c>
      <c r="B14">
        <v>2009</v>
      </c>
      <c r="D14" s="6" t="s">
        <v>192</v>
      </c>
      <c r="E14" s="7">
        <v>30</v>
      </c>
      <c r="F14" s="7">
        <v>12</v>
      </c>
      <c r="G14" s="7">
        <v>18</v>
      </c>
      <c r="H14" s="7">
        <v>17</v>
      </c>
      <c r="I14" s="7">
        <v>17</v>
      </c>
      <c r="J14" s="7">
        <v>17</v>
      </c>
      <c r="K14" s="7">
        <v>23</v>
      </c>
      <c r="L14" s="7">
        <v>134</v>
      </c>
    </row>
    <row r="15" spans="1:12" x14ac:dyDescent="0.25">
      <c r="A15" t="s">
        <v>191</v>
      </c>
      <c r="B15">
        <v>2009</v>
      </c>
    </row>
    <row r="16" spans="1:12" x14ac:dyDescent="0.25">
      <c r="A16" t="s">
        <v>190</v>
      </c>
      <c r="B16">
        <v>2009</v>
      </c>
    </row>
    <row r="17" spans="1:11" x14ac:dyDescent="0.25">
      <c r="A17" t="s">
        <v>191</v>
      </c>
      <c r="B17">
        <v>2009</v>
      </c>
      <c r="D17" s="14"/>
      <c r="E17" s="14" t="s">
        <v>185</v>
      </c>
      <c r="F17" s="14" t="s">
        <v>186</v>
      </c>
      <c r="G17" s="14" t="s">
        <v>187</v>
      </c>
      <c r="H17" s="14" t="s">
        <v>188</v>
      </c>
      <c r="I17" s="14" t="s">
        <v>189</v>
      </c>
      <c r="J17" s="14" t="s">
        <v>190</v>
      </c>
      <c r="K17" s="14" t="s">
        <v>191</v>
      </c>
    </row>
    <row r="18" spans="1:11" x14ac:dyDescent="0.25">
      <c r="A18" t="s">
        <v>190</v>
      </c>
      <c r="B18">
        <v>2009</v>
      </c>
      <c r="D18" s="12">
        <v>2006</v>
      </c>
      <c r="E18" s="13">
        <v>0</v>
      </c>
      <c r="F18" s="13">
        <v>5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</row>
    <row r="19" spans="1:11" x14ac:dyDescent="0.25">
      <c r="A19" t="s">
        <v>191</v>
      </c>
      <c r="B19">
        <v>2009</v>
      </c>
      <c r="D19" s="12">
        <v>2007</v>
      </c>
      <c r="E19" s="13">
        <v>0</v>
      </c>
      <c r="F19" s="13">
        <v>0</v>
      </c>
      <c r="G19" s="13">
        <v>1</v>
      </c>
      <c r="H19" s="13">
        <v>1</v>
      </c>
      <c r="I19" s="13">
        <v>0</v>
      </c>
      <c r="J19" s="13">
        <v>0</v>
      </c>
      <c r="K19" s="13">
        <v>0</v>
      </c>
    </row>
    <row r="20" spans="1:11" x14ac:dyDescent="0.25">
      <c r="A20" t="s">
        <v>189</v>
      </c>
      <c r="B20">
        <v>2009</v>
      </c>
      <c r="D20" s="12">
        <v>2008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4</v>
      </c>
    </row>
    <row r="21" spans="1:11" x14ac:dyDescent="0.25">
      <c r="A21" t="s">
        <v>188</v>
      </c>
      <c r="B21">
        <v>2009</v>
      </c>
      <c r="D21" s="12">
        <v>2009</v>
      </c>
      <c r="E21" s="13">
        <v>2</v>
      </c>
      <c r="F21" s="13">
        <v>2</v>
      </c>
      <c r="G21" s="13">
        <v>4</v>
      </c>
      <c r="H21" s="13">
        <v>4</v>
      </c>
      <c r="I21" s="13">
        <v>2</v>
      </c>
      <c r="J21" s="13">
        <v>4</v>
      </c>
      <c r="K21" s="13">
        <v>8</v>
      </c>
    </row>
    <row r="22" spans="1:11" x14ac:dyDescent="0.25">
      <c r="A22" t="s">
        <v>190</v>
      </c>
      <c r="B22">
        <v>2009</v>
      </c>
      <c r="D22" s="12">
        <v>2010</v>
      </c>
      <c r="E22" s="13">
        <v>4</v>
      </c>
      <c r="F22" s="13">
        <v>2</v>
      </c>
      <c r="G22" s="13">
        <v>2</v>
      </c>
      <c r="H22" s="13">
        <v>4</v>
      </c>
      <c r="I22" s="13">
        <v>6</v>
      </c>
      <c r="J22" s="13">
        <v>0</v>
      </c>
      <c r="K22" s="13">
        <v>2</v>
      </c>
    </row>
    <row r="23" spans="1:11" x14ac:dyDescent="0.25">
      <c r="A23" t="s">
        <v>190</v>
      </c>
      <c r="B23">
        <v>2009</v>
      </c>
      <c r="D23" s="12">
        <v>2011</v>
      </c>
      <c r="E23" s="13">
        <v>2</v>
      </c>
      <c r="F23" s="13">
        <v>0</v>
      </c>
      <c r="G23" s="13">
        <v>0</v>
      </c>
      <c r="H23" s="13">
        <v>4</v>
      </c>
      <c r="I23" s="13">
        <v>6</v>
      </c>
      <c r="J23" s="13">
        <v>6</v>
      </c>
      <c r="K23" s="13">
        <v>0</v>
      </c>
    </row>
    <row r="24" spans="1:11" x14ac:dyDescent="0.25">
      <c r="A24" t="s">
        <v>191</v>
      </c>
      <c r="B24">
        <v>2009</v>
      </c>
      <c r="D24" s="12">
        <v>2012</v>
      </c>
      <c r="E24" s="13">
        <v>8</v>
      </c>
      <c r="F24" s="13">
        <v>3</v>
      </c>
      <c r="G24" s="13">
        <v>3</v>
      </c>
      <c r="H24" s="13">
        <v>1</v>
      </c>
      <c r="I24" s="13">
        <v>3</v>
      </c>
      <c r="J24" s="13">
        <v>5</v>
      </c>
      <c r="K24" s="13">
        <v>4</v>
      </c>
    </row>
    <row r="25" spans="1:11" x14ac:dyDescent="0.25">
      <c r="A25" t="s">
        <v>186</v>
      </c>
      <c r="B25">
        <v>2009</v>
      </c>
      <c r="D25" s="12">
        <v>2013</v>
      </c>
      <c r="E25" s="13">
        <v>11</v>
      </c>
      <c r="F25" s="13">
        <v>0</v>
      </c>
      <c r="G25" s="13">
        <v>3</v>
      </c>
      <c r="H25" s="13">
        <v>0</v>
      </c>
      <c r="I25" s="13">
        <v>0</v>
      </c>
      <c r="J25" s="13">
        <v>2</v>
      </c>
      <c r="K25" s="13">
        <v>0</v>
      </c>
    </row>
    <row r="26" spans="1:11" x14ac:dyDescent="0.25">
      <c r="A26" t="s">
        <v>191</v>
      </c>
      <c r="B26">
        <v>2009</v>
      </c>
      <c r="D26" s="12">
        <v>2014</v>
      </c>
      <c r="E26" s="13">
        <v>3</v>
      </c>
      <c r="F26" s="13">
        <v>0</v>
      </c>
      <c r="G26" s="13">
        <v>5</v>
      </c>
      <c r="H26" s="13">
        <v>1</v>
      </c>
      <c r="I26" s="13">
        <v>0</v>
      </c>
      <c r="J26" s="13">
        <v>0</v>
      </c>
      <c r="K26" s="13">
        <v>0</v>
      </c>
    </row>
    <row r="27" spans="1:11" x14ac:dyDescent="0.25">
      <c r="A27" t="s">
        <v>188</v>
      </c>
      <c r="B27">
        <v>2009</v>
      </c>
      <c r="D27" s="12">
        <v>2015</v>
      </c>
      <c r="E27" s="13">
        <v>0</v>
      </c>
      <c r="F27" s="13">
        <v>0</v>
      </c>
      <c r="G27" s="13">
        <v>0</v>
      </c>
      <c r="H27" s="13">
        <v>2</v>
      </c>
      <c r="I27" s="13">
        <v>0</v>
      </c>
      <c r="J27" s="13">
        <v>0</v>
      </c>
      <c r="K27" s="13">
        <v>5</v>
      </c>
    </row>
    <row r="28" spans="1:11" x14ac:dyDescent="0.25">
      <c r="A28" t="s">
        <v>187</v>
      </c>
      <c r="B28">
        <v>2009</v>
      </c>
    </row>
    <row r="29" spans="1:11" x14ac:dyDescent="0.25">
      <c r="A29" t="s">
        <v>191</v>
      </c>
      <c r="B29">
        <v>2009</v>
      </c>
    </row>
    <row r="30" spans="1:11" x14ac:dyDescent="0.25">
      <c r="A30" t="s">
        <v>191</v>
      </c>
      <c r="B30">
        <v>2009</v>
      </c>
    </row>
    <row r="31" spans="1:11" x14ac:dyDescent="0.25">
      <c r="A31" t="s">
        <v>185</v>
      </c>
      <c r="B31">
        <v>2009</v>
      </c>
    </row>
    <row r="32" spans="1:11" x14ac:dyDescent="0.25">
      <c r="A32" t="s">
        <v>187</v>
      </c>
      <c r="B32">
        <v>2009</v>
      </c>
    </row>
    <row r="33" spans="1:2" x14ac:dyDescent="0.25">
      <c r="A33" t="s">
        <v>189</v>
      </c>
      <c r="B33">
        <v>2009</v>
      </c>
    </row>
    <row r="34" spans="1:2" x14ac:dyDescent="0.25">
      <c r="A34" t="s">
        <v>187</v>
      </c>
      <c r="B34">
        <v>2009</v>
      </c>
    </row>
    <row r="35" spans="1:2" x14ac:dyDescent="0.25">
      <c r="A35" t="s">
        <v>187</v>
      </c>
      <c r="B35">
        <v>2009</v>
      </c>
    </row>
    <row r="36" spans="1:2" x14ac:dyDescent="0.25">
      <c r="A36" t="s">
        <v>185</v>
      </c>
      <c r="B36">
        <v>2009</v>
      </c>
    </row>
    <row r="37" spans="1:2" x14ac:dyDescent="0.25">
      <c r="A37" t="s">
        <v>188</v>
      </c>
      <c r="B37">
        <v>2009</v>
      </c>
    </row>
    <row r="38" spans="1:2" x14ac:dyDescent="0.25">
      <c r="A38" t="s">
        <v>188</v>
      </c>
      <c r="B38">
        <v>2009</v>
      </c>
    </row>
    <row r="39" spans="1:2" x14ac:dyDescent="0.25">
      <c r="A39" t="s">
        <v>185</v>
      </c>
      <c r="B39">
        <v>2010</v>
      </c>
    </row>
    <row r="40" spans="1:2" x14ac:dyDescent="0.25">
      <c r="A40" t="s">
        <v>185</v>
      </c>
      <c r="B40">
        <v>2010</v>
      </c>
    </row>
    <row r="41" spans="1:2" x14ac:dyDescent="0.25">
      <c r="A41" t="s">
        <v>191</v>
      </c>
      <c r="B41">
        <v>2010</v>
      </c>
    </row>
    <row r="42" spans="1:2" x14ac:dyDescent="0.25">
      <c r="A42" t="s">
        <v>189</v>
      </c>
      <c r="B42">
        <v>2010</v>
      </c>
    </row>
    <row r="43" spans="1:2" x14ac:dyDescent="0.25">
      <c r="A43" t="s">
        <v>188</v>
      </c>
      <c r="B43">
        <v>2010</v>
      </c>
    </row>
    <row r="44" spans="1:2" x14ac:dyDescent="0.25">
      <c r="A44" t="s">
        <v>186</v>
      </c>
      <c r="B44">
        <v>2010</v>
      </c>
    </row>
    <row r="45" spans="1:2" x14ac:dyDescent="0.25">
      <c r="A45" t="s">
        <v>189</v>
      </c>
      <c r="B45">
        <v>2010</v>
      </c>
    </row>
    <row r="46" spans="1:2" x14ac:dyDescent="0.25">
      <c r="A46" t="s">
        <v>191</v>
      </c>
      <c r="B46">
        <v>2010</v>
      </c>
    </row>
    <row r="47" spans="1:2" x14ac:dyDescent="0.25">
      <c r="A47" t="s">
        <v>188</v>
      </c>
      <c r="B47">
        <v>2010</v>
      </c>
    </row>
    <row r="48" spans="1:2" x14ac:dyDescent="0.25">
      <c r="A48" t="s">
        <v>187</v>
      </c>
      <c r="B48">
        <v>2010</v>
      </c>
    </row>
    <row r="49" spans="1:2" x14ac:dyDescent="0.25">
      <c r="A49" t="s">
        <v>185</v>
      </c>
      <c r="B49">
        <v>2010</v>
      </c>
    </row>
    <row r="50" spans="1:2" x14ac:dyDescent="0.25">
      <c r="A50" t="s">
        <v>187</v>
      </c>
      <c r="B50">
        <v>2010</v>
      </c>
    </row>
    <row r="51" spans="1:2" x14ac:dyDescent="0.25">
      <c r="A51" t="s">
        <v>185</v>
      </c>
      <c r="B51">
        <v>2010</v>
      </c>
    </row>
    <row r="52" spans="1:2" x14ac:dyDescent="0.25">
      <c r="A52" t="s">
        <v>186</v>
      </c>
      <c r="B52">
        <v>2010</v>
      </c>
    </row>
    <row r="53" spans="1:2" x14ac:dyDescent="0.25">
      <c r="A53" t="s">
        <v>189</v>
      </c>
      <c r="B53">
        <v>2010</v>
      </c>
    </row>
    <row r="54" spans="1:2" x14ac:dyDescent="0.25">
      <c r="A54" t="s">
        <v>189</v>
      </c>
      <c r="B54">
        <v>2010</v>
      </c>
    </row>
    <row r="55" spans="1:2" x14ac:dyDescent="0.25">
      <c r="A55" t="s">
        <v>189</v>
      </c>
      <c r="B55">
        <v>2010</v>
      </c>
    </row>
    <row r="56" spans="1:2" x14ac:dyDescent="0.25">
      <c r="A56" t="s">
        <v>189</v>
      </c>
      <c r="B56">
        <v>2010</v>
      </c>
    </row>
    <row r="57" spans="1:2" x14ac:dyDescent="0.25">
      <c r="A57" t="s">
        <v>188</v>
      </c>
      <c r="B57">
        <v>2010</v>
      </c>
    </row>
    <row r="58" spans="1:2" x14ac:dyDescent="0.25">
      <c r="A58" t="s">
        <v>188</v>
      </c>
      <c r="B58">
        <v>2010</v>
      </c>
    </row>
    <row r="59" spans="1:2" x14ac:dyDescent="0.25">
      <c r="A59" t="s">
        <v>185</v>
      </c>
      <c r="B59">
        <v>2011</v>
      </c>
    </row>
    <row r="60" spans="1:2" x14ac:dyDescent="0.25">
      <c r="A60" t="s">
        <v>189</v>
      </c>
      <c r="B60">
        <v>2011</v>
      </c>
    </row>
    <row r="61" spans="1:2" x14ac:dyDescent="0.25">
      <c r="A61" t="s">
        <v>189</v>
      </c>
      <c r="B61">
        <v>2011</v>
      </c>
    </row>
    <row r="62" spans="1:2" x14ac:dyDescent="0.25">
      <c r="A62" t="s">
        <v>189</v>
      </c>
      <c r="B62">
        <v>2011</v>
      </c>
    </row>
    <row r="63" spans="1:2" x14ac:dyDescent="0.25">
      <c r="A63" t="s">
        <v>189</v>
      </c>
      <c r="B63">
        <v>2011</v>
      </c>
    </row>
    <row r="64" spans="1:2" x14ac:dyDescent="0.25">
      <c r="A64" t="s">
        <v>188</v>
      </c>
      <c r="B64">
        <v>2011</v>
      </c>
    </row>
    <row r="65" spans="1:2" x14ac:dyDescent="0.25">
      <c r="A65" t="s">
        <v>188</v>
      </c>
      <c r="B65">
        <v>2011</v>
      </c>
    </row>
    <row r="66" spans="1:2" x14ac:dyDescent="0.25">
      <c r="A66" t="s">
        <v>188</v>
      </c>
      <c r="B66">
        <v>2011</v>
      </c>
    </row>
    <row r="67" spans="1:2" x14ac:dyDescent="0.25">
      <c r="A67" t="s">
        <v>188</v>
      </c>
      <c r="B67">
        <v>2011</v>
      </c>
    </row>
    <row r="68" spans="1:2" x14ac:dyDescent="0.25">
      <c r="A68" t="s">
        <v>189</v>
      </c>
      <c r="B68">
        <v>2011</v>
      </c>
    </row>
    <row r="69" spans="1:2" x14ac:dyDescent="0.25">
      <c r="A69" t="s">
        <v>189</v>
      </c>
      <c r="B69">
        <v>2011</v>
      </c>
    </row>
    <row r="70" spans="1:2" x14ac:dyDescent="0.25">
      <c r="A70" t="s">
        <v>185</v>
      </c>
      <c r="B70">
        <v>2011</v>
      </c>
    </row>
    <row r="71" spans="1:2" x14ac:dyDescent="0.25">
      <c r="A71" t="s">
        <v>190</v>
      </c>
      <c r="B71">
        <v>2011</v>
      </c>
    </row>
    <row r="72" spans="1:2" x14ac:dyDescent="0.25">
      <c r="A72" t="s">
        <v>190</v>
      </c>
      <c r="B72">
        <v>2011</v>
      </c>
    </row>
    <row r="73" spans="1:2" x14ac:dyDescent="0.25">
      <c r="A73" t="s">
        <v>190</v>
      </c>
      <c r="B73">
        <v>2011</v>
      </c>
    </row>
    <row r="74" spans="1:2" x14ac:dyDescent="0.25">
      <c r="A74" t="s">
        <v>190</v>
      </c>
      <c r="B74">
        <v>2011</v>
      </c>
    </row>
    <row r="75" spans="1:2" x14ac:dyDescent="0.25">
      <c r="A75" t="s">
        <v>190</v>
      </c>
      <c r="B75">
        <v>2011</v>
      </c>
    </row>
    <row r="76" spans="1:2" x14ac:dyDescent="0.25">
      <c r="A76" t="s">
        <v>190</v>
      </c>
      <c r="B76">
        <v>2011</v>
      </c>
    </row>
    <row r="77" spans="1:2" x14ac:dyDescent="0.25">
      <c r="A77" t="s">
        <v>185</v>
      </c>
      <c r="B77">
        <v>2012</v>
      </c>
    </row>
    <row r="78" spans="1:2" x14ac:dyDescent="0.25">
      <c r="A78" t="s">
        <v>185</v>
      </c>
      <c r="B78">
        <v>2012</v>
      </c>
    </row>
    <row r="79" spans="1:2" x14ac:dyDescent="0.25">
      <c r="A79" t="s">
        <v>191</v>
      </c>
      <c r="B79">
        <v>2012</v>
      </c>
    </row>
    <row r="80" spans="1:2" x14ac:dyDescent="0.25">
      <c r="A80" t="s">
        <v>189</v>
      </c>
      <c r="B80">
        <v>2012</v>
      </c>
    </row>
    <row r="81" spans="1:2" x14ac:dyDescent="0.25">
      <c r="A81" t="s">
        <v>186</v>
      </c>
      <c r="B81">
        <v>2012</v>
      </c>
    </row>
    <row r="82" spans="1:2" x14ac:dyDescent="0.25">
      <c r="A82" t="s">
        <v>191</v>
      </c>
      <c r="B82">
        <v>2012</v>
      </c>
    </row>
    <row r="83" spans="1:2" x14ac:dyDescent="0.25">
      <c r="A83" t="s">
        <v>185</v>
      </c>
      <c r="B83">
        <v>2012</v>
      </c>
    </row>
    <row r="84" spans="1:2" x14ac:dyDescent="0.25">
      <c r="A84" t="s">
        <v>187</v>
      </c>
      <c r="B84">
        <v>2012</v>
      </c>
    </row>
    <row r="85" spans="1:2" x14ac:dyDescent="0.25">
      <c r="A85" t="s">
        <v>186</v>
      </c>
      <c r="B85">
        <v>2012</v>
      </c>
    </row>
    <row r="86" spans="1:2" x14ac:dyDescent="0.25">
      <c r="A86" t="s">
        <v>186</v>
      </c>
      <c r="B86">
        <v>2012</v>
      </c>
    </row>
    <row r="87" spans="1:2" x14ac:dyDescent="0.25">
      <c r="A87" t="s">
        <v>189</v>
      </c>
      <c r="B87">
        <v>2012</v>
      </c>
    </row>
    <row r="88" spans="1:2" x14ac:dyDescent="0.25">
      <c r="A88" t="s">
        <v>190</v>
      </c>
      <c r="B88">
        <v>2012</v>
      </c>
    </row>
    <row r="89" spans="1:2" x14ac:dyDescent="0.25">
      <c r="A89" t="s">
        <v>190</v>
      </c>
      <c r="B89">
        <v>2012</v>
      </c>
    </row>
    <row r="90" spans="1:2" x14ac:dyDescent="0.25">
      <c r="A90" t="s">
        <v>190</v>
      </c>
      <c r="B90">
        <v>2012</v>
      </c>
    </row>
    <row r="91" spans="1:2" x14ac:dyDescent="0.25">
      <c r="A91" t="s">
        <v>190</v>
      </c>
      <c r="B91">
        <v>2012</v>
      </c>
    </row>
    <row r="92" spans="1:2" x14ac:dyDescent="0.25">
      <c r="A92" t="s">
        <v>190</v>
      </c>
      <c r="B92">
        <v>2012</v>
      </c>
    </row>
    <row r="93" spans="1:2" x14ac:dyDescent="0.25">
      <c r="A93" t="s">
        <v>191</v>
      </c>
      <c r="B93">
        <v>2012</v>
      </c>
    </row>
    <row r="94" spans="1:2" x14ac:dyDescent="0.25">
      <c r="A94" t="s">
        <v>187</v>
      </c>
      <c r="B94">
        <v>2012</v>
      </c>
    </row>
    <row r="95" spans="1:2" x14ac:dyDescent="0.25">
      <c r="A95" t="s">
        <v>191</v>
      </c>
      <c r="B95">
        <v>2012</v>
      </c>
    </row>
    <row r="96" spans="1:2" x14ac:dyDescent="0.25">
      <c r="A96" t="s">
        <v>187</v>
      </c>
      <c r="B96">
        <v>2012</v>
      </c>
    </row>
    <row r="97" spans="1:2" x14ac:dyDescent="0.25">
      <c r="A97" t="s">
        <v>189</v>
      </c>
      <c r="B97">
        <v>2012</v>
      </c>
    </row>
    <row r="98" spans="1:2" x14ac:dyDescent="0.25">
      <c r="A98" t="s">
        <v>185</v>
      </c>
      <c r="B98">
        <v>2012</v>
      </c>
    </row>
    <row r="99" spans="1:2" x14ac:dyDescent="0.25">
      <c r="A99" t="s">
        <v>185</v>
      </c>
      <c r="B99">
        <v>2012</v>
      </c>
    </row>
    <row r="100" spans="1:2" x14ac:dyDescent="0.25">
      <c r="A100" t="s">
        <v>185</v>
      </c>
      <c r="B100">
        <v>2012</v>
      </c>
    </row>
    <row r="101" spans="1:2" x14ac:dyDescent="0.25">
      <c r="A101" t="s">
        <v>185</v>
      </c>
      <c r="B101">
        <v>2012</v>
      </c>
    </row>
    <row r="102" spans="1:2" x14ac:dyDescent="0.25">
      <c r="A102" t="s">
        <v>185</v>
      </c>
      <c r="B102">
        <v>2012</v>
      </c>
    </row>
    <row r="103" spans="1:2" x14ac:dyDescent="0.25">
      <c r="A103" t="s">
        <v>188</v>
      </c>
      <c r="B103">
        <v>2012</v>
      </c>
    </row>
    <row r="104" spans="1:2" x14ac:dyDescent="0.25">
      <c r="A104" t="s">
        <v>185</v>
      </c>
      <c r="B104">
        <v>2013</v>
      </c>
    </row>
    <row r="105" spans="1:2" x14ac:dyDescent="0.25">
      <c r="A105" t="s">
        <v>190</v>
      </c>
      <c r="B105">
        <v>2013</v>
      </c>
    </row>
    <row r="106" spans="1:2" x14ac:dyDescent="0.25">
      <c r="A106" t="s">
        <v>190</v>
      </c>
      <c r="B106">
        <v>2013</v>
      </c>
    </row>
    <row r="107" spans="1:2" x14ac:dyDescent="0.25">
      <c r="A107" t="s">
        <v>185</v>
      </c>
      <c r="B107">
        <v>2013</v>
      </c>
    </row>
    <row r="108" spans="1:2" x14ac:dyDescent="0.25">
      <c r="A108" t="s">
        <v>185</v>
      </c>
      <c r="B108">
        <v>2013</v>
      </c>
    </row>
    <row r="109" spans="1:2" x14ac:dyDescent="0.25">
      <c r="A109" t="s">
        <v>187</v>
      </c>
      <c r="B109">
        <v>2013</v>
      </c>
    </row>
    <row r="110" spans="1:2" x14ac:dyDescent="0.25">
      <c r="A110" t="s">
        <v>185</v>
      </c>
      <c r="B110">
        <v>2013</v>
      </c>
    </row>
    <row r="111" spans="1:2" x14ac:dyDescent="0.25">
      <c r="A111" t="s">
        <v>185</v>
      </c>
      <c r="B111">
        <v>2013</v>
      </c>
    </row>
    <row r="112" spans="1:2" x14ac:dyDescent="0.25">
      <c r="A112" t="s">
        <v>185</v>
      </c>
      <c r="B112">
        <v>2013</v>
      </c>
    </row>
    <row r="113" spans="1:2" x14ac:dyDescent="0.25">
      <c r="A113" t="s">
        <v>185</v>
      </c>
      <c r="B113">
        <v>2013</v>
      </c>
    </row>
    <row r="114" spans="1:2" x14ac:dyDescent="0.25">
      <c r="A114" t="s">
        <v>185</v>
      </c>
      <c r="B114">
        <v>2013</v>
      </c>
    </row>
    <row r="115" spans="1:2" x14ac:dyDescent="0.25">
      <c r="A115" t="s">
        <v>185</v>
      </c>
      <c r="B115">
        <v>2013</v>
      </c>
    </row>
    <row r="116" spans="1:2" x14ac:dyDescent="0.25">
      <c r="A116" t="s">
        <v>185</v>
      </c>
      <c r="B116">
        <v>2013</v>
      </c>
    </row>
    <row r="117" spans="1:2" x14ac:dyDescent="0.25">
      <c r="A117" t="s">
        <v>185</v>
      </c>
      <c r="B117">
        <v>2013</v>
      </c>
    </row>
    <row r="118" spans="1:2" x14ac:dyDescent="0.25">
      <c r="A118" t="s">
        <v>187</v>
      </c>
      <c r="B118">
        <v>2013</v>
      </c>
    </row>
    <row r="119" spans="1:2" x14ac:dyDescent="0.25">
      <c r="A119" t="s">
        <v>187</v>
      </c>
      <c r="B119">
        <v>2013</v>
      </c>
    </row>
    <row r="120" spans="1:2" x14ac:dyDescent="0.25">
      <c r="A120" t="s">
        <v>187</v>
      </c>
      <c r="B120">
        <v>2014</v>
      </c>
    </row>
    <row r="121" spans="1:2" x14ac:dyDescent="0.25">
      <c r="A121" t="s">
        <v>187</v>
      </c>
      <c r="B121">
        <v>2014</v>
      </c>
    </row>
    <row r="122" spans="1:2" x14ac:dyDescent="0.25">
      <c r="A122" t="s">
        <v>187</v>
      </c>
      <c r="B122">
        <v>2014</v>
      </c>
    </row>
    <row r="123" spans="1:2" x14ac:dyDescent="0.25">
      <c r="A123" t="s">
        <v>187</v>
      </c>
      <c r="B123">
        <v>2014</v>
      </c>
    </row>
    <row r="124" spans="1:2" x14ac:dyDescent="0.25">
      <c r="A124" t="s">
        <v>188</v>
      </c>
      <c r="B124">
        <v>2014</v>
      </c>
    </row>
    <row r="125" spans="1:2" x14ac:dyDescent="0.25">
      <c r="A125" t="s">
        <v>185</v>
      </c>
      <c r="B125">
        <v>2014</v>
      </c>
    </row>
    <row r="126" spans="1:2" x14ac:dyDescent="0.25">
      <c r="A126" t="s">
        <v>185</v>
      </c>
      <c r="B126">
        <v>2014</v>
      </c>
    </row>
    <row r="127" spans="1:2" x14ac:dyDescent="0.25">
      <c r="A127" t="s">
        <v>185</v>
      </c>
      <c r="B127">
        <v>2014</v>
      </c>
    </row>
    <row r="128" spans="1:2" x14ac:dyDescent="0.25">
      <c r="A128" t="s">
        <v>187</v>
      </c>
      <c r="B128">
        <v>2014</v>
      </c>
    </row>
    <row r="129" spans="1:2" x14ac:dyDescent="0.25">
      <c r="A129" t="s">
        <v>188</v>
      </c>
      <c r="B129">
        <v>2015</v>
      </c>
    </row>
    <row r="130" spans="1:2" x14ac:dyDescent="0.25">
      <c r="A130" t="s">
        <v>188</v>
      </c>
      <c r="B130">
        <v>2015</v>
      </c>
    </row>
    <row r="131" spans="1:2" x14ac:dyDescent="0.25">
      <c r="A131" t="s">
        <v>191</v>
      </c>
      <c r="B131">
        <v>2015</v>
      </c>
    </row>
    <row r="132" spans="1:2" x14ac:dyDescent="0.25">
      <c r="A132" t="s">
        <v>191</v>
      </c>
      <c r="B132">
        <v>2015</v>
      </c>
    </row>
    <row r="133" spans="1:2" x14ac:dyDescent="0.25">
      <c r="A133" t="s">
        <v>191</v>
      </c>
      <c r="B133">
        <v>2015</v>
      </c>
    </row>
    <row r="134" spans="1:2" x14ac:dyDescent="0.25">
      <c r="A134" t="s">
        <v>191</v>
      </c>
      <c r="B134">
        <v>2015</v>
      </c>
    </row>
    <row r="135" spans="1:2" x14ac:dyDescent="0.25">
      <c r="A135" t="s">
        <v>191</v>
      </c>
      <c r="B135">
        <v>2015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B48E-CEF7-4AF4-BADD-9163DF3DD45C}">
  <dimension ref="A1:L135"/>
  <sheetViews>
    <sheetView tabSelected="1" zoomScale="145" zoomScaleNormal="145" workbookViewId="0">
      <selection activeCell="L6" sqref="L6"/>
    </sheetView>
  </sheetViews>
  <sheetFormatPr defaultRowHeight="15" x14ac:dyDescent="0.25"/>
  <cols>
    <col min="1" max="1" width="18" bestFit="1" customWidth="1"/>
    <col min="2" max="2" width="13.7109375" bestFit="1" customWidth="1"/>
    <col min="3" max="3" width="12.7109375" bestFit="1" customWidth="1"/>
    <col min="4" max="4" width="15.7109375" bestFit="1" customWidth="1"/>
    <col min="5" max="5" width="8.7109375" bestFit="1" customWidth="1"/>
    <col min="6" max="6" width="24.5703125" bestFit="1" customWidth="1"/>
    <col min="7" max="8" width="16.85546875" bestFit="1" customWidth="1"/>
    <col min="10" max="10" width="18" bestFit="1" customWidth="1"/>
    <col min="11" max="11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199</v>
      </c>
      <c r="H1" t="s">
        <v>200</v>
      </c>
      <c r="J1" t="s">
        <v>201</v>
      </c>
      <c r="K1" t="s">
        <v>202</v>
      </c>
      <c r="L1" t="s">
        <v>203</v>
      </c>
    </row>
    <row r="2" spans="1:12" x14ac:dyDescent="0.25">
      <c r="A2" s="2" t="s">
        <v>35</v>
      </c>
      <c r="B2" s="2">
        <v>2009</v>
      </c>
      <c r="C2" s="2">
        <v>85000</v>
      </c>
      <c r="D2" s="2" t="s">
        <v>36</v>
      </c>
      <c r="E2" s="2">
        <v>946000</v>
      </c>
      <c r="F2" s="2">
        <v>42014</v>
      </c>
      <c r="G2" s="11">
        <v>42736</v>
      </c>
      <c r="H2" s="2">
        <f>G2-F2</f>
        <v>722</v>
      </c>
      <c r="J2" s="2" t="s">
        <v>35</v>
      </c>
      <c r="K2" s="2" t="s">
        <v>36</v>
      </c>
      <c r="L2" s="2">
        <v>722</v>
      </c>
    </row>
    <row r="3" spans="1:12" x14ac:dyDescent="0.25">
      <c r="A3" s="2" t="s">
        <v>6</v>
      </c>
      <c r="B3" s="2">
        <v>2006</v>
      </c>
      <c r="C3" s="2">
        <v>85900</v>
      </c>
      <c r="D3" s="2" t="s">
        <v>9</v>
      </c>
      <c r="E3" s="2">
        <v>998704</v>
      </c>
      <c r="F3" s="2">
        <v>42028</v>
      </c>
      <c r="G3" s="11">
        <v>42736</v>
      </c>
      <c r="H3" s="2">
        <f>G3-F3</f>
        <v>708</v>
      </c>
      <c r="J3" s="2" t="s">
        <v>6</v>
      </c>
      <c r="K3" s="2" t="s">
        <v>9</v>
      </c>
      <c r="L3" s="2">
        <v>708</v>
      </c>
    </row>
    <row r="4" spans="1:12" x14ac:dyDescent="0.25">
      <c r="A4" s="2" t="s">
        <v>6</v>
      </c>
      <c r="B4" s="2">
        <v>2006</v>
      </c>
      <c r="C4" s="2">
        <v>85900</v>
      </c>
      <c r="D4" s="2" t="s">
        <v>10</v>
      </c>
      <c r="E4" s="2">
        <v>936780</v>
      </c>
      <c r="F4" s="2">
        <v>42028</v>
      </c>
      <c r="G4" s="11">
        <v>42736</v>
      </c>
      <c r="H4" s="2">
        <f>G4-F4</f>
        <v>708</v>
      </c>
      <c r="J4" s="2" t="s">
        <v>6</v>
      </c>
      <c r="K4" s="2" t="s">
        <v>10</v>
      </c>
      <c r="L4" s="2">
        <v>708</v>
      </c>
    </row>
    <row r="5" spans="1:12" x14ac:dyDescent="0.25">
      <c r="A5" s="2" t="s">
        <v>81</v>
      </c>
      <c r="B5" s="2">
        <v>2010</v>
      </c>
      <c r="C5" s="2">
        <v>160000</v>
      </c>
      <c r="D5" s="2" t="s">
        <v>82</v>
      </c>
      <c r="E5" s="2">
        <v>263000</v>
      </c>
      <c r="F5" s="2">
        <v>42028</v>
      </c>
      <c r="G5" s="11">
        <v>42736</v>
      </c>
      <c r="H5" s="2">
        <f>G5-F5</f>
        <v>708</v>
      </c>
      <c r="J5" s="2" t="s">
        <v>81</v>
      </c>
      <c r="K5" s="2" t="s">
        <v>82</v>
      </c>
      <c r="L5" s="2">
        <v>708</v>
      </c>
    </row>
    <row r="6" spans="1:12" x14ac:dyDescent="0.25">
      <c r="A6" t="s">
        <v>6</v>
      </c>
      <c r="B6">
        <v>2006</v>
      </c>
      <c r="C6">
        <v>85900</v>
      </c>
      <c r="D6" t="s">
        <v>8</v>
      </c>
      <c r="E6">
        <v>1068570</v>
      </c>
      <c r="F6">
        <v>42029</v>
      </c>
      <c r="G6" s="7">
        <v>42736</v>
      </c>
      <c r="H6">
        <f>G6-F6</f>
        <v>707</v>
      </c>
    </row>
    <row r="7" spans="1:12" x14ac:dyDescent="0.25">
      <c r="A7" t="s">
        <v>35</v>
      </c>
      <c r="B7">
        <v>2010</v>
      </c>
      <c r="C7">
        <v>84000</v>
      </c>
      <c r="D7" t="s">
        <v>69</v>
      </c>
      <c r="E7">
        <v>950000</v>
      </c>
      <c r="F7">
        <v>42029</v>
      </c>
      <c r="G7" s="7">
        <v>42736</v>
      </c>
      <c r="H7">
        <f>G7-F7</f>
        <v>707</v>
      </c>
    </row>
    <row r="8" spans="1:12" x14ac:dyDescent="0.25">
      <c r="A8" t="s">
        <v>6</v>
      </c>
      <c r="B8">
        <v>2006</v>
      </c>
      <c r="C8">
        <v>85900</v>
      </c>
      <c r="D8" t="s">
        <v>11</v>
      </c>
      <c r="E8">
        <v>870233</v>
      </c>
      <c r="F8">
        <v>42034</v>
      </c>
      <c r="G8" s="7">
        <v>42736</v>
      </c>
      <c r="H8">
        <f>G8-F8</f>
        <v>702</v>
      </c>
    </row>
    <row r="9" spans="1:12" x14ac:dyDescent="0.25">
      <c r="A9" t="s">
        <v>6</v>
      </c>
      <c r="B9">
        <v>2006</v>
      </c>
      <c r="C9">
        <v>85900</v>
      </c>
      <c r="D9" t="s">
        <v>7</v>
      </c>
      <c r="E9">
        <v>1200655</v>
      </c>
      <c r="F9">
        <v>42035</v>
      </c>
      <c r="G9" s="7">
        <v>42736</v>
      </c>
      <c r="H9">
        <f>G9-F9</f>
        <v>701</v>
      </c>
    </row>
    <row r="10" spans="1:12" x14ac:dyDescent="0.25">
      <c r="A10" t="s">
        <v>119</v>
      </c>
      <c r="B10">
        <v>2012</v>
      </c>
      <c r="C10">
        <v>145000</v>
      </c>
      <c r="D10" t="s">
        <v>120</v>
      </c>
      <c r="E10">
        <v>386732</v>
      </c>
      <c r="F10">
        <v>42059</v>
      </c>
      <c r="G10" s="7">
        <v>42736</v>
      </c>
      <c r="H10">
        <f>G10-F10</f>
        <v>677</v>
      </c>
    </row>
    <row r="11" spans="1:12" x14ac:dyDescent="0.25">
      <c r="A11" t="s">
        <v>119</v>
      </c>
      <c r="B11">
        <v>2012</v>
      </c>
      <c r="C11">
        <v>145000</v>
      </c>
      <c r="D11" t="s">
        <v>121</v>
      </c>
      <c r="E11">
        <v>312680</v>
      </c>
      <c r="F11">
        <v>42059</v>
      </c>
      <c r="G11" s="7">
        <v>42736</v>
      </c>
      <c r="H11">
        <f>G11-F11</f>
        <v>677</v>
      </c>
    </row>
    <row r="12" spans="1:12" x14ac:dyDescent="0.25">
      <c r="A12" t="s">
        <v>50</v>
      </c>
      <c r="B12">
        <v>2010</v>
      </c>
      <c r="C12">
        <v>40830</v>
      </c>
      <c r="D12" t="s">
        <v>65</v>
      </c>
      <c r="E12">
        <v>326000</v>
      </c>
      <c r="F12">
        <v>42062</v>
      </c>
      <c r="G12" s="7">
        <v>42736</v>
      </c>
      <c r="H12">
        <f>G12-F12</f>
        <v>674</v>
      </c>
    </row>
    <row r="13" spans="1:12" x14ac:dyDescent="0.25">
      <c r="A13" t="s">
        <v>50</v>
      </c>
      <c r="B13">
        <v>2012</v>
      </c>
      <c r="C13">
        <v>39830</v>
      </c>
      <c r="D13" t="s">
        <v>111</v>
      </c>
      <c r="E13">
        <v>330000</v>
      </c>
      <c r="F13">
        <v>42062</v>
      </c>
      <c r="G13" s="7">
        <v>42736</v>
      </c>
      <c r="H13">
        <f>G13-F13</f>
        <v>674</v>
      </c>
    </row>
    <row r="14" spans="1:12" x14ac:dyDescent="0.25">
      <c r="A14" t="s">
        <v>79</v>
      </c>
      <c r="B14">
        <v>2010</v>
      </c>
      <c r="C14">
        <v>135000</v>
      </c>
      <c r="D14" t="s">
        <v>80</v>
      </c>
      <c r="E14">
        <v>251000</v>
      </c>
      <c r="F14">
        <v>42067</v>
      </c>
      <c r="G14" s="7">
        <v>42736</v>
      </c>
      <c r="H14">
        <f>G14-F14</f>
        <v>669</v>
      </c>
    </row>
    <row r="15" spans="1:12" x14ac:dyDescent="0.25">
      <c r="A15" t="s">
        <v>79</v>
      </c>
      <c r="B15">
        <v>2013</v>
      </c>
      <c r="C15">
        <v>136000</v>
      </c>
      <c r="D15" t="s">
        <v>147</v>
      </c>
      <c r="E15">
        <v>247000</v>
      </c>
      <c r="F15">
        <v>42067</v>
      </c>
      <c r="G15" s="7">
        <v>42736</v>
      </c>
      <c r="H15">
        <f>G15-F15</f>
        <v>669</v>
      </c>
    </row>
    <row r="16" spans="1:12" x14ac:dyDescent="0.25">
      <c r="A16" t="s">
        <v>45</v>
      </c>
      <c r="B16">
        <v>2009</v>
      </c>
      <c r="C16">
        <v>114400</v>
      </c>
      <c r="D16" t="s">
        <v>46</v>
      </c>
      <c r="E16">
        <v>226000</v>
      </c>
      <c r="F16">
        <v>42073</v>
      </c>
      <c r="G16" s="7">
        <v>42736</v>
      </c>
      <c r="H16">
        <f>G16-F16</f>
        <v>663</v>
      </c>
    </row>
    <row r="17" spans="1:8" x14ac:dyDescent="0.25">
      <c r="A17" t="s">
        <v>45</v>
      </c>
      <c r="B17">
        <v>2010</v>
      </c>
      <c r="C17">
        <v>113400</v>
      </c>
      <c r="D17" t="s">
        <v>78</v>
      </c>
      <c r="E17">
        <v>230000</v>
      </c>
      <c r="F17">
        <v>42073</v>
      </c>
      <c r="G17" s="7">
        <v>42736</v>
      </c>
      <c r="H17">
        <f>G17-F17</f>
        <v>663</v>
      </c>
    </row>
    <row r="18" spans="1:8" x14ac:dyDescent="0.25">
      <c r="A18" t="s">
        <v>22</v>
      </c>
      <c r="B18">
        <v>2008</v>
      </c>
      <c r="C18">
        <v>89000</v>
      </c>
      <c r="D18" t="s">
        <v>23</v>
      </c>
      <c r="E18">
        <v>305000</v>
      </c>
      <c r="F18">
        <v>42075</v>
      </c>
      <c r="G18" s="7">
        <v>42736</v>
      </c>
      <c r="H18">
        <f>G18-F18</f>
        <v>661</v>
      </c>
    </row>
    <row r="19" spans="1:8" x14ac:dyDescent="0.25">
      <c r="A19" t="s">
        <v>22</v>
      </c>
      <c r="B19">
        <v>2009</v>
      </c>
      <c r="C19">
        <v>90000</v>
      </c>
      <c r="D19" t="s">
        <v>43</v>
      </c>
      <c r="E19">
        <v>301000</v>
      </c>
      <c r="F19">
        <v>42075</v>
      </c>
      <c r="G19" s="7">
        <v>42736</v>
      </c>
      <c r="H19">
        <f>G19-F19</f>
        <v>661</v>
      </c>
    </row>
    <row r="20" spans="1:8" x14ac:dyDescent="0.25">
      <c r="A20" t="s">
        <v>22</v>
      </c>
      <c r="B20">
        <v>2012</v>
      </c>
      <c r="C20">
        <v>110000</v>
      </c>
      <c r="D20" t="s">
        <v>116</v>
      </c>
      <c r="E20">
        <v>201000</v>
      </c>
      <c r="F20">
        <v>42075</v>
      </c>
      <c r="G20" s="7">
        <v>42736</v>
      </c>
      <c r="H20">
        <f>G20-F20</f>
        <v>661</v>
      </c>
    </row>
    <row r="21" spans="1:8" x14ac:dyDescent="0.25">
      <c r="A21" t="s">
        <v>35</v>
      </c>
      <c r="B21">
        <v>2014</v>
      </c>
      <c r="C21">
        <v>219000</v>
      </c>
      <c r="D21" t="s">
        <v>165</v>
      </c>
      <c r="E21">
        <v>126290</v>
      </c>
      <c r="F21">
        <v>42083</v>
      </c>
      <c r="G21" s="7">
        <v>42736</v>
      </c>
      <c r="H21">
        <f>G21-F21</f>
        <v>653</v>
      </c>
    </row>
    <row r="22" spans="1:8" x14ac:dyDescent="0.25">
      <c r="A22" t="s">
        <v>35</v>
      </c>
      <c r="B22">
        <v>2015</v>
      </c>
      <c r="C22">
        <v>218000</v>
      </c>
      <c r="D22" t="s">
        <v>170</v>
      </c>
      <c r="E22">
        <v>130290</v>
      </c>
      <c r="F22">
        <v>42083</v>
      </c>
      <c r="G22" s="7">
        <v>42736</v>
      </c>
      <c r="H22">
        <f>G22-F22</f>
        <v>653</v>
      </c>
    </row>
    <row r="23" spans="1:8" x14ac:dyDescent="0.25">
      <c r="A23" t="s">
        <v>50</v>
      </c>
      <c r="B23">
        <v>2012</v>
      </c>
      <c r="C23">
        <v>48800</v>
      </c>
      <c r="D23" t="s">
        <v>112</v>
      </c>
      <c r="E23">
        <v>268650</v>
      </c>
      <c r="F23">
        <v>42117</v>
      </c>
      <c r="G23" s="7">
        <v>42736</v>
      </c>
      <c r="H23">
        <f>G23-F23</f>
        <v>619</v>
      </c>
    </row>
    <row r="24" spans="1:8" x14ac:dyDescent="0.25">
      <c r="A24" t="s">
        <v>50</v>
      </c>
      <c r="B24">
        <v>2013</v>
      </c>
      <c r="C24">
        <v>47800</v>
      </c>
      <c r="D24" t="s">
        <v>143</v>
      </c>
      <c r="E24">
        <v>272650</v>
      </c>
      <c r="F24">
        <v>42117</v>
      </c>
      <c r="G24" s="7">
        <v>42736</v>
      </c>
      <c r="H24">
        <f>G24-F24</f>
        <v>619</v>
      </c>
    </row>
    <row r="25" spans="1:8" x14ac:dyDescent="0.25">
      <c r="A25" t="s">
        <v>25</v>
      </c>
      <c r="B25">
        <v>2009</v>
      </c>
      <c r="C25">
        <v>68000</v>
      </c>
      <c r="D25" t="s">
        <v>26</v>
      </c>
      <c r="E25">
        <v>992600</v>
      </c>
      <c r="F25">
        <v>42157</v>
      </c>
      <c r="G25" s="7">
        <v>42736</v>
      </c>
      <c r="H25">
        <f>G25-F25</f>
        <v>579</v>
      </c>
    </row>
    <row r="26" spans="1:8" x14ac:dyDescent="0.25">
      <c r="A26" t="s">
        <v>25</v>
      </c>
      <c r="B26">
        <v>2010</v>
      </c>
      <c r="C26">
        <v>67000</v>
      </c>
      <c r="D26" t="s">
        <v>70</v>
      </c>
      <c r="E26">
        <v>103260</v>
      </c>
      <c r="F26">
        <v>42157</v>
      </c>
      <c r="G26" s="7">
        <v>42736</v>
      </c>
      <c r="H26">
        <f>G26-F26</f>
        <v>579</v>
      </c>
    </row>
    <row r="27" spans="1:8" x14ac:dyDescent="0.25">
      <c r="A27" t="s">
        <v>35</v>
      </c>
      <c r="B27">
        <v>2009</v>
      </c>
      <c r="C27">
        <v>91000</v>
      </c>
      <c r="D27" t="s">
        <v>44</v>
      </c>
      <c r="E27">
        <v>360000</v>
      </c>
      <c r="F27">
        <v>42174</v>
      </c>
      <c r="G27" s="7">
        <v>42736</v>
      </c>
      <c r="H27">
        <f>G27-F27</f>
        <v>562</v>
      </c>
    </row>
    <row r="28" spans="1:8" x14ac:dyDescent="0.25">
      <c r="A28" t="s">
        <v>71</v>
      </c>
      <c r="B28">
        <v>2010</v>
      </c>
      <c r="C28">
        <v>75300</v>
      </c>
      <c r="D28" t="s">
        <v>72</v>
      </c>
      <c r="E28">
        <v>302000</v>
      </c>
      <c r="F28">
        <v>42174</v>
      </c>
      <c r="G28" s="7">
        <v>42736</v>
      </c>
      <c r="H28">
        <f>G28-F28</f>
        <v>562</v>
      </c>
    </row>
    <row r="29" spans="1:8" x14ac:dyDescent="0.25">
      <c r="A29" t="s">
        <v>35</v>
      </c>
      <c r="B29">
        <v>2010</v>
      </c>
      <c r="C29">
        <v>92000</v>
      </c>
      <c r="D29" t="s">
        <v>74</v>
      </c>
      <c r="E29">
        <v>356000</v>
      </c>
      <c r="F29">
        <v>42174</v>
      </c>
      <c r="G29" s="7">
        <v>42736</v>
      </c>
      <c r="H29">
        <f>G29-F29</f>
        <v>562</v>
      </c>
    </row>
    <row r="30" spans="1:8" x14ac:dyDescent="0.25">
      <c r="A30" t="s">
        <v>71</v>
      </c>
      <c r="B30">
        <v>2011</v>
      </c>
      <c r="C30">
        <v>74300</v>
      </c>
      <c r="D30" t="s">
        <v>95</v>
      </c>
      <c r="E30">
        <v>306000</v>
      </c>
      <c r="F30">
        <v>42174</v>
      </c>
      <c r="G30" s="7">
        <v>42736</v>
      </c>
      <c r="H30">
        <f>G30-F30</f>
        <v>562</v>
      </c>
    </row>
    <row r="31" spans="1:8" x14ac:dyDescent="0.25">
      <c r="A31" t="s">
        <v>136</v>
      </c>
      <c r="B31">
        <v>2012</v>
      </c>
      <c r="C31">
        <v>240000</v>
      </c>
      <c r="D31" t="s">
        <v>137</v>
      </c>
      <c r="E31">
        <v>301344</v>
      </c>
      <c r="F31">
        <v>42185</v>
      </c>
      <c r="G31" s="7">
        <v>42736</v>
      </c>
      <c r="H31">
        <f>G31-F31</f>
        <v>551</v>
      </c>
    </row>
    <row r="32" spans="1:8" x14ac:dyDescent="0.25">
      <c r="A32" t="s">
        <v>136</v>
      </c>
      <c r="B32">
        <v>2012</v>
      </c>
      <c r="C32">
        <v>240000</v>
      </c>
      <c r="D32" t="s">
        <v>138</v>
      </c>
      <c r="E32">
        <v>315988</v>
      </c>
      <c r="F32">
        <v>42185</v>
      </c>
      <c r="G32" s="7">
        <v>42736</v>
      </c>
      <c r="H32">
        <f>G32-F32</f>
        <v>551</v>
      </c>
    </row>
    <row r="33" spans="1:8" x14ac:dyDescent="0.25">
      <c r="A33" t="s">
        <v>136</v>
      </c>
      <c r="B33">
        <v>2012</v>
      </c>
      <c r="C33">
        <v>240000</v>
      </c>
      <c r="D33" t="s">
        <v>139</v>
      </c>
      <c r="E33">
        <v>234760</v>
      </c>
      <c r="F33">
        <v>42185</v>
      </c>
      <c r="G33" s="7">
        <v>42736</v>
      </c>
      <c r="H33">
        <f>G33-F33</f>
        <v>551</v>
      </c>
    </row>
    <row r="34" spans="1:8" x14ac:dyDescent="0.25">
      <c r="A34" t="s">
        <v>136</v>
      </c>
      <c r="B34">
        <v>2012</v>
      </c>
      <c r="C34">
        <v>240000</v>
      </c>
      <c r="D34" t="s">
        <v>140</v>
      </c>
      <c r="E34">
        <v>210780</v>
      </c>
      <c r="F34">
        <v>42185</v>
      </c>
      <c r="G34" s="7">
        <v>42736</v>
      </c>
      <c r="H34">
        <f>G34-F34</f>
        <v>551</v>
      </c>
    </row>
    <row r="35" spans="1:8" x14ac:dyDescent="0.25">
      <c r="A35" t="s">
        <v>136</v>
      </c>
      <c r="B35">
        <v>2012</v>
      </c>
      <c r="C35">
        <v>240000</v>
      </c>
      <c r="D35" t="s">
        <v>141</v>
      </c>
      <c r="E35">
        <v>198240</v>
      </c>
      <c r="F35">
        <v>42185</v>
      </c>
      <c r="G35" s="7">
        <v>42736</v>
      </c>
      <c r="H35">
        <f>G35-F35</f>
        <v>551</v>
      </c>
    </row>
    <row r="36" spans="1:8" x14ac:dyDescent="0.25">
      <c r="A36" t="s">
        <v>28</v>
      </c>
      <c r="B36">
        <v>2009</v>
      </c>
      <c r="C36">
        <v>67900</v>
      </c>
      <c r="D36" t="s">
        <v>29</v>
      </c>
      <c r="E36">
        <v>850000</v>
      </c>
      <c r="F36">
        <v>42194</v>
      </c>
      <c r="G36" s="7">
        <v>42736</v>
      </c>
      <c r="H36">
        <f>G36-F36</f>
        <v>542</v>
      </c>
    </row>
    <row r="37" spans="1:8" x14ac:dyDescent="0.25">
      <c r="A37" t="s">
        <v>28</v>
      </c>
      <c r="B37">
        <v>2009</v>
      </c>
      <c r="C37">
        <v>68900</v>
      </c>
      <c r="D37" t="s">
        <v>31</v>
      </c>
      <c r="E37">
        <v>846000</v>
      </c>
      <c r="F37">
        <v>42194</v>
      </c>
      <c r="G37" s="7">
        <v>42736</v>
      </c>
      <c r="H37">
        <f>G37-F37</f>
        <v>542</v>
      </c>
    </row>
    <row r="38" spans="1:8" x14ac:dyDescent="0.25">
      <c r="A38" t="s">
        <v>41</v>
      </c>
      <c r="B38">
        <v>2009</v>
      </c>
      <c r="C38">
        <v>86133</v>
      </c>
      <c r="D38" t="s">
        <v>42</v>
      </c>
      <c r="E38">
        <v>380000</v>
      </c>
      <c r="F38">
        <v>42208</v>
      </c>
      <c r="G38" s="7">
        <v>42736</v>
      </c>
      <c r="H38">
        <f>G38-F38</f>
        <v>528</v>
      </c>
    </row>
    <row r="39" spans="1:8" x14ac:dyDescent="0.25">
      <c r="A39" t="s">
        <v>41</v>
      </c>
      <c r="B39">
        <v>2012</v>
      </c>
      <c r="C39">
        <v>87133</v>
      </c>
      <c r="D39" t="s">
        <v>115</v>
      </c>
      <c r="E39">
        <v>376000</v>
      </c>
      <c r="F39">
        <v>42208</v>
      </c>
      <c r="G39" s="7">
        <v>42736</v>
      </c>
      <c r="H39">
        <f>G39-F39</f>
        <v>528</v>
      </c>
    </row>
    <row r="40" spans="1:8" x14ac:dyDescent="0.25">
      <c r="A40" t="s">
        <v>16</v>
      </c>
      <c r="B40">
        <v>2008</v>
      </c>
      <c r="C40">
        <v>49411</v>
      </c>
      <c r="D40" t="s">
        <v>17</v>
      </c>
      <c r="E40">
        <v>186000</v>
      </c>
      <c r="F40">
        <v>42210</v>
      </c>
      <c r="G40" s="7">
        <v>42736</v>
      </c>
      <c r="H40">
        <f>G40-F40</f>
        <v>526</v>
      </c>
    </row>
    <row r="41" spans="1:8" x14ac:dyDescent="0.25">
      <c r="A41" t="s">
        <v>16</v>
      </c>
      <c r="B41">
        <v>2009</v>
      </c>
      <c r="C41">
        <v>48411</v>
      </c>
      <c r="D41" t="s">
        <v>24</v>
      </c>
      <c r="E41">
        <v>190000</v>
      </c>
      <c r="F41">
        <v>42210</v>
      </c>
      <c r="G41" s="7">
        <v>42736</v>
      </c>
      <c r="H41">
        <f>G41-F41</f>
        <v>526</v>
      </c>
    </row>
    <row r="42" spans="1:8" x14ac:dyDescent="0.25">
      <c r="A42" t="s">
        <v>16</v>
      </c>
      <c r="B42">
        <v>2009</v>
      </c>
      <c r="C42">
        <v>49411</v>
      </c>
      <c r="D42" t="s">
        <v>27</v>
      </c>
      <c r="E42">
        <v>186000</v>
      </c>
      <c r="F42">
        <v>42210</v>
      </c>
      <c r="G42" s="7">
        <v>42736</v>
      </c>
      <c r="H42">
        <f>G42-F42</f>
        <v>526</v>
      </c>
    </row>
    <row r="43" spans="1:8" x14ac:dyDescent="0.25">
      <c r="A43" t="s">
        <v>67</v>
      </c>
      <c r="B43">
        <v>2010</v>
      </c>
      <c r="C43">
        <v>60000</v>
      </c>
      <c r="D43" t="s">
        <v>68</v>
      </c>
      <c r="E43">
        <v>99250</v>
      </c>
      <c r="F43">
        <v>42226</v>
      </c>
      <c r="G43" s="7">
        <v>42736</v>
      </c>
      <c r="H43">
        <f>G43-F43</f>
        <v>510</v>
      </c>
    </row>
    <row r="44" spans="1:8" x14ac:dyDescent="0.25">
      <c r="A44" t="s">
        <v>67</v>
      </c>
      <c r="B44">
        <v>2011</v>
      </c>
      <c r="C44">
        <v>59000</v>
      </c>
      <c r="D44" t="s">
        <v>94</v>
      </c>
      <c r="E44">
        <v>103250</v>
      </c>
      <c r="F44">
        <v>42226</v>
      </c>
      <c r="G44" s="7">
        <v>42736</v>
      </c>
      <c r="H44">
        <f>G44-F44</f>
        <v>510</v>
      </c>
    </row>
    <row r="45" spans="1:8" x14ac:dyDescent="0.25">
      <c r="A45" t="s">
        <v>83</v>
      </c>
      <c r="B45">
        <v>2010</v>
      </c>
      <c r="C45">
        <v>265000</v>
      </c>
      <c r="D45" t="s">
        <v>84</v>
      </c>
      <c r="E45">
        <v>930000</v>
      </c>
      <c r="F45">
        <v>42236</v>
      </c>
      <c r="G45" s="7">
        <v>42736</v>
      </c>
      <c r="H45">
        <f>G45-F45</f>
        <v>500</v>
      </c>
    </row>
    <row r="46" spans="1:8" x14ac:dyDescent="0.25">
      <c r="A46" t="s">
        <v>83</v>
      </c>
      <c r="B46">
        <v>2010</v>
      </c>
      <c r="C46">
        <v>265000</v>
      </c>
      <c r="D46" t="s">
        <v>85</v>
      </c>
      <c r="E46">
        <v>912000</v>
      </c>
      <c r="F46">
        <v>42236</v>
      </c>
      <c r="G46" s="7">
        <v>42736</v>
      </c>
      <c r="H46">
        <f>G46-F46</f>
        <v>500</v>
      </c>
    </row>
    <row r="47" spans="1:8" x14ac:dyDescent="0.25">
      <c r="A47" t="s">
        <v>83</v>
      </c>
      <c r="B47">
        <v>2010</v>
      </c>
      <c r="C47">
        <v>265000</v>
      </c>
      <c r="D47" t="s">
        <v>86</v>
      </c>
      <c r="E47">
        <v>856000</v>
      </c>
      <c r="F47">
        <v>42236</v>
      </c>
      <c r="G47" s="7">
        <v>42736</v>
      </c>
      <c r="H47">
        <f>G47-F47</f>
        <v>500</v>
      </c>
    </row>
    <row r="48" spans="1:8" x14ac:dyDescent="0.25">
      <c r="A48" t="s">
        <v>91</v>
      </c>
      <c r="B48">
        <v>2011</v>
      </c>
      <c r="C48">
        <v>56700</v>
      </c>
      <c r="D48" t="s">
        <v>92</v>
      </c>
      <c r="E48">
        <v>290000</v>
      </c>
      <c r="F48">
        <v>42236</v>
      </c>
      <c r="G48" s="7">
        <v>42736</v>
      </c>
      <c r="H48">
        <f>G48-F48</f>
        <v>500</v>
      </c>
    </row>
    <row r="49" spans="1:8" x14ac:dyDescent="0.25">
      <c r="A49" t="s">
        <v>91</v>
      </c>
      <c r="B49">
        <v>2011</v>
      </c>
      <c r="C49">
        <v>57700</v>
      </c>
      <c r="D49" t="s">
        <v>93</v>
      </c>
      <c r="E49">
        <v>286000</v>
      </c>
      <c r="F49">
        <v>42236</v>
      </c>
      <c r="G49" s="7">
        <v>42736</v>
      </c>
      <c r="H49">
        <f>G49-F49</f>
        <v>500</v>
      </c>
    </row>
    <row r="50" spans="1:8" x14ac:dyDescent="0.25">
      <c r="A50" t="s">
        <v>100</v>
      </c>
      <c r="B50">
        <v>2011</v>
      </c>
      <c r="C50">
        <v>220000</v>
      </c>
      <c r="D50" t="s">
        <v>101</v>
      </c>
      <c r="E50">
        <v>731000</v>
      </c>
      <c r="F50">
        <v>42236</v>
      </c>
      <c r="G50" s="7">
        <v>42736</v>
      </c>
      <c r="H50">
        <f>G50-F50</f>
        <v>500</v>
      </c>
    </row>
    <row r="51" spans="1:8" x14ac:dyDescent="0.25">
      <c r="A51" t="s">
        <v>100</v>
      </c>
      <c r="B51">
        <v>2011</v>
      </c>
      <c r="C51">
        <v>220000</v>
      </c>
      <c r="D51" t="s">
        <v>102</v>
      </c>
      <c r="E51">
        <v>685413</v>
      </c>
      <c r="F51">
        <v>42236</v>
      </c>
      <c r="G51" s="7">
        <v>42736</v>
      </c>
      <c r="H51">
        <f>G51-F51</f>
        <v>500</v>
      </c>
    </row>
    <row r="52" spans="1:8" x14ac:dyDescent="0.25">
      <c r="A52" t="s">
        <v>76</v>
      </c>
      <c r="B52">
        <v>2010</v>
      </c>
      <c r="C52">
        <v>94000</v>
      </c>
      <c r="D52" t="s">
        <v>77</v>
      </c>
      <c r="E52">
        <v>91000</v>
      </c>
      <c r="F52">
        <v>42268</v>
      </c>
      <c r="G52" s="7">
        <v>42736</v>
      </c>
      <c r="H52">
        <f>G52-F52</f>
        <v>468</v>
      </c>
    </row>
    <row r="53" spans="1:8" x14ac:dyDescent="0.25">
      <c r="A53" t="s">
        <v>76</v>
      </c>
      <c r="B53">
        <v>2013</v>
      </c>
      <c r="C53">
        <v>93000</v>
      </c>
      <c r="D53" t="s">
        <v>146</v>
      </c>
      <c r="E53">
        <v>195000</v>
      </c>
      <c r="F53">
        <v>42268</v>
      </c>
      <c r="G53" s="7">
        <v>42736</v>
      </c>
      <c r="H53">
        <f>G53-F53</f>
        <v>468</v>
      </c>
    </row>
    <row r="54" spans="1:8" x14ac:dyDescent="0.25">
      <c r="A54" t="s">
        <v>18</v>
      </c>
      <c r="B54">
        <v>2008</v>
      </c>
      <c r="C54">
        <v>58000</v>
      </c>
      <c r="D54" t="s">
        <v>19</v>
      </c>
      <c r="E54">
        <v>306000</v>
      </c>
      <c r="F54">
        <v>42271</v>
      </c>
      <c r="G54" s="7">
        <v>42736</v>
      </c>
      <c r="H54">
        <f>G54-F54</f>
        <v>465</v>
      </c>
    </row>
    <row r="55" spans="1:8" x14ac:dyDescent="0.25">
      <c r="A55" t="s">
        <v>18</v>
      </c>
      <c r="B55">
        <v>2009</v>
      </c>
      <c r="C55">
        <v>59000</v>
      </c>
      <c r="D55" t="s">
        <v>32</v>
      </c>
      <c r="E55">
        <v>302000</v>
      </c>
      <c r="F55">
        <v>42271</v>
      </c>
      <c r="G55" s="7">
        <v>42736</v>
      </c>
      <c r="H55">
        <f>G55-F55</f>
        <v>465</v>
      </c>
    </row>
    <row r="56" spans="1:8" x14ac:dyDescent="0.25">
      <c r="A56" t="s">
        <v>18</v>
      </c>
      <c r="B56">
        <v>2012</v>
      </c>
      <c r="C56">
        <v>59000</v>
      </c>
      <c r="D56" t="s">
        <v>113</v>
      </c>
      <c r="E56">
        <v>302000</v>
      </c>
      <c r="F56">
        <v>42271</v>
      </c>
      <c r="G56" s="7">
        <v>42736</v>
      </c>
      <c r="H56">
        <f>G56-F56</f>
        <v>465</v>
      </c>
    </row>
    <row r="57" spans="1:8" x14ac:dyDescent="0.25">
      <c r="A57" t="s">
        <v>54</v>
      </c>
      <c r="B57">
        <v>2009</v>
      </c>
      <c r="C57">
        <v>168800</v>
      </c>
      <c r="D57" t="s">
        <v>55</v>
      </c>
      <c r="E57">
        <v>186300</v>
      </c>
      <c r="F57">
        <v>42272</v>
      </c>
      <c r="G57" s="7">
        <v>42736</v>
      </c>
      <c r="H57">
        <f>G57-F57</f>
        <v>464</v>
      </c>
    </row>
    <row r="58" spans="1:8" x14ac:dyDescent="0.25">
      <c r="A58" t="s">
        <v>54</v>
      </c>
      <c r="B58">
        <v>2014</v>
      </c>
      <c r="C58">
        <v>167800</v>
      </c>
      <c r="D58" t="s">
        <v>164</v>
      </c>
      <c r="E58">
        <v>190300</v>
      </c>
      <c r="F58">
        <v>42272</v>
      </c>
      <c r="G58" s="7">
        <v>42736</v>
      </c>
      <c r="H58">
        <f>G58-F58</f>
        <v>464</v>
      </c>
    </row>
    <row r="59" spans="1:8" x14ac:dyDescent="0.25">
      <c r="A59" t="s">
        <v>58</v>
      </c>
      <c r="B59">
        <v>2009</v>
      </c>
      <c r="C59">
        <v>195340</v>
      </c>
      <c r="D59" t="s">
        <v>59</v>
      </c>
      <c r="E59">
        <v>190000</v>
      </c>
      <c r="F59">
        <v>42278</v>
      </c>
      <c r="G59" s="7">
        <v>42736</v>
      </c>
      <c r="H59">
        <f>G59-F59</f>
        <v>458</v>
      </c>
    </row>
    <row r="60" spans="1:8" x14ac:dyDescent="0.25">
      <c r="A60" t="s">
        <v>58</v>
      </c>
      <c r="B60">
        <v>2011</v>
      </c>
      <c r="C60">
        <v>196340</v>
      </c>
      <c r="D60" t="s">
        <v>103</v>
      </c>
      <c r="E60">
        <v>186000</v>
      </c>
      <c r="F60">
        <v>42278</v>
      </c>
      <c r="G60" s="7">
        <v>42736</v>
      </c>
      <c r="H60">
        <f>G60-F60</f>
        <v>458</v>
      </c>
    </row>
    <row r="61" spans="1:8" x14ac:dyDescent="0.25">
      <c r="A61" t="s">
        <v>62</v>
      </c>
      <c r="B61">
        <v>2010</v>
      </c>
      <c r="C61">
        <v>257000</v>
      </c>
      <c r="D61" t="s">
        <v>89</v>
      </c>
      <c r="E61">
        <v>164700</v>
      </c>
      <c r="F61">
        <v>42286</v>
      </c>
      <c r="G61" s="7">
        <v>42736</v>
      </c>
      <c r="H61">
        <f>G61-F61</f>
        <v>450</v>
      </c>
    </row>
    <row r="62" spans="1:8" x14ac:dyDescent="0.25">
      <c r="A62" t="s">
        <v>62</v>
      </c>
      <c r="B62">
        <v>2015</v>
      </c>
      <c r="C62">
        <v>258000</v>
      </c>
      <c r="D62" t="s">
        <v>171</v>
      </c>
      <c r="E62">
        <v>160700</v>
      </c>
      <c r="F62">
        <v>42286</v>
      </c>
      <c r="G62" s="7">
        <v>42736</v>
      </c>
      <c r="H62">
        <f>G62-F62</f>
        <v>450</v>
      </c>
    </row>
    <row r="63" spans="1:8" x14ac:dyDescent="0.25">
      <c r="A63" t="s">
        <v>62</v>
      </c>
      <c r="B63">
        <v>2009</v>
      </c>
      <c r="C63">
        <v>291000</v>
      </c>
      <c r="D63" t="s">
        <v>63</v>
      </c>
      <c r="E63">
        <v>166000</v>
      </c>
      <c r="F63">
        <v>42297</v>
      </c>
      <c r="G63" s="7">
        <v>42736</v>
      </c>
      <c r="H63">
        <f>G63-F63</f>
        <v>439</v>
      </c>
    </row>
    <row r="64" spans="1:8" x14ac:dyDescent="0.25">
      <c r="A64" t="s">
        <v>62</v>
      </c>
      <c r="B64">
        <v>2012</v>
      </c>
      <c r="C64">
        <v>290000</v>
      </c>
      <c r="D64" t="s">
        <v>142</v>
      </c>
      <c r="E64">
        <v>170000</v>
      </c>
      <c r="F64">
        <v>42297</v>
      </c>
      <c r="G64" s="7">
        <v>42736</v>
      </c>
      <c r="H64">
        <f>G64-F64</f>
        <v>439</v>
      </c>
    </row>
    <row r="65" spans="1:8" x14ac:dyDescent="0.25">
      <c r="A65" t="s">
        <v>60</v>
      </c>
      <c r="B65">
        <v>2009</v>
      </c>
      <c r="C65">
        <v>230000</v>
      </c>
      <c r="D65" t="s">
        <v>61</v>
      </c>
      <c r="E65">
        <v>305000</v>
      </c>
      <c r="F65">
        <v>42307</v>
      </c>
      <c r="G65" s="7">
        <v>42736</v>
      </c>
      <c r="H65">
        <f>G65-F65</f>
        <v>429</v>
      </c>
    </row>
    <row r="66" spans="1:8" x14ac:dyDescent="0.25">
      <c r="A66" t="s">
        <v>60</v>
      </c>
      <c r="B66">
        <v>2010</v>
      </c>
      <c r="C66">
        <v>231000</v>
      </c>
      <c r="D66" t="s">
        <v>88</v>
      </c>
      <c r="E66">
        <v>301000</v>
      </c>
      <c r="F66">
        <v>42307</v>
      </c>
      <c r="G66" s="7">
        <v>42736</v>
      </c>
      <c r="H66">
        <f>G66-F66</f>
        <v>429</v>
      </c>
    </row>
    <row r="67" spans="1:8" x14ac:dyDescent="0.25">
      <c r="A67" t="s">
        <v>50</v>
      </c>
      <c r="B67">
        <v>2010</v>
      </c>
      <c r="C67">
        <v>37000</v>
      </c>
      <c r="D67" t="s">
        <v>64</v>
      </c>
      <c r="E67">
        <v>978000</v>
      </c>
      <c r="F67">
        <v>42309</v>
      </c>
      <c r="G67" s="7">
        <v>42736</v>
      </c>
      <c r="H67">
        <f>G67-F67</f>
        <v>427</v>
      </c>
    </row>
    <row r="68" spans="1:8" x14ac:dyDescent="0.25">
      <c r="A68" t="s">
        <v>50</v>
      </c>
      <c r="B68">
        <v>2011</v>
      </c>
      <c r="C68">
        <v>38000</v>
      </c>
      <c r="D68" t="s">
        <v>90</v>
      </c>
      <c r="E68">
        <v>574000</v>
      </c>
      <c r="F68">
        <v>42309</v>
      </c>
      <c r="G68" s="7">
        <v>42736</v>
      </c>
      <c r="H68">
        <f>G68-F68</f>
        <v>427</v>
      </c>
    </row>
    <row r="69" spans="1:8" x14ac:dyDescent="0.25">
      <c r="A69" t="s">
        <v>33</v>
      </c>
      <c r="B69">
        <v>2009</v>
      </c>
      <c r="C69">
        <v>162800</v>
      </c>
      <c r="D69" t="s">
        <v>53</v>
      </c>
      <c r="E69">
        <v>370000</v>
      </c>
      <c r="F69">
        <v>42329</v>
      </c>
      <c r="G69" s="7">
        <v>42736</v>
      </c>
      <c r="H69">
        <f>G69-F69</f>
        <v>407</v>
      </c>
    </row>
    <row r="70" spans="1:8" x14ac:dyDescent="0.25">
      <c r="A70" t="s">
        <v>33</v>
      </c>
      <c r="B70">
        <v>2012</v>
      </c>
      <c r="C70">
        <v>163800</v>
      </c>
      <c r="D70" t="s">
        <v>122</v>
      </c>
      <c r="E70">
        <v>366000</v>
      </c>
      <c r="F70">
        <v>42329</v>
      </c>
      <c r="G70" s="7">
        <v>42736</v>
      </c>
      <c r="H70">
        <f>G70-F70</f>
        <v>407</v>
      </c>
    </row>
    <row r="71" spans="1:8" x14ac:dyDescent="0.25">
      <c r="A71" t="s">
        <v>157</v>
      </c>
      <c r="B71">
        <v>2013</v>
      </c>
      <c r="C71">
        <v>271000</v>
      </c>
      <c r="D71" t="s">
        <v>158</v>
      </c>
      <c r="E71">
        <v>153000</v>
      </c>
      <c r="F71">
        <v>42334</v>
      </c>
      <c r="G71" s="7">
        <v>42736</v>
      </c>
      <c r="H71">
        <f>G71-F71</f>
        <v>402</v>
      </c>
    </row>
    <row r="72" spans="1:8" x14ac:dyDescent="0.25">
      <c r="A72" t="s">
        <v>157</v>
      </c>
      <c r="B72">
        <v>2014</v>
      </c>
      <c r="C72">
        <v>270000</v>
      </c>
      <c r="D72" t="s">
        <v>169</v>
      </c>
      <c r="E72">
        <v>157000</v>
      </c>
      <c r="F72">
        <v>42334</v>
      </c>
      <c r="G72" s="7">
        <v>42736</v>
      </c>
      <c r="H72">
        <f>G72-F72</f>
        <v>402</v>
      </c>
    </row>
    <row r="73" spans="1:8" x14ac:dyDescent="0.25">
      <c r="A73" t="s">
        <v>160</v>
      </c>
      <c r="B73">
        <v>2014</v>
      </c>
      <c r="C73">
        <v>98000</v>
      </c>
      <c r="D73" t="s">
        <v>161</v>
      </c>
      <c r="E73">
        <v>251000</v>
      </c>
      <c r="F73">
        <v>42344</v>
      </c>
      <c r="G73" s="7">
        <v>42736</v>
      </c>
      <c r="H73">
        <f>G73-F73</f>
        <v>392</v>
      </c>
    </row>
    <row r="74" spans="1:8" x14ac:dyDescent="0.25">
      <c r="A74" t="s">
        <v>160</v>
      </c>
      <c r="B74">
        <v>2014</v>
      </c>
      <c r="C74">
        <v>99000</v>
      </c>
      <c r="D74" t="s">
        <v>162</v>
      </c>
      <c r="E74">
        <v>247000</v>
      </c>
      <c r="F74">
        <v>42344</v>
      </c>
      <c r="G74" s="7">
        <v>42736</v>
      </c>
      <c r="H74">
        <f>G74-F74</f>
        <v>392</v>
      </c>
    </row>
    <row r="75" spans="1:8" x14ac:dyDescent="0.25">
      <c r="A75" t="s">
        <v>50</v>
      </c>
      <c r="B75">
        <v>2009</v>
      </c>
      <c r="C75">
        <v>131780</v>
      </c>
      <c r="D75" t="s">
        <v>51</v>
      </c>
      <c r="E75">
        <v>306000</v>
      </c>
      <c r="F75">
        <v>42365</v>
      </c>
      <c r="G75" s="7">
        <v>42736</v>
      </c>
      <c r="H75">
        <f>G75-F75</f>
        <v>371</v>
      </c>
    </row>
    <row r="76" spans="1:8" x14ac:dyDescent="0.25">
      <c r="A76" t="s">
        <v>50</v>
      </c>
      <c r="B76">
        <v>2012</v>
      </c>
      <c r="C76">
        <v>130780</v>
      </c>
      <c r="D76" t="s">
        <v>117</v>
      </c>
      <c r="E76">
        <v>310000</v>
      </c>
      <c r="F76">
        <v>42365</v>
      </c>
      <c r="G76" s="7">
        <v>42736</v>
      </c>
      <c r="H76">
        <f>G76-F76</f>
        <v>371</v>
      </c>
    </row>
    <row r="77" spans="1:8" x14ac:dyDescent="0.25">
      <c r="A77" t="s">
        <v>33</v>
      </c>
      <c r="B77">
        <v>2009</v>
      </c>
      <c r="C77">
        <v>77000</v>
      </c>
      <c r="D77" t="s">
        <v>34</v>
      </c>
      <c r="E77">
        <v>846000</v>
      </c>
      <c r="F77">
        <v>42376</v>
      </c>
      <c r="G77" s="7">
        <v>42736</v>
      </c>
      <c r="H77">
        <f>G77-F77</f>
        <v>360</v>
      </c>
    </row>
    <row r="78" spans="1:8" x14ac:dyDescent="0.25">
      <c r="A78" t="s">
        <v>33</v>
      </c>
      <c r="B78">
        <v>2012</v>
      </c>
      <c r="C78">
        <v>76000</v>
      </c>
      <c r="D78" t="s">
        <v>114</v>
      </c>
      <c r="E78">
        <v>850000</v>
      </c>
      <c r="F78">
        <v>42376</v>
      </c>
      <c r="G78" s="7">
        <v>42736</v>
      </c>
      <c r="H78">
        <f>G78-F78</f>
        <v>360</v>
      </c>
    </row>
    <row r="79" spans="1:8" x14ac:dyDescent="0.25">
      <c r="A79" t="s">
        <v>37</v>
      </c>
      <c r="B79">
        <v>2009</v>
      </c>
      <c r="C79">
        <v>79000</v>
      </c>
      <c r="D79" t="s">
        <v>38</v>
      </c>
      <c r="E79">
        <v>390000</v>
      </c>
      <c r="F79">
        <v>42379</v>
      </c>
      <c r="G79" s="7">
        <v>42736</v>
      </c>
      <c r="H79">
        <f>G79-F79</f>
        <v>357</v>
      </c>
    </row>
    <row r="80" spans="1:8" x14ac:dyDescent="0.25">
      <c r="A80" t="s">
        <v>37</v>
      </c>
      <c r="B80">
        <v>2009</v>
      </c>
      <c r="C80">
        <v>79000</v>
      </c>
      <c r="D80" t="s">
        <v>39</v>
      </c>
      <c r="E80">
        <v>390000</v>
      </c>
      <c r="F80">
        <v>42379</v>
      </c>
      <c r="G80" s="7">
        <v>42736</v>
      </c>
      <c r="H80">
        <f>G80-F80</f>
        <v>357</v>
      </c>
    </row>
    <row r="81" spans="1:8" x14ac:dyDescent="0.25">
      <c r="A81" t="s">
        <v>37</v>
      </c>
      <c r="B81">
        <v>2013</v>
      </c>
      <c r="C81">
        <v>80000</v>
      </c>
      <c r="D81" t="s">
        <v>144</v>
      </c>
      <c r="E81">
        <v>350000</v>
      </c>
      <c r="F81">
        <v>42379</v>
      </c>
      <c r="G81" s="7">
        <v>42736</v>
      </c>
      <c r="H81">
        <f>G81-F81</f>
        <v>357</v>
      </c>
    </row>
    <row r="82" spans="1:8" x14ac:dyDescent="0.25">
      <c r="A82" t="s">
        <v>37</v>
      </c>
      <c r="B82">
        <v>2013</v>
      </c>
      <c r="C82">
        <v>80000</v>
      </c>
      <c r="D82" t="s">
        <v>145</v>
      </c>
      <c r="E82">
        <v>235000</v>
      </c>
      <c r="F82">
        <v>42379</v>
      </c>
      <c r="G82" s="7">
        <v>42736</v>
      </c>
      <c r="H82">
        <f>G82-F82</f>
        <v>357</v>
      </c>
    </row>
    <row r="83" spans="1:8" x14ac:dyDescent="0.25">
      <c r="A83" t="s">
        <v>20</v>
      </c>
      <c r="B83">
        <v>2008</v>
      </c>
      <c r="C83">
        <v>84000</v>
      </c>
      <c r="D83" t="s">
        <v>21</v>
      </c>
      <c r="E83">
        <v>266000</v>
      </c>
      <c r="F83">
        <v>42382</v>
      </c>
      <c r="G83" s="7">
        <v>42736</v>
      </c>
      <c r="H83">
        <f>G83-F83</f>
        <v>354</v>
      </c>
    </row>
    <row r="84" spans="1:8" x14ac:dyDescent="0.25">
      <c r="A84" t="s">
        <v>20</v>
      </c>
      <c r="B84">
        <v>2009</v>
      </c>
      <c r="C84">
        <v>83000</v>
      </c>
      <c r="D84" t="s">
        <v>40</v>
      </c>
      <c r="E84">
        <v>270000</v>
      </c>
      <c r="F84">
        <v>42382</v>
      </c>
      <c r="G84" s="7">
        <v>42736</v>
      </c>
      <c r="H84">
        <f>G84-F84</f>
        <v>354</v>
      </c>
    </row>
    <row r="85" spans="1:8" x14ac:dyDescent="0.25">
      <c r="A85" t="s">
        <v>20</v>
      </c>
      <c r="B85">
        <v>2010</v>
      </c>
      <c r="C85">
        <v>84000</v>
      </c>
      <c r="D85" t="s">
        <v>73</v>
      </c>
      <c r="E85">
        <v>266000</v>
      </c>
      <c r="F85">
        <v>42382</v>
      </c>
      <c r="G85" s="7">
        <v>42736</v>
      </c>
      <c r="H85">
        <f>G85-F85</f>
        <v>354</v>
      </c>
    </row>
    <row r="86" spans="1:8" x14ac:dyDescent="0.25">
      <c r="A86" t="s">
        <v>45</v>
      </c>
      <c r="B86">
        <v>2010</v>
      </c>
      <c r="C86">
        <v>89000</v>
      </c>
      <c r="D86" t="s">
        <v>75</v>
      </c>
      <c r="E86">
        <v>266000</v>
      </c>
      <c r="F86">
        <v>42382</v>
      </c>
      <c r="G86" s="7">
        <v>42736</v>
      </c>
      <c r="H86">
        <f>G86-F86</f>
        <v>354</v>
      </c>
    </row>
    <row r="87" spans="1:8" x14ac:dyDescent="0.25">
      <c r="A87" t="s">
        <v>16</v>
      </c>
      <c r="B87">
        <v>2009</v>
      </c>
      <c r="C87">
        <v>65000</v>
      </c>
      <c r="D87" t="s">
        <v>30</v>
      </c>
      <c r="E87">
        <v>740000</v>
      </c>
      <c r="F87">
        <v>42385</v>
      </c>
      <c r="G87" s="7">
        <v>42736</v>
      </c>
      <c r="H87">
        <f>G87-F87</f>
        <v>351</v>
      </c>
    </row>
    <row r="88" spans="1:8" x14ac:dyDescent="0.25">
      <c r="A88" t="s">
        <v>47</v>
      </c>
      <c r="B88">
        <v>2009</v>
      </c>
      <c r="C88">
        <v>134000</v>
      </c>
      <c r="D88" t="s">
        <v>48</v>
      </c>
      <c r="E88">
        <v>482000</v>
      </c>
      <c r="F88">
        <v>42385</v>
      </c>
      <c r="G88" s="7">
        <v>42736</v>
      </c>
      <c r="H88">
        <f>G88-F88</f>
        <v>351</v>
      </c>
    </row>
    <row r="89" spans="1:8" x14ac:dyDescent="0.25">
      <c r="A89" t="s">
        <v>47</v>
      </c>
      <c r="B89">
        <v>2009</v>
      </c>
      <c r="C89">
        <v>135000</v>
      </c>
      <c r="D89" t="s">
        <v>49</v>
      </c>
      <c r="E89">
        <v>478000</v>
      </c>
      <c r="F89">
        <v>42385</v>
      </c>
      <c r="G89" s="7">
        <v>42736</v>
      </c>
      <c r="H89">
        <f>G89-F89</f>
        <v>351</v>
      </c>
    </row>
    <row r="90" spans="1:8" x14ac:dyDescent="0.25">
      <c r="A90" t="s">
        <v>16</v>
      </c>
      <c r="B90">
        <v>2010</v>
      </c>
      <c r="C90">
        <v>66000</v>
      </c>
      <c r="D90" t="s">
        <v>66</v>
      </c>
      <c r="E90">
        <v>736000</v>
      </c>
      <c r="F90">
        <v>42385</v>
      </c>
      <c r="G90" s="7">
        <v>42736</v>
      </c>
      <c r="H90">
        <f>G90-F90</f>
        <v>351</v>
      </c>
    </row>
    <row r="91" spans="1:8" x14ac:dyDescent="0.25">
      <c r="A91" t="s">
        <v>129</v>
      </c>
      <c r="B91">
        <v>2012</v>
      </c>
      <c r="C91">
        <v>210000</v>
      </c>
      <c r="D91" t="s">
        <v>130</v>
      </c>
      <c r="E91">
        <v>517000</v>
      </c>
      <c r="F91">
        <v>42415</v>
      </c>
      <c r="G91" s="7">
        <v>42736</v>
      </c>
      <c r="H91">
        <f>G91-F91</f>
        <v>321</v>
      </c>
    </row>
    <row r="92" spans="1:8" x14ac:dyDescent="0.25">
      <c r="A92" t="s">
        <v>129</v>
      </c>
      <c r="B92">
        <v>2012</v>
      </c>
      <c r="C92">
        <v>210000</v>
      </c>
      <c r="D92" t="s">
        <v>132</v>
      </c>
      <c r="E92">
        <v>435000</v>
      </c>
      <c r="F92">
        <v>42415</v>
      </c>
      <c r="G92" s="7">
        <v>42736</v>
      </c>
      <c r="H92">
        <f>G92-F92</f>
        <v>321</v>
      </c>
    </row>
    <row r="93" spans="1:8" x14ac:dyDescent="0.25">
      <c r="A93" t="s">
        <v>33</v>
      </c>
      <c r="B93">
        <v>2010</v>
      </c>
      <c r="C93">
        <v>230000</v>
      </c>
      <c r="D93" t="s">
        <v>87</v>
      </c>
      <c r="E93">
        <v>455000</v>
      </c>
      <c r="F93">
        <v>42439</v>
      </c>
      <c r="G93" s="7">
        <v>42736</v>
      </c>
      <c r="H93">
        <f>G93-F93</f>
        <v>297</v>
      </c>
    </row>
    <row r="94" spans="1:8" x14ac:dyDescent="0.25">
      <c r="A94" t="s">
        <v>33</v>
      </c>
      <c r="B94">
        <v>2012</v>
      </c>
      <c r="C94">
        <v>231000</v>
      </c>
      <c r="D94" t="s">
        <v>135</v>
      </c>
      <c r="E94">
        <v>451000</v>
      </c>
      <c r="F94">
        <v>42439</v>
      </c>
      <c r="G94" s="7">
        <v>42736</v>
      </c>
      <c r="H94">
        <f>G94-F94</f>
        <v>297</v>
      </c>
    </row>
    <row r="95" spans="1:8" x14ac:dyDescent="0.25">
      <c r="A95" t="s">
        <v>123</v>
      </c>
      <c r="B95">
        <v>2012</v>
      </c>
      <c r="C95">
        <v>183000</v>
      </c>
      <c r="D95" t="s">
        <v>124</v>
      </c>
      <c r="E95">
        <v>520000</v>
      </c>
      <c r="F95">
        <v>42444</v>
      </c>
      <c r="G95" s="7">
        <v>42736</v>
      </c>
      <c r="H95">
        <f>G95-F95</f>
        <v>292</v>
      </c>
    </row>
    <row r="96" spans="1:8" x14ac:dyDescent="0.25">
      <c r="A96" t="s">
        <v>123</v>
      </c>
      <c r="B96">
        <v>2012</v>
      </c>
      <c r="C96">
        <v>183000</v>
      </c>
      <c r="D96" t="s">
        <v>125</v>
      </c>
      <c r="E96">
        <v>530000</v>
      </c>
      <c r="F96">
        <v>42444</v>
      </c>
      <c r="G96" s="7">
        <v>42736</v>
      </c>
      <c r="H96">
        <f>G96-F96</f>
        <v>292</v>
      </c>
    </row>
    <row r="97" spans="1:8" x14ac:dyDescent="0.25">
      <c r="A97" t="s">
        <v>123</v>
      </c>
      <c r="B97">
        <v>2012</v>
      </c>
      <c r="C97">
        <v>183000</v>
      </c>
      <c r="D97" t="s">
        <v>126</v>
      </c>
      <c r="E97">
        <v>490000</v>
      </c>
      <c r="F97">
        <v>42444</v>
      </c>
      <c r="G97" s="7">
        <v>42736</v>
      </c>
      <c r="H97">
        <f>G97-F97</f>
        <v>292</v>
      </c>
    </row>
    <row r="98" spans="1:8" x14ac:dyDescent="0.25">
      <c r="A98" t="s">
        <v>123</v>
      </c>
      <c r="B98">
        <v>2012</v>
      </c>
      <c r="C98">
        <v>183000</v>
      </c>
      <c r="D98" t="s">
        <v>127</v>
      </c>
      <c r="E98">
        <v>481000</v>
      </c>
      <c r="F98">
        <v>42444</v>
      </c>
      <c r="G98" s="7">
        <v>42736</v>
      </c>
      <c r="H98">
        <f>G98-F98</f>
        <v>292</v>
      </c>
    </row>
    <row r="99" spans="1:8" x14ac:dyDescent="0.25">
      <c r="A99" t="s">
        <v>123</v>
      </c>
      <c r="B99">
        <v>2012</v>
      </c>
      <c r="C99">
        <v>183000</v>
      </c>
      <c r="D99" t="s">
        <v>128</v>
      </c>
      <c r="E99">
        <v>454000</v>
      </c>
      <c r="F99">
        <v>42444</v>
      </c>
      <c r="G99" s="7">
        <v>42736</v>
      </c>
      <c r="H99">
        <f>G99-F99</f>
        <v>292</v>
      </c>
    </row>
    <row r="100" spans="1:8" x14ac:dyDescent="0.25">
      <c r="A100" t="s">
        <v>104</v>
      </c>
      <c r="B100">
        <v>2011</v>
      </c>
      <c r="C100">
        <v>245000</v>
      </c>
      <c r="D100" t="s">
        <v>105</v>
      </c>
      <c r="E100">
        <v>720000</v>
      </c>
      <c r="F100">
        <v>42462</v>
      </c>
      <c r="G100" s="7">
        <v>42736</v>
      </c>
      <c r="H100">
        <f>G100-F100</f>
        <v>274</v>
      </c>
    </row>
    <row r="101" spans="1:8" x14ac:dyDescent="0.25">
      <c r="A101" t="s">
        <v>104</v>
      </c>
      <c r="B101">
        <v>2011</v>
      </c>
      <c r="C101">
        <v>245000</v>
      </c>
      <c r="D101" t="s">
        <v>106</v>
      </c>
      <c r="E101">
        <v>680000</v>
      </c>
      <c r="F101">
        <v>42462</v>
      </c>
      <c r="G101" s="7">
        <v>42736</v>
      </c>
      <c r="H101">
        <f>G101-F101</f>
        <v>274</v>
      </c>
    </row>
    <row r="102" spans="1:8" x14ac:dyDescent="0.25">
      <c r="A102" t="s">
        <v>104</v>
      </c>
      <c r="B102">
        <v>2011</v>
      </c>
      <c r="C102">
        <v>245000</v>
      </c>
      <c r="D102" t="s">
        <v>107</v>
      </c>
      <c r="E102">
        <v>660000</v>
      </c>
      <c r="F102">
        <v>42462</v>
      </c>
      <c r="G102" s="7">
        <v>42736</v>
      </c>
      <c r="H102">
        <f>G102-F102</f>
        <v>274</v>
      </c>
    </row>
    <row r="103" spans="1:8" x14ac:dyDescent="0.25">
      <c r="A103" t="s">
        <v>104</v>
      </c>
      <c r="B103">
        <v>2011</v>
      </c>
      <c r="C103">
        <v>245000</v>
      </c>
      <c r="D103" t="s">
        <v>108</v>
      </c>
      <c r="E103">
        <v>630000</v>
      </c>
      <c r="F103">
        <v>42462</v>
      </c>
      <c r="G103" s="7">
        <v>42736</v>
      </c>
      <c r="H103">
        <f>G103-F103</f>
        <v>274</v>
      </c>
    </row>
    <row r="104" spans="1:8" x14ac:dyDescent="0.25">
      <c r="A104" t="s">
        <v>104</v>
      </c>
      <c r="B104">
        <v>2011</v>
      </c>
      <c r="C104">
        <v>245000</v>
      </c>
      <c r="D104" t="s">
        <v>109</v>
      </c>
      <c r="E104">
        <v>655000</v>
      </c>
      <c r="F104">
        <v>42462</v>
      </c>
      <c r="G104" s="7">
        <v>42736</v>
      </c>
      <c r="H104">
        <f>G104-F104</f>
        <v>274</v>
      </c>
    </row>
    <row r="105" spans="1:8" x14ac:dyDescent="0.25">
      <c r="A105" t="s">
        <v>104</v>
      </c>
      <c r="B105">
        <v>2011</v>
      </c>
      <c r="C105">
        <v>245000</v>
      </c>
      <c r="D105" t="s">
        <v>110</v>
      </c>
      <c r="E105">
        <v>590000</v>
      </c>
      <c r="F105">
        <v>42462</v>
      </c>
      <c r="G105" s="7">
        <v>42736</v>
      </c>
      <c r="H105">
        <f>G105-F105</f>
        <v>274</v>
      </c>
    </row>
    <row r="106" spans="1:8" x14ac:dyDescent="0.25">
      <c r="A106" t="s">
        <v>56</v>
      </c>
      <c r="B106">
        <v>2009</v>
      </c>
      <c r="C106">
        <v>195370</v>
      </c>
      <c r="D106" t="s">
        <v>57</v>
      </c>
      <c r="E106">
        <v>290000</v>
      </c>
      <c r="F106">
        <v>42467</v>
      </c>
      <c r="G106" s="7">
        <v>42736</v>
      </c>
      <c r="H106">
        <f>G106-F106</f>
        <v>269</v>
      </c>
    </row>
    <row r="107" spans="1:8" x14ac:dyDescent="0.25">
      <c r="A107" t="s">
        <v>56</v>
      </c>
      <c r="B107">
        <v>2012</v>
      </c>
      <c r="C107">
        <v>196370</v>
      </c>
      <c r="D107" t="s">
        <v>131</v>
      </c>
      <c r="E107">
        <v>286000</v>
      </c>
      <c r="F107">
        <v>42467</v>
      </c>
      <c r="G107" s="7">
        <v>42736</v>
      </c>
      <c r="H107">
        <f>G107-F107</f>
        <v>269</v>
      </c>
    </row>
    <row r="108" spans="1:8" x14ac:dyDescent="0.25">
      <c r="A108" t="s">
        <v>45</v>
      </c>
      <c r="B108">
        <v>2012</v>
      </c>
      <c r="C108">
        <v>135502</v>
      </c>
      <c r="D108" t="s">
        <v>118</v>
      </c>
      <c r="E108">
        <v>247000</v>
      </c>
      <c r="F108">
        <v>42476</v>
      </c>
      <c r="G108" s="7">
        <v>42736</v>
      </c>
      <c r="H108">
        <f>G108-F108</f>
        <v>260</v>
      </c>
    </row>
    <row r="109" spans="1:8" x14ac:dyDescent="0.25">
      <c r="A109" t="s">
        <v>45</v>
      </c>
      <c r="B109">
        <v>2014</v>
      </c>
      <c r="C109">
        <v>136502</v>
      </c>
      <c r="D109" t="s">
        <v>163</v>
      </c>
      <c r="E109">
        <v>243000</v>
      </c>
      <c r="F109">
        <v>42476</v>
      </c>
      <c r="G109" s="7">
        <v>42736</v>
      </c>
      <c r="H109">
        <f>G109-F109</f>
        <v>260</v>
      </c>
    </row>
    <row r="110" spans="1:8" x14ac:dyDescent="0.25">
      <c r="A110" t="s">
        <v>62</v>
      </c>
      <c r="B110">
        <v>2011</v>
      </c>
      <c r="C110">
        <v>210000</v>
      </c>
      <c r="D110" t="s">
        <v>96</v>
      </c>
      <c r="E110">
        <v>780000</v>
      </c>
      <c r="F110">
        <v>42481</v>
      </c>
      <c r="G110" s="7">
        <v>42736</v>
      </c>
      <c r="H110">
        <f>G110-F110</f>
        <v>255</v>
      </c>
    </row>
    <row r="111" spans="1:8" x14ac:dyDescent="0.25">
      <c r="A111" t="s">
        <v>62</v>
      </c>
      <c r="B111">
        <v>2011</v>
      </c>
      <c r="C111">
        <v>210000</v>
      </c>
      <c r="D111" t="s">
        <v>97</v>
      </c>
      <c r="E111">
        <v>760300</v>
      </c>
      <c r="F111">
        <v>42481</v>
      </c>
      <c r="G111" s="7">
        <v>42736</v>
      </c>
      <c r="H111">
        <f>G111-F111</f>
        <v>255</v>
      </c>
    </row>
    <row r="112" spans="1:8" x14ac:dyDescent="0.25">
      <c r="A112" t="s">
        <v>62</v>
      </c>
      <c r="B112">
        <v>2011</v>
      </c>
      <c r="C112">
        <v>210000</v>
      </c>
      <c r="D112" t="s">
        <v>98</v>
      </c>
      <c r="E112">
        <v>680000</v>
      </c>
      <c r="F112">
        <v>42481</v>
      </c>
      <c r="G112" s="7">
        <v>42736</v>
      </c>
      <c r="H112">
        <f>G112-F112</f>
        <v>255</v>
      </c>
    </row>
    <row r="113" spans="1:8" x14ac:dyDescent="0.25">
      <c r="A113" t="s">
        <v>62</v>
      </c>
      <c r="B113">
        <v>2011</v>
      </c>
      <c r="C113">
        <v>210000</v>
      </c>
      <c r="D113" t="s">
        <v>99</v>
      </c>
      <c r="E113">
        <v>655000</v>
      </c>
      <c r="F113">
        <v>42481</v>
      </c>
      <c r="G113" s="7">
        <v>42736</v>
      </c>
      <c r="H113">
        <f>G113-F113</f>
        <v>255</v>
      </c>
    </row>
    <row r="114" spans="1:8" x14ac:dyDescent="0.25">
      <c r="A114" t="s">
        <v>12</v>
      </c>
      <c r="B114">
        <v>2007</v>
      </c>
      <c r="C114">
        <v>205000</v>
      </c>
      <c r="D114" t="s">
        <v>13</v>
      </c>
      <c r="E114">
        <v>1260000</v>
      </c>
      <c r="F114">
        <v>42483</v>
      </c>
      <c r="G114" s="7">
        <v>42736</v>
      </c>
      <c r="H114">
        <f>G114-F114</f>
        <v>253</v>
      </c>
    </row>
    <row r="115" spans="1:8" x14ac:dyDescent="0.25">
      <c r="A115" t="s">
        <v>14</v>
      </c>
      <c r="B115">
        <v>2007</v>
      </c>
      <c r="C115">
        <v>198000</v>
      </c>
      <c r="D115" t="s">
        <v>15</v>
      </c>
      <c r="E115">
        <v>890200</v>
      </c>
      <c r="F115">
        <v>42520</v>
      </c>
      <c r="G115" s="7">
        <v>42736</v>
      </c>
      <c r="H115">
        <f>G115-F115</f>
        <v>216</v>
      </c>
    </row>
    <row r="116" spans="1:8" x14ac:dyDescent="0.25">
      <c r="A116" t="s">
        <v>133</v>
      </c>
      <c r="B116">
        <v>2012</v>
      </c>
      <c r="C116">
        <v>210300</v>
      </c>
      <c r="D116" t="s">
        <v>134</v>
      </c>
      <c r="E116">
        <v>417671</v>
      </c>
      <c r="F116">
        <v>42520</v>
      </c>
      <c r="G116" s="7">
        <v>42736</v>
      </c>
      <c r="H116">
        <f>G116-F116</f>
        <v>216</v>
      </c>
    </row>
    <row r="117" spans="1:8" x14ac:dyDescent="0.25">
      <c r="A117" t="s">
        <v>157</v>
      </c>
      <c r="B117">
        <v>2013</v>
      </c>
      <c r="C117">
        <v>271000</v>
      </c>
      <c r="D117" t="s">
        <v>159</v>
      </c>
      <c r="E117">
        <v>123000</v>
      </c>
      <c r="F117">
        <v>42520</v>
      </c>
      <c r="G117" s="7">
        <v>42736</v>
      </c>
      <c r="H117">
        <f>G117-F117</f>
        <v>216</v>
      </c>
    </row>
    <row r="118" spans="1:8" x14ac:dyDescent="0.25">
      <c r="A118" t="s">
        <v>45</v>
      </c>
      <c r="B118">
        <v>2009</v>
      </c>
      <c r="C118">
        <v>159000</v>
      </c>
      <c r="D118" t="s">
        <v>52</v>
      </c>
      <c r="E118">
        <v>403000</v>
      </c>
      <c r="F118">
        <v>42681</v>
      </c>
      <c r="G118" s="7">
        <v>42736</v>
      </c>
      <c r="H118">
        <f>G118-F118</f>
        <v>55</v>
      </c>
    </row>
    <row r="119" spans="1:8" x14ac:dyDescent="0.25">
      <c r="A119" t="s">
        <v>45</v>
      </c>
      <c r="B119">
        <v>2013</v>
      </c>
      <c r="C119">
        <v>158000</v>
      </c>
      <c r="D119" t="s">
        <v>148</v>
      </c>
      <c r="E119">
        <v>407000</v>
      </c>
      <c r="F119">
        <v>42681</v>
      </c>
      <c r="G119" s="7">
        <v>42736</v>
      </c>
      <c r="H119">
        <f>G119-F119</f>
        <v>55</v>
      </c>
    </row>
    <row r="120" spans="1:8" x14ac:dyDescent="0.25">
      <c r="A120" t="s">
        <v>136</v>
      </c>
      <c r="B120">
        <v>2014</v>
      </c>
      <c r="C120">
        <v>240000</v>
      </c>
      <c r="D120" t="s">
        <v>166</v>
      </c>
      <c r="E120">
        <v>183788</v>
      </c>
      <c r="F120">
        <v>42681</v>
      </c>
      <c r="G120" s="7">
        <v>42736</v>
      </c>
      <c r="H120">
        <f>G120-F120</f>
        <v>55</v>
      </c>
    </row>
    <row r="121" spans="1:8" x14ac:dyDescent="0.25">
      <c r="A121" t="s">
        <v>136</v>
      </c>
      <c r="B121">
        <v>2014</v>
      </c>
      <c r="C121">
        <v>240000</v>
      </c>
      <c r="D121" t="s">
        <v>167</v>
      </c>
      <c r="E121">
        <v>160198</v>
      </c>
      <c r="F121">
        <v>42681</v>
      </c>
      <c r="G121" s="7">
        <v>42736</v>
      </c>
      <c r="H121">
        <f>G121-F121</f>
        <v>55</v>
      </c>
    </row>
    <row r="122" spans="1:8" x14ac:dyDescent="0.25">
      <c r="A122" t="s">
        <v>136</v>
      </c>
      <c r="B122">
        <v>2014</v>
      </c>
      <c r="C122">
        <v>240000</v>
      </c>
      <c r="D122" t="s">
        <v>168</v>
      </c>
      <c r="E122">
        <v>156724</v>
      </c>
      <c r="F122">
        <v>42681</v>
      </c>
      <c r="G122" s="7">
        <v>42736</v>
      </c>
      <c r="H122">
        <f>G122-F122</f>
        <v>55</v>
      </c>
    </row>
    <row r="123" spans="1:8" x14ac:dyDescent="0.25">
      <c r="A123" t="s">
        <v>136</v>
      </c>
      <c r="B123">
        <v>2013</v>
      </c>
      <c r="C123">
        <v>240000</v>
      </c>
      <c r="D123" t="s">
        <v>149</v>
      </c>
      <c r="E123">
        <v>301232</v>
      </c>
      <c r="F123">
        <v>42719</v>
      </c>
      <c r="G123" s="7">
        <v>42736</v>
      </c>
      <c r="H123">
        <f>G123-F123</f>
        <v>17</v>
      </c>
    </row>
    <row r="124" spans="1:8" x14ac:dyDescent="0.25">
      <c r="A124" t="s">
        <v>136</v>
      </c>
      <c r="B124">
        <v>2013</v>
      </c>
      <c r="C124">
        <v>240000</v>
      </c>
      <c r="D124" t="s">
        <v>150</v>
      </c>
      <c r="E124">
        <v>289567</v>
      </c>
      <c r="F124">
        <v>42719</v>
      </c>
      <c r="G124" s="7">
        <v>42736</v>
      </c>
      <c r="H124">
        <f>G124-F124</f>
        <v>17</v>
      </c>
    </row>
    <row r="125" spans="1:8" x14ac:dyDescent="0.25">
      <c r="A125" t="s">
        <v>136</v>
      </c>
      <c r="B125">
        <v>2013</v>
      </c>
      <c r="C125">
        <v>240000</v>
      </c>
      <c r="D125" t="s">
        <v>151</v>
      </c>
      <c r="E125">
        <v>245211</v>
      </c>
      <c r="F125">
        <v>42719</v>
      </c>
      <c r="G125" s="7">
        <v>42736</v>
      </c>
      <c r="H125">
        <f>G125-F125</f>
        <v>17</v>
      </c>
    </row>
    <row r="126" spans="1:8" x14ac:dyDescent="0.25">
      <c r="A126" t="s">
        <v>136</v>
      </c>
      <c r="B126">
        <v>2013</v>
      </c>
      <c r="C126">
        <v>240000</v>
      </c>
      <c r="D126" t="s">
        <v>152</v>
      </c>
      <c r="E126">
        <v>200123</v>
      </c>
      <c r="F126">
        <v>42719</v>
      </c>
      <c r="G126" s="7">
        <v>42736</v>
      </c>
      <c r="H126">
        <f>G126-F126</f>
        <v>17</v>
      </c>
    </row>
    <row r="127" spans="1:8" x14ac:dyDescent="0.25">
      <c r="A127" t="s">
        <v>136</v>
      </c>
      <c r="B127">
        <v>2013</v>
      </c>
      <c r="C127">
        <v>240000</v>
      </c>
      <c r="D127" t="s">
        <v>153</v>
      </c>
      <c r="E127">
        <v>235811</v>
      </c>
      <c r="F127">
        <v>42719</v>
      </c>
      <c r="G127" s="7">
        <v>42736</v>
      </c>
      <c r="H127">
        <f>G127-F127</f>
        <v>17</v>
      </c>
    </row>
    <row r="128" spans="1:8" x14ac:dyDescent="0.25">
      <c r="A128" t="s">
        <v>136</v>
      </c>
      <c r="B128">
        <v>2013</v>
      </c>
      <c r="C128">
        <v>240000</v>
      </c>
      <c r="D128" t="s">
        <v>154</v>
      </c>
      <c r="E128">
        <v>250021</v>
      </c>
      <c r="F128">
        <v>42719</v>
      </c>
      <c r="G128" s="7">
        <v>42736</v>
      </c>
      <c r="H128">
        <f>G128-F128</f>
        <v>17</v>
      </c>
    </row>
    <row r="129" spans="1:8" x14ac:dyDescent="0.25">
      <c r="A129" t="s">
        <v>136</v>
      </c>
      <c r="B129">
        <v>2013</v>
      </c>
      <c r="C129">
        <v>240000</v>
      </c>
      <c r="D129" t="s">
        <v>155</v>
      </c>
      <c r="E129">
        <v>198340</v>
      </c>
      <c r="F129">
        <v>42719</v>
      </c>
      <c r="G129" s="7">
        <v>42736</v>
      </c>
      <c r="H129">
        <f>G129-F129</f>
        <v>17</v>
      </c>
    </row>
    <row r="130" spans="1:8" x14ac:dyDescent="0.25">
      <c r="A130" t="s">
        <v>136</v>
      </c>
      <c r="B130">
        <v>2013</v>
      </c>
      <c r="C130">
        <v>240000</v>
      </c>
      <c r="D130" t="s">
        <v>156</v>
      </c>
      <c r="E130">
        <v>189761</v>
      </c>
      <c r="F130">
        <v>42719</v>
      </c>
      <c r="G130" s="7">
        <v>42736</v>
      </c>
      <c r="H130">
        <f>G130-F130</f>
        <v>17</v>
      </c>
    </row>
    <row r="131" spans="1:8" x14ac:dyDescent="0.25">
      <c r="A131" t="s">
        <v>172</v>
      </c>
      <c r="B131">
        <v>2015</v>
      </c>
      <c r="C131">
        <v>360000</v>
      </c>
      <c r="D131" t="s">
        <v>173</v>
      </c>
      <c r="E131">
        <v>100000</v>
      </c>
      <c r="F131">
        <v>42734</v>
      </c>
      <c r="G131" s="7">
        <v>42736</v>
      </c>
      <c r="H131">
        <f>G131-F131</f>
        <v>2</v>
      </c>
    </row>
    <row r="132" spans="1:8" x14ac:dyDescent="0.25">
      <c r="A132" t="s">
        <v>172</v>
      </c>
      <c r="B132">
        <v>2015</v>
      </c>
      <c r="C132">
        <v>360000</v>
      </c>
      <c r="D132" t="s">
        <v>174</v>
      </c>
      <c r="E132">
        <v>115000</v>
      </c>
      <c r="F132">
        <v>42734</v>
      </c>
      <c r="G132" s="7">
        <v>42736</v>
      </c>
      <c r="H132">
        <f>G132-F132</f>
        <v>2</v>
      </c>
    </row>
    <row r="133" spans="1:8" x14ac:dyDescent="0.25">
      <c r="A133" t="s">
        <v>172</v>
      </c>
      <c r="B133">
        <v>2015</v>
      </c>
      <c r="C133">
        <v>360000</v>
      </c>
      <c r="D133" t="s">
        <v>175</v>
      </c>
      <c r="E133">
        <v>132000</v>
      </c>
      <c r="F133">
        <v>42734</v>
      </c>
      <c r="G133" s="7">
        <v>42736</v>
      </c>
      <c r="H133">
        <f>G133-F133</f>
        <v>2</v>
      </c>
    </row>
    <row r="134" spans="1:8" x14ac:dyDescent="0.25">
      <c r="A134" t="s">
        <v>172</v>
      </c>
      <c r="B134">
        <v>2015</v>
      </c>
      <c r="C134">
        <v>360000</v>
      </c>
      <c r="D134" t="s">
        <v>176</v>
      </c>
      <c r="E134">
        <v>108000</v>
      </c>
      <c r="F134">
        <v>42734</v>
      </c>
      <c r="G134" s="7">
        <v>42736</v>
      </c>
      <c r="H134">
        <f>G134-F134</f>
        <v>2</v>
      </c>
    </row>
    <row r="135" spans="1:8" x14ac:dyDescent="0.25">
      <c r="A135" t="s">
        <v>172</v>
      </c>
      <c r="B135">
        <v>2015</v>
      </c>
      <c r="C135">
        <v>360000</v>
      </c>
      <c r="D135" t="s">
        <v>177</v>
      </c>
      <c r="E135">
        <v>140000</v>
      </c>
      <c r="F135">
        <v>42734</v>
      </c>
      <c r="G135" s="7">
        <v>42736</v>
      </c>
      <c r="H135">
        <f>G135-F135</f>
        <v>2</v>
      </c>
    </row>
  </sheetData>
  <autoFilter ref="A1:H135" xr:uid="{7C7AB48E-CEF7-4AF4-BADD-9163DF3DD45C}">
    <sortState xmlns:xlrd2="http://schemas.microsoft.com/office/spreadsheetml/2017/richdata2" ref="A2:H135">
      <sortCondition descending="1" ref="H1:H13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2</vt:i4>
      </vt:variant>
    </vt:vector>
  </HeadingPairs>
  <TitlesOfParts>
    <vt:vector size="6" baseType="lpstr">
      <vt:lpstr>5.1</vt:lpstr>
      <vt:lpstr>5.2</vt:lpstr>
      <vt:lpstr>5.3</vt:lpstr>
      <vt:lpstr>5.4</vt:lpstr>
      <vt:lpstr>'5.1'!transport</vt:lpstr>
      <vt:lpstr>'5.4'!transport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2026-04-24T21:49:07Z</dcterms:created>
  <dcterms:modified xsi:type="dcterms:W3CDTF">2026-04-24T22:16:06Z</dcterms:modified>
</cp:coreProperties>
</file>