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1B5D90A8-5FC8-476F-A01D-4721F16B9DA8}" xr6:coauthVersionLast="47" xr6:coauthVersionMax="47" xr10:uidLastSave="{00000000-0000-0000-0000-000000000000}"/>
  <bookViews>
    <workbookView xWindow="-120" yWindow="-120" windowWidth="38640" windowHeight="21120" xr2:uid="{B6F92DCE-736B-49F6-9DF6-73C369E7EB93}"/>
  </bookViews>
  <sheets>
    <sheet name="dane" sheetId="1" r:id="rId1"/>
    <sheet name="a" sheetId="2" r:id="rId2"/>
    <sheet name="b" sheetId="3" r:id="rId3"/>
    <sheet name="c" sheetId="4" r:id="rId4"/>
  </sheets>
  <definedNames>
    <definedName name="kraina" localSheetId="1">a!$A$2:$G$51</definedName>
    <definedName name="kraina" localSheetId="2">b!$A$2:$G$51</definedName>
    <definedName name="kraina" localSheetId="3">'c'!$A$2:$G$51</definedName>
    <definedName name="kraina" localSheetId="0">dane!$A$2:$E$51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4" l="1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2" i="4"/>
  <c r="O3" i="4"/>
  <c r="P3" i="4" s="1"/>
  <c r="Q3" i="4" s="1"/>
  <c r="R3" i="4" s="1"/>
  <c r="S3" i="4" s="1"/>
  <c r="T3" i="4" s="1"/>
  <c r="U3" i="4" s="1"/>
  <c r="V3" i="4" s="1"/>
  <c r="W3" i="4" s="1"/>
  <c r="X3" i="4" s="1"/>
  <c r="O4" i="4"/>
  <c r="P4" i="4" s="1"/>
  <c r="Q4" i="4" s="1"/>
  <c r="R4" i="4" s="1"/>
  <c r="S4" i="4" s="1"/>
  <c r="T4" i="4" s="1"/>
  <c r="U4" i="4" s="1"/>
  <c r="V4" i="4" s="1"/>
  <c r="W4" i="4" s="1"/>
  <c r="X4" i="4" s="1"/>
  <c r="O5" i="4"/>
  <c r="P5" i="4"/>
  <c r="Q5" i="4"/>
  <c r="R5" i="4" s="1"/>
  <c r="S5" i="4" s="1"/>
  <c r="T5" i="4" s="1"/>
  <c r="U5" i="4" s="1"/>
  <c r="V5" i="4" s="1"/>
  <c r="W5" i="4" s="1"/>
  <c r="X5" i="4" s="1"/>
  <c r="O6" i="4"/>
  <c r="P6" i="4"/>
  <c r="Q6" i="4"/>
  <c r="R6" i="4"/>
  <c r="S6" i="4"/>
  <c r="T6" i="4" s="1"/>
  <c r="U6" i="4" s="1"/>
  <c r="V6" i="4" s="1"/>
  <c r="W6" i="4" s="1"/>
  <c r="X6" i="4" s="1"/>
  <c r="O7" i="4"/>
  <c r="P7" i="4" s="1"/>
  <c r="Q7" i="4" s="1"/>
  <c r="R7" i="4" s="1"/>
  <c r="S7" i="4" s="1"/>
  <c r="T7" i="4" s="1"/>
  <c r="U7" i="4" s="1"/>
  <c r="V7" i="4" s="1"/>
  <c r="W7" i="4" s="1"/>
  <c r="X7" i="4" s="1"/>
  <c r="O8" i="4"/>
  <c r="P8" i="4"/>
  <c r="Q8" i="4"/>
  <c r="R8" i="4" s="1"/>
  <c r="S8" i="4" s="1"/>
  <c r="T8" i="4" s="1"/>
  <c r="U8" i="4" s="1"/>
  <c r="V8" i="4" s="1"/>
  <c r="W8" i="4" s="1"/>
  <c r="X8" i="4" s="1"/>
  <c r="O9" i="4"/>
  <c r="P9" i="4" s="1"/>
  <c r="Q9" i="4" s="1"/>
  <c r="R9" i="4" s="1"/>
  <c r="S9" i="4" s="1"/>
  <c r="T9" i="4" s="1"/>
  <c r="U9" i="4" s="1"/>
  <c r="V9" i="4" s="1"/>
  <c r="W9" i="4" s="1"/>
  <c r="X9" i="4" s="1"/>
  <c r="O10" i="4"/>
  <c r="P10" i="4" s="1"/>
  <c r="Q10" i="4" s="1"/>
  <c r="R10" i="4" s="1"/>
  <c r="S10" i="4" s="1"/>
  <c r="T10" i="4" s="1"/>
  <c r="U10" i="4" s="1"/>
  <c r="V10" i="4" s="1"/>
  <c r="W10" i="4" s="1"/>
  <c r="X10" i="4" s="1"/>
  <c r="O11" i="4"/>
  <c r="P11" i="4"/>
  <c r="Q11" i="4"/>
  <c r="R11" i="4" s="1"/>
  <c r="S11" i="4" s="1"/>
  <c r="T11" i="4" s="1"/>
  <c r="U11" i="4" s="1"/>
  <c r="V11" i="4" s="1"/>
  <c r="W11" i="4" s="1"/>
  <c r="X11" i="4" s="1"/>
  <c r="O12" i="4"/>
  <c r="P12" i="4"/>
  <c r="Q12" i="4"/>
  <c r="R12" i="4"/>
  <c r="S12" i="4"/>
  <c r="T12" i="4" s="1"/>
  <c r="U12" i="4" s="1"/>
  <c r="V12" i="4" s="1"/>
  <c r="W12" i="4" s="1"/>
  <c r="X12" i="4" s="1"/>
  <c r="O13" i="4"/>
  <c r="P13" i="4" s="1"/>
  <c r="Q13" i="4" s="1"/>
  <c r="R13" i="4" s="1"/>
  <c r="S13" i="4" s="1"/>
  <c r="T13" i="4" s="1"/>
  <c r="U13" i="4" s="1"/>
  <c r="V13" i="4" s="1"/>
  <c r="W13" i="4" s="1"/>
  <c r="X13" i="4" s="1"/>
  <c r="O14" i="4"/>
  <c r="P14" i="4"/>
  <c r="Q14" i="4"/>
  <c r="R14" i="4" s="1"/>
  <c r="S14" i="4" s="1"/>
  <c r="T14" i="4" s="1"/>
  <c r="U14" i="4" s="1"/>
  <c r="V14" i="4" s="1"/>
  <c r="W14" i="4" s="1"/>
  <c r="X14" i="4" s="1"/>
  <c r="O15" i="4"/>
  <c r="P15" i="4" s="1"/>
  <c r="Q15" i="4" s="1"/>
  <c r="R15" i="4" s="1"/>
  <c r="S15" i="4" s="1"/>
  <c r="T15" i="4" s="1"/>
  <c r="U15" i="4" s="1"/>
  <c r="V15" i="4" s="1"/>
  <c r="W15" i="4" s="1"/>
  <c r="X15" i="4" s="1"/>
  <c r="O16" i="4"/>
  <c r="P16" i="4" s="1"/>
  <c r="Q16" i="4" s="1"/>
  <c r="R16" i="4" s="1"/>
  <c r="S16" i="4" s="1"/>
  <c r="T16" i="4" s="1"/>
  <c r="U16" i="4" s="1"/>
  <c r="V16" i="4" s="1"/>
  <c r="W16" i="4" s="1"/>
  <c r="X16" i="4" s="1"/>
  <c r="O17" i="4"/>
  <c r="P17" i="4"/>
  <c r="Q17" i="4"/>
  <c r="R17" i="4" s="1"/>
  <c r="S17" i="4" s="1"/>
  <c r="T17" i="4" s="1"/>
  <c r="U17" i="4" s="1"/>
  <c r="V17" i="4" s="1"/>
  <c r="W17" i="4" s="1"/>
  <c r="X17" i="4" s="1"/>
  <c r="O18" i="4"/>
  <c r="P18" i="4"/>
  <c r="Q18" i="4"/>
  <c r="R18" i="4"/>
  <c r="S18" i="4"/>
  <c r="T18" i="4" s="1"/>
  <c r="U18" i="4" s="1"/>
  <c r="V18" i="4" s="1"/>
  <c r="W18" i="4" s="1"/>
  <c r="X18" i="4" s="1"/>
  <c r="O19" i="4"/>
  <c r="P19" i="4" s="1"/>
  <c r="Q19" i="4" s="1"/>
  <c r="R19" i="4" s="1"/>
  <c r="S19" i="4" s="1"/>
  <c r="T19" i="4" s="1"/>
  <c r="U19" i="4" s="1"/>
  <c r="V19" i="4" s="1"/>
  <c r="W19" i="4" s="1"/>
  <c r="X19" i="4" s="1"/>
  <c r="O20" i="4"/>
  <c r="P20" i="4"/>
  <c r="Q20" i="4"/>
  <c r="R20" i="4" s="1"/>
  <c r="S20" i="4" s="1"/>
  <c r="T20" i="4" s="1"/>
  <c r="U20" i="4" s="1"/>
  <c r="V20" i="4" s="1"/>
  <c r="W20" i="4" s="1"/>
  <c r="X20" i="4" s="1"/>
  <c r="O21" i="4"/>
  <c r="P21" i="4" s="1"/>
  <c r="Q21" i="4" s="1"/>
  <c r="R21" i="4" s="1"/>
  <c r="S21" i="4" s="1"/>
  <c r="T21" i="4" s="1"/>
  <c r="U21" i="4" s="1"/>
  <c r="V21" i="4" s="1"/>
  <c r="W21" i="4" s="1"/>
  <c r="X21" i="4" s="1"/>
  <c r="O22" i="4"/>
  <c r="P22" i="4" s="1"/>
  <c r="Q22" i="4" s="1"/>
  <c r="R22" i="4" s="1"/>
  <c r="S22" i="4" s="1"/>
  <c r="T22" i="4" s="1"/>
  <c r="U22" i="4" s="1"/>
  <c r="V22" i="4" s="1"/>
  <c r="W22" i="4" s="1"/>
  <c r="X22" i="4" s="1"/>
  <c r="O23" i="4"/>
  <c r="P23" i="4"/>
  <c r="Q23" i="4"/>
  <c r="R23" i="4" s="1"/>
  <c r="S23" i="4" s="1"/>
  <c r="T23" i="4" s="1"/>
  <c r="U23" i="4" s="1"/>
  <c r="V23" i="4" s="1"/>
  <c r="W23" i="4" s="1"/>
  <c r="X23" i="4" s="1"/>
  <c r="O24" i="4"/>
  <c r="P24" i="4"/>
  <c r="Q24" i="4"/>
  <c r="R24" i="4"/>
  <c r="S24" i="4"/>
  <c r="T24" i="4" s="1"/>
  <c r="U24" i="4" s="1"/>
  <c r="V24" i="4" s="1"/>
  <c r="W24" i="4" s="1"/>
  <c r="X24" i="4" s="1"/>
  <c r="O25" i="4"/>
  <c r="P25" i="4" s="1"/>
  <c r="Q25" i="4" s="1"/>
  <c r="R25" i="4" s="1"/>
  <c r="S25" i="4" s="1"/>
  <c r="T25" i="4" s="1"/>
  <c r="U25" i="4" s="1"/>
  <c r="V25" i="4" s="1"/>
  <c r="W25" i="4" s="1"/>
  <c r="X25" i="4" s="1"/>
  <c r="O26" i="4"/>
  <c r="P26" i="4"/>
  <c r="Q26" i="4"/>
  <c r="R26" i="4" s="1"/>
  <c r="S26" i="4" s="1"/>
  <c r="T26" i="4" s="1"/>
  <c r="U26" i="4" s="1"/>
  <c r="V26" i="4" s="1"/>
  <c r="W26" i="4" s="1"/>
  <c r="X26" i="4" s="1"/>
  <c r="O27" i="4"/>
  <c r="P27" i="4" s="1"/>
  <c r="Q27" i="4" s="1"/>
  <c r="R27" i="4" s="1"/>
  <c r="S27" i="4" s="1"/>
  <c r="T27" i="4" s="1"/>
  <c r="U27" i="4" s="1"/>
  <c r="V27" i="4" s="1"/>
  <c r="W27" i="4" s="1"/>
  <c r="X27" i="4" s="1"/>
  <c r="O28" i="4"/>
  <c r="P28" i="4" s="1"/>
  <c r="Q28" i="4" s="1"/>
  <c r="R28" i="4" s="1"/>
  <c r="S28" i="4" s="1"/>
  <c r="T28" i="4" s="1"/>
  <c r="U28" i="4" s="1"/>
  <c r="V28" i="4" s="1"/>
  <c r="W28" i="4" s="1"/>
  <c r="X28" i="4" s="1"/>
  <c r="O29" i="4"/>
  <c r="P29" i="4" s="1"/>
  <c r="Q29" i="4" s="1"/>
  <c r="R29" i="4" s="1"/>
  <c r="S29" i="4" s="1"/>
  <c r="T29" i="4" s="1"/>
  <c r="U29" i="4" s="1"/>
  <c r="V29" i="4" s="1"/>
  <c r="W29" i="4" s="1"/>
  <c r="X29" i="4" s="1"/>
  <c r="O30" i="4"/>
  <c r="P30" i="4"/>
  <c r="Q30" i="4"/>
  <c r="R30" i="4"/>
  <c r="S30" i="4"/>
  <c r="T30" i="4" s="1"/>
  <c r="U30" i="4" s="1"/>
  <c r="V30" i="4" s="1"/>
  <c r="W30" i="4" s="1"/>
  <c r="X30" i="4" s="1"/>
  <c r="O31" i="4"/>
  <c r="P31" i="4" s="1"/>
  <c r="Q31" i="4" s="1"/>
  <c r="R31" i="4" s="1"/>
  <c r="S31" i="4" s="1"/>
  <c r="T31" i="4" s="1"/>
  <c r="U31" i="4" s="1"/>
  <c r="V31" i="4" s="1"/>
  <c r="W31" i="4" s="1"/>
  <c r="X31" i="4" s="1"/>
  <c r="O32" i="4"/>
  <c r="P32" i="4"/>
  <c r="Q32" i="4"/>
  <c r="R32" i="4" s="1"/>
  <c r="S32" i="4" s="1"/>
  <c r="T32" i="4" s="1"/>
  <c r="U32" i="4" s="1"/>
  <c r="V32" i="4" s="1"/>
  <c r="W32" i="4" s="1"/>
  <c r="X32" i="4" s="1"/>
  <c r="O33" i="4"/>
  <c r="P33" i="4" s="1"/>
  <c r="Q33" i="4" s="1"/>
  <c r="R33" i="4" s="1"/>
  <c r="S33" i="4" s="1"/>
  <c r="T33" i="4" s="1"/>
  <c r="U33" i="4" s="1"/>
  <c r="V33" i="4" s="1"/>
  <c r="W33" i="4" s="1"/>
  <c r="X33" i="4" s="1"/>
  <c r="O34" i="4"/>
  <c r="P34" i="4" s="1"/>
  <c r="Q34" i="4" s="1"/>
  <c r="R34" i="4" s="1"/>
  <c r="S34" i="4" s="1"/>
  <c r="T34" i="4" s="1"/>
  <c r="U34" i="4" s="1"/>
  <c r="V34" i="4" s="1"/>
  <c r="W34" i="4" s="1"/>
  <c r="X34" i="4" s="1"/>
  <c r="O35" i="4"/>
  <c r="P35" i="4"/>
  <c r="Q35" i="4"/>
  <c r="R35" i="4" s="1"/>
  <c r="S35" i="4" s="1"/>
  <c r="T35" i="4" s="1"/>
  <c r="U35" i="4" s="1"/>
  <c r="V35" i="4" s="1"/>
  <c r="W35" i="4" s="1"/>
  <c r="X35" i="4" s="1"/>
  <c r="O36" i="4"/>
  <c r="P36" i="4"/>
  <c r="Q36" i="4"/>
  <c r="R36" i="4"/>
  <c r="S36" i="4"/>
  <c r="T36" i="4" s="1"/>
  <c r="U36" i="4" s="1"/>
  <c r="V36" i="4" s="1"/>
  <c r="W36" i="4" s="1"/>
  <c r="X36" i="4" s="1"/>
  <c r="O37" i="4"/>
  <c r="P37" i="4" s="1"/>
  <c r="Q37" i="4" s="1"/>
  <c r="R37" i="4" s="1"/>
  <c r="S37" i="4" s="1"/>
  <c r="T37" i="4" s="1"/>
  <c r="U37" i="4" s="1"/>
  <c r="V37" i="4" s="1"/>
  <c r="W37" i="4" s="1"/>
  <c r="X37" i="4" s="1"/>
  <c r="O38" i="4"/>
  <c r="P38" i="4"/>
  <c r="Q38" i="4"/>
  <c r="R38" i="4" s="1"/>
  <c r="S38" i="4" s="1"/>
  <c r="T38" i="4" s="1"/>
  <c r="U38" i="4" s="1"/>
  <c r="V38" i="4" s="1"/>
  <c r="W38" i="4" s="1"/>
  <c r="X38" i="4" s="1"/>
  <c r="O39" i="4"/>
  <c r="P39" i="4" s="1"/>
  <c r="Q39" i="4" s="1"/>
  <c r="R39" i="4" s="1"/>
  <c r="S39" i="4" s="1"/>
  <c r="T39" i="4" s="1"/>
  <c r="U39" i="4" s="1"/>
  <c r="V39" i="4" s="1"/>
  <c r="W39" i="4" s="1"/>
  <c r="X39" i="4" s="1"/>
  <c r="O40" i="4"/>
  <c r="P40" i="4" s="1"/>
  <c r="Q40" i="4" s="1"/>
  <c r="R40" i="4" s="1"/>
  <c r="S40" i="4" s="1"/>
  <c r="T40" i="4" s="1"/>
  <c r="U40" i="4" s="1"/>
  <c r="V40" i="4" s="1"/>
  <c r="W40" i="4" s="1"/>
  <c r="X40" i="4" s="1"/>
  <c r="O41" i="4"/>
  <c r="P41" i="4"/>
  <c r="Q41" i="4"/>
  <c r="R41" i="4" s="1"/>
  <c r="S41" i="4" s="1"/>
  <c r="T41" i="4" s="1"/>
  <c r="U41" i="4" s="1"/>
  <c r="V41" i="4" s="1"/>
  <c r="W41" i="4" s="1"/>
  <c r="X41" i="4" s="1"/>
  <c r="O42" i="4"/>
  <c r="P42" i="4"/>
  <c r="Q42" i="4"/>
  <c r="R42" i="4"/>
  <c r="S42" i="4"/>
  <c r="T42" i="4" s="1"/>
  <c r="U42" i="4" s="1"/>
  <c r="V42" i="4" s="1"/>
  <c r="W42" i="4" s="1"/>
  <c r="X42" i="4" s="1"/>
  <c r="O43" i="4"/>
  <c r="P43" i="4" s="1"/>
  <c r="Q43" i="4" s="1"/>
  <c r="R43" i="4" s="1"/>
  <c r="S43" i="4" s="1"/>
  <c r="T43" i="4" s="1"/>
  <c r="U43" i="4" s="1"/>
  <c r="V43" i="4" s="1"/>
  <c r="W43" i="4" s="1"/>
  <c r="X43" i="4" s="1"/>
  <c r="O44" i="4"/>
  <c r="P44" i="4"/>
  <c r="Q44" i="4"/>
  <c r="R44" i="4" s="1"/>
  <c r="S44" i="4" s="1"/>
  <c r="T44" i="4" s="1"/>
  <c r="U44" i="4" s="1"/>
  <c r="V44" i="4" s="1"/>
  <c r="W44" i="4" s="1"/>
  <c r="X44" i="4" s="1"/>
  <c r="O45" i="4"/>
  <c r="P45" i="4" s="1"/>
  <c r="Q45" i="4" s="1"/>
  <c r="R45" i="4" s="1"/>
  <c r="S45" i="4" s="1"/>
  <c r="T45" i="4" s="1"/>
  <c r="U45" i="4" s="1"/>
  <c r="V45" i="4" s="1"/>
  <c r="W45" i="4" s="1"/>
  <c r="X45" i="4" s="1"/>
  <c r="O46" i="4"/>
  <c r="P46" i="4" s="1"/>
  <c r="Q46" i="4" s="1"/>
  <c r="R46" i="4" s="1"/>
  <c r="S46" i="4" s="1"/>
  <c r="T46" i="4" s="1"/>
  <c r="U46" i="4" s="1"/>
  <c r="V46" i="4" s="1"/>
  <c r="W46" i="4" s="1"/>
  <c r="X46" i="4" s="1"/>
  <c r="O47" i="4"/>
  <c r="P47" i="4"/>
  <c r="Q47" i="4"/>
  <c r="R47" i="4" s="1"/>
  <c r="S47" i="4" s="1"/>
  <c r="T47" i="4" s="1"/>
  <c r="U47" i="4" s="1"/>
  <c r="V47" i="4" s="1"/>
  <c r="W47" i="4" s="1"/>
  <c r="X47" i="4" s="1"/>
  <c r="O48" i="4"/>
  <c r="P48" i="4"/>
  <c r="Q48" i="4"/>
  <c r="R48" i="4"/>
  <c r="S48" i="4"/>
  <c r="T48" i="4" s="1"/>
  <c r="U48" i="4" s="1"/>
  <c r="V48" i="4" s="1"/>
  <c r="W48" i="4" s="1"/>
  <c r="X48" i="4" s="1"/>
  <c r="O49" i="4"/>
  <c r="P49" i="4" s="1"/>
  <c r="Q49" i="4" s="1"/>
  <c r="R49" i="4" s="1"/>
  <c r="S49" i="4" s="1"/>
  <c r="T49" i="4" s="1"/>
  <c r="U49" i="4" s="1"/>
  <c r="V49" i="4" s="1"/>
  <c r="W49" i="4" s="1"/>
  <c r="X49" i="4" s="1"/>
  <c r="O50" i="4"/>
  <c r="P50" i="4"/>
  <c r="Q50" i="4"/>
  <c r="R50" i="4" s="1"/>
  <c r="S50" i="4" s="1"/>
  <c r="T50" i="4" s="1"/>
  <c r="U50" i="4" s="1"/>
  <c r="V50" i="4" s="1"/>
  <c r="W50" i="4" s="1"/>
  <c r="X50" i="4" s="1"/>
  <c r="O51" i="4"/>
  <c r="P51" i="4" s="1"/>
  <c r="Q51" i="4" s="1"/>
  <c r="R51" i="4" s="1"/>
  <c r="S51" i="4" s="1"/>
  <c r="T51" i="4" s="1"/>
  <c r="U51" i="4" s="1"/>
  <c r="V51" i="4" s="1"/>
  <c r="W51" i="4" s="1"/>
  <c r="X51" i="4" s="1"/>
  <c r="P2" i="4"/>
  <c r="Q2" i="4"/>
  <c r="R2" i="4"/>
  <c r="S2" i="4"/>
  <c r="T2" i="4"/>
  <c r="U2" i="4"/>
  <c r="V2" i="4"/>
  <c r="W2" i="4"/>
  <c r="X2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2" i="4"/>
  <c r="I30" i="4"/>
  <c r="J30" i="4"/>
  <c r="K30" i="4"/>
  <c r="K5" i="4"/>
  <c r="K7" i="4"/>
  <c r="K17" i="4"/>
  <c r="K19" i="4"/>
  <c r="K29" i="4"/>
  <c r="K32" i="4"/>
  <c r="K42" i="4"/>
  <c r="K44" i="4"/>
  <c r="I3" i="4"/>
  <c r="K3" i="4" s="1"/>
  <c r="I4" i="4"/>
  <c r="I5" i="4"/>
  <c r="I6" i="4"/>
  <c r="K6" i="4" s="1"/>
  <c r="I7" i="4"/>
  <c r="I8" i="4"/>
  <c r="I9" i="4"/>
  <c r="I10" i="4"/>
  <c r="I11" i="4"/>
  <c r="I12" i="4"/>
  <c r="I13" i="4"/>
  <c r="I14" i="4"/>
  <c r="I15" i="4"/>
  <c r="K15" i="4" s="1"/>
  <c r="I16" i="4"/>
  <c r="I17" i="4"/>
  <c r="I18" i="4"/>
  <c r="K18" i="4" s="1"/>
  <c r="I19" i="4"/>
  <c r="I20" i="4"/>
  <c r="I21" i="4"/>
  <c r="I22" i="4"/>
  <c r="I23" i="4"/>
  <c r="I24" i="4"/>
  <c r="I25" i="4"/>
  <c r="I26" i="4"/>
  <c r="I27" i="4"/>
  <c r="K27" i="4" s="1"/>
  <c r="I28" i="4"/>
  <c r="I29" i="4"/>
  <c r="I31" i="4"/>
  <c r="K31" i="4" s="1"/>
  <c r="I32" i="4"/>
  <c r="I33" i="4"/>
  <c r="I34" i="4"/>
  <c r="I35" i="4"/>
  <c r="I36" i="4"/>
  <c r="I37" i="4"/>
  <c r="I38" i="4"/>
  <c r="I39" i="4"/>
  <c r="I40" i="4"/>
  <c r="K40" i="4" s="1"/>
  <c r="I41" i="4"/>
  <c r="I42" i="4"/>
  <c r="I43" i="4"/>
  <c r="K43" i="4" s="1"/>
  <c r="I44" i="4"/>
  <c r="I45" i="4"/>
  <c r="I46" i="4"/>
  <c r="I47" i="4"/>
  <c r="I48" i="4"/>
  <c r="I49" i="4"/>
  <c r="I50" i="4"/>
  <c r="I51" i="4"/>
  <c r="J25" i="4"/>
  <c r="J26" i="4"/>
  <c r="J27" i="4"/>
  <c r="J28" i="4"/>
  <c r="K28" i="4" s="1"/>
  <c r="J29" i="4"/>
  <c r="J31" i="4"/>
  <c r="J32" i="4"/>
  <c r="J33" i="4"/>
  <c r="J34" i="4"/>
  <c r="J35" i="4"/>
  <c r="J36" i="4"/>
  <c r="J37" i="4"/>
  <c r="J38" i="4"/>
  <c r="J39" i="4"/>
  <c r="J40" i="4"/>
  <c r="J41" i="4"/>
  <c r="K41" i="4" s="1"/>
  <c r="J42" i="4"/>
  <c r="J43" i="4"/>
  <c r="J44" i="4"/>
  <c r="J45" i="4"/>
  <c r="J46" i="4"/>
  <c r="J47" i="4"/>
  <c r="J48" i="4"/>
  <c r="J49" i="4"/>
  <c r="J50" i="4"/>
  <c r="J51" i="4"/>
  <c r="J3" i="4"/>
  <c r="J4" i="4"/>
  <c r="K4" i="4" s="1"/>
  <c r="J5" i="4"/>
  <c r="J6" i="4"/>
  <c r="J7" i="4"/>
  <c r="J8" i="4"/>
  <c r="K8" i="4" s="1"/>
  <c r="J9" i="4"/>
  <c r="J10" i="4"/>
  <c r="J11" i="4"/>
  <c r="J12" i="4"/>
  <c r="J13" i="4"/>
  <c r="J14" i="4"/>
  <c r="J15" i="4"/>
  <c r="J16" i="4"/>
  <c r="K16" i="4" s="1"/>
  <c r="J17" i="4"/>
  <c r="J18" i="4"/>
  <c r="J19" i="4"/>
  <c r="J20" i="4"/>
  <c r="K20" i="4" s="1"/>
  <c r="J21" i="4"/>
  <c r="J22" i="4"/>
  <c r="J23" i="4"/>
  <c r="J24" i="4"/>
  <c r="J2" i="4"/>
  <c r="I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O6" i="3"/>
  <c r="O5" i="3"/>
  <c r="O4" i="3"/>
  <c r="O3" i="3"/>
  <c r="O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L2" i="3"/>
  <c r="K2" i="3"/>
  <c r="J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O5" i="2"/>
  <c r="O4" i="2"/>
  <c r="O3" i="2"/>
  <c r="O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L2" i="2"/>
  <c r="K2" i="2"/>
  <c r="J2" i="2"/>
  <c r="I2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2" i="2"/>
  <c r="K2" i="4" l="1"/>
  <c r="K13" i="4"/>
  <c r="K50" i="4"/>
  <c r="K25" i="4"/>
  <c r="K38" i="4"/>
  <c r="K51" i="4"/>
  <c r="K39" i="4"/>
  <c r="K26" i="4"/>
  <c r="K14" i="4"/>
  <c r="K49" i="4"/>
  <c r="K37" i="4"/>
  <c r="K24" i="4"/>
  <c r="K12" i="4"/>
  <c r="K48" i="4"/>
  <c r="K36" i="4"/>
  <c r="K23" i="4"/>
  <c r="K11" i="4"/>
  <c r="K47" i="4"/>
  <c r="K35" i="4"/>
  <c r="K22" i="4"/>
  <c r="K10" i="4"/>
  <c r="K46" i="4"/>
  <c r="K34" i="4"/>
  <c r="K21" i="4"/>
  <c r="K9" i="4"/>
  <c r="K45" i="4"/>
  <c r="K33" i="4"/>
  <c r="Z2" i="4" l="1"/>
  <c r="Y5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688983-D35C-4D33-9C6B-4D5CCBE7BC33}" name="kraina" type="6" refreshedVersion="8" background="1" saveData="1">
    <textPr codePage="852" sourceFile="C:\Users\oskar\Desktop\Dane_PR\kraina.txt" decimal="," thousands=" " tab="0" semicolon="1">
      <textFields count="5">
        <textField/>
        <textField/>
        <textField/>
        <textField/>
        <textField/>
      </textFields>
    </textPr>
  </connection>
  <connection id="2" xr16:uid="{166166E2-EFE7-4BD3-89B6-3C8517CCF1C7}" name="kraina1" type="6" refreshedVersion="8" background="1" saveData="1">
    <textPr codePage="852" sourceFile="C:\Users\oskar\Desktop\Dane_PR\kraina.txt" decimal="," thousands=" " tab="0" semicolon="1">
      <textFields count="5">
        <textField/>
        <textField/>
        <textField/>
        <textField/>
        <textField/>
      </textFields>
    </textPr>
  </connection>
  <connection id="3" xr16:uid="{36B3FB41-5D9F-4120-ADAA-C56BEE7196EB}" name="kraina11" type="6" refreshedVersion="8" background="1" saveData="1">
    <textPr codePage="852" sourceFile="C:\Users\oskar\Desktop\Dane_PR\kraina.txt" decimal="," thousands=" " tab="0" semicolon="1">
      <textFields count="5">
        <textField/>
        <textField/>
        <textField/>
        <textField/>
        <textField/>
      </textFields>
    </textPr>
  </connection>
  <connection id="4" xr16:uid="{13F4BD76-6DC8-435A-AF6A-613339722AF2}" name="kraina111" type="6" refreshedVersion="8" background="1" saveData="1">
    <textPr codePage="852" sourceFile="C:\Users\oskar\Desktop\Dane_PR\kraina.txt" decimal="," thousands=" 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<sst xmlns="http://schemas.openxmlformats.org/spreadsheetml/2006/main" count="243" uniqueCount="68">
  <si>
    <t>w01D</t>
  </si>
  <si>
    <t>w02D</t>
  </si>
  <si>
    <t>w03C</t>
  </si>
  <si>
    <t>w04D</t>
  </si>
  <si>
    <t>w05A</t>
  </si>
  <si>
    <t>w06D</t>
  </si>
  <si>
    <t>w07B</t>
  </si>
  <si>
    <t>w08A</t>
  </si>
  <si>
    <t>w09C</t>
  </si>
  <si>
    <t>w10C</t>
  </si>
  <si>
    <t>w11D</t>
  </si>
  <si>
    <t>w12C</t>
  </si>
  <si>
    <t>w13A</t>
  </si>
  <si>
    <t>w14A</t>
  </si>
  <si>
    <t>w15A</t>
  </si>
  <si>
    <t>w16C</t>
  </si>
  <si>
    <t>w17A</t>
  </si>
  <si>
    <t>w18D</t>
  </si>
  <si>
    <t>w19C</t>
  </si>
  <si>
    <t>w20C</t>
  </si>
  <si>
    <t>w21A</t>
  </si>
  <si>
    <t>w22B</t>
  </si>
  <si>
    <t>w23B</t>
  </si>
  <si>
    <t>w24C</t>
  </si>
  <si>
    <t>w25B</t>
  </si>
  <si>
    <t>w26C</t>
  </si>
  <si>
    <t>w27C</t>
  </si>
  <si>
    <t>w28D</t>
  </si>
  <si>
    <t>w29A</t>
  </si>
  <si>
    <t>w30C</t>
  </si>
  <si>
    <t>w31C</t>
  </si>
  <si>
    <t>w32D</t>
  </si>
  <si>
    <t>w33B</t>
  </si>
  <si>
    <t>w34C</t>
  </si>
  <si>
    <t>w35C</t>
  </si>
  <si>
    <t>w36B</t>
  </si>
  <si>
    <t>w37A</t>
  </si>
  <si>
    <t>w38B</t>
  </si>
  <si>
    <t>w39D</t>
  </si>
  <si>
    <t>w40A</t>
  </si>
  <si>
    <t>w41D</t>
  </si>
  <si>
    <t>w42B</t>
  </si>
  <si>
    <t>w43D</t>
  </si>
  <si>
    <t>w44C</t>
  </si>
  <si>
    <t>w45B</t>
  </si>
  <si>
    <t>w46C</t>
  </si>
  <si>
    <t>w47B</t>
  </si>
  <si>
    <t>w48C</t>
  </si>
  <si>
    <t>w49C</t>
  </si>
  <si>
    <t>w50B</t>
  </si>
  <si>
    <t>numer województwa</t>
  </si>
  <si>
    <t>region</t>
  </si>
  <si>
    <t>kobiety 2013</t>
  </si>
  <si>
    <t>mężczyźni 2013</t>
  </si>
  <si>
    <t>kobiety 2014</t>
  </si>
  <si>
    <t>mężczyźni 2014</t>
  </si>
  <si>
    <t>A</t>
  </si>
  <si>
    <t>B</t>
  </si>
  <si>
    <t>C</t>
  </si>
  <si>
    <t>D</t>
  </si>
  <si>
    <t>kod województwa</t>
  </si>
  <si>
    <t>warunek b spełniony?</t>
  </si>
  <si>
    <t>razem</t>
  </si>
  <si>
    <t>ludność 2013</t>
  </si>
  <si>
    <t>ludność 2014</t>
  </si>
  <si>
    <t>tempo wzrostu</t>
  </si>
  <si>
    <t>liczba ludności</t>
  </si>
  <si>
    <t>przeludnienie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</si>
</sst>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ny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</a:t>
            </a:r>
            <a:r>
              <a:rPr lang="pl-PL" baseline="0"/>
              <a:t> mieszkańców w poszczególnych regionach w 2013 roku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a!$N$2:$N$5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a!$O$2:$O$5</c:f>
              <c:numCache>
                <c:formatCode>General</c:formatCode>
                <c:ptCount val="4"/>
                <c:pt idx="0">
                  <c:v>33929579</c:v>
                </c:pt>
                <c:pt idx="1">
                  <c:v>41736619</c:v>
                </c:pt>
                <c:pt idx="2">
                  <c:v>57649017</c:v>
                </c:pt>
                <c:pt idx="3">
                  <c:v>36530387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A-4C39-BEC4-52C09C3B3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140096"/>
        <c:axId val="1749137216"/>
      </c:barChart>
      <c:catAx>
        <c:axId val="174914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49137216"/>
        <c:crosses val="autoZero"/>
        <c:auto val="1"/>
        <c:lblAlgn val="ctr"/>
        <c:lblOffset val="100"/>
        <c:noMultiLvlLbl val="0"/>
      </c:catAx>
      <c:valAx>
        <c:axId val="174913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4914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598004</xdr:colOff>
      <xdr:row>5</xdr:row>
      <xdr:rowOff>174846</xdr:rowOff>
    </xdr:from>
    <xdr:to>
      <xdr:col>20</xdr:col>
      <xdr:colOff>255436</xdr:colOff>
      <xdr:row>20</xdr:row>
      <xdr:rowOff>60546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4DD55D3-28CD-6472-CDC1-EB16D2668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raina" connectionId="1" xr16:uid="{87291038-88C4-401F-A243-D5D56D8FEA6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raina" connectionId="2" xr16:uid="{927A04CA-FD36-4257-B63F-50110B6EB8A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raina" connectionId="3" xr16:uid="{3C5B08D0-6483-4967-8A6E-A638CC85196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kraina" connectionId="4" xr16:uid="{BC94A2E8-0C58-467A-B620-61E52D8B3F4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2C5CB-7B76-4B61-859A-D202F232C2F2}">
  <dimension ref="A2:E51"/>
  <sheetViews>
    <sheetView tabSelected="1" zoomScale="190" zoomScaleNormal="190" workbookViewId="0">
      <selection activeCell="H26" sqref="H26"/>
    </sheetView>
  </sheetViews>
  <sheetFormatPr defaultRowHeight="15" x14ac:dyDescent="0.25"/>
  <cols>
    <col min="1" max="1" width="5.85546875" bestFit="1" customWidth="1"/>
    <col min="2" max="5" width="8.28515625" bestFit="1" customWidth="1"/>
  </cols>
  <sheetData>
    <row r="2" spans="1:5" x14ac:dyDescent="0.25">
      <c r="A2" t="s">
        <v>0</v>
      </c>
      <c r="B2">
        <v>1415007</v>
      </c>
      <c r="C2">
        <v>1397195</v>
      </c>
      <c r="D2">
        <v>1499070</v>
      </c>
      <c r="E2">
        <v>1481105</v>
      </c>
    </row>
    <row r="3" spans="1:5" x14ac:dyDescent="0.25">
      <c r="A3" t="s">
        <v>1</v>
      </c>
      <c r="B3">
        <v>1711390</v>
      </c>
      <c r="C3">
        <v>1641773</v>
      </c>
      <c r="D3">
        <v>1522030</v>
      </c>
      <c r="E3">
        <v>1618733</v>
      </c>
    </row>
    <row r="4" spans="1:5" x14ac:dyDescent="0.25">
      <c r="A4" t="s">
        <v>2</v>
      </c>
      <c r="B4">
        <v>1165105</v>
      </c>
      <c r="C4">
        <v>1278732</v>
      </c>
      <c r="D4">
        <v>1299953</v>
      </c>
      <c r="E4">
        <v>1191621</v>
      </c>
    </row>
    <row r="5" spans="1:5" x14ac:dyDescent="0.25">
      <c r="A5" t="s">
        <v>3</v>
      </c>
      <c r="B5">
        <v>949065</v>
      </c>
      <c r="C5">
        <v>1026050</v>
      </c>
      <c r="D5">
        <v>688027</v>
      </c>
      <c r="E5">
        <v>723233</v>
      </c>
    </row>
    <row r="6" spans="1:5" x14ac:dyDescent="0.25">
      <c r="A6" t="s">
        <v>4</v>
      </c>
      <c r="B6">
        <v>2436107</v>
      </c>
      <c r="C6">
        <v>2228622</v>
      </c>
      <c r="D6">
        <v>1831600</v>
      </c>
      <c r="E6">
        <v>1960624</v>
      </c>
    </row>
    <row r="7" spans="1:5" x14ac:dyDescent="0.25">
      <c r="A7" t="s">
        <v>5</v>
      </c>
      <c r="B7">
        <v>1846928</v>
      </c>
      <c r="C7">
        <v>1851433</v>
      </c>
      <c r="D7">
        <v>2125113</v>
      </c>
      <c r="E7">
        <v>2028635</v>
      </c>
    </row>
    <row r="8" spans="1:5" x14ac:dyDescent="0.25">
      <c r="A8" t="s">
        <v>6</v>
      </c>
      <c r="B8">
        <v>3841577</v>
      </c>
      <c r="C8">
        <v>3848394</v>
      </c>
      <c r="D8">
        <v>3595975</v>
      </c>
      <c r="E8">
        <v>3123039</v>
      </c>
    </row>
    <row r="9" spans="1:5" x14ac:dyDescent="0.25">
      <c r="A9" t="s">
        <v>7</v>
      </c>
      <c r="B9">
        <v>679557</v>
      </c>
      <c r="C9">
        <v>655500</v>
      </c>
      <c r="D9">
        <v>1012012</v>
      </c>
      <c r="E9">
        <v>1067022</v>
      </c>
    </row>
    <row r="10" spans="1:5" x14ac:dyDescent="0.25">
      <c r="A10" t="s">
        <v>8</v>
      </c>
      <c r="B10">
        <v>1660998</v>
      </c>
      <c r="C10">
        <v>1630345</v>
      </c>
      <c r="D10">
        <v>1130119</v>
      </c>
      <c r="E10">
        <v>1080238</v>
      </c>
    </row>
    <row r="11" spans="1:5" x14ac:dyDescent="0.25">
      <c r="A11" t="s">
        <v>9</v>
      </c>
      <c r="B11">
        <v>1157622</v>
      </c>
      <c r="C11">
        <v>1182345</v>
      </c>
      <c r="D11">
        <v>830785</v>
      </c>
      <c r="E11">
        <v>833779</v>
      </c>
    </row>
    <row r="12" spans="1:5" x14ac:dyDescent="0.25">
      <c r="A12" t="s">
        <v>10</v>
      </c>
      <c r="B12">
        <v>1987047</v>
      </c>
      <c r="C12">
        <v>1996208</v>
      </c>
      <c r="D12">
        <v>2053892</v>
      </c>
      <c r="E12">
        <v>1697247</v>
      </c>
    </row>
    <row r="13" spans="1:5" x14ac:dyDescent="0.25">
      <c r="A13" t="s">
        <v>11</v>
      </c>
      <c r="B13">
        <v>3997724</v>
      </c>
      <c r="C13">
        <v>3690756</v>
      </c>
      <c r="D13">
        <v>4339393</v>
      </c>
      <c r="E13">
        <v>4639643</v>
      </c>
    </row>
    <row r="14" spans="1:5" x14ac:dyDescent="0.25">
      <c r="A14" t="s">
        <v>12</v>
      </c>
      <c r="B14">
        <v>996113</v>
      </c>
      <c r="C14">
        <v>964279</v>
      </c>
      <c r="D14">
        <v>1012487</v>
      </c>
      <c r="E14">
        <v>1128940</v>
      </c>
    </row>
    <row r="15" spans="1:5" x14ac:dyDescent="0.25">
      <c r="A15" t="s">
        <v>13</v>
      </c>
      <c r="B15">
        <v>1143634</v>
      </c>
      <c r="C15">
        <v>1033836</v>
      </c>
      <c r="D15">
        <v>909534</v>
      </c>
      <c r="E15">
        <v>856349</v>
      </c>
    </row>
    <row r="16" spans="1:5" x14ac:dyDescent="0.25">
      <c r="A16" t="s">
        <v>14</v>
      </c>
      <c r="B16">
        <v>2549276</v>
      </c>
      <c r="C16">
        <v>2584751</v>
      </c>
      <c r="D16">
        <v>2033079</v>
      </c>
      <c r="E16">
        <v>2066918</v>
      </c>
    </row>
    <row r="17" spans="1:5" x14ac:dyDescent="0.25">
      <c r="A17" t="s">
        <v>15</v>
      </c>
      <c r="B17">
        <v>1367212</v>
      </c>
      <c r="C17">
        <v>1361389</v>
      </c>
      <c r="D17">
        <v>1572320</v>
      </c>
      <c r="E17">
        <v>1836258</v>
      </c>
    </row>
    <row r="18" spans="1:5" x14ac:dyDescent="0.25">
      <c r="A18" t="s">
        <v>16</v>
      </c>
      <c r="B18">
        <v>2567464</v>
      </c>
      <c r="C18">
        <v>2441857</v>
      </c>
      <c r="D18">
        <v>1524132</v>
      </c>
      <c r="E18">
        <v>1496810</v>
      </c>
    </row>
    <row r="19" spans="1:5" x14ac:dyDescent="0.25">
      <c r="A19" t="s">
        <v>17</v>
      </c>
      <c r="B19">
        <v>1334060</v>
      </c>
      <c r="C19">
        <v>1395231</v>
      </c>
      <c r="D19">
        <v>578655</v>
      </c>
      <c r="E19">
        <v>677663</v>
      </c>
    </row>
    <row r="20" spans="1:5" x14ac:dyDescent="0.25">
      <c r="A20" t="s">
        <v>18</v>
      </c>
      <c r="B20">
        <v>2976209</v>
      </c>
      <c r="C20">
        <v>3199665</v>
      </c>
      <c r="D20">
        <v>1666477</v>
      </c>
      <c r="E20">
        <v>1759240</v>
      </c>
    </row>
    <row r="21" spans="1:5" x14ac:dyDescent="0.25">
      <c r="A21" t="s">
        <v>19</v>
      </c>
      <c r="B21">
        <v>1443351</v>
      </c>
      <c r="C21">
        <v>1565539</v>
      </c>
      <c r="D21">
        <v>1355276</v>
      </c>
      <c r="E21">
        <v>1423414</v>
      </c>
    </row>
    <row r="22" spans="1:5" x14ac:dyDescent="0.25">
      <c r="A22" t="s">
        <v>20</v>
      </c>
      <c r="B22">
        <v>2486640</v>
      </c>
      <c r="C22">
        <v>2265936</v>
      </c>
      <c r="D22">
        <v>297424</v>
      </c>
      <c r="E22">
        <v>274759</v>
      </c>
    </row>
    <row r="23" spans="1:5" x14ac:dyDescent="0.25">
      <c r="A23" t="s">
        <v>21</v>
      </c>
      <c r="B23">
        <v>685438</v>
      </c>
      <c r="C23">
        <v>749124</v>
      </c>
      <c r="D23">
        <v>2697677</v>
      </c>
      <c r="E23">
        <v>2821550</v>
      </c>
    </row>
    <row r="24" spans="1:5" x14ac:dyDescent="0.25">
      <c r="A24" t="s">
        <v>22</v>
      </c>
      <c r="B24">
        <v>2166753</v>
      </c>
      <c r="C24">
        <v>2338698</v>
      </c>
      <c r="D24">
        <v>1681433</v>
      </c>
      <c r="E24">
        <v>1592443</v>
      </c>
    </row>
    <row r="25" spans="1:5" x14ac:dyDescent="0.25">
      <c r="A25" t="s">
        <v>23</v>
      </c>
      <c r="B25">
        <v>643177</v>
      </c>
      <c r="C25">
        <v>684187</v>
      </c>
      <c r="D25">
        <v>796213</v>
      </c>
      <c r="E25">
        <v>867904</v>
      </c>
    </row>
    <row r="26" spans="1:5" x14ac:dyDescent="0.25">
      <c r="A26" t="s">
        <v>24</v>
      </c>
      <c r="B26">
        <v>450192</v>
      </c>
      <c r="C26">
        <v>434755</v>
      </c>
      <c r="D26">
        <v>1656446</v>
      </c>
      <c r="E26">
        <v>1691000</v>
      </c>
    </row>
    <row r="27" spans="1:5" x14ac:dyDescent="0.25">
      <c r="A27" t="s">
        <v>25</v>
      </c>
      <c r="B27">
        <v>1037774</v>
      </c>
      <c r="C27">
        <v>1113789</v>
      </c>
      <c r="D27">
        <v>877464</v>
      </c>
      <c r="E27">
        <v>990837</v>
      </c>
    </row>
    <row r="28" spans="1:5" x14ac:dyDescent="0.25">
      <c r="A28" t="s">
        <v>26</v>
      </c>
      <c r="B28">
        <v>2351213</v>
      </c>
      <c r="C28">
        <v>2358482</v>
      </c>
      <c r="D28">
        <v>1098384</v>
      </c>
      <c r="E28">
        <v>1121488</v>
      </c>
    </row>
    <row r="29" spans="1:5" x14ac:dyDescent="0.25">
      <c r="A29" t="s">
        <v>27</v>
      </c>
      <c r="B29">
        <v>2613354</v>
      </c>
      <c r="C29">
        <v>2837241</v>
      </c>
      <c r="D29">
        <v>431144</v>
      </c>
      <c r="E29">
        <v>434113</v>
      </c>
    </row>
    <row r="30" spans="1:5" x14ac:dyDescent="0.25">
      <c r="A30" t="s">
        <v>28</v>
      </c>
      <c r="B30">
        <v>1859691</v>
      </c>
      <c r="C30">
        <v>1844250</v>
      </c>
      <c r="D30">
        <v>1460134</v>
      </c>
      <c r="E30">
        <v>1585258</v>
      </c>
    </row>
    <row r="31" spans="1:5" x14ac:dyDescent="0.25">
      <c r="A31" t="s">
        <v>29</v>
      </c>
      <c r="B31">
        <v>2478386</v>
      </c>
      <c r="C31">
        <v>2562144</v>
      </c>
      <c r="D31">
        <v>30035</v>
      </c>
      <c r="E31">
        <v>29396</v>
      </c>
    </row>
    <row r="32" spans="1:5" x14ac:dyDescent="0.25">
      <c r="A32" t="s">
        <v>30</v>
      </c>
      <c r="B32">
        <v>1938122</v>
      </c>
      <c r="C32">
        <v>1816647</v>
      </c>
      <c r="D32">
        <v>1602356</v>
      </c>
      <c r="E32">
        <v>1875221</v>
      </c>
    </row>
    <row r="33" spans="1:5" x14ac:dyDescent="0.25">
      <c r="A33" t="s">
        <v>31</v>
      </c>
      <c r="B33">
        <v>992523</v>
      </c>
      <c r="C33">
        <v>1028501</v>
      </c>
      <c r="D33">
        <v>1995446</v>
      </c>
      <c r="E33">
        <v>1860524</v>
      </c>
    </row>
    <row r="34" spans="1:5" x14ac:dyDescent="0.25">
      <c r="A34" t="s">
        <v>32</v>
      </c>
      <c r="B34">
        <v>2966291</v>
      </c>
      <c r="C34">
        <v>2889963</v>
      </c>
      <c r="D34">
        <v>462453</v>
      </c>
      <c r="E34">
        <v>486354</v>
      </c>
    </row>
    <row r="35" spans="1:5" x14ac:dyDescent="0.25">
      <c r="A35" t="s">
        <v>33</v>
      </c>
      <c r="B35">
        <v>76648</v>
      </c>
      <c r="C35">
        <v>81385</v>
      </c>
      <c r="D35">
        <v>1374708</v>
      </c>
      <c r="E35">
        <v>1379567</v>
      </c>
    </row>
    <row r="36" spans="1:5" x14ac:dyDescent="0.25">
      <c r="A36" t="s">
        <v>34</v>
      </c>
      <c r="B36">
        <v>2574432</v>
      </c>
      <c r="C36">
        <v>2409710</v>
      </c>
      <c r="D36">
        <v>987486</v>
      </c>
      <c r="E36">
        <v>999043</v>
      </c>
    </row>
    <row r="37" spans="1:5" x14ac:dyDescent="0.25">
      <c r="A37" t="s">
        <v>35</v>
      </c>
      <c r="B37">
        <v>1778590</v>
      </c>
      <c r="C37">
        <v>1874844</v>
      </c>
      <c r="D37">
        <v>111191</v>
      </c>
      <c r="E37">
        <v>117846</v>
      </c>
    </row>
    <row r="38" spans="1:5" x14ac:dyDescent="0.25">
      <c r="A38" t="s">
        <v>36</v>
      </c>
      <c r="B38">
        <v>1506541</v>
      </c>
      <c r="C38">
        <v>1414887</v>
      </c>
      <c r="D38">
        <v>1216612</v>
      </c>
      <c r="E38">
        <v>1166775</v>
      </c>
    </row>
    <row r="39" spans="1:5" x14ac:dyDescent="0.25">
      <c r="A39" t="s">
        <v>37</v>
      </c>
      <c r="B39">
        <v>1598886</v>
      </c>
      <c r="C39">
        <v>1687917</v>
      </c>
      <c r="D39">
        <v>449788</v>
      </c>
      <c r="E39">
        <v>427615</v>
      </c>
    </row>
    <row r="40" spans="1:5" x14ac:dyDescent="0.25">
      <c r="A40" t="s">
        <v>38</v>
      </c>
      <c r="B40">
        <v>548989</v>
      </c>
      <c r="C40">
        <v>514636</v>
      </c>
      <c r="D40">
        <v>2770344</v>
      </c>
      <c r="E40">
        <v>3187897</v>
      </c>
    </row>
    <row r="41" spans="1:5" x14ac:dyDescent="0.25">
      <c r="A41" t="s">
        <v>39</v>
      </c>
      <c r="B41">
        <v>1175198</v>
      </c>
      <c r="C41">
        <v>1095440</v>
      </c>
      <c r="D41">
        <v>2657174</v>
      </c>
      <c r="E41">
        <v>2491947</v>
      </c>
    </row>
    <row r="42" spans="1:5" x14ac:dyDescent="0.25">
      <c r="A42" t="s">
        <v>40</v>
      </c>
      <c r="B42">
        <v>2115336</v>
      </c>
      <c r="C42">
        <v>2202769</v>
      </c>
      <c r="D42">
        <v>15339</v>
      </c>
      <c r="E42">
        <v>14652</v>
      </c>
    </row>
    <row r="43" spans="1:5" x14ac:dyDescent="0.25">
      <c r="A43" t="s">
        <v>41</v>
      </c>
      <c r="B43">
        <v>2346640</v>
      </c>
      <c r="C43">
        <v>2197559</v>
      </c>
      <c r="D43">
        <v>373470</v>
      </c>
      <c r="E43">
        <v>353365</v>
      </c>
    </row>
    <row r="44" spans="1:5" x14ac:dyDescent="0.25">
      <c r="A44" t="s">
        <v>42</v>
      </c>
      <c r="B44">
        <v>2548438</v>
      </c>
      <c r="C44">
        <v>2577213</v>
      </c>
      <c r="D44">
        <v>37986</v>
      </c>
      <c r="E44">
        <v>37766</v>
      </c>
    </row>
    <row r="45" spans="1:5" x14ac:dyDescent="0.25">
      <c r="A45" t="s">
        <v>43</v>
      </c>
      <c r="B45">
        <v>835495</v>
      </c>
      <c r="C45">
        <v>837746</v>
      </c>
      <c r="D45">
        <v>1106177</v>
      </c>
      <c r="E45">
        <v>917781</v>
      </c>
    </row>
    <row r="46" spans="1:5" x14ac:dyDescent="0.25">
      <c r="A46" t="s">
        <v>44</v>
      </c>
      <c r="B46">
        <v>1187448</v>
      </c>
      <c r="C46">
        <v>1070426</v>
      </c>
      <c r="D46">
        <v>1504608</v>
      </c>
      <c r="E46">
        <v>1756990</v>
      </c>
    </row>
    <row r="47" spans="1:5" x14ac:dyDescent="0.25">
      <c r="A47" t="s">
        <v>45</v>
      </c>
      <c r="B47">
        <v>140026</v>
      </c>
      <c r="C47">
        <v>146354</v>
      </c>
      <c r="D47">
        <v>2759991</v>
      </c>
      <c r="E47">
        <v>2742120</v>
      </c>
    </row>
    <row r="48" spans="1:5" x14ac:dyDescent="0.25">
      <c r="A48" t="s">
        <v>46</v>
      </c>
      <c r="B48">
        <v>1198765</v>
      </c>
      <c r="C48">
        <v>1304945</v>
      </c>
      <c r="D48">
        <v>2786493</v>
      </c>
      <c r="E48">
        <v>2602643</v>
      </c>
    </row>
    <row r="49" spans="1:5" x14ac:dyDescent="0.25">
      <c r="A49" t="s">
        <v>47</v>
      </c>
      <c r="B49">
        <v>2619776</v>
      </c>
      <c r="C49">
        <v>2749623</v>
      </c>
      <c r="D49">
        <v>2888215</v>
      </c>
      <c r="E49">
        <v>2800174</v>
      </c>
    </row>
    <row r="50" spans="1:5" x14ac:dyDescent="0.25">
      <c r="A50" t="s">
        <v>48</v>
      </c>
      <c r="B50">
        <v>248398</v>
      </c>
      <c r="C50">
        <v>268511</v>
      </c>
      <c r="D50">
        <v>3110853</v>
      </c>
      <c r="E50">
        <v>2986411</v>
      </c>
    </row>
    <row r="51" spans="1:5" x14ac:dyDescent="0.25">
      <c r="A51" t="s">
        <v>49</v>
      </c>
      <c r="B51">
        <v>2494207</v>
      </c>
      <c r="C51">
        <v>2625207</v>
      </c>
      <c r="D51">
        <v>1796293</v>
      </c>
      <c r="E51">
        <v>1853602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C196-7660-44C4-ACB8-1AF9749CE6F1}">
  <dimension ref="A1:O51"/>
  <sheetViews>
    <sheetView topLeftCell="A2" zoomScale="115" zoomScaleNormal="115" workbookViewId="0">
      <selection activeCell="K2" sqref="K2"/>
    </sheetView>
  </sheetViews>
  <sheetFormatPr defaultRowHeight="15" x14ac:dyDescent="0.25"/>
  <cols>
    <col min="2" max="2" width="20" bestFit="1" customWidth="1"/>
    <col min="4" max="4" width="12.140625" bestFit="1" customWidth="1"/>
    <col min="5" max="5" width="14.42578125" bestFit="1" customWidth="1"/>
    <col min="6" max="6" width="12.140625" bestFit="1" customWidth="1"/>
    <col min="7" max="7" width="14.42578125" bestFit="1" customWidth="1"/>
    <col min="15" max="15" width="9.5703125" bestFit="1" customWidth="1"/>
  </cols>
  <sheetData>
    <row r="1" spans="1:15" x14ac:dyDescent="0.25"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I1" t="s">
        <v>56</v>
      </c>
      <c r="J1" t="s">
        <v>57</v>
      </c>
      <c r="K1" t="s">
        <v>58</v>
      </c>
      <c r="L1" t="s">
        <v>59</v>
      </c>
    </row>
    <row r="2" spans="1:15" x14ac:dyDescent="0.25">
      <c r="A2" t="s">
        <v>0</v>
      </c>
      <c r="B2" t="str">
        <f>MID(A2,2,2)</f>
        <v>01</v>
      </c>
      <c r="C2" t="str">
        <f>MID(A2,4,1)</f>
        <v>D</v>
      </c>
      <c r="D2">
        <v>1415007</v>
      </c>
      <c r="E2">
        <v>1397195</v>
      </c>
      <c r="F2">
        <v>1499070</v>
      </c>
      <c r="G2">
        <v>1481105</v>
      </c>
      <c r="I2">
        <f>IF(C2="A",D2+E2,0)</f>
        <v>0</v>
      </c>
      <c r="J2">
        <f>IF(C2="B",D2+E2,0)</f>
        <v>0</v>
      </c>
      <c r="K2">
        <f>IF(C2="C",D2+E2,0)</f>
        <v>0</v>
      </c>
      <c r="L2">
        <f>IF(C2="D",D2+E2,0)</f>
        <v>2812202</v>
      </c>
      <c r="N2" t="s">
        <v>56</v>
      </c>
      <c r="O2">
        <f>SUM(I2:I51)</f>
        <v>33929579</v>
      </c>
    </row>
    <row r="3" spans="1:15" x14ac:dyDescent="0.25">
      <c r="A3" t="s">
        <v>1</v>
      </c>
      <c r="B3" t="str">
        <f t="shared" ref="B3:B51" si="0">MID(A3,2,2)</f>
        <v>02</v>
      </c>
      <c r="C3" t="str">
        <f t="shared" ref="C3:C51" si="1">MID(A3,4,1)</f>
        <v>D</v>
      </c>
      <c r="D3">
        <v>1711390</v>
      </c>
      <c r="E3">
        <v>1641773</v>
      </c>
      <c r="F3">
        <v>1522030</v>
      </c>
      <c r="G3">
        <v>1618733</v>
      </c>
      <c r="I3">
        <f>IF(C3="A",D3+E3,0)</f>
        <v>0</v>
      </c>
      <c r="J3">
        <f t="shared" ref="J3:J51" si="2">IF(C3="B",D3+E3,0)</f>
        <v>0</v>
      </c>
      <c r="K3">
        <f t="shared" ref="K3:K51" si="3">IF(C3="C",D3+E3,0)</f>
        <v>0</v>
      </c>
      <c r="L3">
        <f t="shared" ref="L3:L51" si="4">IF(C3="D",D3+E3,0)</f>
        <v>3353163</v>
      </c>
      <c r="N3" t="s">
        <v>57</v>
      </c>
      <c r="O3">
        <f>SUM(J2:J51)</f>
        <v>41736619</v>
      </c>
    </row>
    <row r="4" spans="1:15" x14ac:dyDescent="0.25">
      <c r="A4" t="s">
        <v>2</v>
      </c>
      <c r="B4" t="str">
        <f t="shared" si="0"/>
        <v>03</v>
      </c>
      <c r="C4" t="str">
        <f t="shared" si="1"/>
        <v>C</v>
      </c>
      <c r="D4">
        <v>1165105</v>
      </c>
      <c r="E4">
        <v>1278732</v>
      </c>
      <c r="F4">
        <v>1299953</v>
      </c>
      <c r="G4">
        <v>1191621</v>
      </c>
      <c r="I4">
        <f t="shared" ref="I4:I51" si="5">IF(C4="A",D4+E4,0)</f>
        <v>0</v>
      </c>
      <c r="J4">
        <f t="shared" si="2"/>
        <v>0</v>
      </c>
      <c r="K4">
        <f t="shared" si="3"/>
        <v>2443837</v>
      </c>
      <c r="L4">
        <f t="shared" si="4"/>
        <v>0</v>
      </c>
      <c r="N4" t="s">
        <v>58</v>
      </c>
      <c r="O4">
        <f>SUM(K2:K51)</f>
        <v>57649017</v>
      </c>
    </row>
    <row r="5" spans="1:15" x14ac:dyDescent="0.25">
      <c r="A5" t="s">
        <v>3</v>
      </c>
      <c r="B5" t="str">
        <f t="shared" si="0"/>
        <v>04</v>
      </c>
      <c r="C5" t="str">
        <f t="shared" si="1"/>
        <v>D</v>
      </c>
      <c r="D5">
        <v>949065</v>
      </c>
      <c r="E5">
        <v>1026050</v>
      </c>
      <c r="F5">
        <v>688027</v>
      </c>
      <c r="G5">
        <v>723233</v>
      </c>
      <c r="I5">
        <f t="shared" si="5"/>
        <v>0</v>
      </c>
      <c r="J5">
        <f t="shared" si="2"/>
        <v>0</v>
      </c>
      <c r="K5">
        <f t="shared" si="3"/>
        <v>0</v>
      </c>
      <c r="L5">
        <f t="shared" si="4"/>
        <v>1975115</v>
      </c>
      <c r="N5" t="s">
        <v>59</v>
      </c>
      <c r="O5">
        <f>SUM(L2:L51)</f>
        <v>36530387</v>
      </c>
    </row>
    <row r="6" spans="1:15" x14ac:dyDescent="0.25">
      <c r="A6" t="s">
        <v>4</v>
      </c>
      <c r="B6" t="str">
        <f t="shared" si="0"/>
        <v>05</v>
      </c>
      <c r="C6" t="str">
        <f t="shared" si="1"/>
        <v>A</v>
      </c>
      <c r="D6">
        <v>2436107</v>
      </c>
      <c r="E6">
        <v>2228622</v>
      </c>
      <c r="F6">
        <v>1831600</v>
      </c>
      <c r="G6">
        <v>1960624</v>
      </c>
      <c r="I6">
        <f t="shared" si="5"/>
        <v>4664729</v>
      </c>
      <c r="J6">
        <f t="shared" si="2"/>
        <v>0</v>
      </c>
      <c r="K6">
        <f t="shared" si="3"/>
        <v>0</v>
      </c>
      <c r="L6">
        <f t="shared" si="4"/>
        <v>0</v>
      </c>
    </row>
    <row r="7" spans="1:15" x14ac:dyDescent="0.25">
      <c r="A7" t="s">
        <v>5</v>
      </c>
      <c r="B7" t="str">
        <f t="shared" si="0"/>
        <v>06</v>
      </c>
      <c r="C7" t="str">
        <f t="shared" si="1"/>
        <v>D</v>
      </c>
      <c r="D7">
        <v>1846928</v>
      </c>
      <c r="E7">
        <v>1851433</v>
      </c>
      <c r="F7">
        <v>2125113</v>
      </c>
      <c r="G7">
        <v>2028635</v>
      </c>
      <c r="I7">
        <f t="shared" si="5"/>
        <v>0</v>
      </c>
      <c r="J7">
        <f t="shared" si="2"/>
        <v>0</v>
      </c>
      <c r="K7">
        <f t="shared" si="3"/>
        <v>0</v>
      </c>
      <c r="L7">
        <f t="shared" si="4"/>
        <v>3698361</v>
      </c>
    </row>
    <row r="8" spans="1:15" x14ac:dyDescent="0.25">
      <c r="A8" t="s">
        <v>6</v>
      </c>
      <c r="B8" t="str">
        <f t="shared" si="0"/>
        <v>07</v>
      </c>
      <c r="C8" t="str">
        <f t="shared" si="1"/>
        <v>B</v>
      </c>
      <c r="D8">
        <v>3841577</v>
      </c>
      <c r="E8">
        <v>3848394</v>
      </c>
      <c r="F8">
        <v>3595975</v>
      </c>
      <c r="G8">
        <v>3123039</v>
      </c>
      <c r="I8">
        <f t="shared" si="5"/>
        <v>0</v>
      </c>
      <c r="J8">
        <f t="shared" si="2"/>
        <v>7689971</v>
      </c>
      <c r="K8">
        <f t="shared" si="3"/>
        <v>0</v>
      </c>
      <c r="L8">
        <f t="shared" si="4"/>
        <v>0</v>
      </c>
    </row>
    <row r="9" spans="1:15" x14ac:dyDescent="0.25">
      <c r="A9" t="s">
        <v>7</v>
      </c>
      <c r="B9" t="str">
        <f t="shared" si="0"/>
        <v>08</v>
      </c>
      <c r="C9" t="str">
        <f t="shared" si="1"/>
        <v>A</v>
      </c>
      <c r="D9">
        <v>679557</v>
      </c>
      <c r="E9">
        <v>655500</v>
      </c>
      <c r="F9">
        <v>1012012</v>
      </c>
      <c r="G9">
        <v>1067022</v>
      </c>
      <c r="I9">
        <f t="shared" si="5"/>
        <v>1335057</v>
      </c>
      <c r="J9">
        <f t="shared" si="2"/>
        <v>0</v>
      </c>
      <c r="K9">
        <f t="shared" si="3"/>
        <v>0</v>
      </c>
      <c r="L9">
        <f t="shared" si="4"/>
        <v>0</v>
      </c>
    </row>
    <row r="10" spans="1:15" x14ac:dyDescent="0.25">
      <c r="A10" t="s">
        <v>8</v>
      </c>
      <c r="B10" t="str">
        <f t="shared" si="0"/>
        <v>09</v>
      </c>
      <c r="C10" t="str">
        <f t="shared" si="1"/>
        <v>C</v>
      </c>
      <c r="D10">
        <v>1660998</v>
      </c>
      <c r="E10">
        <v>1630345</v>
      </c>
      <c r="F10">
        <v>1130119</v>
      </c>
      <c r="G10">
        <v>1080238</v>
      </c>
      <c r="I10">
        <f t="shared" si="5"/>
        <v>0</v>
      </c>
      <c r="J10">
        <f t="shared" si="2"/>
        <v>0</v>
      </c>
      <c r="K10">
        <f t="shared" si="3"/>
        <v>3291343</v>
      </c>
      <c r="L10">
        <f t="shared" si="4"/>
        <v>0</v>
      </c>
    </row>
    <row r="11" spans="1:15" x14ac:dyDescent="0.25">
      <c r="A11" t="s">
        <v>9</v>
      </c>
      <c r="B11" t="str">
        <f t="shared" si="0"/>
        <v>10</v>
      </c>
      <c r="C11" t="str">
        <f t="shared" si="1"/>
        <v>C</v>
      </c>
      <c r="D11">
        <v>1157622</v>
      </c>
      <c r="E11">
        <v>1182345</v>
      </c>
      <c r="F11">
        <v>830785</v>
      </c>
      <c r="G11">
        <v>833779</v>
      </c>
      <c r="I11">
        <f t="shared" si="5"/>
        <v>0</v>
      </c>
      <c r="J11">
        <f t="shared" si="2"/>
        <v>0</v>
      </c>
      <c r="K11">
        <f t="shared" si="3"/>
        <v>2339967</v>
      </c>
      <c r="L11">
        <f t="shared" si="4"/>
        <v>0</v>
      </c>
    </row>
    <row r="12" spans="1:15" x14ac:dyDescent="0.25">
      <c r="A12" t="s">
        <v>10</v>
      </c>
      <c r="B12" t="str">
        <f t="shared" si="0"/>
        <v>11</v>
      </c>
      <c r="C12" t="str">
        <f t="shared" si="1"/>
        <v>D</v>
      </c>
      <c r="D12">
        <v>1987047</v>
      </c>
      <c r="E12">
        <v>1996208</v>
      </c>
      <c r="F12">
        <v>2053892</v>
      </c>
      <c r="G12">
        <v>1697247</v>
      </c>
      <c r="I12">
        <f t="shared" si="5"/>
        <v>0</v>
      </c>
      <c r="J12">
        <f t="shared" si="2"/>
        <v>0</v>
      </c>
      <c r="K12">
        <f t="shared" si="3"/>
        <v>0</v>
      </c>
      <c r="L12">
        <f t="shared" si="4"/>
        <v>3983255</v>
      </c>
    </row>
    <row r="13" spans="1:15" x14ac:dyDescent="0.25">
      <c r="A13" t="s">
        <v>11</v>
      </c>
      <c r="B13" t="str">
        <f t="shared" si="0"/>
        <v>12</v>
      </c>
      <c r="C13" t="str">
        <f t="shared" si="1"/>
        <v>C</v>
      </c>
      <c r="D13">
        <v>3997724</v>
      </c>
      <c r="E13">
        <v>3690756</v>
      </c>
      <c r="F13">
        <v>4339393</v>
      </c>
      <c r="G13">
        <v>4639643</v>
      </c>
      <c r="I13">
        <f t="shared" si="5"/>
        <v>0</v>
      </c>
      <c r="J13">
        <f t="shared" si="2"/>
        <v>0</v>
      </c>
      <c r="K13">
        <f t="shared" si="3"/>
        <v>7688480</v>
      </c>
      <c r="L13">
        <f t="shared" si="4"/>
        <v>0</v>
      </c>
    </row>
    <row r="14" spans="1:15" x14ac:dyDescent="0.25">
      <c r="A14" t="s">
        <v>12</v>
      </c>
      <c r="B14" t="str">
        <f t="shared" si="0"/>
        <v>13</v>
      </c>
      <c r="C14" t="str">
        <f t="shared" si="1"/>
        <v>A</v>
      </c>
      <c r="D14">
        <v>996113</v>
      </c>
      <c r="E14">
        <v>964279</v>
      </c>
      <c r="F14">
        <v>1012487</v>
      </c>
      <c r="G14">
        <v>1128940</v>
      </c>
      <c r="I14">
        <f t="shared" si="5"/>
        <v>1960392</v>
      </c>
      <c r="J14">
        <f t="shared" si="2"/>
        <v>0</v>
      </c>
      <c r="K14">
        <f t="shared" si="3"/>
        <v>0</v>
      </c>
      <c r="L14">
        <f t="shared" si="4"/>
        <v>0</v>
      </c>
    </row>
    <row r="15" spans="1:15" x14ac:dyDescent="0.25">
      <c r="A15" t="s">
        <v>13</v>
      </c>
      <c r="B15" t="str">
        <f t="shared" si="0"/>
        <v>14</v>
      </c>
      <c r="C15" t="str">
        <f t="shared" si="1"/>
        <v>A</v>
      </c>
      <c r="D15">
        <v>1143634</v>
      </c>
      <c r="E15">
        <v>1033836</v>
      </c>
      <c r="F15">
        <v>909534</v>
      </c>
      <c r="G15">
        <v>856349</v>
      </c>
      <c r="I15">
        <f t="shared" si="5"/>
        <v>2177470</v>
      </c>
      <c r="J15">
        <f t="shared" si="2"/>
        <v>0</v>
      </c>
      <c r="K15">
        <f t="shared" si="3"/>
        <v>0</v>
      </c>
      <c r="L15">
        <f t="shared" si="4"/>
        <v>0</v>
      </c>
    </row>
    <row r="16" spans="1:15" x14ac:dyDescent="0.25">
      <c r="A16" t="s">
        <v>14</v>
      </c>
      <c r="B16" t="str">
        <f t="shared" si="0"/>
        <v>15</v>
      </c>
      <c r="C16" t="str">
        <f t="shared" si="1"/>
        <v>A</v>
      </c>
      <c r="D16">
        <v>2549276</v>
      </c>
      <c r="E16">
        <v>2584751</v>
      </c>
      <c r="F16">
        <v>2033079</v>
      </c>
      <c r="G16">
        <v>2066918</v>
      </c>
      <c r="I16">
        <f t="shared" si="5"/>
        <v>5134027</v>
      </c>
      <c r="J16">
        <f t="shared" si="2"/>
        <v>0</v>
      </c>
      <c r="K16">
        <f t="shared" si="3"/>
        <v>0</v>
      </c>
      <c r="L16">
        <f t="shared" si="4"/>
        <v>0</v>
      </c>
    </row>
    <row r="17" spans="1:12" x14ac:dyDescent="0.25">
      <c r="A17" t="s">
        <v>15</v>
      </c>
      <c r="B17" t="str">
        <f t="shared" si="0"/>
        <v>16</v>
      </c>
      <c r="C17" t="str">
        <f t="shared" si="1"/>
        <v>C</v>
      </c>
      <c r="D17">
        <v>1367212</v>
      </c>
      <c r="E17">
        <v>1361389</v>
      </c>
      <c r="F17">
        <v>1572320</v>
      </c>
      <c r="G17">
        <v>1836258</v>
      </c>
      <c r="I17">
        <f t="shared" si="5"/>
        <v>0</v>
      </c>
      <c r="J17">
        <f t="shared" si="2"/>
        <v>0</v>
      </c>
      <c r="K17">
        <f t="shared" si="3"/>
        <v>2728601</v>
      </c>
      <c r="L17">
        <f t="shared" si="4"/>
        <v>0</v>
      </c>
    </row>
    <row r="18" spans="1:12" x14ac:dyDescent="0.25">
      <c r="A18" t="s">
        <v>16</v>
      </c>
      <c r="B18" t="str">
        <f t="shared" si="0"/>
        <v>17</v>
      </c>
      <c r="C18" t="str">
        <f t="shared" si="1"/>
        <v>A</v>
      </c>
      <c r="D18">
        <v>2567464</v>
      </c>
      <c r="E18">
        <v>2441857</v>
      </c>
      <c r="F18">
        <v>1524132</v>
      </c>
      <c r="G18">
        <v>1496810</v>
      </c>
      <c r="I18">
        <f t="shared" si="5"/>
        <v>5009321</v>
      </c>
      <c r="J18">
        <f t="shared" si="2"/>
        <v>0</v>
      </c>
      <c r="K18">
        <f t="shared" si="3"/>
        <v>0</v>
      </c>
      <c r="L18">
        <f t="shared" si="4"/>
        <v>0</v>
      </c>
    </row>
    <row r="19" spans="1:12" x14ac:dyDescent="0.25">
      <c r="A19" t="s">
        <v>17</v>
      </c>
      <c r="B19" t="str">
        <f t="shared" si="0"/>
        <v>18</v>
      </c>
      <c r="C19" t="str">
        <f t="shared" si="1"/>
        <v>D</v>
      </c>
      <c r="D19">
        <v>1334060</v>
      </c>
      <c r="E19">
        <v>1395231</v>
      </c>
      <c r="F19">
        <v>578655</v>
      </c>
      <c r="G19">
        <v>677663</v>
      </c>
      <c r="I19">
        <f t="shared" si="5"/>
        <v>0</v>
      </c>
      <c r="J19">
        <f t="shared" si="2"/>
        <v>0</v>
      </c>
      <c r="K19">
        <f t="shared" si="3"/>
        <v>0</v>
      </c>
      <c r="L19">
        <f t="shared" si="4"/>
        <v>2729291</v>
      </c>
    </row>
    <row r="20" spans="1:12" x14ac:dyDescent="0.25">
      <c r="A20" t="s">
        <v>18</v>
      </c>
      <c r="B20" t="str">
        <f t="shared" si="0"/>
        <v>19</v>
      </c>
      <c r="C20" t="str">
        <f t="shared" si="1"/>
        <v>C</v>
      </c>
      <c r="D20">
        <v>2976209</v>
      </c>
      <c r="E20">
        <v>3199665</v>
      </c>
      <c r="F20">
        <v>1666477</v>
      </c>
      <c r="G20">
        <v>1759240</v>
      </c>
      <c r="I20">
        <f t="shared" si="5"/>
        <v>0</v>
      </c>
      <c r="J20">
        <f t="shared" si="2"/>
        <v>0</v>
      </c>
      <c r="K20">
        <f t="shared" si="3"/>
        <v>6175874</v>
      </c>
      <c r="L20">
        <f t="shared" si="4"/>
        <v>0</v>
      </c>
    </row>
    <row r="21" spans="1:12" x14ac:dyDescent="0.25">
      <c r="A21" t="s">
        <v>19</v>
      </c>
      <c r="B21" t="str">
        <f t="shared" si="0"/>
        <v>20</v>
      </c>
      <c r="C21" t="str">
        <f t="shared" si="1"/>
        <v>C</v>
      </c>
      <c r="D21">
        <v>1443351</v>
      </c>
      <c r="E21">
        <v>1565539</v>
      </c>
      <c r="F21">
        <v>1355276</v>
      </c>
      <c r="G21">
        <v>1423414</v>
      </c>
      <c r="I21">
        <f t="shared" si="5"/>
        <v>0</v>
      </c>
      <c r="J21">
        <f t="shared" si="2"/>
        <v>0</v>
      </c>
      <c r="K21">
        <f t="shared" si="3"/>
        <v>3008890</v>
      </c>
      <c r="L21">
        <f t="shared" si="4"/>
        <v>0</v>
      </c>
    </row>
    <row r="22" spans="1:12" x14ac:dyDescent="0.25">
      <c r="A22" t="s">
        <v>20</v>
      </c>
      <c r="B22" t="str">
        <f t="shared" si="0"/>
        <v>21</v>
      </c>
      <c r="C22" t="str">
        <f t="shared" si="1"/>
        <v>A</v>
      </c>
      <c r="D22">
        <v>2486640</v>
      </c>
      <c r="E22">
        <v>2265936</v>
      </c>
      <c r="F22">
        <v>297424</v>
      </c>
      <c r="G22">
        <v>274759</v>
      </c>
      <c r="I22">
        <f t="shared" si="5"/>
        <v>4752576</v>
      </c>
      <c r="J22">
        <f t="shared" si="2"/>
        <v>0</v>
      </c>
      <c r="K22">
        <f t="shared" si="3"/>
        <v>0</v>
      </c>
      <c r="L22">
        <f t="shared" si="4"/>
        <v>0</v>
      </c>
    </row>
    <row r="23" spans="1:12" x14ac:dyDescent="0.25">
      <c r="A23" t="s">
        <v>21</v>
      </c>
      <c r="B23" t="str">
        <f t="shared" si="0"/>
        <v>22</v>
      </c>
      <c r="C23" t="str">
        <f t="shared" si="1"/>
        <v>B</v>
      </c>
      <c r="D23">
        <v>685438</v>
      </c>
      <c r="E23">
        <v>749124</v>
      </c>
      <c r="F23">
        <v>2697677</v>
      </c>
      <c r="G23">
        <v>2821550</v>
      </c>
      <c r="I23">
        <f t="shared" si="5"/>
        <v>0</v>
      </c>
      <c r="J23">
        <f t="shared" si="2"/>
        <v>1434562</v>
      </c>
      <c r="K23">
        <f t="shared" si="3"/>
        <v>0</v>
      </c>
      <c r="L23">
        <f t="shared" si="4"/>
        <v>0</v>
      </c>
    </row>
    <row r="24" spans="1:12" x14ac:dyDescent="0.25">
      <c r="A24" t="s">
        <v>22</v>
      </c>
      <c r="B24" t="str">
        <f t="shared" si="0"/>
        <v>23</v>
      </c>
      <c r="C24" t="str">
        <f t="shared" si="1"/>
        <v>B</v>
      </c>
      <c r="D24">
        <v>2166753</v>
      </c>
      <c r="E24">
        <v>2338698</v>
      </c>
      <c r="F24">
        <v>1681433</v>
      </c>
      <c r="G24">
        <v>1592443</v>
      </c>
      <c r="I24">
        <f t="shared" si="5"/>
        <v>0</v>
      </c>
      <c r="J24">
        <f t="shared" si="2"/>
        <v>4505451</v>
      </c>
      <c r="K24">
        <f t="shared" si="3"/>
        <v>0</v>
      </c>
      <c r="L24">
        <f t="shared" si="4"/>
        <v>0</v>
      </c>
    </row>
    <row r="25" spans="1:12" x14ac:dyDescent="0.25">
      <c r="A25" t="s">
        <v>23</v>
      </c>
      <c r="B25" t="str">
        <f t="shared" si="0"/>
        <v>24</v>
      </c>
      <c r="C25" t="str">
        <f t="shared" si="1"/>
        <v>C</v>
      </c>
      <c r="D25">
        <v>643177</v>
      </c>
      <c r="E25">
        <v>684187</v>
      </c>
      <c r="F25">
        <v>796213</v>
      </c>
      <c r="G25">
        <v>867904</v>
      </c>
      <c r="I25">
        <f t="shared" si="5"/>
        <v>0</v>
      </c>
      <c r="J25">
        <f t="shared" si="2"/>
        <v>0</v>
      </c>
      <c r="K25">
        <f t="shared" si="3"/>
        <v>1327364</v>
      </c>
      <c r="L25">
        <f t="shared" si="4"/>
        <v>0</v>
      </c>
    </row>
    <row r="26" spans="1:12" x14ac:dyDescent="0.25">
      <c r="A26" t="s">
        <v>24</v>
      </c>
      <c r="B26" t="str">
        <f t="shared" si="0"/>
        <v>25</v>
      </c>
      <c r="C26" t="str">
        <f t="shared" si="1"/>
        <v>B</v>
      </c>
      <c r="D26">
        <v>450192</v>
      </c>
      <c r="E26">
        <v>434755</v>
      </c>
      <c r="F26">
        <v>1656446</v>
      </c>
      <c r="G26">
        <v>1691000</v>
      </c>
      <c r="I26">
        <f t="shared" si="5"/>
        <v>0</v>
      </c>
      <c r="J26">
        <f t="shared" si="2"/>
        <v>884947</v>
      </c>
      <c r="K26">
        <f t="shared" si="3"/>
        <v>0</v>
      </c>
      <c r="L26">
        <f t="shared" si="4"/>
        <v>0</v>
      </c>
    </row>
    <row r="27" spans="1:12" x14ac:dyDescent="0.25">
      <c r="A27" t="s">
        <v>25</v>
      </c>
      <c r="B27" t="str">
        <f t="shared" si="0"/>
        <v>26</v>
      </c>
      <c r="C27" t="str">
        <f t="shared" si="1"/>
        <v>C</v>
      </c>
      <c r="D27">
        <v>1037774</v>
      </c>
      <c r="E27">
        <v>1113789</v>
      </c>
      <c r="F27">
        <v>877464</v>
      </c>
      <c r="G27">
        <v>990837</v>
      </c>
      <c r="I27">
        <f t="shared" si="5"/>
        <v>0</v>
      </c>
      <c r="J27">
        <f t="shared" si="2"/>
        <v>0</v>
      </c>
      <c r="K27">
        <f t="shared" si="3"/>
        <v>2151563</v>
      </c>
      <c r="L27">
        <f t="shared" si="4"/>
        <v>0</v>
      </c>
    </row>
    <row r="28" spans="1:12" x14ac:dyDescent="0.25">
      <c r="A28" t="s">
        <v>26</v>
      </c>
      <c r="B28" t="str">
        <f t="shared" si="0"/>
        <v>27</v>
      </c>
      <c r="C28" t="str">
        <f t="shared" si="1"/>
        <v>C</v>
      </c>
      <c r="D28">
        <v>2351213</v>
      </c>
      <c r="E28">
        <v>2358482</v>
      </c>
      <c r="F28">
        <v>1098384</v>
      </c>
      <c r="G28">
        <v>1121488</v>
      </c>
      <c r="I28">
        <f t="shared" si="5"/>
        <v>0</v>
      </c>
      <c r="J28">
        <f t="shared" si="2"/>
        <v>0</v>
      </c>
      <c r="K28">
        <f t="shared" si="3"/>
        <v>4709695</v>
      </c>
      <c r="L28">
        <f t="shared" si="4"/>
        <v>0</v>
      </c>
    </row>
    <row r="29" spans="1:12" x14ac:dyDescent="0.25">
      <c r="A29" t="s">
        <v>27</v>
      </c>
      <c r="B29" t="str">
        <f t="shared" si="0"/>
        <v>28</v>
      </c>
      <c r="C29" t="str">
        <f t="shared" si="1"/>
        <v>D</v>
      </c>
      <c r="D29">
        <v>2613354</v>
      </c>
      <c r="E29">
        <v>2837241</v>
      </c>
      <c r="F29">
        <v>431144</v>
      </c>
      <c r="G29">
        <v>434113</v>
      </c>
      <c r="I29">
        <f t="shared" si="5"/>
        <v>0</v>
      </c>
      <c r="J29">
        <f t="shared" si="2"/>
        <v>0</v>
      </c>
      <c r="K29">
        <f t="shared" si="3"/>
        <v>0</v>
      </c>
      <c r="L29">
        <f t="shared" si="4"/>
        <v>5450595</v>
      </c>
    </row>
    <row r="30" spans="1:12" x14ac:dyDescent="0.25">
      <c r="A30" t="s">
        <v>28</v>
      </c>
      <c r="B30" t="str">
        <f t="shared" si="0"/>
        <v>29</v>
      </c>
      <c r="C30" t="str">
        <f t="shared" si="1"/>
        <v>A</v>
      </c>
      <c r="D30">
        <v>1859691</v>
      </c>
      <c r="E30">
        <v>1844250</v>
      </c>
      <c r="F30">
        <v>1460134</v>
      </c>
      <c r="G30">
        <v>1585258</v>
      </c>
      <c r="I30">
        <f t="shared" si="5"/>
        <v>3703941</v>
      </c>
      <c r="J30">
        <f t="shared" si="2"/>
        <v>0</v>
      </c>
      <c r="K30">
        <f t="shared" si="3"/>
        <v>0</v>
      </c>
      <c r="L30">
        <f t="shared" si="4"/>
        <v>0</v>
      </c>
    </row>
    <row r="31" spans="1:12" x14ac:dyDescent="0.25">
      <c r="A31" t="s">
        <v>29</v>
      </c>
      <c r="B31" t="str">
        <f t="shared" si="0"/>
        <v>30</v>
      </c>
      <c r="C31" t="str">
        <f t="shared" si="1"/>
        <v>C</v>
      </c>
      <c r="D31">
        <v>2478386</v>
      </c>
      <c r="E31">
        <v>2562144</v>
      </c>
      <c r="F31">
        <v>30035</v>
      </c>
      <c r="G31">
        <v>29396</v>
      </c>
      <c r="I31">
        <f t="shared" si="5"/>
        <v>0</v>
      </c>
      <c r="J31">
        <f t="shared" si="2"/>
        <v>0</v>
      </c>
      <c r="K31">
        <f t="shared" si="3"/>
        <v>5040530</v>
      </c>
      <c r="L31">
        <f t="shared" si="4"/>
        <v>0</v>
      </c>
    </row>
    <row r="32" spans="1:12" x14ac:dyDescent="0.25">
      <c r="A32" t="s">
        <v>30</v>
      </c>
      <c r="B32" t="str">
        <f t="shared" si="0"/>
        <v>31</v>
      </c>
      <c r="C32" t="str">
        <f t="shared" si="1"/>
        <v>C</v>
      </c>
      <c r="D32">
        <v>1938122</v>
      </c>
      <c r="E32">
        <v>1816647</v>
      </c>
      <c r="F32">
        <v>1602356</v>
      </c>
      <c r="G32">
        <v>1875221</v>
      </c>
      <c r="I32">
        <f t="shared" si="5"/>
        <v>0</v>
      </c>
      <c r="J32">
        <f t="shared" si="2"/>
        <v>0</v>
      </c>
      <c r="K32">
        <f t="shared" si="3"/>
        <v>3754769</v>
      </c>
      <c r="L32">
        <f t="shared" si="4"/>
        <v>0</v>
      </c>
    </row>
    <row r="33" spans="1:12" x14ac:dyDescent="0.25">
      <c r="A33" t="s">
        <v>31</v>
      </c>
      <c r="B33" t="str">
        <f t="shared" si="0"/>
        <v>32</v>
      </c>
      <c r="C33" t="str">
        <f t="shared" si="1"/>
        <v>D</v>
      </c>
      <c r="D33">
        <v>992523</v>
      </c>
      <c r="E33">
        <v>1028501</v>
      </c>
      <c r="F33">
        <v>1995446</v>
      </c>
      <c r="G33">
        <v>1860524</v>
      </c>
      <c r="I33">
        <f t="shared" si="5"/>
        <v>0</v>
      </c>
      <c r="J33">
        <f t="shared" si="2"/>
        <v>0</v>
      </c>
      <c r="K33">
        <f t="shared" si="3"/>
        <v>0</v>
      </c>
      <c r="L33">
        <f t="shared" si="4"/>
        <v>2021024</v>
      </c>
    </row>
    <row r="34" spans="1:12" x14ac:dyDescent="0.25">
      <c r="A34" t="s">
        <v>32</v>
      </c>
      <c r="B34" t="str">
        <f t="shared" si="0"/>
        <v>33</v>
      </c>
      <c r="C34" t="str">
        <f t="shared" si="1"/>
        <v>B</v>
      </c>
      <c r="D34">
        <v>2966291</v>
      </c>
      <c r="E34">
        <v>2889963</v>
      </c>
      <c r="F34">
        <v>462453</v>
      </c>
      <c r="G34">
        <v>486354</v>
      </c>
      <c r="I34">
        <f t="shared" si="5"/>
        <v>0</v>
      </c>
      <c r="J34">
        <f t="shared" si="2"/>
        <v>5856254</v>
      </c>
      <c r="K34">
        <f t="shared" si="3"/>
        <v>0</v>
      </c>
      <c r="L34">
        <f t="shared" si="4"/>
        <v>0</v>
      </c>
    </row>
    <row r="35" spans="1:12" x14ac:dyDescent="0.25">
      <c r="A35" t="s">
        <v>33</v>
      </c>
      <c r="B35" t="str">
        <f t="shared" si="0"/>
        <v>34</v>
      </c>
      <c r="C35" t="str">
        <f t="shared" si="1"/>
        <v>C</v>
      </c>
      <c r="D35">
        <v>76648</v>
      </c>
      <c r="E35">
        <v>81385</v>
      </c>
      <c r="F35">
        <v>1374708</v>
      </c>
      <c r="G35">
        <v>1379567</v>
      </c>
      <c r="I35">
        <f t="shared" si="5"/>
        <v>0</v>
      </c>
      <c r="J35">
        <f t="shared" si="2"/>
        <v>0</v>
      </c>
      <c r="K35">
        <f t="shared" si="3"/>
        <v>158033</v>
      </c>
      <c r="L35">
        <f t="shared" si="4"/>
        <v>0</v>
      </c>
    </row>
    <row r="36" spans="1:12" x14ac:dyDescent="0.25">
      <c r="A36" t="s">
        <v>34</v>
      </c>
      <c r="B36" t="str">
        <f t="shared" si="0"/>
        <v>35</v>
      </c>
      <c r="C36" t="str">
        <f t="shared" si="1"/>
        <v>C</v>
      </c>
      <c r="D36">
        <v>2574432</v>
      </c>
      <c r="E36">
        <v>2409710</v>
      </c>
      <c r="F36">
        <v>987486</v>
      </c>
      <c r="G36">
        <v>999043</v>
      </c>
      <c r="I36">
        <f t="shared" si="5"/>
        <v>0</v>
      </c>
      <c r="J36">
        <f t="shared" si="2"/>
        <v>0</v>
      </c>
      <c r="K36">
        <f t="shared" si="3"/>
        <v>4984142</v>
      </c>
      <c r="L36">
        <f t="shared" si="4"/>
        <v>0</v>
      </c>
    </row>
    <row r="37" spans="1:12" x14ac:dyDescent="0.25">
      <c r="A37" t="s">
        <v>35</v>
      </c>
      <c r="B37" t="str">
        <f t="shared" si="0"/>
        <v>36</v>
      </c>
      <c r="C37" t="str">
        <f t="shared" si="1"/>
        <v>B</v>
      </c>
      <c r="D37">
        <v>1778590</v>
      </c>
      <c r="E37">
        <v>1874844</v>
      </c>
      <c r="F37">
        <v>111191</v>
      </c>
      <c r="G37">
        <v>117846</v>
      </c>
      <c r="I37">
        <f t="shared" si="5"/>
        <v>0</v>
      </c>
      <c r="J37">
        <f t="shared" si="2"/>
        <v>3653434</v>
      </c>
      <c r="K37">
        <f t="shared" si="3"/>
        <v>0</v>
      </c>
      <c r="L37">
        <f t="shared" si="4"/>
        <v>0</v>
      </c>
    </row>
    <row r="38" spans="1:12" x14ac:dyDescent="0.25">
      <c r="A38" t="s">
        <v>36</v>
      </c>
      <c r="B38" t="str">
        <f t="shared" si="0"/>
        <v>37</v>
      </c>
      <c r="C38" t="str">
        <f t="shared" si="1"/>
        <v>A</v>
      </c>
      <c r="D38">
        <v>1506541</v>
      </c>
      <c r="E38">
        <v>1414887</v>
      </c>
      <c r="F38">
        <v>1216612</v>
      </c>
      <c r="G38">
        <v>1166775</v>
      </c>
      <c r="I38">
        <f t="shared" si="5"/>
        <v>2921428</v>
      </c>
      <c r="J38">
        <f t="shared" si="2"/>
        <v>0</v>
      </c>
      <c r="K38">
        <f t="shared" si="3"/>
        <v>0</v>
      </c>
      <c r="L38">
        <f t="shared" si="4"/>
        <v>0</v>
      </c>
    </row>
    <row r="39" spans="1:12" x14ac:dyDescent="0.25">
      <c r="A39" t="s">
        <v>37</v>
      </c>
      <c r="B39" t="str">
        <f t="shared" si="0"/>
        <v>38</v>
      </c>
      <c r="C39" t="str">
        <f t="shared" si="1"/>
        <v>B</v>
      </c>
      <c r="D39">
        <v>1598886</v>
      </c>
      <c r="E39">
        <v>1687917</v>
      </c>
      <c r="F39">
        <v>449788</v>
      </c>
      <c r="G39">
        <v>427615</v>
      </c>
      <c r="I39">
        <f t="shared" si="5"/>
        <v>0</v>
      </c>
      <c r="J39">
        <f t="shared" si="2"/>
        <v>3286803</v>
      </c>
      <c r="K39">
        <f t="shared" si="3"/>
        <v>0</v>
      </c>
      <c r="L39">
        <f t="shared" si="4"/>
        <v>0</v>
      </c>
    </row>
    <row r="40" spans="1:12" x14ac:dyDescent="0.25">
      <c r="A40" t="s">
        <v>38</v>
      </c>
      <c r="B40" t="str">
        <f t="shared" si="0"/>
        <v>39</v>
      </c>
      <c r="C40" t="str">
        <f t="shared" si="1"/>
        <v>D</v>
      </c>
      <c r="D40">
        <v>548989</v>
      </c>
      <c r="E40">
        <v>514636</v>
      </c>
      <c r="F40">
        <v>2770344</v>
      </c>
      <c r="G40">
        <v>3187897</v>
      </c>
      <c r="I40">
        <f t="shared" si="5"/>
        <v>0</v>
      </c>
      <c r="J40">
        <f t="shared" si="2"/>
        <v>0</v>
      </c>
      <c r="K40">
        <f t="shared" si="3"/>
        <v>0</v>
      </c>
      <c r="L40">
        <f t="shared" si="4"/>
        <v>1063625</v>
      </c>
    </row>
    <row r="41" spans="1:12" x14ac:dyDescent="0.25">
      <c r="A41" t="s">
        <v>39</v>
      </c>
      <c r="B41" t="str">
        <f t="shared" si="0"/>
        <v>40</v>
      </c>
      <c r="C41" t="str">
        <f t="shared" si="1"/>
        <v>A</v>
      </c>
      <c r="D41">
        <v>1175198</v>
      </c>
      <c r="E41">
        <v>1095440</v>
      </c>
      <c r="F41">
        <v>2657174</v>
      </c>
      <c r="G41">
        <v>2491947</v>
      </c>
      <c r="I41">
        <f t="shared" si="5"/>
        <v>2270638</v>
      </c>
      <c r="J41">
        <f t="shared" si="2"/>
        <v>0</v>
      </c>
      <c r="K41">
        <f t="shared" si="3"/>
        <v>0</v>
      </c>
      <c r="L41">
        <f t="shared" si="4"/>
        <v>0</v>
      </c>
    </row>
    <row r="42" spans="1:12" x14ac:dyDescent="0.25">
      <c r="A42" t="s">
        <v>40</v>
      </c>
      <c r="B42" t="str">
        <f t="shared" si="0"/>
        <v>41</v>
      </c>
      <c r="C42" t="str">
        <f t="shared" si="1"/>
        <v>D</v>
      </c>
      <c r="D42">
        <v>2115336</v>
      </c>
      <c r="E42">
        <v>2202769</v>
      </c>
      <c r="F42">
        <v>15339</v>
      </c>
      <c r="G42">
        <v>14652</v>
      </c>
      <c r="I42">
        <f t="shared" si="5"/>
        <v>0</v>
      </c>
      <c r="J42">
        <f t="shared" si="2"/>
        <v>0</v>
      </c>
      <c r="K42">
        <f t="shared" si="3"/>
        <v>0</v>
      </c>
      <c r="L42">
        <f t="shared" si="4"/>
        <v>4318105</v>
      </c>
    </row>
    <row r="43" spans="1:12" x14ac:dyDescent="0.25">
      <c r="A43" t="s">
        <v>41</v>
      </c>
      <c r="B43" t="str">
        <f t="shared" si="0"/>
        <v>42</v>
      </c>
      <c r="C43" t="str">
        <f t="shared" si="1"/>
        <v>B</v>
      </c>
      <c r="D43">
        <v>2346640</v>
      </c>
      <c r="E43">
        <v>2197559</v>
      </c>
      <c r="F43">
        <v>373470</v>
      </c>
      <c r="G43">
        <v>353365</v>
      </c>
      <c r="I43">
        <f t="shared" si="5"/>
        <v>0</v>
      </c>
      <c r="J43">
        <f t="shared" si="2"/>
        <v>4544199</v>
      </c>
      <c r="K43">
        <f t="shared" si="3"/>
        <v>0</v>
      </c>
      <c r="L43">
        <f t="shared" si="4"/>
        <v>0</v>
      </c>
    </row>
    <row r="44" spans="1:12" x14ac:dyDescent="0.25">
      <c r="A44" t="s">
        <v>42</v>
      </c>
      <c r="B44" t="str">
        <f t="shared" si="0"/>
        <v>43</v>
      </c>
      <c r="C44" t="str">
        <f t="shared" si="1"/>
        <v>D</v>
      </c>
      <c r="D44">
        <v>2548438</v>
      </c>
      <c r="E44">
        <v>2577213</v>
      </c>
      <c r="F44">
        <v>37986</v>
      </c>
      <c r="G44">
        <v>37766</v>
      </c>
      <c r="I44">
        <f t="shared" si="5"/>
        <v>0</v>
      </c>
      <c r="J44">
        <f t="shared" si="2"/>
        <v>0</v>
      </c>
      <c r="K44">
        <f t="shared" si="3"/>
        <v>0</v>
      </c>
      <c r="L44">
        <f t="shared" si="4"/>
        <v>5125651</v>
      </c>
    </row>
    <row r="45" spans="1:12" x14ac:dyDescent="0.25">
      <c r="A45" t="s">
        <v>43</v>
      </c>
      <c r="B45" t="str">
        <f t="shared" si="0"/>
        <v>44</v>
      </c>
      <c r="C45" t="str">
        <f t="shared" si="1"/>
        <v>C</v>
      </c>
      <c r="D45">
        <v>835495</v>
      </c>
      <c r="E45">
        <v>837746</v>
      </c>
      <c r="F45">
        <v>1106177</v>
      </c>
      <c r="G45">
        <v>917781</v>
      </c>
      <c r="I45">
        <f t="shared" si="5"/>
        <v>0</v>
      </c>
      <c r="J45">
        <f t="shared" si="2"/>
        <v>0</v>
      </c>
      <c r="K45">
        <f t="shared" si="3"/>
        <v>1673241</v>
      </c>
      <c r="L45">
        <f t="shared" si="4"/>
        <v>0</v>
      </c>
    </row>
    <row r="46" spans="1:12" x14ac:dyDescent="0.25">
      <c r="A46" t="s">
        <v>44</v>
      </c>
      <c r="B46" t="str">
        <f t="shared" si="0"/>
        <v>45</v>
      </c>
      <c r="C46" t="str">
        <f t="shared" si="1"/>
        <v>B</v>
      </c>
      <c r="D46">
        <v>1187448</v>
      </c>
      <c r="E46">
        <v>1070426</v>
      </c>
      <c r="F46">
        <v>1504608</v>
      </c>
      <c r="G46">
        <v>1756990</v>
      </c>
      <c r="I46">
        <f t="shared" si="5"/>
        <v>0</v>
      </c>
      <c r="J46">
        <f t="shared" si="2"/>
        <v>2257874</v>
      </c>
      <c r="K46">
        <f t="shared" si="3"/>
        <v>0</v>
      </c>
      <c r="L46">
        <f t="shared" si="4"/>
        <v>0</v>
      </c>
    </row>
    <row r="47" spans="1:12" x14ac:dyDescent="0.25">
      <c r="A47" t="s">
        <v>45</v>
      </c>
      <c r="B47" t="str">
        <f t="shared" si="0"/>
        <v>46</v>
      </c>
      <c r="C47" t="str">
        <f t="shared" si="1"/>
        <v>C</v>
      </c>
      <c r="D47">
        <v>140026</v>
      </c>
      <c r="E47">
        <v>146354</v>
      </c>
      <c r="F47">
        <v>2759991</v>
      </c>
      <c r="G47">
        <v>2742120</v>
      </c>
      <c r="I47">
        <f t="shared" si="5"/>
        <v>0</v>
      </c>
      <c r="J47">
        <f t="shared" si="2"/>
        <v>0</v>
      </c>
      <c r="K47">
        <f t="shared" si="3"/>
        <v>286380</v>
      </c>
      <c r="L47">
        <f t="shared" si="4"/>
        <v>0</v>
      </c>
    </row>
    <row r="48" spans="1:12" x14ac:dyDescent="0.25">
      <c r="A48" t="s">
        <v>46</v>
      </c>
      <c r="B48" t="str">
        <f t="shared" si="0"/>
        <v>47</v>
      </c>
      <c r="C48" t="str">
        <f t="shared" si="1"/>
        <v>B</v>
      </c>
      <c r="D48">
        <v>1198765</v>
      </c>
      <c r="E48">
        <v>1304945</v>
      </c>
      <c r="F48">
        <v>2786493</v>
      </c>
      <c r="G48">
        <v>2602643</v>
      </c>
      <c r="I48">
        <f t="shared" si="5"/>
        <v>0</v>
      </c>
      <c r="J48">
        <f t="shared" si="2"/>
        <v>2503710</v>
      </c>
      <c r="K48">
        <f t="shared" si="3"/>
        <v>0</v>
      </c>
      <c r="L48">
        <f t="shared" si="4"/>
        <v>0</v>
      </c>
    </row>
    <row r="49" spans="1:12" x14ac:dyDescent="0.25">
      <c r="A49" t="s">
        <v>47</v>
      </c>
      <c r="B49" t="str">
        <f t="shared" si="0"/>
        <v>48</v>
      </c>
      <c r="C49" t="str">
        <f t="shared" si="1"/>
        <v>C</v>
      </c>
      <c r="D49">
        <v>2619776</v>
      </c>
      <c r="E49">
        <v>2749623</v>
      </c>
      <c r="F49">
        <v>2888215</v>
      </c>
      <c r="G49">
        <v>2800174</v>
      </c>
      <c r="I49">
        <f t="shared" si="5"/>
        <v>0</v>
      </c>
      <c r="J49">
        <f t="shared" si="2"/>
        <v>0</v>
      </c>
      <c r="K49">
        <f t="shared" si="3"/>
        <v>5369399</v>
      </c>
      <c r="L49">
        <f t="shared" si="4"/>
        <v>0</v>
      </c>
    </row>
    <row r="50" spans="1:12" x14ac:dyDescent="0.25">
      <c r="A50" t="s">
        <v>48</v>
      </c>
      <c r="B50" t="str">
        <f t="shared" si="0"/>
        <v>49</v>
      </c>
      <c r="C50" t="str">
        <f t="shared" si="1"/>
        <v>C</v>
      </c>
      <c r="D50">
        <v>248398</v>
      </c>
      <c r="E50">
        <v>268511</v>
      </c>
      <c r="F50">
        <v>3110853</v>
      </c>
      <c r="G50">
        <v>2986411</v>
      </c>
      <c r="I50">
        <f t="shared" si="5"/>
        <v>0</v>
      </c>
      <c r="J50">
        <f t="shared" si="2"/>
        <v>0</v>
      </c>
      <c r="K50">
        <f t="shared" si="3"/>
        <v>516909</v>
      </c>
      <c r="L50">
        <f t="shared" si="4"/>
        <v>0</v>
      </c>
    </row>
    <row r="51" spans="1:12" x14ac:dyDescent="0.25">
      <c r="A51" t="s">
        <v>49</v>
      </c>
      <c r="B51" t="str">
        <f t="shared" si="0"/>
        <v>50</v>
      </c>
      <c r="C51" t="str">
        <f t="shared" si="1"/>
        <v>B</v>
      </c>
      <c r="D51">
        <v>2494207</v>
      </c>
      <c r="E51">
        <v>2625207</v>
      </c>
      <c r="F51">
        <v>1796293</v>
      </c>
      <c r="G51">
        <v>1853602</v>
      </c>
      <c r="I51">
        <f t="shared" si="5"/>
        <v>0</v>
      </c>
      <c r="J51">
        <f t="shared" si="2"/>
        <v>5119414</v>
      </c>
      <c r="K51">
        <f t="shared" si="3"/>
        <v>0</v>
      </c>
      <c r="L51">
        <f t="shared" si="4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0F49F-93EC-40FF-A12C-83BA946E4978}">
  <dimension ref="A1:O51"/>
  <sheetViews>
    <sheetView zoomScale="85" zoomScaleNormal="85" workbookViewId="0">
      <selection activeCell="G51" sqref="A1:G51"/>
    </sheetView>
  </sheetViews>
  <sheetFormatPr defaultRowHeight="15" x14ac:dyDescent="0.25"/>
  <cols>
    <col min="1" max="1" width="17.42578125" bestFit="1" customWidth="1"/>
    <col min="2" max="2" width="20" bestFit="1" customWidth="1"/>
    <col min="3" max="3" width="6.7109375" bestFit="1" customWidth="1"/>
    <col min="4" max="4" width="12.140625" bestFit="1" customWidth="1"/>
    <col min="5" max="5" width="14.42578125" bestFit="1" customWidth="1"/>
    <col min="6" max="6" width="12.140625" bestFit="1" customWidth="1"/>
    <col min="7" max="7" width="14.42578125" bestFit="1" customWidth="1"/>
    <col min="8" max="8" width="20.7109375" bestFit="1" customWidth="1"/>
    <col min="15" max="15" width="9.85546875" bestFit="1" customWidth="1"/>
  </cols>
  <sheetData>
    <row r="1" spans="1:15" x14ac:dyDescent="0.25">
      <c r="A1" t="s">
        <v>60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61</v>
      </c>
      <c r="I1" t="s">
        <v>56</v>
      </c>
      <c r="J1" t="s">
        <v>57</v>
      </c>
      <c r="K1" t="s">
        <v>58</v>
      </c>
      <c r="L1" t="s">
        <v>59</v>
      </c>
    </row>
    <row r="2" spans="1:15" x14ac:dyDescent="0.25">
      <c r="A2" t="s">
        <v>0</v>
      </c>
      <c r="B2" t="str">
        <f>MID(A2,2,2)</f>
        <v>01</v>
      </c>
      <c r="C2" t="str">
        <f>MID(A2,4,1)</f>
        <v>D</v>
      </c>
      <c r="D2">
        <v>1415007</v>
      </c>
      <c r="E2">
        <v>1397195</v>
      </c>
      <c r="F2">
        <v>1499070</v>
      </c>
      <c r="G2">
        <v>1481105</v>
      </c>
      <c r="H2">
        <f>IF(AND(G2&gt;E2,F2&gt;D2),1,0)</f>
        <v>1</v>
      </c>
      <c r="I2">
        <f>IF(C2="A",H2,0)</f>
        <v>0</v>
      </c>
      <c r="J2">
        <f>IF(C2="B",H2,0)</f>
        <v>0</v>
      </c>
      <c r="K2">
        <f>IF(C2="C",H2,0)</f>
        <v>0</v>
      </c>
      <c r="L2">
        <f>IF(C2="D",H2,0)</f>
        <v>1</v>
      </c>
      <c r="N2" t="s">
        <v>62</v>
      </c>
      <c r="O2">
        <f>SUM(H2:H51)</f>
        <v>19</v>
      </c>
    </row>
    <row r="3" spans="1:15" x14ac:dyDescent="0.25">
      <c r="A3" t="s">
        <v>1</v>
      </c>
      <c r="B3" t="str">
        <f t="shared" ref="B3:B51" si="0">MID(A3,2,2)</f>
        <v>02</v>
      </c>
      <c r="C3" t="str">
        <f t="shared" ref="C3:C51" si="1">MID(A3,4,1)</f>
        <v>D</v>
      </c>
      <c r="D3">
        <v>1711390</v>
      </c>
      <c r="E3">
        <v>1641773</v>
      </c>
      <c r="F3">
        <v>1522030</v>
      </c>
      <c r="G3">
        <v>1618733</v>
      </c>
      <c r="H3">
        <f t="shared" ref="H3:H51" si="2">IF(AND(G3&gt;E3,F3&gt;D3),1,0)</f>
        <v>0</v>
      </c>
      <c r="I3">
        <f t="shared" ref="I3:I51" si="3">IF(C3="A",H3,0)</f>
        <v>0</v>
      </c>
      <c r="J3">
        <f t="shared" ref="J3:J51" si="4">IF(C3="B",H3,0)</f>
        <v>0</v>
      </c>
      <c r="K3">
        <f t="shared" ref="K3:K51" si="5">IF(C3="C",H3,0)</f>
        <v>0</v>
      </c>
      <c r="L3">
        <f t="shared" ref="L3:L51" si="6">IF(C3="D",H3,0)</f>
        <v>0</v>
      </c>
      <c r="N3" t="s">
        <v>56</v>
      </c>
      <c r="O3">
        <f>SUM(I2:I51)</f>
        <v>3</v>
      </c>
    </row>
    <row r="4" spans="1:15" x14ac:dyDescent="0.25">
      <c r="A4" t="s">
        <v>2</v>
      </c>
      <c r="B4" t="str">
        <f t="shared" si="0"/>
        <v>03</v>
      </c>
      <c r="C4" t="str">
        <f t="shared" si="1"/>
        <v>C</v>
      </c>
      <c r="D4">
        <v>1165105</v>
      </c>
      <c r="E4">
        <v>1278732</v>
      </c>
      <c r="F4">
        <v>1299953</v>
      </c>
      <c r="G4">
        <v>1191621</v>
      </c>
      <c r="H4">
        <f t="shared" si="2"/>
        <v>0</v>
      </c>
      <c r="I4">
        <f t="shared" si="3"/>
        <v>0</v>
      </c>
      <c r="J4">
        <f t="shared" si="4"/>
        <v>0</v>
      </c>
      <c r="K4">
        <f t="shared" si="5"/>
        <v>0</v>
      </c>
      <c r="L4">
        <f t="shared" si="6"/>
        <v>0</v>
      </c>
      <c r="N4" t="s">
        <v>57</v>
      </c>
      <c r="O4">
        <f>SUM(J2:J51)</f>
        <v>4</v>
      </c>
    </row>
    <row r="5" spans="1:15" x14ac:dyDescent="0.25">
      <c r="A5" t="s">
        <v>3</v>
      </c>
      <c r="B5" t="str">
        <f t="shared" si="0"/>
        <v>04</v>
      </c>
      <c r="C5" t="str">
        <f t="shared" si="1"/>
        <v>D</v>
      </c>
      <c r="D5">
        <v>949065</v>
      </c>
      <c r="E5">
        <v>1026050</v>
      </c>
      <c r="F5">
        <v>688027</v>
      </c>
      <c r="G5">
        <v>723233</v>
      </c>
      <c r="H5">
        <f t="shared" si="2"/>
        <v>0</v>
      </c>
      <c r="I5">
        <f t="shared" si="3"/>
        <v>0</v>
      </c>
      <c r="J5">
        <f t="shared" si="4"/>
        <v>0</v>
      </c>
      <c r="K5">
        <f t="shared" si="5"/>
        <v>0</v>
      </c>
      <c r="L5">
        <f t="shared" si="6"/>
        <v>0</v>
      </c>
      <c r="N5" t="s">
        <v>58</v>
      </c>
      <c r="O5">
        <f>SUM(K2:K51)</f>
        <v>8</v>
      </c>
    </row>
    <row r="6" spans="1:15" x14ac:dyDescent="0.25">
      <c r="A6" t="s">
        <v>4</v>
      </c>
      <c r="B6" t="str">
        <f t="shared" si="0"/>
        <v>05</v>
      </c>
      <c r="C6" t="str">
        <f t="shared" si="1"/>
        <v>A</v>
      </c>
      <c r="D6">
        <v>2436107</v>
      </c>
      <c r="E6">
        <v>2228622</v>
      </c>
      <c r="F6">
        <v>1831600</v>
      </c>
      <c r="G6">
        <v>1960624</v>
      </c>
      <c r="H6">
        <f t="shared" si="2"/>
        <v>0</v>
      </c>
      <c r="I6">
        <f t="shared" si="3"/>
        <v>0</v>
      </c>
      <c r="J6">
        <f t="shared" si="4"/>
        <v>0</v>
      </c>
      <c r="K6">
        <f t="shared" si="5"/>
        <v>0</v>
      </c>
      <c r="L6">
        <f t="shared" si="6"/>
        <v>0</v>
      </c>
      <c r="N6" t="s">
        <v>59</v>
      </c>
      <c r="O6">
        <f>SUM(L2:L51)</f>
        <v>4</v>
      </c>
    </row>
    <row r="7" spans="1:15" x14ac:dyDescent="0.25">
      <c r="A7" t="s">
        <v>5</v>
      </c>
      <c r="B7" t="str">
        <f t="shared" si="0"/>
        <v>06</v>
      </c>
      <c r="C7" t="str">
        <f t="shared" si="1"/>
        <v>D</v>
      </c>
      <c r="D7">
        <v>1846928</v>
      </c>
      <c r="E7">
        <v>1851433</v>
      </c>
      <c r="F7">
        <v>2125113</v>
      </c>
      <c r="G7">
        <v>2028635</v>
      </c>
      <c r="H7">
        <f t="shared" si="2"/>
        <v>1</v>
      </c>
      <c r="I7">
        <f t="shared" si="3"/>
        <v>0</v>
      </c>
      <c r="J7">
        <f t="shared" si="4"/>
        <v>0</v>
      </c>
      <c r="K7">
        <f t="shared" si="5"/>
        <v>0</v>
      </c>
      <c r="L7">
        <f t="shared" si="6"/>
        <v>1</v>
      </c>
    </row>
    <row r="8" spans="1:15" x14ac:dyDescent="0.25">
      <c r="A8" t="s">
        <v>6</v>
      </c>
      <c r="B8" t="str">
        <f t="shared" si="0"/>
        <v>07</v>
      </c>
      <c r="C8" t="str">
        <f t="shared" si="1"/>
        <v>B</v>
      </c>
      <c r="D8">
        <v>3841577</v>
      </c>
      <c r="E8">
        <v>3848394</v>
      </c>
      <c r="F8">
        <v>3595975</v>
      </c>
      <c r="G8">
        <v>3123039</v>
      </c>
      <c r="H8">
        <f t="shared" si="2"/>
        <v>0</v>
      </c>
      <c r="I8">
        <f t="shared" si="3"/>
        <v>0</v>
      </c>
      <c r="J8">
        <f t="shared" si="4"/>
        <v>0</v>
      </c>
      <c r="K8">
        <f t="shared" si="5"/>
        <v>0</v>
      </c>
      <c r="L8">
        <f t="shared" si="6"/>
        <v>0</v>
      </c>
    </row>
    <row r="9" spans="1:15" x14ac:dyDescent="0.25">
      <c r="A9" t="s">
        <v>7</v>
      </c>
      <c r="B9" t="str">
        <f t="shared" si="0"/>
        <v>08</v>
      </c>
      <c r="C9" t="str">
        <f t="shared" si="1"/>
        <v>A</v>
      </c>
      <c r="D9">
        <v>679557</v>
      </c>
      <c r="E9">
        <v>655500</v>
      </c>
      <c r="F9">
        <v>1012012</v>
      </c>
      <c r="G9">
        <v>1067022</v>
      </c>
      <c r="H9">
        <f t="shared" si="2"/>
        <v>1</v>
      </c>
      <c r="I9">
        <f t="shared" si="3"/>
        <v>1</v>
      </c>
      <c r="J9">
        <f t="shared" si="4"/>
        <v>0</v>
      </c>
      <c r="K9">
        <f t="shared" si="5"/>
        <v>0</v>
      </c>
      <c r="L9">
        <f t="shared" si="6"/>
        <v>0</v>
      </c>
    </row>
    <row r="10" spans="1:15" x14ac:dyDescent="0.25">
      <c r="A10" t="s">
        <v>8</v>
      </c>
      <c r="B10" t="str">
        <f t="shared" si="0"/>
        <v>09</v>
      </c>
      <c r="C10" t="str">
        <f t="shared" si="1"/>
        <v>C</v>
      </c>
      <c r="D10">
        <v>1660998</v>
      </c>
      <c r="E10">
        <v>1630345</v>
      </c>
      <c r="F10">
        <v>1130119</v>
      </c>
      <c r="G10">
        <v>1080238</v>
      </c>
      <c r="H10">
        <f t="shared" si="2"/>
        <v>0</v>
      </c>
      <c r="I10">
        <f t="shared" si="3"/>
        <v>0</v>
      </c>
      <c r="J10">
        <f t="shared" si="4"/>
        <v>0</v>
      </c>
      <c r="K10">
        <f t="shared" si="5"/>
        <v>0</v>
      </c>
      <c r="L10">
        <f t="shared" si="6"/>
        <v>0</v>
      </c>
    </row>
    <row r="11" spans="1:15" x14ac:dyDescent="0.25">
      <c r="A11" t="s">
        <v>9</v>
      </c>
      <c r="B11" t="str">
        <f t="shared" si="0"/>
        <v>10</v>
      </c>
      <c r="C11" t="str">
        <f t="shared" si="1"/>
        <v>C</v>
      </c>
      <c r="D11">
        <v>1157622</v>
      </c>
      <c r="E11">
        <v>1182345</v>
      </c>
      <c r="F11">
        <v>830785</v>
      </c>
      <c r="G11">
        <v>833779</v>
      </c>
      <c r="H11">
        <f t="shared" si="2"/>
        <v>0</v>
      </c>
      <c r="I11">
        <f t="shared" si="3"/>
        <v>0</v>
      </c>
      <c r="J11">
        <f t="shared" si="4"/>
        <v>0</v>
      </c>
      <c r="K11">
        <f t="shared" si="5"/>
        <v>0</v>
      </c>
      <c r="L11">
        <f t="shared" si="6"/>
        <v>0</v>
      </c>
    </row>
    <row r="12" spans="1:15" x14ac:dyDescent="0.25">
      <c r="A12" t="s">
        <v>10</v>
      </c>
      <c r="B12" t="str">
        <f t="shared" si="0"/>
        <v>11</v>
      </c>
      <c r="C12" t="str">
        <f t="shared" si="1"/>
        <v>D</v>
      </c>
      <c r="D12">
        <v>1987047</v>
      </c>
      <c r="E12">
        <v>1996208</v>
      </c>
      <c r="F12">
        <v>2053892</v>
      </c>
      <c r="G12">
        <v>1697247</v>
      </c>
      <c r="H12">
        <f t="shared" si="2"/>
        <v>0</v>
      </c>
      <c r="I12">
        <f t="shared" si="3"/>
        <v>0</v>
      </c>
      <c r="J12">
        <f t="shared" si="4"/>
        <v>0</v>
      </c>
      <c r="K12">
        <f t="shared" si="5"/>
        <v>0</v>
      </c>
      <c r="L12">
        <f t="shared" si="6"/>
        <v>0</v>
      </c>
    </row>
    <row r="13" spans="1:15" x14ac:dyDescent="0.25">
      <c r="A13" t="s">
        <v>11</v>
      </c>
      <c r="B13" t="str">
        <f t="shared" si="0"/>
        <v>12</v>
      </c>
      <c r="C13" t="str">
        <f t="shared" si="1"/>
        <v>C</v>
      </c>
      <c r="D13">
        <v>3997724</v>
      </c>
      <c r="E13">
        <v>3690756</v>
      </c>
      <c r="F13">
        <v>4339393</v>
      </c>
      <c r="G13">
        <v>4639643</v>
      </c>
      <c r="H13">
        <f t="shared" si="2"/>
        <v>1</v>
      </c>
      <c r="I13">
        <f t="shared" si="3"/>
        <v>0</v>
      </c>
      <c r="J13">
        <f t="shared" si="4"/>
        <v>0</v>
      </c>
      <c r="K13">
        <f t="shared" si="5"/>
        <v>1</v>
      </c>
      <c r="L13">
        <f t="shared" si="6"/>
        <v>0</v>
      </c>
    </row>
    <row r="14" spans="1:15" x14ac:dyDescent="0.25">
      <c r="A14" t="s">
        <v>12</v>
      </c>
      <c r="B14" t="str">
        <f t="shared" si="0"/>
        <v>13</v>
      </c>
      <c r="C14" t="str">
        <f t="shared" si="1"/>
        <v>A</v>
      </c>
      <c r="D14">
        <v>996113</v>
      </c>
      <c r="E14">
        <v>964279</v>
      </c>
      <c r="F14">
        <v>1012487</v>
      </c>
      <c r="G14">
        <v>1128940</v>
      </c>
      <c r="H14">
        <f t="shared" si="2"/>
        <v>1</v>
      </c>
      <c r="I14">
        <f t="shared" si="3"/>
        <v>1</v>
      </c>
      <c r="J14">
        <f t="shared" si="4"/>
        <v>0</v>
      </c>
      <c r="K14">
        <f t="shared" si="5"/>
        <v>0</v>
      </c>
      <c r="L14">
        <f t="shared" si="6"/>
        <v>0</v>
      </c>
    </row>
    <row r="15" spans="1:15" x14ac:dyDescent="0.25">
      <c r="A15" t="s">
        <v>13</v>
      </c>
      <c r="B15" t="str">
        <f t="shared" si="0"/>
        <v>14</v>
      </c>
      <c r="C15" t="str">
        <f t="shared" si="1"/>
        <v>A</v>
      </c>
      <c r="D15">
        <v>1143634</v>
      </c>
      <c r="E15">
        <v>1033836</v>
      </c>
      <c r="F15">
        <v>909534</v>
      </c>
      <c r="G15">
        <v>856349</v>
      </c>
      <c r="H15">
        <f t="shared" si="2"/>
        <v>0</v>
      </c>
      <c r="I15">
        <f t="shared" si="3"/>
        <v>0</v>
      </c>
      <c r="J15">
        <f t="shared" si="4"/>
        <v>0</v>
      </c>
      <c r="K15">
        <f t="shared" si="5"/>
        <v>0</v>
      </c>
      <c r="L15">
        <f t="shared" si="6"/>
        <v>0</v>
      </c>
    </row>
    <row r="16" spans="1:15" x14ac:dyDescent="0.25">
      <c r="A16" t="s">
        <v>14</v>
      </c>
      <c r="B16" t="str">
        <f t="shared" si="0"/>
        <v>15</v>
      </c>
      <c r="C16" t="str">
        <f t="shared" si="1"/>
        <v>A</v>
      </c>
      <c r="D16">
        <v>2549276</v>
      </c>
      <c r="E16">
        <v>2584751</v>
      </c>
      <c r="F16">
        <v>2033079</v>
      </c>
      <c r="G16">
        <v>2066918</v>
      </c>
      <c r="H16">
        <f t="shared" si="2"/>
        <v>0</v>
      </c>
      <c r="I16">
        <f t="shared" si="3"/>
        <v>0</v>
      </c>
      <c r="J16">
        <f t="shared" si="4"/>
        <v>0</v>
      </c>
      <c r="K16">
        <f t="shared" si="5"/>
        <v>0</v>
      </c>
      <c r="L16">
        <f t="shared" si="6"/>
        <v>0</v>
      </c>
    </row>
    <row r="17" spans="1:12" x14ac:dyDescent="0.25">
      <c r="A17" t="s">
        <v>15</v>
      </c>
      <c r="B17" t="str">
        <f t="shared" si="0"/>
        <v>16</v>
      </c>
      <c r="C17" t="str">
        <f t="shared" si="1"/>
        <v>C</v>
      </c>
      <c r="D17">
        <v>1367212</v>
      </c>
      <c r="E17">
        <v>1361389</v>
      </c>
      <c r="F17">
        <v>1572320</v>
      </c>
      <c r="G17">
        <v>1836258</v>
      </c>
      <c r="H17">
        <f t="shared" si="2"/>
        <v>1</v>
      </c>
      <c r="I17">
        <f t="shared" si="3"/>
        <v>0</v>
      </c>
      <c r="J17">
        <f t="shared" si="4"/>
        <v>0</v>
      </c>
      <c r="K17">
        <f t="shared" si="5"/>
        <v>1</v>
      </c>
      <c r="L17">
        <f t="shared" si="6"/>
        <v>0</v>
      </c>
    </row>
    <row r="18" spans="1:12" x14ac:dyDescent="0.25">
      <c r="A18" t="s">
        <v>16</v>
      </c>
      <c r="B18" t="str">
        <f t="shared" si="0"/>
        <v>17</v>
      </c>
      <c r="C18" t="str">
        <f t="shared" si="1"/>
        <v>A</v>
      </c>
      <c r="D18">
        <v>2567464</v>
      </c>
      <c r="E18">
        <v>2441857</v>
      </c>
      <c r="F18">
        <v>1524132</v>
      </c>
      <c r="G18">
        <v>1496810</v>
      </c>
      <c r="H18">
        <f t="shared" si="2"/>
        <v>0</v>
      </c>
      <c r="I18">
        <f t="shared" si="3"/>
        <v>0</v>
      </c>
      <c r="J18">
        <f t="shared" si="4"/>
        <v>0</v>
      </c>
      <c r="K18">
        <f t="shared" si="5"/>
        <v>0</v>
      </c>
      <c r="L18">
        <f t="shared" si="6"/>
        <v>0</v>
      </c>
    </row>
    <row r="19" spans="1:12" x14ac:dyDescent="0.25">
      <c r="A19" t="s">
        <v>17</v>
      </c>
      <c r="B19" t="str">
        <f t="shared" si="0"/>
        <v>18</v>
      </c>
      <c r="C19" t="str">
        <f t="shared" si="1"/>
        <v>D</v>
      </c>
      <c r="D19">
        <v>1334060</v>
      </c>
      <c r="E19">
        <v>1395231</v>
      </c>
      <c r="F19">
        <v>578655</v>
      </c>
      <c r="G19">
        <v>677663</v>
      </c>
      <c r="H19">
        <f t="shared" si="2"/>
        <v>0</v>
      </c>
      <c r="I19">
        <f t="shared" si="3"/>
        <v>0</v>
      </c>
      <c r="J19">
        <f t="shared" si="4"/>
        <v>0</v>
      </c>
      <c r="K19">
        <f t="shared" si="5"/>
        <v>0</v>
      </c>
      <c r="L19">
        <f t="shared" si="6"/>
        <v>0</v>
      </c>
    </row>
    <row r="20" spans="1:12" x14ac:dyDescent="0.25">
      <c r="A20" t="s">
        <v>18</v>
      </c>
      <c r="B20" t="str">
        <f t="shared" si="0"/>
        <v>19</v>
      </c>
      <c r="C20" t="str">
        <f t="shared" si="1"/>
        <v>C</v>
      </c>
      <c r="D20">
        <v>2976209</v>
      </c>
      <c r="E20">
        <v>3199665</v>
      </c>
      <c r="F20">
        <v>1666477</v>
      </c>
      <c r="G20">
        <v>1759240</v>
      </c>
      <c r="H20">
        <f t="shared" si="2"/>
        <v>0</v>
      </c>
      <c r="I20">
        <f t="shared" si="3"/>
        <v>0</v>
      </c>
      <c r="J20">
        <f t="shared" si="4"/>
        <v>0</v>
      </c>
      <c r="K20">
        <f t="shared" si="5"/>
        <v>0</v>
      </c>
      <c r="L20">
        <f t="shared" si="6"/>
        <v>0</v>
      </c>
    </row>
    <row r="21" spans="1:12" x14ac:dyDescent="0.25">
      <c r="A21" t="s">
        <v>19</v>
      </c>
      <c r="B21" t="str">
        <f t="shared" si="0"/>
        <v>20</v>
      </c>
      <c r="C21" t="str">
        <f t="shared" si="1"/>
        <v>C</v>
      </c>
      <c r="D21">
        <v>1443351</v>
      </c>
      <c r="E21">
        <v>1565539</v>
      </c>
      <c r="F21">
        <v>1355276</v>
      </c>
      <c r="G21">
        <v>1423414</v>
      </c>
      <c r="H21">
        <f t="shared" si="2"/>
        <v>0</v>
      </c>
      <c r="I21">
        <f t="shared" si="3"/>
        <v>0</v>
      </c>
      <c r="J21">
        <f t="shared" si="4"/>
        <v>0</v>
      </c>
      <c r="K21">
        <f t="shared" si="5"/>
        <v>0</v>
      </c>
      <c r="L21">
        <f t="shared" si="6"/>
        <v>0</v>
      </c>
    </row>
    <row r="22" spans="1:12" x14ac:dyDescent="0.25">
      <c r="A22" t="s">
        <v>20</v>
      </c>
      <c r="B22" t="str">
        <f t="shared" si="0"/>
        <v>21</v>
      </c>
      <c r="C22" t="str">
        <f t="shared" si="1"/>
        <v>A</v>
      </c>
      <c r="D22">
        <v>2486640</v>
      </c>
      <c r="E22">
        <v>2265936</v>
      </c>
      <c r="F22">
        <v>297424</v>
      </c>
      <c r="G22">
        <v>274759</v>
      </c>
      <c r="H22">
        <f t="shared" si="2"/>
        <v>0</v>
      </c>
      <c r="I22">
        <f t="shared" si="3"/>
        <v>0</v>
      </c>
      <c r="J22">
        <f t="shared" si="4"/>
        <v>0</v>
      </c>
      <c r="K22">
        <f t="shared" si="5"/>
        <v>0</v>
      </c>
      <c r="L22">
        <f t="shared" si="6"/>
        <v>0</v>
      </c>
    </row>
    <row r="23" spans="1:12" x14ac:dyDescent="0.25">
      <c r="A23" t="s">
        <v>21</v>
      </c>
      <c r="B23" t="str">
        <f t="shared" si="0"/>
        <v>22</v>
      </c>
      <c r="C23" t="str">
        <f t="shared" si="1"/>
        <v>B</v>
      </c>
      <c r="D23">
        <v>685438</v>
      </c>
      <c r="E23">
        <v>749124</v>
      </c>
      <c r="F23">
        <v>2697677</v>
      </c>
      <c r="G23">
        <v>2821550</v>
      </c>
      <c r="H23">
        <f t="shared" si="2"/>
        <v>1</v>
      </c>
      <c r="I23">
        <f t="shared" si="3"/>
        <v>0</v>
      </c>
      <c r="J23">
        <f t="shared" si="4"/>
        <v>1</v>
      </c>
      <c r="K23">
        <f t="shared" si="5"/>
        <v>0</v>
      </c>
      <c r="L23">
        <f t="shared" si="6"/>
        <v>0</v>
      </c>
    </row>
    <row r="24" spans="1:12" x14ac:dyDescent="0.25">
      <c r="A24" t="s">
        <v>22</v>
      </c>
      <c r="B24" t="str">
        <f t="shared" si="0"/>
        <v>23</v>
      </c>
      <c r="C24" t="str">
        <f t="shared" si="1"/>
        <v>B</v>
      </c>
      <c r="D24">
        <v>2166753</v>
      </c>
      <c r="E24">
        <v>2338698</v>
      </c>
      <c r="F24">
        <v>1681433</v>
      </c>
      <c r="G24">
        <v>1592443</v>
      </c>
      <c r="H24">
        <f t="shared" si="2"/>
        <v>0</v>
      </c>
      <c r="I24">
        <f t="shared" si="3"/>
        <v>0</v>
      </c>
      <c r="J24">
        <f t="shared" si="4"/>
        <v>0</v>
      </c>
      <c r="K24">
        <f t="shared" si="5"/>
        <v>0</v>
      </c>
      <c r="L24">
        <f t="shared" si="6"/>
        <v>0</v>
      </c>
    </row>
    <row r="25" spans="1:12" x14ac:dyDescent="0.25">
      <c r="A25" t="s">
        <v>23</v>
      </c>
      <c r="B25" t="str">
        <f t="shared" si="0"/>
        <v>24</v>
      </c>
      <c r="C25" t="str">
        <f t="shared" si="1"/>
        <v>C</v>
      </c>
      <c r="D25">
        <v>643177</v>
      </c>
      <c r="E25">
        <v>684187</v>
      </c>
      <c r="F25">
        <v>796213</v>
      </c>
      <c r="G25">
        <v>867904</v>
      </c>
      <c r="H25">
        <f t="shared" si="2"/>
        <v>1</v>
      </c>
      <c r="I25">
        <f t="shared" si="3"/>
        <v>0</v>
      </c>
      <c r="J25">
        <f t="shared" si="4"/>
        <v>0</v>
      </c>
      <c r="K25">
        <f t="shared" si="5"/>
        <v>1</v>
      </c>
      <c r="L25">
        <f t="shared" si="6"/>
        <v>0</v>
      </c>
    </row>
    <row r="26" spans="1:12" x14ac:dyDescent="0.25">
      <c r="A26" t="s">
        <v>24</v>
      </c>
      <c r="B26" t="str">
        <f t="shared" si="0"/>
        <v>25</v>
      </c>
      <c r="C26" t="str">
        <f t="shared" si="1"/>
        <v>B</v>
      </c>
      <c r="D26">
        <v>450192</v>
      </c>
      <c r="E26">
        <v>434755</v>
      </c>
      <c r="F26">
        <v>1656446</v>
      </c>
      <c r="G26">
        <v>1691000</v>
      </c>
      <c r="H26">
        <f t="shared" si="2"/>
        <v>1</v>
      </c>
      <c r="I26">
        <f t="shared" si="3"/>
        <v>0</v>
      </c>
      <c r="J26">
        <f t="shared" si="4"/>
        <v>1</v>
      </c>
      <c r="K26">
        <f t="shared" si="5"/>
        <v>0</v>
      </c>
      <c r="L26">
        <f t="shared" si="6"/>
        <v>0</v>
      </c>
    </row>
    <row r="27" spans="1:12" x14ac:dyDescent="0.25">
      <c r="A27" t="s">
        <v>25</v>
      </c>
      <c r="B27" t="str">
        <f t="shared" si="0"/>
        <v>26</v>
      </c>
      <c r="C27" t="str">
        <f t="shared" si="1"/>
        <v>C</v>
      </c>
      <c r="D27">
        <v>1037774</v>
      </c>
      <c r="E27">
        <v>1113789</v>
      </c>
      <c r="F27">
        <v>877464</v>
      </c>
      <c r="G27">
        <v>990837</v>
      </c>
      <c r="H27">
        <f t="shared" si="2"/>
        <v>0</v>
      </c>
      <c r="I27">
        <f t="shared" si="3"/>
        <v>0</v>
      </c>
      <c r="J27">
        <f t="shared" si="4"/>
        <v>0</v>
      </c>
      <c r="K27">
        <f t="shared" si="5"/>
        <v>0</v>
      </c>
      <c r="L27">
        <f t="shared" si="6"/>
        <v>0</v>
      </c>
    </row>
    <row r="28" spans="1:12" x14ac:dyDescent="0.25">
      <c r="A28" t="s">
        <v>26</v>
      </c>
      <c r="B28" t="str">
        <f t="shared" si="0"/>
        <v>27</v>
      </c>
      <c r="C28" t="str">
        <f t="shared" si="1"/>
        <v>C</v>
      </c>
      <c r="D28">
        <v>2351213</v>
      </c>
      <c r="E28">
        <v>2358482</v>
      </c>
      <c r="F28">
        <v>1098384</v>
      </c>
      <c r="G28">
        <v>1121488</v>
      </c>
      <c r="H28">
        <f t="shared" si="2"/>
        <v>0</v>
      </c>
      <c r="I28">
        <f t="shared" si="3"/>
        <v>0</v>
      </c>
      <c r="J28">
        <f t="shared" si="4"/>
        <v>0</v>
      </c>
      <c r="K28">
        <f t="shared" si="5"/>
        <v>0</v>
      </c>
      <c r="L28">
        <f t="shared" si="6"/>
        <v>0</v>
      </c>
    </row>
    <row r="29" spans="1:12" x14ac:dyDescent="0.25">
      <c r="A29" t="s">
        <v>27</v>
      </c>
      <c r="B29" t="str">
        <f t="shared" si="0"/>
        <v>28</v>
      </c>
      <c r="C29" t="str">
        <f t="shared" si="1"/>
        <v>D</v>
      </c>
      <c r="D29">
        <v>2613354</v>
      </c>
      <c r="E29">
        <v>2837241</v>
      </c>
      <c r="F29">
        <v>431144</v>
      </c>
      <c r="G29">
        <v>434113</v>
      </c>
      <c r="H29">
        <f t="shared" si="2"/>
        <v>0</v>
      </c>
      <c r="I29">
        <f t="shared" si="3"/>
        <v>0</v>
      </c>
      <c r="J29">
        <f t="shared" si="4"/>
        <v>0</v>
      </c>
      <c r="K29">
        <f t="shared" si="5"/>
        <v>0</v>
      </c>
      <c r="L29">
        <f t="shared" si="6"/>
        <v>0</v>
      </c>
    </row>
    <row r="30" spans="1:12" x14ac:dyDescent="0.25">
      <c r="A30" t="s">
        <v>28</v>
      </c>
      <c r="B30" t="str">
        <f t="shared" si="0"/>
        <v>29</v>
      </c>
      <c r="C30" t="str">
        <f t="shared" si="1"/>
        <v>A</v>
      </c>
      <c r="D30">
        <v>1859691</v>
      </c>
      <c r="E30">
        <v>1844250</v>
      </c>
      <c r="F30">
        <v>1460134</v>
      </c>
      <c r="G30">
        <v>1585258</v>
      </c>
      <c r="H30">
        <f t="shared" si="2"/>
        <v>0</v>
      </c>
      <c r="I30">
        <f t="shared" si="3"/>
        <v>0</v>
      </c>
      <c r="J30">
        <f t="shared" si="4"/>
        <v>0</v>
      </c>
      <c r="K30">
        <f t="shared" si="5"/>
        <v>0</v>
      </c>
      <c r="L30">
        <f t="shared" si="6"/>
        <v>0</v>
      </c>
    </row>
    <row r="31" spans="1:12" x14ac:dyDescent="0.25">
      <c r="A31" t="s">
        <v>29</v>
      </c>
      <c r="B31" t="str">
        <f t="shared" si="0"/>
        <v>30</v>
      </c>
      <c r="C31" t="str">
        <f t="shared" si="1"/>
        <v>C</v>
      </c>
      <c r="D31">
        <v>2478386</v>
      </c>
      <c r="E31">
        <v>2562144</v>
      </c>
      <c r="F31">
        <v>30035</v>
      </c>
      <c r="G31">
        <v>29396</v>
      </c>
      <c r="H31">
        <f t="shared" si="2"/>
        <v>0</v>
      </c>
      <c r="I31">
        <f t="shared" si="3"/>
        <v>0</v>
      </c>
      <c r="J31">
        <f t="shared" si="4"/>
        <v>0</v>
      </c>
      <c r="K31">
        <f t="shared" si="5"/>
        <v>0</v>
      </c>
      <c r="L31">
        <f t="shared" si="6"/>
        <v>0</v>
      </c>
    </row>
    <row r="32" spans="1:12" x14ac:dyDescent="0.25">
      <c r="A32" t="s">
        <v>30</v>
      </c>
      <c r="B32" t="str">
        <f t="shared" si="0"/>
        <v>31</v>
      </c>
      <c r="C32" t="str">
        <f t="shared" si="1"/>
        <v>C</v>
      </c>
      <c r="D32">
        <v>1938122</v>
      </c>
      <c r="E32">
        <v>1816647</v>
      </c>
      <c r="F32">
        <v>1602356</v>
      </c>
      <c r="G32">
        <v>1875221</v>
      </c>
      <c r="H32">
        <f t="shared" si="2"/>
        <v>0</v>
      </c>
      <c r="I32">
        <f t="shared" si="3"/>
        <v>0</v>
      </c>
      <c r="J32">
        <f t="shared" si="4"/>
        <v>0</v>
      </c>
      <c r="K32">
        <f t="shared" si="5"/>
        <v>0</v>
      </c>
      <c r="L32">
        <f t="shared" si="6"/>
        <v>0</v>
      </c>
    </row>
    <row r="33" spans="1:12" x14ac:dyDescent="0.25">
      <c r="A33" t="s">
        <v>31</v>
      </c>
      <c r="B33" t="str">
        <f t="shared" si="0"/>
        <v>32</v>
      </c>
      <c r="C33" t="str">
        <f t="shared" si="1"/>
        <v>D</v>
      </c>
      <c r="D33">
        <v>992523</v>
      </c>
      <c r="E33">
        <v>1028501</v>
      </c>
      <c r="F33">
        <v>1995446</v>
      </c>
      <c r="G33">
        <v>1860524</v>
      </c>
      <c r="H33">
        <f t="shared" si="2"/>
        <v>1</v>
      </c>
      <c r="I33">
        <f t="shared" si="3"/>
        <v>0</v>
      </c>
      <c r="J33">
        <f t="shared" si="4"/>
        <v>0</v>
      </c>
      <c r="K33">
        <f t="shared" si="5"/>
        <v>0</v>
      </c>
      <c r="L33">
        <f t="shared" si="6"/>
        <v>1</v>
      </c>
    </row>
    <row r="34" spans="1:12" x14ac:dyDescent="0.25">
      <c r="A34" t="s">
        <v>32</v>
      </c>
      <c r="B34" t="str">
        <f t="shared" si="0"/>
        <v>33</v>
      </c>
      <c r="C34" t="str">
        <f t="shared" si="1"/>
        <v>B</v>
      </c>
      <c r="D34">
        <v>2966291</v>
      </c>
      <c r="E34">
        <v>2889963</v>
      </c>
      <c r="F34">
        <v>462453</v>
      </c>
      <c r="G34">
        <v>486354</v>
      </c>
      <c r="H34">
        <f t="shared" si="2"/>
        <v>0</v>
      </c>
      <c r="I34">
        <f t="shared" si="3"/>
        <v>0</v>
      </c>
      <c r="J34">
        <f t="shared" si="4"/>
        <v>0</v>
      </c>
      <c r="K34">
        <f t="shared" si="5"/>
        <v>0</v>
      </c>
      <c r="L34">
        <f t="shared" si="6"/>
        <v>0</v>
      </c>
    </row>
    <row r="35" spans="1:12" x14ac:dyDescent="0.25">
      <c r="A35" t="s">
        <v>33</v>
      </c>
      <c r="B35" t="str">
        <f t="shared" si="0"/>
        <v>34</v>
      </c>
      <c r="C35" t="str">
        <f t="shared" si="1"/>
        <v>C</v>
      </c>
      <c r="D35">
        <v>76648</v>
      </c>
      <c r="E35">
        <v>81385</v>
      </c>
      <c r="F35">
        <v>1374708</v>
      </c>
      <c r="G35">
        <v>1379567</v>
      </c>
      <c r="H35">
        <f t="shared" si="2"/>
        <v>1</v>
      </c>
      <c r="I35">
        <f t="shared" si="3"/>
        <v>0</v>
      </c>
      <c r="J35">
        <f t="shared" si="4"/>
        <v>0</v>
      </c>
      <c r="K35">
        <f t="shared" si="5"/>
        <v>1</v>
      </c>
      <c r="L35">
        <f t="shared" si="6"/>
        <v>0</v>
      </c>
    </row>
    <row r="36" spans="1:12" x14ac:dyDescent="0.25">
      <c r="A36" t="s">
        <v>34</v>
      </c>
      <c r="B36" t="str">
        <f t="shared" si="0"/>
        <v>35</v>
      </c>
      <c r="C36" t="str">
        <f t="shared" si="1"/>
        <v>C</v>
      </c>
      <c r="D36">
        <v>2574432</v>
      </c>
      <c r="E36">
        <v>2409710</v>
      </c>
      <c r="F36">
        <v>987486</v>
      </c>
      <c r="G36">
        <v>999043</v>
      </c>
      <c r="H36">
        <f t="shared" si="2"/>
        <v>0</v>
      </c>
      <c r="I36">
        <f t="shared" si="3"/>
        <v>0</v>
      </c>
      <c r="J36">
        <f t="shared" si="4"/>
        <v>0</v>
      </c>
      <c r="K36">
        <f t="shared" si="5"/>
        <v>0</v>
      </c>
      <c r="L36">
        <f t="shared" si="6"/>
        <v>0</v>
      </c>
    </row>
    <row r="37" spans="1:12" x14ac:dyDescent="0.25">
      <c r="A37" t="s">
        <v>35</v>
      </c>
      <c r="B37" t="str">
        <f t="shared" si="0"/>
        <v>36</v>
      </c>
      <c r="C37" t="str">
        <f t="shared" si="1"/>
        <v>B</v>
      </c>
      <c r="D37">
        <v>1778590</v>
      </c>
      <c r="E37">
        <v>1874844</v>
      </c>
      <c r="F37">
        <v>111191</v>
      </c>
      <c r="G37">
        <v>117846</v>
      </c>
      <c r="H37">
        <f t="shared" si="2"/>
        <v>0</v>
      </c>
      <c r="I37">
        <f t="shared" si="3"/>
        <v>0</v>
      </c>
      <c r="J37">
        <f t="shared" si="4"/>
        <v>0</v>
      </c>
      <c r="K37">
        <f t="shared" si="5"/>
        <v>0</v>
      </c>
      <c r="L37">
        <f t="shared" si="6"/>
        <v>0</v>
      </c>
    </row>
    <row r="38" spans="1:12" x14ac:dyDescent="0.25">
      <c r="A38" t="s">
        <v>36</v>
      </c>
      <c r="B38" t="str">
        <f t="shared" si="0"/>
        <v>37</v>
      </c>
      <c r="C38" t="str">
        <f t="shared" si="1"/>
        <v>A</v>
      </c>
      <c r="D38">
        <v>1506541</v>
      </c>
      <c r="E38">
        <v>1414887</v>
      </c>
      <c r="F38">
        <v>1216612</v>
      </c>
      <c r="G38">
        <v>1166775</v>
      </c>
      <c r="H38">
        <f t="shared" si="2"/>
        <v>0</v>
      </c>
      <c r="I38">
        <f t="shared" si="3"/>
        <v>0</v>
      </c>
      <c r="J38">
        <f t="shared" si="4"/>
        <v>0</v>
      </c>
      <c r="K38">
        <f t="shared" si="5"/>
        <v>0</v>
      </c>
      <c r="L38">
        <f t="shared" si="6"/>
        <v>0</v>
      </c>
    </row>
    <row r="39" spans="1:12" x14ac:dyDescent="0.25">
      <c r="A39" t="s">
        <v>37</v>
      </c>
      <c r="B39" t="str">
        <f t="shared" si="0"/>
        <v>38</v>
      </c>
      <c r="C39" t="str">
        <f t="shared" si="1"/>
        <v>B</v>
      </c>
      <c r="D39">
        <v>1598886</v>
      </c>
      <c r="E39">
        <v>1687917</v>
      </c>
      <c r="F39">
        <v>449788</v>
      </c>
      <c r="G39">
        <v>427615</v>
      </c>
      <c r="H39">
        <f t="shared" si="2"/>
        <v>0</v>
      </c>
      <c r="I39">
        <f t="shared" si="3"/>
        <v>0</v>
      </c>
      <c r="J39">
        <f t="shared" si="4"/>
        <v>0</v>
      </c>
      <c r="K39">
        <f t="shared" si="5"/>
        <v>0</v>
      </c>
      <c r="L39">
        <f t="shared" si="6"/>
        <v>0</v>
      </c>
    </row>
    <row r="40" spans="1:12" x14ac:dyDescent="0.25">
      <c r="A40" t="s">
        <v>38</v>
      </c>
      <c r="B40" t="str">
        <f t="shared" si="0"/>
        <v>39</v>
      </c>
      <c r="C40" t="str">
        <f t="shared" si="1"/>
        <v>D</v>
      </c>
      <c r="D40">
        <v>548989</v>
      </c>
      <c r="E40">
        <v>514636</v>
      </c>
      <c r="F40">
        <v>2770344</v>
      </c>
      <c r="G40">
        <v>3187897</v>
      </c>
      <c r="H40">
        <f t="shared" si="2"/>
        <v>1</v>
      </c>
      <c r="I40">
        <f t="shared" si="3"/>
        <v>0</v>
      </c>
      <c r="J40">
        <f t="shared" si="4"/>
        <v>0</v>
      </c>
      <c r="K40">
        <f t="shared" si="5"/>
        <v>0</v>
      </c>
      <c r="L40">
        <f t="shared" si="6"/>
        <v>1</v>
      </c>
    </row>
    <row r="41" spans="1:12" x14ac:dyDescent="0.25">
      <c r="A41" t="s">
        <v>39</v>
      </c>
      <c r="B41" t="str">
        <f t="shared" si="0"/>
        <v>40</v>
      </c>
      <c r="C41" t="str">
        <f t="shared" si="1"/>
        <v>A</v>
      </c>
      <c r="D41">
        <v>1175198</v>
      </c>
      <c r="E41">
        <v>1095440</v>
      </c>
      <c r="F41">
        <v>2657174</v>
      </c>
      <c r="G41">
        <v>2491947</v>
      </c>
      <c r="H41">
        <f t="shared" si="2"/>
        <v>1</v>
      </c>
      <c r="I41">
        <f t="shared" si="3"/>
        <v>1</v>
      </c>
      <c r="J41">
        <f t="shared" si="4"/>
        <v>0</v>
      </c>
      <c r="K41">
        <f t="shared" si="5"/>
        <v>0</v>
      </c>
      <c r="L41">
        <f t="shared" si="6"/>
        <v>0</v>
      </c>
    </row>
    <row r="42" spans="1:12" x14ac:dyDescent="0.25">
      <c r="A42" t="s">
        <v>40</v>
      </c>
      <c r="B42" t="str">
        <f t="shared" si="0"/>
        <v>41</v>
      </c>
      <c r="C42" t="str">
        <f t="shared" si="1"/>
        <v>D</v>
      </c>
      <c r="D42">
        <v>2115336</v>
      </c>
      <c r="E42">
        <v>2202769</v>
      </c>
      <c r="F42">
        <v>15339</v>
      </c>
      <c r="G42">
        <v>14652</v>
      </c>
      <c r="H42">
        <f t="shared" si="2"/>
        <v>0</v>
      </c>
      <c r="I42">
        <f t="shared" si="3"/>
        <v>0</v>
      </c>
      <c r="J42">
        <f t="shared" si="4"/>
        <v>0</v>
      </c>
      <c r="K42">
        <f t="shared" si="5"/>
        <v>0</v>
      </c>
      <c r="L42">
        <f t="shared" si="6"/>
        <v>0</v>
      </c>
    </row>
    <row r="43" spans="1:12" x14ac:dyDescent="0.25">
      <c r="A43" t="s">
        <v>41</v>
      </c>
      <c r="B43" t="str">
        <f t="shared" si="0"/>
        <v>42</v>
      </c>
      <c r="C43" t="str">
        <f t="shared" si="1"/>
        <v>B</v>
      </c>
      <c r="D43">
        <v>2346640</v>
      </c>
      <c r="E43">
        <v>2197559</v>
      </c>
      <c r="F43">
        <v>373470</v>
      </c>
      <c r="G43">
        <v>353365</v>
      </c>
      <c r="H43">
        <f t="shared" si="2"/>
        <v>0</v>
      </c>
      <c r="I43">
        <f t="shared" si="3"/>
        <v>0</v>
      </c>
      <c r="J43">
        <f t="shared" si="4"/>
        <v>0</v>
      </c>
      <c r="K43">
        <f t="shared" si="5"/>
        <v>0</v>
      </c>
      <c r="L43">
        <f t="shared" si="6"/>
        <v>0</v>
      </c>
    </row>
    <row r="44" spans="1:12" x14ac:dyDescent="0.25">
      <c r="A44" t="s">
        <v>42</v>
      </c>
      <c r="B44" t="str">
        <f t="shared" si="0"/>
        <v>43</v>
      </c>
      <c r="C44" t="str">
        <f t="shared" si="1"/>
        <v>D</v>
      </c>
      <c r="D44">
        <v>2548438</v>
      </c>
      <c r="E44">
        <v>2577213</v>
      </c>
      <c r="F44">
        <v>37986</v>
      </c>
      <c r="G44">
        <v>37766</v>
      </c>
      <c r="H44">
        <f t="shared" si="2"/>
        <v>0</v>
      </c>
      <c r="I44">
        <f t="shared" si="3"/>
        <v>0</v>
      </c>
      <c r="J44">
        <f t="shared" si="4"/>
        <v>0</v>
      </c>
      <c r="K44">
        <f t="shared" si="5"/>
        <v>0</v>
      </c>
      <c r="L44">
        <f t="shared" si="6"/>
        <v>0</v>
      </c>
    </row>
    <row r="45" spans="1:12" x14ac:dyDescent="0.25">
      <c r="A45" t="s">
        <v>43</v>
      </c>
      <c r="B45" t="str">
        <f t="shared" si="0"/>
        <v>44</v>
      </c>
      <c r="C45" t="str">
        <f t="shared" si="1"/>
        <v>C</v>
      </c>
      <c r="D45">
        <v>835495</v>
      </c>
      <c r="E45">
        <v>837746</v>
      </c>
      <c r="F45">
        <v>1106177</v>
      </c>
      <c r="G45">
        <v>917781</v>
      </c>
      <c r="H45">
        <f t="shared" si="2"/>
        <v>1</v>
      </c>
      <c r="I45">
        <f t="shared" si="3"/>
        <v>0</v>
      </c>
      <c r="J45">
        <f t="shared" si="4"/>
        <v>0</v>
      </c>
      <c r="K45">
        <f t="shared" si="5"/>
        <v>1</v>
      </c>
      <c r="L45">
        <f t="shared" si="6"/>
        <v>0</v>
      </c>
    </row>
    <row r="46" spans="1:12" x14ac:dyDescent="0.25">
      <c r="A46" t="s">
        <v>44</v>
      </c>
      <c r="B46" t="str">
        <f t="shared" si="0"/>
        <v>45</v>
      </c>
      <c r="C46" t="str">
        <f t="shared" si="1"/>
        <v>B</v>
      </c>
      <c r="D46">
        <v>1187448</v>
      </c>
      <c r="E46">
        <v>1070426</v>
      </c>
      <c r="F46">
        <v>1504608</v>
      </c>
      <c r="G46">
        <v>1756990</v>
      </c>
      <c r="H46">
        <f t="shared" si="2"/>
        <v>1</v>
      </c>
      <c r="I46">
        <f t="shared" si="3"/>
        <v>0</v>
      </c>
      <c r="J46">
        <f t="shared" si="4"/>
        <v>1</v>
      </c>
      <c r="K46">
        <f t="shared" si="5"/>
        <v>0</v>
      </c>
      <c r="L46">
        <f t="shared" si="6"/>
        <v>0</v>
      </c>
    </row>
    <row r="47" spans="1:12" x14ac:dyDescent="0.25">
      <c r="A47" t="s">
        <v>45</v>
      </c>
      <c r="B47" t="str">
        <f t="shared" si="0"/>
        <v>46</v>
      </c>
      <c r="C47" t="str">
        <f t="shared" si="1"/>
        <v>C</v>
      </c>
      <c r="D47">
        <v>140026</v>
      </c>
      <c r="E47">
        <v>146354</v>
      </c>
      <c r="F47">
        <v>2759991</v>
      </c>
      <c r="G47">
        <v>2742120</v>
      </c>
      <c r="H47">
        <f t="shared" si="2"/>
        <v>1</v>
      </c>
      <c r="I47">
        <f t="shared" si="3"/>
        <v>0</v>
      </c>
      <c r="J47">
        <f t="shared" si="4"/>
        <v>0</v>
      </c>
      <c r="K47">
        <f t="shared" si="5"/>
        <v>1</v>
      </c>
      <c r="L47">
        <f t="shared" si="6"/>
        <v>0</v>
      </c>
    </row>
    <row r="48" spans="1:12" x14ac:dyDescent="0.25">
      <c r="A48" t="s">
        <v>46</v>
      </c>
      <c r="B48" t="str">
        <f t="shared" si="0"/>
        <v>47</v>
      </c>
      <c r="C48" t="str">
        <f t="shared" si="1"/>
        <v>B</v>
      </c>
      <c r="D48">
        <v>1198765</v>
      </c>
      <c r="E48">
        <v>1304945</v>
      </c>
      <c r="F48">
        <v>2786493</v>
      </c>
      <c r="G48">
        <v>2602643</v>
      </c>
      <c r="H48">
        <f t="shared" si="2"/>
        <v>1</v>
      </c>
      <c r="I48">
        <f t="shared" si="3"/>
        <v>0</v>
      </c>
      <c r="J48">
        <f t="shared" si="4"/>
        <v>1</v>
      </c>
      <c r="K48">
        <f t="shared" si="5"/>
        <v>0</v>
      </c>
      <c r="L48">
        <f t="shared" si="6"/>
        <v>0</v>
      </c>
    </row>
    <row r="49" spans="1:12" x14ac:dyDescent="0.25">
      <c r="A49" t="s">
        <v>47</v>
      </c>
      <c r="B49" t="str">
        <f t="shared" si="0"/>
        <v>48</v>
      </c>
      <c r="C49" t="str">
        <f t="shared" si="1"/>
        <v>C</v>
      </c>
      <c r="D49">
        <v>2619776</v>
      </c>
      <c r="E49">
        <v>2749623</v>
      </c>
      <c r="F49">
        <v>2888215</v>
      </c>
      <c r="G49">
        <v>2800174</v>
      </c>
      <c r="H49">
        <f t="shared" si="2"/>
        <v>1</v>
      </c>
      <c r="I49">
        <f t="shared" si="3"/>
        <v>0</v>
      </c>
      <c r="J49">
        <f t="shared" si="4"/>
        <v>0</v>
      </c>
      <c r="K49">
        <f t="shared" si="5"/>
        <v>1</v>
      </c>
      <c r="L49">
        <f t="shared" si="6"/>
        <v>0</v>
      </c>
    </row>
    <row r="50" spans="1:12" x14ac:dyDescent="0.25">
      <c r="A50" t="s">
        <v>48</v>
      </c>
      <c r="B50" t="str">
        <f t="shared" si="0"/>
        <v>49</v>
      </c>
      <c r="C50" t="str">
        <f t="shared" si="1"/>
        <v>C</v>
      </c>
      <c r="D50">
        <v>248398</v>
      </c>
      <c r="E50">
        <v>268511</v>
      </c>
      <c r="F50">
        <v>3110853</v>
      </c>
      <c r="G50">
        <v>2986411</v>
      </c>
      <c r="H50">
        <f t="shared" si="2"/>
        <v>1</v>
      </c>
      <c r="I50">
        <f t="shared" si="3"/>
        <v>0</v>
      </c>
      <c r="J50">
        <f t="shared" si="4"/>
        <v>0</v>
      </c>
      <c r="K50">
        <f t="shared" si="5"/>
        <v>1</v>
      </c>
      <c r="L50">
        <f t="shared" si="6"/>
        <v>0</v>
      </c>
    </row>
    <row r="51" spans="1:12" x14ac:dyDescent="0.25">
      <c r="A51" t="s">
        <v>49</v>
      </c>
      <c r="B51" t="str">
        <f t="shared" si="0"/>
        <v>50</v>
      </c>
      <c r="C51" t="str">
        <f t="shared" si="1"/>
        <v>B</v>
      </c>
      <c r="D51">
        <v>2494207</v>
      </c>
      <c r="E51">
        <v>2625207</v>
      </c>
      <c r="F51">
        <v>1796293</v>
      </c>
      <c r="G51">
        <v>1853602</v>
      </c>
      <c r="H51">
        <f t="shared" si="2"/>
        <v>0</v>
      </c>
      <c r="I51">
        <f t="shared" si="3"/>
        <v>0</v>
      </c>
      <c r="J51">
        <f t="shared" si="4"/>
        <v>0</v>
      </c>
      <c r="K51">
        <f t="shared" si="5"/>
        <v>0</v>
      </c>
      <c r="L51">
        <f t="shared" si="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B52D-DD2F-4A3B-BC5D-B17423A7EB4A}">
  <dimension ref="A1:Z52"/>
  <sheetViews>
    <sheetView zoomScale="85" zoomScaleNormal="85" workbookViewId="0">
      <selection activeCell="Z13" sqref="Z13"/>
    </sheetView>
  </sheetViews>
  <sheetFormatPr defaultRowHeight="15" x14ac:dyDescent="0.25"/>
  <cols>
    <col min="1" max="1" width="17.42578125" bestFit="1" customWidth="1"/>
    <col min="2" max="2" width="20" bestFit="1" customWidth="1"/>
    <col min="3" max="3" width="6.7109375" bestFit="1" customWidth="1"/>
    <col min="4" max="4" width="12.140625" bestFit="1" customWidth="1"/>
    <col min="5" max="5" width="14.42578125" bestFit="1" customWidth="1"/>
    <col min="6" max="6" width="12.140625" bestFit="1" customWidth="1"/>
    <col min="7" max="7" width="14.42578125" bestFit="1" customWidth="1"/>
    <col min="9" max="10" width="12.28515625" bestFit="1" customWidth="1"/>
    <col min="11" max="11" width="14.42578125" bestFit="1" customWidth="1"/>
    <col min="14" max="14" width="10" customWidth="1"/>
    <col min="15" max="24" width="10.5703125" bestFit="1" customWidth="1"/>
    <col min="25" max="25" width="13.5703125" bestFit="1" customWidth="1"/>
    <col min="26" max="26" width="14" bestFit="1" customWidth="1"/>
  </cols>
  <sheetData>
    <row r="1" spans="1:26" x14ac:dyDescent="0.25">
      <c r="A1" t="s">
        <v>60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I1" t="s">
        <v>63</v>
      </c>
      <c r="J1" t="s">
        <v>64</v>
      </c>
      <c r="K1" t="s">
        <v>65</v>
      </c>
      <c r="N1">
        <v>2015</v>
      </c>
      <c r="O1">
        <v>2016</v>
      </c>
      <c r="P1">
        <v>2017</v>
      </c>
      <c r="Q1">
        <v>2018</v>
      </c>
      <c r="R1">
        <v>2019</v>
      </c>
      <c r="S1">
        <v>2020</v>
      </c>
      <c r="T1">
        <v>2021</v>
      </c>
      <c r="U1">
        <v>2022</v>
      </c>
      <c r="V1">
        <v>2023</v>
      </c>
      <c r="W1">
        <v>2024</v>
      </c>
      <c r="X1">
        <v>2025</v>
      </c>
      <c r="Y1" t="s">
        <v>67</v>
      </c>
      <c r="Z1" t="s">
        <v>66</v>
      </c>
    </row>
    <row r="2" spans="1:26" x14ac:dyDescent="0.25">
      <c r="A2" t="s">
        <v>0</v>
      </c>
      <c r="B2" t="str">
        <f>MID(A2,2,2)</f>
        <v>01</v>
      </c>
      <c r="C2" t="str">
        <f>MID(A2,4,1)</f>
        <v>D</v>
      </c>
      <c r="D2">
        <v>1415007</v>
      </c>
      <c r="E2">
        <v>1397195</v>
      </c>
      <c r="F2">
        <v>1499070</v>
      </c>
      <c r="G2">
        <v>1481105</v>
      </c>
      <c r="I2">
        <f>D2+E2</f>
        <v>2812202</v>
      </c>
      <c r="J2">
        <f>G2+F2</f>
        <v>2980175</v>
      </c>
      <c r="K2">
        <f>ROUNDDOWN(J2/I2,4)</f>
        <v>1.0597000000000001</v>
      </c>
      <c r="N2">
        <f>IF(J2&gt;2*$I2,J2,ROUNDDOWN(J2*$K2,))</f>
        <v>3158091</v>
      </c>
      <c r="O2">
        <f>IF(N2&gt;2*$I2,N2,ROUNDDOWN(N2*$K2,0))</f>
        <v>3346629</v>
      </c>
      <c r="P2">
        <f t="shared" ref="P2:X2" si="0">IF(O2&gt;2*$I2,O2,ROUNDDOWN(O2*$K2,0))</f>
        <v>3546422</v>
      </c>
      <c r="Q2">
        <f t="shared" si="0"/>
        <v>3758143</v>
      </c>
      <c r="R2">
        <f t="shared" si="0"/>
        <v>3982504</v>
      </c>
      <c r="S2">
        <f t="shared" si="0"/>
        <v>4220259</v>
      </c>
      <c r="T2">
        <f t="shared" si="0"/>
        <v>4472208</v>
      </c>
      <c r="U2">
        <f t="shared" si="0"/>
        <v>4739198</v>
      </c>
      <c r="V2">
        <f t="shared" si="0"/>
        <v>5022128</v>
      </c>
      <c r="W2">
        <f t="shared" si="0"/>
        <v>5321949</v>
      </c>
      <c r="X2">
        <f t="shared" si="0"/>
        <v>5639669</v>
      </c>
      <c r="Y2">
        <f>IF(X2&gt;2*I2,1,0)</f>
        <v>1</v>
      </c>
      <c r="Z2">
        <f>SUM(X2:X51)</f>
        <v>125930205</v>
      </c>
    </row>
    <row r="3" spans="1:26" x14ac:dyDescent="0.25">
      <c r="A3" t="s">
        <v>1</v>
      </c>
      <c r="B3" t="str">
        <f>MID(A3,2,2)</f>
        <v>02</v>
      </c>
      <c r="C3" t="str">
        <f>MID(A3,4,1)</f>
        <v>D</v>
      </c>
      <c r="D3">
        <v>1711390</v>
      </c>
      <c r="E3">
        <v>1641773</v>
      </c>
      <c r="F3">
        <v>1522030</v>
      </c>
      <c r="G3">
        <v>1618733</v>
      </c>
      <c r="I3">
        <f t="shared" ref="I3:I51" si="1">D3+E3</f>
        <v>3353163</v>
      </c>
      <c r="J3">
        <f t="shared" ref="J3:J51" si="2">G3+F3</f>
        <v>3140763</v>
      </c>
      <c r="K3">
        <f t="shared" ref="K3:K51" si="3">ROUNDDOWN(J3/I3,4)</f>
        <v>0.93659999999999999</v>
      </c>
      <c r="N3">
        <f t="shared" ref="N3:N51" si="4">IF(J3&gt;2*$I3,J3,ROUNDDOWN(J3*$K3,))</f>
        <v>2941638</v>
      </c>
      <c r="O3">
        <f t="shared" ref="O3:X3" si="5">IF(N3&gt;2*$I3,N3,ROUNDDOWN(N3*$K3,0))</f>
        <v>2755138</v>
      </c>
      <c r="P3">
        <f t="shared" si="5"/>
        <v>2580462</v>
      </c>
      <c r="Q3">
        <f t="shared" si="5"/>
        <v>2416860</v>
      </c>
      <c r="R3">
        <f t="shared" si="5"/>
        <v>2263631</v>
      </c>
      <c r="S3">
        <f t="shared" si="5"/>
        <v>2120116</v>
      </c>
      <c r="T3">
        <f t="shared" si="5"/>
        <v>1985700</v>
      </c>
      <c r="U3">
        <f t="shared" si="5"/>
        <v>1859806</v>
      </c>
      <c r="V3">
        <f t="shared" si="5"/>
        <v>1741894</v>
      </c>
      <c r="W3">
        <f t="shared" si="5"/>
        <v>1631457</v>
      </c>
      <c r="X3">
        <f t="shared" si="5"/>
        <v>1528022</v>
      </c>
      <c r="Y3">
        <f t="shared" ref="Y3:Y51" si="6">IF(X3&gt;2*I3,1,0)</f>
        <v>0</v>
      </c>
    </row>
    <row r="4" spans="1:26" x14ac:dyDescent="0.25">
      <c r="A4" t="s">
        <v>2</v>
      </c>
      <c r="B4" t="str">
        <f>MID(A4,2,2)</f>
        <v>03</v>
      </c>
      <c r="C4" t="str">
        <f>MID(A4,4,1)</f>
        <v>C</v>
      </c>
      <c r="D4">
        <v>1165105</v>
      </c>
      <c r="E4">
        <v>1278732</v>
      </c>
      <c r="F4">
        <v>1299953</v>
      </c>
      <c r="G4">
        <v>1191621</v>
      </c>
      <c r="I4">
        <f t="shared" si="1"/>
        <v>2443837</v>
      </c>
      <c r="J4">
        <f t="shared" si="2"/>
        <v>2491574</v>
      </c>
      <c r="K4">
        <f t="shared" si="3"/>
        <v>1.0195000000000001</v>
      </c>
      <c r="N4">
        <f t="shared" si="4"/>
        <v>2540159</v>
      </c>
      <c r="O4">
        <f t="shared" ref="O4:X4" si="7">IF(N4&gt;2*$I4,N4,ROUNDDOWN(N4*$K4,0))</f>
        <v>2589692</v>
      </c>
      <c r="P4">
        <f t="shared" si="7"/>
        <v>2640190</v>
      </c>
      <c r="Q4">
        <f t="shared" si="7"/>
        <v>2691673</v>
      </c>
      <c r="R4">
        <f t="shared" si="7"/>
        <v>2744160</v>
      </c>
      <c r="S4">
        <f t="shared" si="7"/>
        <v>2797671</v>
      </c>
      <c r="T4">
        <f t="shared" si="7"/>
        <v>2852225</v>
      </c>
      <c r="U4">
        <f t="shared" si="7"/>
        <v>2907843</v>
      </c>
      <c r="V4">
        <f t="shared" si="7"/>
        <v>2964545</v>
      </c>
      <c r="W4">
        <f t="shared" si="7"/>
        <v>3022353</v>
      </c>
      <c r="X4">
        <f t="shared" si="7"/>
        <v>3081288</v>
      </c>
      <c r="Y4">
        <f t="shared" si="6"/>
        <v>0</v>
      </c>
    </row>
    <row r="5" spans="1:26" x14ac:dyDescent="0.25">
      <c r="A5" t="s">
        <v>3</v>
      </c>
      <c r="B5" t="str">
        <f>MID(A5,2,2)</f>
        <v>04</v>
      </c>
      <c r="C5" t="str">
        <f>MID(A5,4,1)</f>
        <v>D</v>
      </c>
      <c r="D5">
        <v>949065</v>
      </c>
      <c r="E5">
        <v>1026050</v>
      </c>
      <c r="F5">
        <v>688027</v>
      </c>
      <c r="G5">
        <v>723233</v>
      </c>
      <c r="I5">
        <f t="shared" si="1"/>
        <v>1975115</v>
      </c>
      <c r="J5">
        <f t="shared" si="2"/>
        <v>1411260</v>
      </c>
      <c r="K5">
        <f t="shared" si="3"/>
        <v>0.71450000000000002</v>
      </c>
      <c r="N5">
        <f t="shared" si="4"/>
        <v>1008345</v>
      </c>
      <c r="O5">
        <f t="shared" ref="O5:X5" si="8">IF(N5&gt;2*$I5,N5,ROUNDDOWN(N5*$K5,0))</f>
        <v>720462</v>
      </c>
      <c r="P5">
        <f t="shared" si="8"/>
        <v>514770</v>
      </c>
      <c r="Q5">
        <f t="shared" si="8"/>
        <v>367803</v>
      </c>
      <c r="R5">
        <f t="shared" si="8"/>
        <v>262795</v>
      </c>
      <c r="S5">
        <f t="shared" si="8"/>
        <v>187767</v>
      </c>
      <c r="T5">
        <f t="shared" si="8"/>
        <v>134159</v>
      </c>
      <c r="U5">
        <f t="shared" si="8"/>
        <v>95856</v>
      </c>
      <c r="V5">
        <f t="shared" si="8"/>
        <v>68489</v>
      </c>
      <c r="W5">
        <f t="shared" si="8"/>
        <v>48935</v>
      </c>
      <c r="X5">
        <f t="shared" si="8"/>
        <v>34964</v>
      </c>
      <c r="Y5">
        <f t="shared" si="6"/>
        <v>0</v>
      </c>
      <c r="Z5">
        <f>MAX(X2:X51)</f>
        <v>16699503</v>
      </c>
    </row>
    <row r="6" spans="1:26" x14ac:dyDescent="0.25">
      <c r="A6" t="s">
        <v>4</v>
      </c>
      <c r="B6" t="str">
        <f>MID(A6,2,2)</f>
        <v>05</v>
      </c>
      <c r="C6" t="str">
        <f>MID(A6,4,1)</f>
        <v>A</v>
      </c>
      <c r="D6">
        <v>2436107</v>
      </c>
      <c r="E6">
        <v>2228622</v>
      </c>
      <c r="F6">
        <v>1831600</v>
      </c>
      <c r="G6">
        <v>1960624</v>
      </c>
      <c r="I6">
        <f t="shared" si="1"/>
        <v>4664729</v>
      </c>
      <c r="J6">
        <f t="shared" si="2"/>
        <v>3792224</v>
      </c>
      <c r="K6">
        <f t="shared" si="3"/>
        <v>0.81289999999999996</v>
      </c>
      <c r="N6">
        <f t="shared" si="4"/>
        <v>3082698</v>
      </c>
      <c r="O6">
        <f t="shared" ref="O6:X6" si="9">IF(N6&gt;2*$I6,N6,ROUNDDOWN(N6*$K6,0))</f>
        <v>2505925</v>
      </c>
      <c r="P6">
        <f t="shared" si="9"/>
        <v>2037066</v>
      </c>
      <c r="Q6">
        <f t="shared" si="9"/>
        <v>1655930</v>
      </c>
      <c r="R6">
        <f t="shared" si="9"/>
        <v>1346105</v>
      </c>
      <c r="S6">
        <f t="shared" si="9"/>
        <v>1094248</v>
      </c>
      <c r="T6">
        <f t="shared" si="9"/>
        <v>889514</v>
      </c>
      <c r="U6">
        <f t="shared" si="9"/>
        <v>723085</v>
      </c>
      <c r="V6">
        <f t="shared" si="9"/>
        <v>587795</v>
      </c>
      <c r="W6">
        <f t="shared" si="9"/>
        <v>477818</v>
      </c>
      <c r="X6">
        <f t="shared" si="9"/>
        <v>388418</v>
      </c>
      <c r="Y6">
        <f t="shared" si="6"/>
        <v>0</v>
      </c>
    </row>
    <row r="7" spans="1:26" x14ac:dyDescent="0.25">
      <c r="A7" t="s">
        <v>5</v>
      </c>
      <c r="B7" t="str">
        <f>MID(A7,2,2)</f>
        <v>06</v>
      </c>
      <c r="C7" t="str">
        <f>MID(A7,4,1)</f>
        <v>D</v>
      </c>
      <c r="D7">
        <v>1846928</v>
      </c>
      <c r="E7">
        <v>1851433</v>
      </c>
      <c r="F7">
        <v>2125113</v>
      </c>
      <c r="G7">
        <v>2028635</v>
      </c>
      <c r="I7">
        <f t="shared" si="1"/>
        <v>3698361</v>
      </c>
      <c r="J7">
        <f t="shared" si="2"/>
        <v>4153748</v>
      </c>
      <c r="K7">
        <f t="shared" si="3"/>
        <v>1.1231</v>
      </c>
      <c r="N7">
        <f t="shared" si="4"/>
        <v>4665074</v>
      </c>
      <c r="O7">
        <f t="shared" ref="O7:X7" si="10">IF(N7&gt;2*$I7,N7,ROUNDDOWN(N7*$K7,0))</f>
        <v>5239344</v>
      </c>
      <c r="P7">
        <f t="shared" si="10"/>
        <v>5884307</v>
      </c>
      <c r="Q7">
        <f t="shared" si="10"/>
        <v>6608665</v>
      </c>
      <c r="R7">
        <f t="shared" si="10"/>
        <v>7422191</v>
      </c>
      <c r="S7">
        <f t="shared" si="10"/>
        <v>7422191</v>
      </c>
      <c r="T7">
        <f t="shared" si="10"/>
        <v>7422191</v>
      </c>
      <c r="U7">
        <f t="shared" si="10"/>
        <v>7422191</v>
      </c>
      <c r="V7">
        <f t="shared" si="10"/>
        <v>7422191</v>
      </c>
      <c r="W7">
        <f t="shared" si="10"/>
        <v>7422191</v>
      </c>
      <c r="X7">
        <f t="shared" si="10"/>
        <v>7422191</v>
      </c>
      <c r="Y7">
        <f t="shared" si="6"/>
        <v>1</v>
      </c>
    </row>
    <row r="8" spans="1:26" x14ac:dyDescent="0.25">
      <c r="A8" t="s">
        <v>6</v>
      </c>
      <c r="B8" t="str">
        <f>MID(A8,2,2)</f>
        <v>07</v>
      </c>
      <c r="C8" t="str">
        <f>MID(A8,4,1)</f>
        <v>B</v>
      </c>
      <c r="D8">
        <v>3841577</v>
      </c>
      <c r="E8">
        <v>3848394</v>
      </c>
      <c r="F8">
        <v>3595975</v>
      </c>
      <c r="G8">
        <v>3123039</v>
      </c>
      <c r="I8">
        <f t="shared" si="1"/>
        <v>7689971</v>
      </c>
      <c r="J8">
        <f t="shared" si="2"/>
        <v>6719014</v>
      </c>
      <c r="K8">
        <f t="shared" si="3"/>
        <v>0.87370000000000003</v>
      </c>
      <c r="N8">
        <f t="shared" si="4"/>
        <v>5870402</v>
      </c>
      <c r="O8">
        <f t="shared" ref="O8:X8" si="11">IF(N8&gt;2*$I8,N8,ROUNDDOWN(N8*$K8,0))</f>
        <v>5128970</v>
      </c>
      <c r="P8">
        <f t="shared" si="11"/>
        <v>4481181</v>
      </c>
      <c r="Q8">
        <f t="shared" si="11"/>
        <v>3915207</v>
      </c>
      <c r="R8">
        <f t="shared" si="11"/>
        <v>3420716</v>
      </c>
      <c r="S8">
        <f t="shared" si="11"/>
        <v>2988679</v>
      </c>
      <c r="T8">
        <f t="shared" si="11"/>
        <v>2611208</v>
      </c>
      <c r="U8">
        <f t="shared" si="11"/>
        <v>2281412</v>
      </c>
      <c r="V8">
        <f t="shared" si="11"/>
        <v>1993269</v>
      </c>
      <c r="W8">
        <f t="shared" si="11"/>
        <v>1741519</v>
      </c>
      <c r="X8">
        <f t="shared" si="11"/>
        <v>1521565</v>
      </c>
      <c r="Y8">
        <f t="shared" si="6"/>
        <v>0</v>
      </c>
    </row>
    <row r="9" spans="1:26" x14ac:dyDescent="0.25">
      <c r="A9" t="s">
        <v>7</v>
      </c>
      <c r="B9" t="str">
        <f>MID(A9,2,2)</f>
        <v>08</v>
      </c>
      <c r="C9" t="str">
        <f>MID(A9,4,1)</f>
        <v>A</v>
      </c>
      <c r="D9">
        <v>679557</v>
      </c>
      <c r="E9">
        <v>655500</v>
      </c>
      <c r="F9">
        <v>1012012</v>
      </c>
      <c r="G9">
        <v>1067022</v>
      </c>
      <c r="I9">
        <f t="shared" si="1"/>
        <v>1335057</v>
      </c>
      <c r="J9">
        <f t="shared" si="2"/>
        <v>2079034</v>
      </c>
      <c r="K9">
        <f t="shared" si="3"/>
        <v>1.5571999999999999</v>
      </c>
      <c r="N9">
        <f t="shared" si="4"/>
        <v>3237471</v>
      </c>
      <c r="O9">
        <f t="shared" ref="O9:X9" si="12">IF(N9&gt;2*$I9,N9,ROUNDDOWN(N9*$K9,0))</f>
        <v>3237471</v>
      </c>
      <c r="P9">
        <f t="shared" si="12"/>
        <v>3237471</v>
      </c>
      <c r="Q9">
        <f t="shared" si="12"/>
        <v>3237471</v>
      </c>
      <c r="R9">
        <f t="shared" si="12"/>
        <v>3237471</v>
      </c>
      <c r="S9">
        <f t="shared" si="12"/>
        <v>3237471</v>
      </c>
      <c r="T9">
        <f t="shared" si="12"/>
        <v>3237471</v>
      </c>
      <c r="U9">
        <f t="shared" si="12"/>
        <v>3237471</v>
      </c>
      <c r="V9">
        <f t="shared" si="12"/>
        <v>3237471</v>
      </c>
      <c r="W9">
        <f t="shared" si="12"/>
        <v>3237471</v>
      </c>
      <c r="X9">
        <f t="shared" si="12"/>
        <v>3237471</v>
      </c>
      <c r="Y9">
        <f t="shared" si="6"/>
        <v>1</v>
      </c>
    </row>
    <row r="10" spans="1:26" x14ac:dyDescent="0.25">
      <c r="A10" t="s">
        <v>8</v>
      </c>
      <c r="B10" t="str">
        <f>MID(A10,2,2)</f>
        <v>09</v>
      </c>
      <c r="C10" t="str">
        <f>MID(A10,4,1)</f>
        <v>C</v>
      </c>
      <c r="D10">
        <v>1660998</v>
      </c>
      <c r="E10">
        <v>1630345</v>
      </c>
      <c r="F10">
        <v>1130119</v>
      </c>
      <c r="G10">
        <v>1080238</v>
      </c>
      <c r="I10">
        <f t="shared" si="1"/>
        <v>3291343</v>
      </c>
      <c r="J10">
        <f t="shared" si="2"/>
        <v>2210357</v>
      </c>
      <c r="K10">
        <f t="shared" si="3"/>
        <v>0.67149999999999999</v>
      </c>
      <c r="N10">
        <f t="shared" si="4"/>
        <v>1484254</v>
      </c>
      <c r="O10">
        <f t="shared" ref="O10:X10" si="13">IF(N10&gt;2*$I10,N10,ROUNDDOWN(N10*$K10,0))</f>
        <v>996676</v>
      </c>
      <c r="P10">
        <f t="shared" si="13"/>
        <v>669267</v>
      </c>
      <c r="Q10">
        <f t="shared" si="13"/>
        <v>449412</v>
      </c>
      <c r="R10">
        <f t="shared" si="13"/>
        <v>301780</v>
      </c>
      <c r="S10">
        <f t="shared" si="13"/>
        <v>202645</v>
      </c>
      <c r="T10">
        <f t="shared" si="13"/>
        <v>136076</v>
      </c>
      <c r="U10">
        <f t="shared" si="13"/>
        <v>91375</v>
      </c>
      <c r="V10">
        <f t="shared" si="13"/>
        <v>61358</v>
      </c>
      <c r="W10">
        <f t="shared" si="13"/>
        <v>41201</v>
      </c>
      <c r="X10">
        <f t="shared" si="13"/>
        <v>27666</v>
      </c>
      <c r="Y10">
        <f t="shared" si="6"/>
        <v>0</v>
      </c>
    </row>
    <row r="11" spans="1:26" x14ac:dyDescent="0.25">
      <c r="A11" t="s">
        <v>9</v>
      </c>
      <c r="B11" t="str">
        <f>MID(A11,2,2)</f>
        <v>10</v>
      </c>
      <c r="C11" t="str">
        <f>MID(A11,4,1)</f>
        <v>C</v>
      </c>
      <c r="D11">
        <v>1157622</v>
      </c>
      <c r="E11">
        <v>1182345</v>
      </c>
      <c r="F11">
        <v>830785</v>
      </c>
      <c r="G11">
        <v>833779</v>
      </c>
      <c r="I11">
        <f t="shared" si="1"/>
        <v>2339967</v>
      </c>
      <c r="J11">
        <f t="shared" si="2"/>
        <v>1664564</v>
      </c>
      <c r="K11">
        <f t="shared" si="3"/>
        <v>0.71130000000000004</v>
      </c>
      <c r="N11">
        <f t="shared" si="4"/>
        <v>1184004</v>
      </c>
      <c r="O11">
        <f t="shared" ref="O11:X11" si="14">IF(N11&gt;2*$I11,N11,ROUNDDOWN(N11*$K11,0))</f>
        <v>842182</v>
      </c>
      <c r="P11">
        <f t="shared" si="14"/>
        <v>599044</v>
      </c>
      <c r="Q11">
        <f t="shared" si="14"/>
        <v>426099</v>
      </c>
      <c r="R11">
        <f t="shared" si="14"/>
        <v>303084</v>
      </c>
      <c r="S11">
        <f t="shared" si="14"/>
        <v>215583</v>
      </c>
      <c r="T11">
        <f t="shared" si="14"/>
        <v>153344</v>
      </c>
      <c r="U11">
        <f t="shared" si="14"/>
        <v>109073</v>
      </c>
      <c r="V11">
        <f t="shared" si="14"/>
        <v>77583</v>
      </c>
      <c r="W11">
        <f t="shared" si="14"/>
        <v>55184</v>
      </c>
      <c r="X11">
        <f t="shared" si="14"/>
        <v>39252</v>
      </c>
      <c r="Y11">
        <f t="shared" si="6"/>
        <v>0</v>
      </c>
    </row>
    <row r="12" spans="1:26" x14ac:dyDescent="0.25">
      <c r="A12" t="s">
        <v>10</v>
      </c>
      <c r="B12" t="str">
        <f>MID(A12,2,2)</f>
        <v>11</v>
      </c>
      <c r="C12" t="str">
        <f>MID(A12,4,1)</f>
        <v>D</v>
      </c>
      <c r="D12">
        <v>1987047</v>
      </c>
      <c r="E12">
        <v>1996208</v>
      </c>
      <c r="F12">
        <v>2053892</v>
      </c>
      <c r="G12">
        <v>1697247</v>
      </c>
      <c r="I12">
        <f t="shared" si="1"/>
        <v>3983255</v>
      </c>
      <c r="J12">
        <f t="shared" si="2"/>
        <v>3751139</v>
      </c>
      <c r="K12">
        <f t="shared" si="3"/>
        <v>0.94169999999999998</v>
      </c>
      <c r="N12">
        <f t="shared" si="4"/>
        <v>3532447</v>
      </c>
      <c r="O12">
        <f t="shared" ref="O12:X12" si="15">IF(N12&gt;2*$I12,N12,ROUNDDOWN(N12*$K12,0))</f>
        <v>3326505</v>
      </c>
      <c r="P12">
        <f t="shared" si="15"/>
        <v>3132569</v>
      </c>
      <c r="Q12">
        <f t="shared" si="15"/>
        <v>2949940</v>
      </c>
      <c r="R12">
        <f t="shared" si="15"/>
        <v>2777958</v>
      </c>
      <c r="S12">
        <f t="shared" si="15"/>
        <v>2616003</v>
      </c>
      <c r="T12">
        <f t="shared" si="15"/>
        <v>2463490</v>
      </c>
      <c r="U12">
        <f t="shared" si="15"/>
        <v>2319868</v>
      </c>
      <c r="V12">
        <f t="shared" si="15"/>
        <v>2184619</v>
      </c>
      <c r="W12">
        <f t="shared" si="15"/>
        <v>2057255</v>
      </c>
      <c r="X12">
        <f t="shared" si="15"/>
        <v>1937317</v>
      </c>
      <c r="Y12">
        <f t="shared" si="6"/>
        <v>0</v>
      </c>
    </row>
    <row r="13" spans="1:26" x14ac:dyDescent="0.25">
      <c r="A13" s="1" t="s">
        <v>11</v>
      </c>
      <c r="B13" s="1" t="str">
        <f>MID(A13,2,2)</f>
        <v>12</v>
      </c>
      <c r="C13" s="1" t="str">
        <f>MID(A13,4,1)</f>
        <v>C</v>
      </c>
      <c r="D13" s="1">
        <v>3997724</v>
      </c>
      <c r="E13" s="1">
        <v>3690756</v>
      </c>
      <c r="F13" s="1">
        <v>4339393</v>
      </c>
      <c r="G13" s="1">
        <v>4639643</v>
      </c>
      <c r="H13" s="1"/>
      <c r="I13" s="1">
        <f t="shared" si="1"/>
        <v>7688480</v>
      </c>
      <c r="J13" s="1">
        <f t="shared" si="2"/>
        <v>8979036</v>
      </c>
      <c r="K13" s="1">
        <f t="shared" si="3"/>
        <v>1.1677999999999999</v>
      </c>
      <c r="L13" s="1"/>
      <c r="M13" s="1"/>
      <c r="N13">
        <f t="shared" si="4"/>
        <v>10485718</v>
      </c>
      <c r="O13">
        <f t="shared" ref="O13:X13" si="16">IF(N13&gt;2*$I13,N13,ROUNDDOWN(N13*$K13,0))</f>
        <v>12245221</v>
      </c>
      <c r="P13">
        <f t="shared" si="16"/>
        <v>14299969</v>
      </c>
      <c r="Q13">
        <f t="shared" si="16"/>
        <v>16699503</v>
      </c>
      <c r="R13">
        <f t="shared" si="16"/>
        <v>16699503</v>
      </c>
      <c r="S13">
        <f t="shared" si="16"/>
        <v>16699503</v>
      </c>
      <c r="T13">
        <f t="shared" si="16"/>
        <v>16699503</v>
      </c>
      <c r="U13">
        <f t="shared" si="16"/>
        <v>16699503</v>
      </c>
      <c r="V13">
        <f t="shared" si="16"/>
        <v>16699503</v>
      </c>
      <c r="W13">
        <f t="shared" si="16"/>
        <v>16699503</v>
      </c>
      <c r="X13">
        <f t="shared" si="16"/>
        <v>16699503</v>
      </c>
      <c r="Y13">
        <f t="shared" si="6"/>
        <v>1</v>
      </c>
    </row>
    <row r="14" spans="1:26" x14ac:dyDescent="0.25">
      <c r="A14" t="s">
        <v>12</v>
      </c>
      <c r="B14" t="str">
        <f>MID(A14,2,2)</f>
        <v>13</v>
      </c>
      <c r="C14" t="str">
        <f>MID(A14,4,1)</f>
        <v>A</v>
      </c>
      <c r="D14">
        <v>996113</v>
      </c>
      <c r="E14">
        <v>964279</v>
      </c>
      <c r="F14">
        <v>1012487</v>
      </c>
      <c r="G14">
        <v>1128940</v>
      </c>
      <c r="I14">
        <f t="shared" si="1"/>
        <v>1960392</v>
      </c>
      <c r="J14">
        <f t="shared" si="2"/>
        <v>2141427</v>
      </c>
      <c r="K14">
        <f t="shared" si="3"/>
        <v>1.0923</v>
      </c>
      <c r="N14">
        <f t="shared" si="4"/>
        <v>2339080</v>
      </c>
      <c r="O14">
        <f t="shared" ref="O14:X14" si="17">IF(N14&gt;2*$I14,N14,ROUNDDOWN(N14*$K14,0))</f>
        <v>2554977</v>
      </c>
      <c r="P14">
        <f t="shared" si="17"/>
        <v>2790801</v>
      </c>
      <c r="Q14">
        <f t="shared" si="17"/>
        <v>3048391</v>
      </c>
      <c r="R14">
        <f t="shared" si="17"/>
        <v>3329757</v>
      </c>
      <c r="S14">
        <f t="shared" si="17"/>
        <v>3637093</v>
      </c>
      <c r="T14">
        <f t="shared" si="17"/>
        <v>3972796</v>
      </c>
      <c r="U14">
        <f t="shared" si="17"/>
        <v>3972796</v>
      </c>
      <c r="V14">
        <f t="shared" si="17"/>
        <v>3972796</v>
      </c>
      <c r="W14">
        <f t="shared" si="17"/>
        <v>3972796</v>
      </c>
      <c r="X14">
        <f t="shared" si="17"/>
        <v>3972796</v>
      </c>
      <c r="Y14">
        <f t="shared" si="6"/>
        <v>1</v>
      </c>
    </row>
    <row r="15" spans="1:26" x14ac:dyDescent="0.25">
      <c r="A15" t="s">
        <v>13</v>
      </c>
      <c r="B15" t="str">
        <f>MID(A15,2,2)</f>
        <v>14</v>
      </c>
      <c r="C15" t="str">
        <f>MID(A15,4,1)</f>
        <v>A</v>
      </c>
      <c r="D15">
        <v>1143634</v>
      </c>
      <c r="E15">
        <v>1033836</v>
      </c>
      <c r="F15">
        <v>909534</v>
      </c>
      <c r="G15">
        <v>856349</v>
      </c>
      <c r="I15">
        <f t="shared" si="1"/>
        <v>2177470</v>
      </c>
      <c r="J15">
        <f t="shared" si="2"/>
        <v>1765883</v>
      </c>
      <c r="K15">
        <f t="shared" si="3"/>
        <v>0.81089999999999995</v>
      </c>
      <c r="N15">
        <f t="shared" si="4"/>
        <v>1431954</v>
      </c>
      <c r="O15">
        <f t="shared" ref="O15:X15" si="18">IF(N15&gt;2*$I15,N15,ROUNDDOWN(N15*$K15,0))</f>
        <v>1161171</v>
      </c>
      <c r="P15">
        <f t="shared" si="18"/>
        <v>941593</v>
      </c>
      <c r="Q15">
        <f t="shared" si="18"/>
        <v>763537</v>
      </c>
      <c r="R15">
        <f t="shared" si="18"/>
        <v>619152</v>
      </c>
      <c r="S15">
        <f t="shared" si="18"/>
        <v>502070</v>
      </c>
      <c r="T15">
        <f t="shared" si="18"/>
        <v>407128</v>
      </c>
      <c r="U15">
        <f t="shared" si="18"/>
        <v>330140</v>
      </c>
      <c r="V15">
        <f t="shared" si="18"/>
        <v>267710</v>
      </c>
      <c r="W15">
        <f t="shared" si="18"/>
        <v>217086</v>
      </c>
      <c r="X15">
        <f t="shared" si="18"/>
        <v>176035</v>
      </c>
      <c r="Y15">
        <f t="shared" si="6"/>
        <v>0</v>
      </c>
    </row>
    <row r="16" spans="1:26" x14ac:dyDescent="0.25">
      <c r="A16" t="s">
        <v>14</v>
      </c>
      <c r="B16" t="str">
        <f>MID(A16,2,2)</f>
        <v>15</v>
      </c>
      <c r="C16" t="str">
        <f>MID(A16,4,1)</f>
        <v>A</v>
      </c>
      <c r="D16">
        <v>2549276</v>
      </c>
      <c r="E16">
        <v>2584751</v>
      </c>
      <c r="F16">
        <v>2033079</v>
      </c>
      <c r="G16">
        <v>2066918</v>
      </c>
      <c r="I16">
        <f t="shared" si="1"/>
        <v>5134027</v>
      </c>
      <c r="J16">
        <f t="shared" si="2"/>
        <v>4099997</v>
      </c>
      <c r="K16">
        <f t="shared" si="3"/>
        <v>0.79849999999999999</v>
      </c>
      <c r="N16">
        <f t="shared" si="4"/>
        <v>3273847</v>
      </c>
      <c r="O16">
        <f t="shared" ref="O16:X16" si="19">IF(N16&gt;2*$I16,N16,ROUNDDOWN(N16*$K16,0))</f>
        <v>2614166</v>
      </c>
      <c r="P16">
        <f t="shared" si="19"/>
        <v>2087411</v>
      </c>
      <c r="Q16">
        <f t="shared" si="19"/>
        <v>1666797</v>
      </c>
      <c r="R16">
        <f t="shared" si="19"/>
        <v>1330937</v>
      </c>
      <c r="S16">
        <f t="shared" si="19"/>
        <v>1062753</v>
      </c>
      <c r="T16">
        <f t="shared" si="19"/>
        <v>848608</v>
      </c>
      <c r="U16">
        <f t="shared" si="19"/>
        <v>677613</v>
      </c>
      <c r="V16">
        <f t="shared" si="19"/>
        <v>541073</v>
      </c>
      <c r="W16">
        <f t="shared" si="19"/>
        <v>432046</v>
      </c>
      <c r="X16">
        <f t="shared" si="19"/>
        <v>344988</v>
      </c>
      <c r="Y16">
        <f t="shared" si="6"/>
        <v>0</v>
      </c>
    </row>
    <row r="17" spans="1:25" x14ac:dyDescent="0.25">
      <c r="A17" t="s">
        <v>15</v>
      </c>
      <c r="B17" t="str">
        <f>MID(A17,2,2)</f>
        <v>16</v>
      </c>
      <c r="C17" t="str">
        <f>MID(A17,4,1)</f>
        <v>C</v>
      </c>
      <c r="D17">
        <v>1367212</v>
      </c>
      <c r="E17">
        <v>1361389</v>
      </c>
      <c r="F17">
        <v>1572320</v>
      </c>
      <c r="G17">
        <v>1836258</v>
      </c>
      <c r="I17">
        <f t="shared" si="1"/>
        <v>2728601</v>
      </c>
      <c r="J17">
        <f t="shared" si="2"/>
        <v>3408578</v>
      </c>
      <c r="K17">
        <f t="shared" si="3"/>
        <v>1.2492000000000001</v>
      </c>
      <c r="N17">
        <f t="shared" si="4"/>
        <v>4257995</v>
      </c>
      <c r="O17">
        <f t="shared" ref="O17:X17" si="20">IF(N17&gt;2*$I17,N17,ROUNDDOWN(N17*$K17,0))</f>
        <v>5319087</v>
      </c>
      <c r="P17">
        <f t="shared" si="20"/>
        <v>6644603</v>
      </c>
      <c r="Q17">
        <f t="shared" si="20"/>
        <v>6644603</v>
      </c>
      <c r="R17">
        <f t="shared" si="20"/>
        <v>6644603</v>
      </c>
      <c r="S17">
        <f t="shared" si="20"/>
        <v>6644603</v>
      </c>
      <c r="T17">
        <f t="shared" si="20"/>
        <v>6644603</v>
      </c>
      <c r="U17">
        <f t="shared" si="20"/>
        <v>6644603</v>
      </c>
      <c r="V17">
        <f t="shared" si="20"/>
        <v>6644603</v>
      </c>
      <c r="W17">
        <f t="shared" si="20"/>
        <v>6644603</v>
      </c>
      <c r="X17">
        <f t="shared" si="20"/>
        <v>6644603</v>
      </c>
      <c r="Y17">
        <f t="shared" si="6"/>
        <v>1</v>
      </c>
    </row>
    <row r="18" spans="1:25" x14ac:dyDescent="0.25">
      <c r="A18" t="s">
        <v>16</v>
      </c>
      <c r="B18" t="str">
        <f>MID(A18,2,2)</f>
        <v>17</v>
      </c>
      <c r="C18" t="str">
        <f>MID(A18,4,1)</f>
        <v>A</v>
      </c>
      <c r="D18">
        <v>2567464</v>
      </c>
      <c r="E18">
        <v>2441857</v>
      </c>
      <c r="F18">
        <v>1524132</v>
      </c>
      <c r="G18">
        <v>1496810</v>
      </c>
      <c r="I18">
        <f t="shared" si="1"/>
        <v>5009321</v>
      </c>
      <c r="J18">
        <f t="shared" si="2"/>
        <v>3020942</v>
      </c>
      <c r="K18">
        <f t="shared" si="3"/>
        <v>0.60299999999999998</v>
      </c>
      <c r="N18">
        <f t="shared" si="4"/>
        <v>1821628</v>
      </c>
      <c r="O18">
        <f t="shared" ref="O18:X18" si="21">IF(N18&gt;2*$I18,N18,ROUNDDOWN(N18*$K18,0))</f>
        <v>1098441</v>
      </c>
      <c r="P18">
        <f t="shared" si="21"/>
        <v>662359</v>
      </c>
      <c r="Q18">
        <f t="shared" si="21"/>
        <v>399402</v>
      </c>
      <c r="R18">
        <f t="shared" si="21"/>
        <v>240839</v>
      </c>
      <c r="S18">
        <f t="shared" si="21"/>
        <v>145225</v>
      </c>
      <c r="T18">
        <f t="shared" si="21"/>
        <v>87570</v>
      </c>
      <c r="U18">
        <f t="shared" si="21"/>
        <v>52804</v>
      </c>
      <c r="V18">
        <f t="shared" si="21"/>
        <v>31840</v>
      </c>
      <c r="W18">
        <f t="shared" si="21"/>
        <v>19199</v>
      </c>
      <c r="X18">
        <f t="shared" si="21"/>
        <v>11576</v>
      </c>
      <c r="Y18">
        <f t="shared" si="6"/>
        <v>0</v>
      </c>
    </row>
    <row r="19" spans="1:25" x14ac:dyDescent="0.25">
      <c r="A19" t="s">
        <v>17</v>
      </c>
      <c r="B19" t="str">
        <f>MID(A19,2,2)</f>
        <v>18</v>
      </c>
      <c r="C19" t="str">
        <f>MID(A19,4,1)</f>
        <v>D</v>
      </c>
      <c r="D19">
        <v>1334060</v>
      </c>
      <c r="E19">
        <v>1395231</v>
      </c>
      <c r="F19">
        <v>578655</v>
      </c>
      <c r="G19">
        <v>677663</v>
      </c>
      <c r="I19">
        <f t="shared" si="1"/>
        <v>2729291</v>
      </c>
      <c r="J19">
        <f t="shared" si="2"/>
        <v>1256318</v>
      </c>
      <c r="K19">
        <f t="shared" si="3"/>
        <v>0.46029999999999999</v>
      </c>
      <c r="N19">
        <f t="shared" si="4"/>
        <v>578283</v>
      </c>
      <c r="O19">
        <f t="shared" ref="O19:X19" si="22">IF(N19&gt;2*$I19,N19,ROUNDDOWN(N19*$K19,0))</f>
        <v>266183</v>
      </c>
      <c r="P19">
        <f t="shared" si="22"/>
        <v>122524</v>
      </c>
      <c r="Q19">
        <f t="shared" si="22"/>
        <v>56397</v>
      </c>
      <c r="R19">
        <f t="shared" si="22"/>
        <v>25959</v>
      </c>
      <c r="S19">
        <f t="shared" si="22"/>
        <v>11948</v>
      </c>
      <c r="T19">
        <f t="shared" si="22"/>
        <v>5499</v>
      </c>
      <c r="U19">
        <f t="shared" si="22"/>
        <v>2531</v>
      </c>
      <c r="V19">
        <f t="shared" si="22"/>
        <v>1165</v>
      </c>
      <c r="W19">
        <f t="shared" si="22"/>
        <v>536</v>
      </c>
      <c r="X19">
        <f t="shared" si="22"/>
        <v>246</v>
      </c>
      <c r="Y19">
        <f t="shared" si="6"/>
        <v>0</v>
      </c>
    </row>
    <row r="20" spans="1:25" x14ac:dyDescent="0.25">
      <c r="A20" t="s">
        <v>18</v>
      </c>
      <c r="B20" t="str">
        <f>MID(A20,2,2)</f>
        <v>19</v>
      </c>
      <c r="C20" t="str">
        <f>MID(A20,4,1)</f>
        <v>C</v>
      </c>
      <c r="D20">
        <v>2976209</v>
      </c>
      <c r="E20">
        <v>3199665</v>
      </c>
      <c r="F20">
        <v>1666477</v>
      </c>
      <c r="G20">
        <v>1759240</v>
      </c>
      <c r="I20">
        <f t="shared" si="1"/>
        <v>6175874</v>
      </c>
      <c r="J20">
        <f t="shared" si="2"/>
        <v>3425717</v>
      </c>
      <c r="K20">
        <f t="shared" si="3"/>
        <v>0.55459999999999998</v>
      </c>
      <c r="N20">
        <f t="shared" si="4"/>
        <v>1899902</v>
      </c>
      <c r="O20">
        <f t="shared" ref="O20:X20" si="23">IF(N20&gt;2*$I20,N20,ROUNDDOWN(N20*$K20,0))</f>
        <v>1053685</v>
      </c>
      <c r="P20">
        <f t="shared" si="23"/>
        <v>584373</v>
      </c>
      <c r="Q20">
        <f t="shared" si="23"/>
        <v>324093</v>
      </c>
      <c r="R20">
        <f t="shared" si="23"/>
        <v>179741</v>
      </c>
      <c r="S20">
        <f t="shared" si="23"/>
        <v>99684</v>
      </c>
      <c r="T20">
        <f t="shared" si="23"/>
        <v>55284</v>
      </c>
      <c r="U20">
        <f t="shared" si="23"/>
        <v>30660</v>
      </c>
      <c r="V20">
        <f t="shared" si="23"/>
        <v>17004</v>
      </c>
      <c r="W20">
        <f t="shared" si="23"/>
        <v>9430</v>
      </c>
      <c r="X20">
        <f t="shared" si="23"/>
        <v>5229</v>
      </c>
      <c r="Y20">
        <f t="shared" si="6"/>
        <v>0</v>
      </c>
    </row>
    <row r="21" spans="1:25" x14ac:dyDescent="0.25">
      <c r="A21" t="s">
        <v>19</v>
      </c>
      <c r="B21" t="str">
        <f>MID(A21,2,2)</f>
        <v>20</v>
      </c>
      <c r="C21" t="str">
        <f>MID(A21,4,1)</f>
        <v>C</v>
      </c>
      <c r="D21">
        <v>1443351</v>
      </c>
      <c r="E21">
        <v>1565539</v>
      </c>
      <c r="F21">
        <v>1355276</v>
      </c>
      <c r="G21">
        <v>1423414</v>
      </c>
      <c r="I21">
        <f t="shared" si="1"/>
        <v>3008890</v>
      </c>
      <c r="J21">
        <f t="shared" si="2"/>
        <v>2778690</v>
      </c>
      <c r="K21">
        <f t="shared" si="3"/>
        <v>0.9234</v>
      </c>
      <c r="N21">
        <f t="shared" si="4"/>
        <v>2565842</v>
      </c>
      <c r="O21">
        <f t="shared" ref="O21:X21" si="24">IF(N21&gt;2*$I21,N21,ROUNDDOWN(N21*$K21,0))</f>
        <v>2369298</v>
      </c>
      <c r="P21">
        <f t="shared" si="24"/>
        <v>2187809</v>
      </c>
      <c r="Q21">
        <f t="shared" si="24"/>
        <v>2020222</v>
      </c>
      <c r="R21">
        <f t="shared" si="24"/>
        <v>1865472</v>
      </c>
      <c r="S21">
        <f t="shared" si="24"/>
        <v>1722576</v>
      </c>
      <c r="T21">
        <f t="shared" si="24"/>
        <v>1590626</v>
      </c>
      <c r="U21">
        <f t="shared" si="24"/>
        <v>1468784</v>
      </c>
      <c r="V21">
        <f t="shared" si="24"/>
        <v>1356275</v>
      </c>
      <c r="W21">
        <f t="shared" si="24"/>
        <v>1252384</v>
      </c>
      <c r="X21">
        <f t="shared" si="24"/>
        <v>1156451</v>
      </c>
      <c r="Y21">
        <f t="shared" si="6"/>
        <v>0</v>
      </c>
    </row>
    <row r="22" spans="1:25" x14ac:dyDescent="0.25">
      <c r="A22" t="s">
        <v>20</v>
      </c>
      <c r="B22" t="str">
        <f>MID(A22,2,2)</f>
        <v>21</v>
      </c>
      <c r="C22" t="str">
        <f>MID(A22,4,1)</f>
        <v>A</v>
      </c>
      <c r="D22">
        <v>2486640</v>
      </c>
      <c r="E22">
        <v>2265936</v>
      </c>
      <c r="F22">
        <v>297424</v>
      </c>
      <c r="G22">
        <v>274759</v>
      </c>
      <c r="I22">
        <f t="shared" si="1"/>
        <v>4752576</v>
      </c>
      <c r="J22">
        <f t="shared" si="2"/>
        <v>572183</v>
      </c>
      <c r="K22">
        <f t="shared" si="3"/>
        <v>0.1203</v>
      </c>
      <c r="N22">
        <f t="shared" si="4"/>
        <v>68833</v>
      </c>
      <c r="O22">
        <f t="shared" ref="O22:X22" si="25">IF(N22&gt;2*$I22,N22,ROUNDDOWN(N22*$K22,0))</f>
        <v>8280</v>
      </c>
      <c r="P22">
        <f t="shared" si="25"/>
        <v>996</v>
      </c>
      <c r="Q22">
        <f t="shared" si="25"/>
        <v>119</v>
      </c>
      <c r="R22">
        <f t="shared" si="25"/>
        <v>14</v>
      </c>
      <c r="S22">
        <f t="shared" si="25"/>
        <v>1</v>
      </c>
      <c r="T22">
        <f t="shared" si="25"/>
        <v>0</v>
      </c>
      <c r="U22">
        <f t="shared" si="25"/>
        <v>0</v>
      </c>
      <c r="V22">
        <f t="shared" si="25"/>
        <v>0</v>
      </c>
      <c r="W22">
        <f t="shared" si="25"/>
        <v>0</v>
      </c>
      <c r="X22">
        <f t="shared" si="25"/>
        <v>0</v>
      </c>
      <c r="Y22">
        <f t="shared" si="6"/>
        <v>0</v>
      </c>
    </row>
    <row r="23" spans="1:25" x14ac:dyDescent="0.25">
      <c r="A23" t="s">
        <v>21</v>
      </c>
      <c r="B23" t="str">
        <f>MID(A23,2,2)</f>
        <v>22</v>
      </c>
      <c r="C23" t="str">
        <f>MID(A23,4,1)</f>
        <v>B</v>
      </c>
      <c r="D23">
        <v>685438</v>
      </c>
      <c r="E23">
        <v>749124</v>
      </c>
      <c r="F23">
        <v>2697677</v>
      </c>
      <c r="G23">
        <v>2821550</v>
      </c>
      <c r="I23">
        <f t="shared" si="1"/>
        <v>1434562</v>
      </c>
      <c r="J23">
        <f t="shared" si="2"/>
        <v>5519227</v>
      </c>
      <c r="K23">
        <f t="shared" si="3"/>
        <v>3.8473000000000002</v>
      </c>
      <c r="N23">
        <f t="shared" si="4"/>
        <v>5519227</v>
      </c>
      <c r="O23">
        <f t="shared" ref="O23:X23" si="26">IF(N23&gt;2*$I23,N23,ROUNDDOWN(N23*$K23,0))</f>
        <v>5519227</v>
      </c>
      <c r="P23">
        <f t="shared" si="26"/>
        <v>5519227</v>
      </c>
      <c r="Q23">
        <f t="shared" si="26"/>
        <v>5519227</v>
      </c>
      <c r="R23">
        <f t="shared" si="26"/>
        <v>5519227</v>
      </c>
      <c r="S23">
        <f t="shared" si="26"/>
        <v>5519227</v>
      </c>
      <c r="T23">
        <f t="shared" si="26"/>
        <v>5519227</v>
      </c>
      <c r="U23">
        <f t="shared" si="26"/>
        <v>5519227</v>
      </c>
      <c r="V23">
        <f t="shared" si="26"/>
        <v>5519227</v>
      </c>
      <c r="W23">
        <f t="shared" si="26"/>
        <v>5519227</v>
      </c>
      <c r="X23">
        <f t="shared" si="26"/>
        <v>5519227</v>
      </c>
      <c r="Y23">
        <f t="shared" si="6"/>
        <v>1</v>
      </c>
    </row>
    <row r="24" spans="1:25" x14ac:dyDescent="0.25">
      <c r="A24" t="s">
        <v>22</v>
      </c>
      <c r="B24" t="str">
        <f>MID(A24,2,2)</f>
        <v>23</v>
      </c>
      <c r="C24" t="str">
        <f>MID(A24,4,1)</f>
        <v>B</v>
      </c>
      <c r="D24">
        <v>2166753</v>
      </c>
      <c r="E24">
        <v>2338698</v>
      </c>
      <c r="F24">
        <v>1681433</v>
      </c>
      <c r="G24">
        <v>1592443</v>
      </c>
      <c r="I24">
        <f t="shared" si="1"/>
        <v>4505451</v>
      </c>
      <c r="J24">
        <f t="shared" si="2"/>
        <v>3273876</v>
      </c>
      <c r="K24">
        <f t="shared" si="3"/>
        <v>0.72660000000000002</v>
      </c>
      <c r="N24">
        <f t="shared" si="4"/>
        <v>2378798</v>
      </c>
      <c r="O24">
        <f t="shared" ref="O24:X24" si="27">IF(N24&gt;2*$I24,N24,ROUNDDOWN(N24*$K24,0))</f>
        <v>1728434</v>
      </c>
      <c r="P24">
        <f t="shared" si="27"/>
        <v>1255880</v>
      </c>
      <c r="Q24">
        <f t="shared" si="27"/>
        <v>912522</v>
      </c>
      <c r="R24">
        <f t="shared" si="27"/>
        <v>663038</v>
      </c>
      <c r="S24">
        <f t="shared" si="27"/>
        <v>481763</v>
      </c>
      <c r="T24">
        <f t="shared" si="27"/>
        <v>350048</v>
      </c>
      <c r="U24">
        <f t="shared" si="27"/>
        <v>254344</v>
      </c>
      <c r="V24">
        <f t="shared" si="27"/>
        <v>184806</v>
      </c>
      <c r="W24">
        <f t="shared" si="27"/>
        <v>134280</v>
      </c>
      <c r="X24">
        <f t="shared" si="27"/>
        <v>97567</v>
      </c>
      <c r="Y24">
        <f t="shared" si="6"/>
        <v>0</v>
      </c>
    </row>
    <row r="25" spans="1:25" x14ac:dyDescent="0.25">
      <c r="A25" t="s">
        <v>23</v>
      </c>
      <c r="B25" t="str">
        <f>MID(A25,2,2)</f>
        <v>24</v>
      </c>
      <c r="C25" t="str">
        <f>MID(A25,4,1)</f>
        <v>C</v>
      </c>
      <c r="D25">
        <v>643177</v>
      </c>
      <c r="E25">
        <v>684187</v>
      </c>
      <c r="F25">
        <v>796213</v>
      </c>
      <c r="G25">
        <v>867904</v>
      </c>
      <c r="I25">
        <f t="shared" si="1"/>
        <v>1327364</v>
      </c>
      <c r="J25">
        <f t="shared" si="2"/>
        <v>1664117</v>
      </c>
      <c r="K25">
        <f t="shared" si="3"/>
        <v>1.2537</v>
      </c>
      <c r="N25">
        <f t="shared" si="4"/>
        <v>2086303</v>
      </c>
      <c r="O25">
        <f t="shared" ref="O25:X25" si="28">IF(N25&gt;2*$I25,N25,ROUNDDOWN(N25*$K25,0))</f>
        <v>2615598</v>
      </c>
      <c r="P25">
        <f t="shared" si="28"/>
        <v>3279175</v>
      </c>
      <c r="Q25">
        <f t="shared" si="28"/>
        <v>3279175</v>
      </c>
      <c r="R25">
        <f t="shared" si="28"/>
        <v>3279175</v>
      </c>
      <c r="S25">
        <f t="shared" si="28"/>
        <v>3279175</v>
      </c>
      <c r="T25">
        <f t="shared" si="28"/>
        <v>3279175</v>
      </c>
      <c r="U25">
        <f t="shared" si="28"/>
        <v>3279175</v>
      </c>
      <c r="V25">
        <f t="shared" si="28"/>
        <v>3279175</v>
      </c>
      <c r="W25">
        <f t="shared" si="28"/>
        <v>3279175</v>
      </c>
      <c r="X25">
        <f t="shared" si="28"/>
        <v>3279175</v>
      </c>
      <c r="Y25">
        <f t="shared" si="6"/>
        <v>1</v>
      </c>
    </row>
    <row r="26" spans="1:25" x14ac:dyDescent="0.25">
      <c r="A26" t="s">
        <v>24</v>
      </c>
      <c r="B26" t="str">
        <f>MID(A26,2,2)</f>
        <v>25</v>
      </c>
      <c r="C26" t="str">
        <f>MID(A26,4,1)</f>
        <v>B</v>
      </c>
      <c r="D26">
        <v>450192</v>
      </c>
      <c r="E26">
        <v>434755</v>
      </c>
      <c r="F26">
        <v>1656446</v>
      </c>
      <c r="G26">
        <v>1691000</v>
      </c>
      <c r="I26">
        <f t="shared" si="1"/>
        <v>884947</v>
      </c>
      <c r="J26">
        <f t="shared" si="2"/>
        <v>3347446</v>
      </c>
      <c r="K26">
        <f t="shared" si="3"/>
        <v>3.7826</v>
      </c>
      <c r="N26">
        <f t="shared" si="4"/>
        <v>3347446</v>
      </c>
      <c r="O26">
        <f t="shared" ref="O26:X26" si="29">IF(N26&gt;2*$I26,N26,ROUNDDOWN(N26*$K26,0))</f>
        <v>3347446</v>
      </c>
      <c r="P26">
        <f t="shared" si="29"/>
        <v>3347446</v>
      </c>
      <c r="Q26">
        <f t="shared" si="29"/>
        <v>3347446</v>
      </c>
      <c r="R26">
        <f t="shared" si="29"/>
        <v>3347446</v>
      </c>
      <c r="S26">
        <f t="shared" si="29"/>
        <v>3347446</v>
      </c>
      <c r="T26">
        <f t="shared" si="29"/>
        <v>3347446</v>
      </c>
      <c r="U26">
        <f t="shared" si="29"/>
        <v>3347446</v>
      </c>
      <c r="V26">
        <f t="shared" si="29"/>
        <v>3347446</v>
      </c>
      <c r="W26">
        <f t="shared" si="29"/>
        <v>3347446</v>
      </c>
      <c r="X26">
        <f t="shared" si="29"/>
        <v>3347446</v>
      </c>
      <c r="Y26">
        <f t="shared" si="6"/>
        <v>1</v>
      </c>
    </row>
    <row r="27" spans="1:25" x14ac:dyDescent="0.25">
      <c r="A27" t="s">
        <v>25</v>
      </c>
      <c r="B27" t="str">
        <f>MID(A27,2,2)</f>
        <v>26</v>
      </c>
      <c r="C27" t="str">
        <f>MID(A27,4,1)</f>
        <v>C</v>
      </c>
      <c r="D27">
        <v>1037774</v>
      </c>
      <c r="E27">
        <v>1113789</v>
      </c>
      <c r="F27">
        <v>877464</v>
      </c>
      <c r="G27">
        <v>990837</v>
      </c>
      <c r="I27">
        <f t="shared" si="1"/>
        <v>2151563</v>
      </c>
      <c r="J27">
        <f t="shared" si="2"/>
        <v>1868301</v>
      </c>
      <c r="K27">
        <f t="shared" si="3"/>
        <v>0.86829999999999996</v>
      </c>
      <c r="N27">
        <f t="shared" si="4"/>
        <v>1622245</v>
      </c>
      <c r="O27">
        <f t="shared" ref="O27:X27" si="30">IF(N27&gt;2*$I27,N27,ROUNDDOWN(N27*$K27,0))</f>
        <v>1408595</v>
      </c>
      <c r="P27">
        <f t="shared" si="30"/>
        <v>1223083</v>
      </c>
      <c r="Q27">
        <f t="shared" si="30"/>
        <v>1062002</v>
      </c>
      <c r="R27">
        <f t="shared" si="30"/>
        <v>922136</v>
      </c>
      <c r="S27">
        <f t="shared" si="30"/>
        <v>800690</v>
      </c>
      <c r="T27">
        <f t="shared" si="30"/>
        <v>695239</v>
      </c>
      <c r="U27">
        <f t="shared" si="30"/>
        <v>603676</v>
      </c>
      <c r="V27">
        <f t="shared" si="30"/>
        <v>524171</v>
      </c>
      <c r="W27">
        <f t="shared" si="30"/>
        <v>455137</v>
      </c>
      <c r="X27">
        <f t="shared" si="30"/>
        <v>395195</v>
      </c>
      <c r="Y27">
        <f t="shared" si="6"/>
        <v>0</v>
      </c>
    </row>
    <row r="28" spans="1:25" x14ac:dyDescent="0.25">
      <c r="A28" t="s">
        <v>26</v>
      </c>
      <c r="B28" t="str">
        <f>MID(A28,2,2)</f>
        <v>27</v>
      </c>
      <c r="C28" t="str">
        <f>MID(A28,4,1)</f>
        <v>C</v>
      </c>
      <c r="D28">
        <v>2351213</v>
      </c>
      <c r="E28">
        <v>2358482</v>
      </c>
      <c r="F28">
        <v>1098384</v>
      </c>
      <c r="G28">
        <v>1121488</v>
      </c>
      <c r="I28">
        <f t="shared" si="1"/>
        <v>4709695</v>
      </c>
      <c r="J28">
        <f t="shared" si="2"/>
        <v>2219872</v>
      </c>
      <c r="K28">
        <f t="shared" si="3"/>
        <v>0.4713</v>
      </c>
      <c r="N28">
        <f t="shared" si="4"/>
        <v>1046225</v>
      </c>
      <c r="O28">
        <f t="shared" ref="O28:X28" si="31">IF(N28&gt;2*$I28,N28,ROUNDDOWN(N28*$K28,0))</f>
        <v>493085</v>
      </c>
      <c r="P28">
        <f t="shared" si="31"/>
        <v>232390</v>
      </c>
      <c r="Q28">
        <f t="shared" si="31"/>
        <v>109525</v>
      </c>
      <c r="R28">
        <f t="shared" si="31"/>
        <v>51619</v>
      </c>
      <c r="S28">
        <f t="shared" si="31"/>
        <v>24328</v>
      </c>
      <c r="T28">
        <f t="shared" si="31"/>
        <v>11465</v>
      </c>
      <c r="U28">
        <f t="shared" si="31"/>
        <v>5403</v>
      </c>
      <c r="V28">
        <f t="shared" si="31"/>
        <v>2546</v>
      </c>
      <c r="W28">
        <f t="shared" si="31"/>
        <v>1199</v>
      </c>
      <c r="X28">
        <f t="shared" si="31"/>
        <v>565</v>
      </c>
      <c r="Y28">
        <f t="shared" si="6"/>
        <v>0</v>
      </c>
    </row>
    <row r="29" spans="1:25" x14ac:dyDescent="0.25">
      <c r="A29" t="s">
        <v>27</v>
      </c>
      <c r="B29" t="str">
        <f>MID(A29,2,2)</f>
        <v>28</v>
      </c>
      <c r="C29" t="str">
        <f>MID(A29,4,1)</f>
        <v>D</v>
      </c>
      <c r="D29">
        <v>2613354</v>
      </c>
      <c r="E29">
        <v>2837241</v>
      </c>
      <c r="F29">
        <v>431144</v>
      </c>
      <c r="G29">
        <v>434113</v>
      </c>
      <c r="I29">
        <f t="shared" si="1"/>
        <v>5450595</v>
      </c>
      <c r="J29">
        <f t="shared" si="2"/>
        <v>865257</v>
      </c>
      <c r="K29">
        <f t="shared" si="3"/>
        <v>0.15870000000000001</v>
      </c>
      <c r="N29">
        <f t="shared" si="4"/>
        <v>137316</v>
      </c>
      <c r="O29">
        <f t="shared" ref="O29:X29" si="32">IF(N29&gt;2*$I29,N29,ROUNDDOWN(N29*$K29,0))</f>
        <v>21792</v>
      </c>
      <c r="P29">
        <f t="shared" si="32"/>
        <v>3458</v>
      </c>
      <c r="Q29">
        <f t="shared" si="32"/>
        <v>548</v>
      </c>
      <c r="R29">
        <f t="shared" si="32"/>
        <v>86</v>
      </c>
      <c r="S29">
        <f t="shared" si="32"/>
        <v>13</v>
      </c>
      <c r="T29">
        <f t="shared" si="32"/>
        <v>2</v>
      </c>
      <c r="U29">
        <f t="shared" si="32"/>
        <v>0</v>
      </c>
      <c r="V29">
        <f t="shared" si="32"/>
        <v>0</v>
      </c>
      <c r="W29">
        <f t="shared" si="32"/>
        <v>0</v>
      </c>
      <c r="X29">
        <f t="shared" si="32"/>
        <v>0</v>
      </c>
      <c r="Y29">
        <f t="shared" si="6"/>
        <v>0</v>
      </c>
    </row>
    <row r="30" spans="1:25" x14ac:dyDescent="0.25">
      <c r="A30" t="s">
        <v>28</v>
      </c>
      <c r="B30" t="str">
        <f>MID(A30,2,2)</f>
        <v>29</v>
      </c>
      <c r="C30" t="str">
        <f>MID(A30,4,1)</f>
        <v>A</v>
      </c>
      <c r="D30">
        <v>1859691</v>
      </c>
      <c r="E30">
        <v>1844250</v>
      </c>
      <c r="F30">
        <v>1460134</v>
      </c>
      <c r="G30">
        <v>1585258</v>
      </c>
      <c r="I30">
        <f>D30+E30</f>
        <v>3703941</v>
      </c>
      <c r="J30">
        <f>G30+F30</f>
        <v>3045392</v>
      </c>
      <c r="K30">
        <f>ROUNDDOWN(J30/I30,4)</f>
        <v>0.82220000000000004</v>
      </c>
      <c r="N30">
        <f t="shared" si="4"/>
        <v>2503921</v>
      </c>
      <c r="O30">
        <f t="shared" ref="O30:X30" si="33">IF(N30&gt;2*$I30,N30,ROUNDDOWN(N30*$K30,0))</f>
        <v>2058723</v>
      </c>
      <c r="P30">
        <f t="shared" si="33"/>
        <v>1692682</v>
      </c>
      <c r="Q30">
        <f t="shared" si="33"/>
        <v>1391723</v>
      </c>
      <c r="R30">
        <f t="shared" si="33"/>
        <v>1144274</v>
      </c>
      <c r="S30">
        <f t="shared" si="33"/>
        <v>940822</v>
      </c>
      <c r="T30">
        <f t="shared" si="33"/>
        <v>773543</v>
      </c>
      <c r="U30">
        <f t="shared" si="33"/>
        <v>636007</v>
      </c>
      <c r="V30">
        <f t="shared" si="33"/>
        <v>522924</v>
      </c>
      <c r="W30">
        <f t="shared" si="33"/>
        <v>429948</v>
      </c>
      <c r="X30">
        <f t="shared" si="33"/>
        <v>353503</v>
      </c>
      <c r="Y30">
        <f t="shared" si="6"/>
        <v>0</v>
      </c>
    </row>
    <row r="31" spans="1:25" x14ac:dyDescent="0.25">
      <c r="A31" t="s">
        <v>29</v>
      </c>
      <c r="B31" t="str">
        <f>MID(A31,2,2)</f>
        <v>30</v>
      </c>
      <c r="C31" t="str">
        <f>MID(A31,4,1)</f>
        <v>C</v>
      </c>
      <c r="D31">
        <v>2478386</v>
      </c>
      <c r="E31">
        <v>2562144</v>
      </c>
      <c r="F31">
        <v>30035</v>
      </c>
      <c r="G31">
        <v>29396</v>
      </c>
      <c r="I31">
        <f t="shared" si="1"/>
        <v>5040530</v>
      </c>
      <c r="J31">
        <f t="shared" si="2"/>
        <v>59431</v>
      </c>
      <c r="K31">
        <f t="shared" si="3"/>
        <v>1.17E-2</v>
      </c>
      <c r="N31">
        <f t="shared" si="4"/>
        <v>695</v>
      </c>
      <c r="O31">
        <f t="shared" ref="O31:X31" si="34">IF(N31&gt;2*$I31,N31,ROUNDDOWN(N31*$K31,0))</f>
        <v>8</v>
      </c>
      <c r="P31">
        <f t="shared" si="34"/>
        <v>0</v>
      </c>
      <c r="Q31">
        <f t="shared" si="34"/>
        <v>0</v>
      </c>
      <c r="R31">
        <f t="shared" si="34"/>
        <v>0</v>
      </c>
      <c r="S31">
        <f t="shared" si="34"/>
        <v>0</v>
      </c>
      <c r="T31">
        <f t="shared" si="34"/>
        <v>0</v>
      </c>
      <c r="U31">
        <f t="shared" si="34"/>
        <v>0</v>
      </c>
      <c r="V31">
        <f t="shared" si="34"/>
        <v>0</v>
      </c>
      <c r="W31">
        <f t="shared" si="34"/>
        <v>0</v>
      </c>
      <c r="X31">
        <f t="shared" si="34"/>
        <v>0</v>
      </c>
      <c r="Y31">
        <f t="shared" si="6"/>
        <v>0</v>
      </c>
    </row>
    <row r="32" spans="1:25" x14ac:dyDescent="0.25">
      <c r="A32" t="s">
        <v>30</v>
      </c>
      <c r="B32" t="str">
        <f>MID(A32,2,2)</f>
        <v>31</v>
      </c>
      <c r="C32" t="str">
        <f>MID(A32,4,1)</f>
        <v>C</v>
      </c>
      <c r="D32">
        <v>1938122</v>
      </c>
      <c r="E32">
        <v>1816647</v>
      </c>
      <c r="F32">
        <v>1602356</v>
      </c>
      <c r="G32">
        <v>1875221</v>
      </c>
      <c r="I32">
        <f t="shared" si="1"/>
        <v>3754769</v>
      </c>
      <c r="J32">
        <f t="shared" si="2"/>
        <v>3477577</v>
      </c>
      <c r="K32">
        <f t="shared" si="3"/>
        <v>0.92610000000000003</v>
      </c>
      <c r="N32">
        <f t="shared" si="4"/>
        <v>3220584</v>
      </c>
      <c r="O32">
        <f t="shared" ref="O32:X32" si="35">IF(N32&gt;2*$I32,N32,ROUNDDOWN(N32*$K32,0))</f>
        <v>2982582</v>
      </c>
      <c r="P32">
        <f t="shared" si="35"/>
        <v>2762169</v>
      </c>
      <c r="Q32">
        <f t="shared" si="35"/>
        <v>2558044</v>
      </c>
      <c r="R32">
        <f t="shared" si="35"/>
        <v>2369004</v>
      </c>
      <c r="S32">
        <f t="shared" si="35"/>
        <v>2193934</v>
      </c>
      <c r="T32">
        <f t="shared" si="35"/>
        <v>2031802</v>
      </c>
      <c r="U32">
        <f t="shared" si="35"/>
        <v>1881651</v>
      </c>
      <c r="V32">
        <f t="shared" si="35"/>
        <v>1742596</v>
      </c>
      <c r="W32">
        <f t="shared" si="35"/>
        <v>1613818</v>
      </c>
      <c r="X32">
        <f t="shared" si="35"/>
        <v>1494556</v>
      </c>
      <c r="Y32">
        <f t="shared" si="6"/>
        <v>0</v>
      </c>
    </row>
    <row r="33" spans="1:25" x14ac:dyDescent="0.25">
      <c r="A33" t="s">
        <v>31</v>
      </c>
      <c r="B33" t="str">
        <f>MID(A33,2,2)</f>
        <v>32</v>
      </c>
      <c r="C33" t="str">
        <f>MID(A33,4,1)</f>
        <v>D</v>
      </c>
      <c r="D33">
        <v>992523</v>
      </c>
      <c r="E33">
        <v>1028501</v>
      </c>
      <c r="F33">
        <v>1995446</v>
      </c>
      <c r="G33">
        <v>1860524</v>
      </c>
      <c r="I33">
        <f t="shared" si="1"/>
        <v>2021024</v>
      </c>
      <c r="J33">
        <f t="shared" si="2"/>
        <v>3855970</v>
      </c>
      <c r="K33">
        <f t="shared" si="3"/>
        <v>1.9078999999999999</v>
      </c>
      <c r="N33">
        <f t="shared" si="4"/>
        <v>7356805</v>
      </c>
      <c r="O33">
        <f t="shared" ref="O33:X33" si="36">IF(N33&gt;2*$I33,N33,ROUNDDOWN(N33*$K33,0))</f>
        <v>7356805</v>
      </c>
      <c r="P33">
        <f t="shared" si="36"/>
        <v>7356805</v>
      </c>
      <c r="Q33">
        <f t="shared" si="36"/>
        <v>7356805</v>
      </c>
      <c r="R33">
        <f t="shared" si="36"/>
        <v>7356805</v>
      </c>
      <c r="S33">
        <f t="shared" si="36"/>
        <v>7356805</v>
      </c>
      <c r="T33">
        <f t="shared" si="36"/>
        <v>7356805</v>
      </c>
      <c r="U33">
        <f t="shared" si="36"/>
        <v>7356805</v>
      </c>
      <c r="V33">
        <f t="shared" si="36"/>
        <v>7356805</v>
      </c>
      <c r="W33">
        <f t="shared" si="36"/>
        <v>7356805</v>
      </c>
      <c r="X33">
        <f t="shared" si="36"/>
        <v>7356805</v>
      </c>
      <c r="Y33">
        <f t="shared" si="6"/>
        <v>1</v>
      </c>
    </row>
    <row r="34" spans="1:25" x14ac:dyDescent="0.25">
      <c r="A34" t="s">
        <v>32</v>
      </c>
      <c r="B34" t="str">
        <f>MID(A34,2,2)</f>
        <v>33</v>
      </c>
      <c r="C34" t="str">
        <f>MID(A34,4,1)</f>
        <v>B</v>
      </c>
      <c r="D34">
        <v>2966291</v>
      </c>
      <c r="E34">
        <v>2889963</v>
      </c>
      <c r="F34">
        <v>462453</v>
      </c>
      <c r="G34">
        <v>486354</v>
      </c>
      <c r="I34">
        <f t="shared" si="1"/>
        <v>5856254</v>
      </c>
      <c r="J34">
        <f t="shared" si="2"/>
        <v>948807</v>
      </c>
      <c r="K34">
        <f t="shared" si="3"/>
        <v>0.16200000000000001</v>
      </c>
      <c r="N34">
        <f t="shared" si="4"/>
        <v>153706</v>
      </c>
      <c r="O34">
        <f t="shared" ref="O34:X34" si="37">IF(N34&gt;2*$I34,N34,ROUNDDOWN(N34*$K34,0))</f>
        <v>24900</v>
      </c>
      <c r="P34">
        <f t="shared" si="37"/>
        <v>4033</v>
      </c>
      <c r="Q34">
        <f t="shared" si="37"/>
        <v>653</v>
      </c>
      <c r="R34">
        <f t="shared" si="37"/>
        <v>105</v>
      </c>
      <c r="S34">
        <f t="shared" si="37"/>
        <v>17</v>
      </c>
      <c r="T34">
        <f t="shared" si="37"/>
        <v>2</v>
      </c>
      <c r="U34">
        <f t="shared" si="37"/>
        <v>0</v>
      </c>
      <c r="V34">
        <f t="shared" si="37"/>
        <v>0</v>
      </c>
      <c r="W34">
        <f t="shared" si="37"/>
        <v>0</v>
      </c>
      <c r="X34">
        <f t="shared" si="37"/>
        <v>0</v>
      </c>
      <c r="Y34">
        <f t="shared" si="6"/>
        <v>0</v>
      </c>
    </row>
    <row r="35" spans="1:25" x14ac:dyDescent="0.25">
      <c r="A35" t="s">
        <v>33</v>
      </c>
      <c r="B35" t="str">
        <f>MID(A35,2,2)</f>
        <v>34</v>
      </c>
      <c r="C35" t="str">
        <f>MID(A35,4,1)</f>
        <v>C</v>
      </c>
      <c r="D35">
        <v>76648</v>
      </c>
      <c r="E35">
        <v>81385</v>
      </c>
      <c r="F35">
        <v>1374708</v>
      </c>
      <c r="G35">
        <v>1379567</v>
      </c>
      <c r="I35">
        <f t="shared" si="1"/>
        <v>158033</v>
      </c>
      <c r="J35">
        <f t="shared" si="2"/>
        <v>2754275</v>
      </c>
      <c r="K35">
        <f t="shared" si="3"/>
        <v>17.4284</v>
      </c>
      <c r="N35">
        <f t="shared" si="4"/>
        <v>2754275</v>
      </c>
      <c r="O35">
        <f t="shared" ref="O35:X35" si="38">IF(N35&gt;2*$I35,N35,ROUNDDOWN(N35*$K35,0))</f>
        <v>2754275</v>
      </c>
      <c r="P35">
        <f t="shared" si="38"/>
        <v>2754275</v>
      </c>
      <c r="Q35">
        <f t="shared" si="38"/>
        <v>2754275</v>
      </c>
      <c r="R35">
        <f t="shared" si="38"/>
        <v>2754275</v>
      </c>
      <c r="S35">
        <f t="shared" si="38"/>
        <v>2754275</v>
      </c>
      <c r="T35">
        <f t="shared" si="38"/>
        <v>2754275</v>
      </c>
      <c r="U35">
        <f t="shared" si="38"/>
        <v>2754275</v>
      </c>
      <c r="V35">
        <f t="shared" si="38"/>
        <v>2754275</v>
      </c>
      <c r="W35">
        <f t="shared" si="38"/>
        <v>2754275</v>
      </c>
      <c r="X35">
        <f t="shared" si="38"/>
        <v>2754275</v>
      </c>
      <c r="Y35">
        <f t="shared" si="6"/>
        <v>1</v>
      </c>
    </row>
    <row r="36" spans="1:25" x14ac:dyDescent="0.25">
      <c r="A36" t="s">
        <v>34</v>
      </c>
      <c r="B36" t="str">
        <f>MID(A36,2,2)</f>
        <v>35</v>
      </c>
      <c r="C36" t="str">
        <f>MID(A36,4,1)</f>
        <v>C</v>
      </c>
      <c r="D36">
        <v>2574432</v>
      </c>
      <c r="E36">
        <v>2409710</v>
      </c>
      <c r="F36">
        <v>987486</v>
      </c>
      <c r="G36">
        <v>999043</v>
      </c>
      <c r="I36">
        <f t="shared" si="1"/>
        <v>4984142</v>
      </c>
      <c r="J36">
        <f t="shared" si="2"/>
        <v>1986529</v>
      </c>
      <c r="K36">
        <f t="shared" si="3"/>
        <v>0.39850000000000002</v>
      </c>
      <c r="N36">
        <f t="shared" si="4"/>
        <v>791631</v>
      </c>
      <c r="O36">
        <f t="shared" ref="O36:X36" si="39">IF(N36&gt;2*$I36,N36,ROUNDDOWN(N36*$K36,0))</f>
        <v>315464</v>
      </c>
      <c r="P36">
        <f t="shared" si="39"/>
        <v>125712</v>
      </c>
      <c r="Q36">
        <f t="shared" si="39"/>
        <v>50096</v>
      </c>
      <c r="R36">
        <f t="shared" si="39"/>
        <v>19963</v>
      </c>
      <c r="S36">
        <f t="shared" si="39"/>
        <v>7955</v>
      </c>
      <c r="T36">
        <f t="shared" si="39"/>
        <v>3170</v>
      </c>
      <c r="U36">
        <f t="shared" si="39"/>
        <v>1263</v>
      </c>
      <c r="V36">
        <f t="shared" si="39"/>
        <v>503</v>
      </c>
      <c r="W36">
        <f t="shared" si="39"/>
        <v>200</v>
      </c>
      <c r="X36">
        <f t="shared" si="39"/>
        <v>79</v>
      </c>
      <c r="Y36">
        <f t="shared" si="6"/>
        <v>0</v>
      </c>
    </row>
    <row r="37" spans="1:25" x14ac:dyDescent="0.25">
      <c r="A37" t="s">
        <v>35</v>
      </c>
      <c r="B37" t="str">
        <f>MID(A37,2,2)</f>
        <v>36</v>
      </c>
      <c r="C37" t="str">
        <f>MID(A37,4,1)</f>
        <v>B</v>
      </c>
      <c r="D37">
        <v>1778590</v>
      </c>
      <c r="E37">
        <v>1874844</v>
      </c>
      <c r="F37">
        <v>111191</v>
      </c>
      <c r="G37">
        <v>117846</v>
      </c>
      <c r="I37">
        <f t="shared" si="1"/>
        <v>3653434</v>
      </c>
      <c r="J37">
        <f t="shared" si="2"/>
        <v>229037</v>
      </c>
      <c r="K37">
        <f t="shared" si="3"/>
        <v>6.2600000000000003E-2</v>
      </c>
      <c r="N37">
        <f t="shared" si="4"/>
        <v>14337</v>
      </c>
      <c r="O37">
        <f t="shared" ref="O37:X37" si="40">IF(N37&gt;2*$I37,N37,ROUNDDOWN(N37*$K37,0))</f>
        <v>897</v>
      </c>
      <c r="P37">
        <f t="shared" si="40"/>
        <v>56</v>
      </c>
      <c r="Q37">
        <f t="shared" si="40"/>
        <v>3</v>
      </c>
      <c r="R37">
        <f t="shared" si="40"/>
        <v>0</v>
      </c>
      <c r="S37">
        <f t="shared" si="40"/>
        <v>0</v>
      </c>
      <c r="T37">
        <f t="shared" si="40"/>
        <v>0</v>
      </c>
      <c r="U37">
        <f t="shared" si="40"/>
        <v>0</v>
      </c>
      <c r="V37">
        <f t="shared" si="40"/>
        <v>0</v>
      </c>
      <c r="W37">
        <f t="shared" si="40"/>
        <v>0</v>
      </c>
      <c r="X37">
        <f t="shared" si="40"/>
        <v>0</v>
      </c>
      <c r="Y37">
        <f t="shared" si="6"/>
        <v>0</v>
      </c>
    </row>
    <row r="38" spans="1:25" x14ac:dyDescent="0.25">
      <c r="A38" t="s">
        <v>36</v>
      </c>
      <c r="B38" t="str">
        <f>MID(A38,2,2)</f>
        <v>37</v>
      </c>
      <c r="C38" t="str">
        <f>MID(A38,4,1)</f>
        <v>A</v>
      </c>
      <c r="D38">
        <v>1506541</v>
      </c>
      <c r="E38">
        <v>1414887</v>
      </c>
      <c r="F38">
        <v>1216612</v>
      </c>
      <c r="G38">
        <v>1166775</v>
      </c>
      <c r="I38">
        <f t="shared" si="1"/>
        <v>2921428</v>
      </c>
      <c r="J38">
        <f t="shared" si="2"/>
        <v>2383387</v>
      </c>
      <c r="K38">
        <f t="shared" si="3"/>
        <v>0.81579999999999997</v>
      </c>
      <c r="N38">
        <f t="shared" si="4"/>
        <v>1944367</v>
      </c>
      <c r="O38">
        <f t="shared" ref="O38:X38" si="41">IF(N38&gt;2*$I38,N38,ROUNDDOWN(N38*$K38,0))</f>
        <v>1586214</v>
      </c>
      <c r="P38">
        <f t="shared" si="41"/>
        <v>1294033</v>
      </c>
      <c r="Q38">
        <f t="shared" si="41"/>
        <v>1055672</v>
      </c>
      <c r="R38">
        <f t="shared" si="41"/>
        <v>861217</v>
      </c>
      <c r="S38">
        <f t="shared" si="41"/>
        <v>702580</v>
      </c>
      <c r="T38">
        <f t="shared" si="41"/>
        <v>573164</v>
      </c>
      <c r="U38">
        <f t="shared" si="41"/>
        <v>467587</v>
      </c>
      <c r="V38">
        <f t="shared" si="41"/>
        <v>381457</v>
      </c>
      <c r="W38">
        <f t="shared" si="41"/>
        <v>311192</v>
      </c>
      <c r="X38">
        <f t="shared" si="41"/>
        <v>253870</v>
      </c>
      <c r="Y38">
        <f t="shared" si="6"/>
        <v>0</v>
      </c>
    </row>
    <row r="39" spans="1:25" x14ac:dyDescent="0.25">
      <c r="A39" t="s">
        <v>37</v>
      </c>
      <c r="B39" t="str">
        <f>MID(A39,2,2)</f>
        <v>38</v>
      </c>
      <c r="C39" t="str">
        <f>MID(A39,4,1)</f>
        <v>B</v>
      </c>
      <c r="D39">
        <v>1598886</v>
      </c>
      <c r="E39">
        <v>1687917</v>
      </c>
      <c r="F39">
        <v>449788</v>
      </c>
      <c r="G39">
        <v>427615</v>
      </c>
      <c r="I39">
        <f t="shared" si="1"/>
        <v>3286803</v>
      </c>
      <c r="J39">
        <f t="shared" si="2"/>
        <v>877403</v>
      </c>
      <c r="K39">
        <f t="shared" si="3"/>
        <v>0.26690000000000003</v>
      </c>
      <c r="N39">
        <f t="shared" si="4"/>
        <v>234178</v>
      </c>
      <c r="O39">
        <f t="shared" ref="O39:X39" si="42">IF(N39&gt;2*$I39,N39,ROUNDDOWN(N39*$K39,0))</f>
        <v>62502</v>
      </c>
      <c r="P39">
        <f t="shared" si="42"/>
        <v>16681</v>
      </c>
      <c r="Q39">
        <f t="shared" si="42"/>
        <v>4452</v>
      </c>
      <c r="R39">
        <f t="shared" si="42"/>
        <v>1188</v>
      </c>
      <c r="S39">
        <f t="shared" si="42"/>
        <v>317</v>
      </c>
      <c r="T39">
        <f t="shared" si="42"/>
        <v>84</v>
      </c>
      <c r="U39">
        <f t="shared" si="42"/>
        <v>22</v>
      </c>
      <c r="V39">
        <f t="shared" si="42"/>
        <v>5</v>
      </c>
      <c r="W39">
        <f t="shared" si="42"/>
        <v>1</v>
      </c>
      <c r="X39">
        <f t="shared" si="42"/>
        <v>0</v>
      </c>
      <c r="Y39">
        <f t="shared" si="6"/>
        <v>0</v>
      </c>
    </row>
    <row r="40" spans="1:25" x14ac:dyDescent="0.25">
      <c r="A40" t="s">
        <v>38</v>
      </c>
      <c r="B40" t="str">
        <f>MID(A40,2,2)</f>
        <v>39</v>
      </c>
      <c r="C40" t="str">
        <f>MID(A40,4,1)</f>
        <v>D</v>
      </c>
      <c r="D40">
        <v>548989</v>
      </c>
      <c r="E40">
        <v>514636</v>
      </c>
      <c r="F40">
        <v>2770344</v>
      </c>
      <c r="G40">
        <v>3187897</v>
      </c>
      <c r="I40">
        <f t="shared" si="1"/>
        <v>1063625</v>
      </c>
      <c r="J40">
        <f t="shared" si="2"/>
        <v>5958241</v>
      </c>
      <c r="K40">
        <f t="shared" si="3"/>
        <v>5.6017999999999999</v>
      </c>
      <c r="N40">
        <f t="shared" si="4"/>
        <v>5958241</v>
      </c>
      <c r="O40">
        <f t="shared" ref="O40:X40" si="43">IF(N40&gt;2*$I40,N40,ROUNDDOWN(N40*$K40,0))</f>
        <v>5958241</v>
      </c>
      <c r="P40">
        <f t="shared" si="43"/>
        <v>5958241</v>
      </c>
      <c r="Q40">
        <f t="shared" si="43"/>
        <v>5958241</v>
      </c>
      <c r="R40">
        <f t="shared" si="43"/>
        <v>5958241</v>
      </c>
      <c r="S40">
        <f t="shared" si="43"/>
        <v>5958241</v>
      </c>
      <c r="T40">
        <f t="shared" si="43"/>
        <v>5958241</v>
      </c>
      <c r="U40">
        <f t="shared" si="43"/>
        <v>5958241</v>
      </c>
      <c r="V40">
        <f t="shared" si="43"/>
        <v>5958241</v>
      </c>
      <c r="W40">
        <f t="shared" si="43"/>
        <v>5958241</v>
      </c>
      <c r="X40">
        <f t="shared" si="43"/>
        <v>5958241</v>
      </c>
      <c r="Y40">
        <f t="shared" si="6"/>
        <v>1</v>
      </c>
    </row>
    <row r="41" spans="1:25" x14ac:dyDescent="0.25">
      <c r="A41" t="s">
        <v>39</v>
      </c>
      <c r="B41" t="str">
        <f>MID(A41,2,2)</f>
        <v>40</v>
      </c>
      <c r="C41" t="str">
        <f>MID(A41,4,1)</f>
        <v>A</v>
      </c>
      <c r="D41">
        <v>1175198</v>
      </c>
      <c r="E41">
        <v>1095440</v>
      </c>
      <c r="F41">
        <v>2657174</v>
      </c>
      <c r="G41">
        <v>2491947</v>
      </c>
      <c r="I41">
        <f t="shared" si="1"/>
        <v>2270638</v>
      </c>
      <c r="J41">
        <f t="shared" si="2"/>
        <v>5149121</v>
      </c>
      <c r="K41">
        <f t="shared" si="3"/>
        <v>2.2675999999999998</v>
      </c>
      <c r="N41">
        <f t="shared" si="4"/>
        <v>5149121</v>
      </c>
      <c r="O41">
        <f t="shared" ref="O41:X41" si="44">IF(N41&gt;2*$I41,N41,ROUNDDOWN(N41*$K41,0))</f>
        <v>5149121</v>
      </c>
      <c r="P41">
        <f t="shared" si="44"/>
        <v>5149121</v>
      </c>
      <c r="Q41">
        <f t="shared" si="44"/>
        <v>5149121</v>
      </c>
      <c r="R41">
        <f t="shared" si="44"/>
        <v>5149121</v>
      </c>
      <c r="S41">
        <f t="shared" si="44"/>
        <v>5149121</v>
      </c>
      <c r="T41">
        <f t="shared" si="44"/>
        <v>5149121</v>
      </c>
      <c r="U41">
        <f t="shared" si="44"/>
        <v>5149121</v>
      </c>
      <c r="V41">
        <f t="shared" si="44"/>
        <v>5149121</v>
      </c>
      <c r="W41">
        <f t="shared" si="44"/>
        <v>5149121</v>
      </c>
      <c r="X41">
        <f t="shared" si="44"/>
        <v>5149121</v>
      </c>
      <c r="Y41">
        <f t="shared" si="6"/>
        <v>1</v>
      </c>
    </row>
    <row r="42" spans="1:25" x14ac:dyDescent="0.25">
      <c r="A42" t="s">
        <v>40</v>
      </c>
      <c r="B42" t="str">
        <f>MID(A42,2,2)</f>
        <v>41</v>
      </c>
      <c r="C42" t="str">
        <f>MID(A42,4,1)</f>
        <v>D</v>
      </c>
      <c r="D42">
        <v>2115336</v>
      </c>
      <c r="E42">
        <v>2202769</v>
      </c>
      <c r="F42">
        <v>15339</v>
      </c>
      <c r="G42">
        <v>14652</v>
      </c>
      <c r="I42">
        <f t="shared" si="1"/>
        <v>4318105</v>
      </c>
      <c r="J42">
        <f t="shared" si="2"/>
        <v>29991</v>
      </c>
      <c r="K42">
        <f t="shared" si="3"/>
        <v>6.8999999999999999E-3</v>
      </c>
      <c r="N42">
        <f t="shared" si="4"/>
        <v>206</v>
      </c>
      <c r="O42">
        <f t="shared" ref="O42:X42" si="45">IF(N42&gt;2*$I42,N42,ROUNDDOWN(N42*$K42,0))</f>
        <v>1</v>
      </c>
      <c r="P42">
        <f t="shared" si="45"/>
        <v>0</v>
      </c>
      <c r="Q42">
        <f t="shared" si="45"/>
        <v>0</v>
      </c>
      <c r="R42">
        <f t="shared" si="45"/>
        <v>0</v>
      </c>
      <c r="S42">
        <f t="shared" si="45"/>
        <v>0</v>
      </c>
      <c r="T42">
        <f t="shared" si="45"/>
        <v>0</v>
      </c>
      <c r="U42">
        <f t="shared" si="45"/>
        <v>0</v>
      </c>
      <c r="V42">
        <f t="shared" si="45"/>
        <v>0</v>
      </c>
      <c r="W42">
        <f t="shared" si="45"/>
        <v>0</v>
      </c>
      <c r="X42">
        <f t="shared" si="45"/>
        <v>0</v>
      </c>
      <c r="Y42">
        <f t="shared" si="6"/>
        <v>0</v>
      </c>
    </row>
    <row r="43" spans="1:25" x14ac:dyDescent="0.25">
      <c r="A43" t="s">
        <v>41</v>
      </c>
      <c r="B43" t="str">
        <f>MID(A43,2,2)</f>
        <v>42</v>
      </c>
      <c r="C43" t="str">
        <f>MID(A43,4,1)</f>
        <v>B</v>
      </c>
      <c r="D43">
        <v>2346640</v>
      </c>
      <c r="E43">
        <v>2197559</v>
      </c>
      <c r="F43">
        <v>373470</v>
      </c>
      <c r="G43">
        <v>353365</v>
      </c>
      <c r="I43">
        <f t="shared" si="1"/>
        <v>4544199</v>
      </c>
      <c r="J43">
        <f t="shared" si="2"/>
        <v>726835</v>
      </c>
      <c r="K43">
        <f t="shared" si="3"/>
        <v>0.15989999999999999</v>
      </c>
      <c r="N43">
        <f t="shared" si="4"/>
        <v>116220</v>
      </c>
      <c r="O43">
        <f t="shared" ref="O43:X43" si="46">IF(N43&gt;2*$I43,N43,ROUNDDOWN(N43*$K43,0))</f>
        <v>18583</v>
      </c>
      <c r="P43">
        <f t="shared" si="46"/>
        <v>2971</v>
      </c>
      <c r="Q43">
        <f t="shared" si="46"/>
        <v>475</v>
      </c>
      <c r="R43">
        <f t="shared" si="46"/>
        <v>75</v>
      </c>
      <c r="S43">
        <f t="shared" si="46"/>
        <v>11</v>
      </c>
      <c r="T43">
        <f t="shared" si="46"/>
        <v>1</v>
      </c>
      <c r="U43">
        <f t="shared" si="46"/>
        <v>0</v>
      </c>
      <c r="V43">
        <f t="shared" si="46"/>
        <v>0</v>
      </c>
      <c r="W43">
        <f t="shared" si="46"/>
        <v>0</v>
      </c>
      <c r="X43">
        <f t="shared" si="46"/>
        <v>0</v>
      </c>
      <c r="Y43">
        <f t="shared" si="6"/>
        <v>0</v>
      </c>
    </row>
    <row r="44" spans="1:25" x14ac:dyDescent="0.25">
      <c r="A44" t="s">
        <v>42</v>
      </c>
      <c r="B44" t="str">
        <f>MID(A44,2,2)</f>
        <v>43</v>
      </c>
      <c r="C44" t="str">
        <f>MID(A44,4,1)</f>
        <v>D</v>
      </c>
      <c r="D44">
        <v>2548438</v>
      </c>
      <c r="E44">
        <v>2577213</v>
      </c>
      <c r="F44">
        <v>37986</v>
      </c>
      <c r="G44">
        <v>37766</v>
      </c>
      <c r="I44">
        <f t="shared" si="1"/>
        <v>5125651</v>
      </c>
      <c r="J44">
        <f t="shared" si="2"/>
        <v>75752</v>
      </c>
      <c r="K44">
        <f t="shared" si="3"/>
        <v>1.47E-2</v>
      </c>
      <c r="N44">
        <f t="shared" si="4"/>
        <v>1113</v>
      </c>
      <c r="O44">
        <f t="shared" ref="O44:X44" si="47">IF(N44&gt;2*$I44,N44,ROUNDDOWN(N44*$K44,0))</f>
        <v>16</v>
      </c>
      <c r="P44">
        <f t="shared" si="47"/>
        <v>0</v>
      </c>
      <c r="Q44">
        <f t="shared" si="47"/>
        <v>0</v>
      </c>
      <c r="R44">
        <f t="shared" si="47"/>
        <v>0</v>
      </c>
      <c r="S44">
        <f t="shared" si="47"/>
        <v>0</v>
      </c>
      <c r="T44">
        <f t="shared" si="47"/>
        <v>0</v>
      </c>
      <c r="U44">
        <f t="shared" si="47"/>
        <v>0</v>
      </c>
      <c r="V44">
        <f t="shared" si="47"/>
        <v>0</v>
      </c>
      <c r="W44">
        <f t="shared" si="47"/>
        <v>0</v>
      </c>
      <c r="X44">
        <f t="shared" si="47"/>
        <v>0</v>
      </c>
      <c r="Y44">
        <f t="shared" si="6"/>
        <v>0</v>
      </c>
    </row>
    <row r="45" spans="1:25" x14ac:dyDescent="0.25">
      <c r="A45" t="s">
        <v>43</v>
      </c>
      <c r="B45" t="str">
        <f>MID(A45,2,2)</f>
        <v>44</v>
      </c>
      <c r="C45" t="str">
        <f>MID(A45,4,1)</f>
        <v>C</v>
      </c>
      <c r="D45">
        <v>835495</v>
      </c>
      <c r="E45">
        <v>837746</v>
      </c>
      <c r="F45">
        <v>1106177</v>
      </c>
      <c r="G45">
        <v>917781</v>
      </c>
      <c r="I45">
        <f t="shared" si="1"/>
        <v>1673241</v>
      </c>
      <c r="J45">
        <f t="shared" si="2"/>
        <v>2023958</v>
      </c>
      <c r="K45">
        <f t="shared" si="3"/>
        <v>1.2096</v>
      </c>
      <c r="N45">
        <f t="shared" si="4"/>
        <v>2448179</v>
      </c>
      <c r="O45">
        <f t="shared" ref="O45:X45" si="48">IF(N45&gt;2*$I45,N45,ROUNDDOWN(N45*$K45,0))</f>
        <v>2961317</v>
      </c>
      <c r="P45">
        <f t="shared" si="48"/>
        <v>3582009</v>
      </c>
      <c r="Q45">
        <f t="shared" si="48"/>
        <v>3582009</v>
      </c>
      <c r="R45">
        <f t="shared" si="48"/>
        <v>3582009</v>
      </c>
      <c r="S45">
        <f t="shared" si="48"/>
        <v>3582009</v>
      </c>
      <c r="T45">
        <f t="shared" si="48"/>
        <v>3582009</v>
      </c>
      <c r="U45">
        <f t="shared" si="48"/>
        <v>3582009</v>
      </c>
      <c r="V45">
        <f t="shared" si="48"/>
        <v>3582009</v>
      </c>
      <c r="W45">
        <f t="shared" si="48"/>
        <v>3582009</v>
      </c>
      <c r="X45">
        <f t="shared" si="48"/>
        <v>3582009</v>
      </c>
      <c r="Y45">
        <f t="shared" si="6"/>
        <v>1</v>
      </c>
    </row>
    <row r="46" spans="1:25" x14ac:dyDescent="0.25">
      <c r="A46" t="s">
        <v>44</v>
      </c>
      <c r="B46" t="str">
        <f>MID(A46,2,2)</f>
        <v>45</v>
      </c>
      <c r="C46" t="str">
        <f>MID(A46,4,1)</f>
        <v>B</v>
      </c>
      <c r="D46">
        <v>1187448</v>
      </c>
      <c r="E46">
        <v>1070426</v>
      </c>
      <c r="F46">
        <v>1504608</v>
      </c>
      <c r="G46">
        <v>1756990</v>
      </c>
      <c r="I46">
        <f t="shared" si="1"/>
        <v>2257874</v>
      </c>
      <c r="J46">
        <f t="shared" si="2"/>
        <v>3261598</v>
      </c>
      <c r="K46">
        <f t="shared" si="3"/>
        <v>1.4444999999999999</v>
      </c>
      <c r="N46">
        <f t="shared" si="4"/>
        <v>4711378</v>
      </c>
      <c r="O46">
        <f t="shared" ref="O46:X46" si="49">IF(N46&gt;2*$I46,N46,ROUNDDOWN(N46*$K46,0))</f>
        <v>4711378</v>
      </c>
      <c r="P46">
        <f t="shared" si="49"/>
        <v>4711378</v>
      </c>
      <c r="Q46">
        <f t="shared" si="49"/>
        <v>4711378</v>
      </c>
      <c r="R46">
        <f t="shared" si="49"/>
        <v>4711378</v>
      </c>
      <c r="S46">
        <f t="shared" si="49"/>
        <v>4711378</v>
      </c>
      <c r="T46">
        <f t="shared" si="49"/>
        <v>4711378</v>
      </c>
      <c r="U46">
        <f t="shared" si="49"/>
        <v>4711378</v>
      </c>
      <c r="V46">
        <f t="shared" si="49"/>
        <v>4711378</v>
      </c>
      <c r="W46">
        <f t="shared" si="49"/>
        <v>4711378</v>
      </c>
      <c r="X46">
        <f t="shared" si="49"/>
        <v>4711378</v>
      </c>
      <c r="Y46">
        <f t="shared" si="6"/>
        <v>1</v>
      </c>
    </row>
    <row r="47" spans="1:25" x14ac:dyDescent="0.25">
      <c r="A47" t="s">
        <v>45</v>
      </c>
      <c r="B47" t="str">
        <f>MID(A47,2,2)</f>
        <v>46</v>
      </c>
      <c r="C47" t="str">
        <f>MID(A47,4,1)</f>
        <v>C</v>
      </c>
      <c r="D47">
        <v>140026</v>
      </c>
      <c r="E47">
        <v>146354</v>
      </c>
      <c r="F47">
        <v>2759991</v>
      </c>
      <c r="G47">
        <v>2742120</v>
      </c>
      <c r="I47">
        <f t="shared" si="1"/>
        <v>286380</v>
      </c>
      <c r="J47">
        <f t="shared" si="2"/>
        <v>5502111</v>
      </c>
      <c r="K47">
        <f t="shared" si="3"/>
        <v>19.212599999999998</v>
      </c>
      <c r="N47">
        <f t="shared" si="4"/>
        <v>5502111</v>
      </c>
      <c r="O47">
        <f t="shared" ref="O47:X47" si="50">IF(N47&gt;2*$I47,N47,ROUNDDOWN(N47*$K47,0))</f>
        <v>5502111</v>
      </c>
      <c r="P47">
        <f t="shared" si="50"/>
        <v>5502111</v>
      </c>
      <c r="Q47">
        <f t="shared" si="50"/>
        <v>5502111</v>
      </c>
      <c r="R47">
        <f t="shared" si="50"/>
        <v>5502111</v>
      </c>
      <c r="S47">
        <f t="shared" si="50"/>
        <v>5502111</v>
      </c>
      <c r="T47">
        <f t="shared" si="50"/>
        <v>5502111</v>
      </c>
      <c r="U47">
        <f t="shared" si="50"/>
        <v>5502111</v>
      </c>
      <c r="V47">
        <f t="shared" si="50"/>
        <v>5502111</v>
      </c>
      <c r="W47">
        <f t="shared" si="50"/>
        <v>5502111</v>
      </c>
      <c r="X47">
        <f t="shared" si="50"/>
        <v>5502111</v>
      </c>
      <c r="Y47">
        <f t="shared" si="6"/>
        <v>1</v>
      </c>
    </row>
    <row r="48" spans="1:25" x14ac:dyDescent="0.25">
      <c r="A48" t="s">
        <v>46</v>
      </c>
      <c r="B48" t="str">
        <f>MID(A48,2,2)</f>
        <v>47</v>
      </c>
      <c r="C48" t="str">
        <f>MID(A48,4,1)</f>
        <v>B</v>
      </c>
      <c r="D48">
        <v>1198765</v>
      </c>
      <c r="E48">
        <v>1304945</v>
      </c>
      <c r="F48">
        <v>2786493</v>
      </c>
      <c r="G48">
        <v>2602643</v>
      </c>
      <c r="I48">
        <f t="shared" si="1"/>
        <v>2503710</v>
      </c>
      <c r="J48">
        <f t="shared" si="2"/>
        <v>5389136</v>
      </c>
      <c r="K48">
        <f t="shared" si="3"/>
        <v>2.1524000000000001</v>
      </c>
      <c r="N48">
        <f t="shared" si="4"/>
        <v>5389136</v>
      </c>
      <c r="O48">
        <f t="shared" ref="O48:X48" si="51">IF(N48&gt;2*$I48,N48,ROUNDDOWN(N48*$K48,0))</f>
        <v>5389136</v>
      </c>
      <c r="P48">
        <f t="shared" si="51"/>
        <v>5389136</v>
      </c>
      <c r="Q48">
        <f t="shared" si="51"/>
        <v>5389136</v>
      </c>
      <c r="R48">
        <f t="shared" si="51"/>
        <v>5389136</v>
      </c>
      <c r="S48">
        <f t="shared" si="51"/>
        <v>5389136</v>
      </c>
      <c r="T48">
        <f t="shared" si="51"/>
        <v>5389136</v>
      </c>
      <c r="U48">
        <f t="shared" si="51"/>
        <v>5389136</v>
      </c>
      <c r="V48">
        <f t="shared" si="51"/>
        <v>5389136</v>
      </c>
      <c r="W48">
        <f t="shared" si="51"/>
        <v>5389136</v>
      </c>
      <c r="X48">
        <f t="shared" si="51"/>
        <v>5389136</v>
      </c>
      <c r="Y48">
        <f t="shared" si="6"/>
        <v>1</v>
      </c>
    </row>
    <row r="49" spans="1:25" x14ac:dyDescent="0.25">
      <c r="A49" t="s">
        <v>47</v>
      </c>
      <c r="B49" t="str">
        <f>MID(A49,2,2)</f>
        <v>48</v>
      </c>
      <c r="C49" t="str">
        <f>MID(A49,4,1)</f>
        <v>C</v>
      </c>
      <c r="D49">
        <v>2619776</v>
      </c>
      <c r="E49">
        <v>2749623</v>
      </c>
      <c r="F49">
        <v>2888215</v>
      </c>
      <c r="G49">
        <v>2800174</v>
      </c>
      <c r="I49">
        <f t="shared" si="1"/>
        <v>5369399</v>
      </c>
      <c r="J49">
        <f t="shared" si="2"/>
        <v>5688389</v>
      </c>
      <c r="K49">
        <f t="shared" si="3"/>
        <v>1.0593999999999999</v>
      </c>
      <c r="N49">
        <f t="shared" si="4"/>
        <v>6026279</v>
      </c>
      <c r="O49">
        <f t="shared" ref="O49:X49" si="52">IF(N49&gt;2*$I49,N49,ROUNDDOWN(N49*$K49,0))</f>
        <v>6384239</v>
      </c>
      <c r="P49">
        <f t="shared" si="52"/>
        <v>6763462</v>
      </c>
      <c r="Q49">
        <f t="shared" si="52"/>
        <v>7165211</v>
      </c>
      <c r="R49">
        <f t="shared" si="52"/>
        <v>7590824</v>
      </c>
      <c r="S49">
        <f t="shared" si="52"/>
        <v>8041718</v>
      </c>
      <c r="T49">
        <f t="shared" si="52"/>
        <v>8519396</v>
      </c>
      <c r="U49">
        <f t="shared" si="52"/>
        <v>9025448</v>
      </c>
      <c r="V49">
        <f t="shared" si="52"/>
        <v>9561559</v>
      </c>
      <c r="W49">
        <f t="shared" si="52"/>
        <v>10129515</v>
      </c>
      <c r="X49">
        <f t="shared" si="52"/>
        <v>10731208</v>
      </c>
      <c r="Y49">
        <f t="shared" si="6"/>
        <v>0</v>
      </c>
    </row>
    <row r="50" spans="1:25" x14ac:dyDescent="0.25">
      <c r="A50" t="s">
        <v>48</v>
      </c>
      <c r="B50" t="str">
        <f>MID(A50,2,2)</f>
        <v>49</v>
      </c>
      <c r="C50" t="str">
        <f>MID(A50,4,1)</f>
        <v>C</v>
      </c>
      <c r="D50">
        <v>248398</v>
      </c>
      <c r="E50">
        <v>268511</v>
      </c>
      <c r="F50">
        <v>3110853</v>
      </c>
      <c r="G50">
        <v>2986411</v>
      </c>
      <c r="I50">
        <f t="shared" si="1"/>
        <v>516909</v>
      </c>
      <c r="J50">
        <f t="shared" si="2"/>
        <v>6097264</v>
      </c>
      <c r="K50">
        <f t="shared" si="3"/>
        <v>11.7956</v>
      </c>
      <c r="N50">
        <f t="shared" si="4"/>
        <v>6097264</v>
      </c>
      <c r="O50">
        <f t="shared" ref="O50:X50" si="53">IF(N50&gt;2*$I50,N50,ROUNDDOWN(N50*$K50,0))</f>
        <v>6097264</v>
      </c>
      <c r="P50">
        <f t="shared" si="53"/>
        <v>6097264</v>
      </c>
      <c r="Q50">
        <f t="shared" si="53"/>
        <v>6097264</v>
      </c>
      <c r="R50">
        <f t="shared" si="53"/>
        <v>6097264</v>
      </c>
      <c r="S50">
        <f t="shared" si="53"/>
        <v>6097264</v>
      </c>
      <c r="T50">
        <f t="shared" si="53"/>
        <v>6097264</v>
      </c>
      <c r="U50">
        <f t="shared" si="53"/>
        <v>6097264</v>
      </c>
      <c r="V50">
        <f t="shared" si="53"/>
        <v>6097264</v>
      </c>
      <c r="W50">
        <f t="shared" si="53"/>
        <v>6097264</v>
      </c>
      <c r="X50">
        <f t="shared" si="53"/>
        <v>6097264</v>
      </c>
      <c r="Y50">
        <f t="shared" si="6"/>
        <v>1</v>
      </c>
    </row>
    <row r="51" spans="1:25" x14ac:dyDescent="0.25">
      <c r="A51" t="s">
        <v>49</v>
      </c>
      <c r="B51" t="str">
        <f>MID(A51,2,2)</f>
        <v>50</v>
      </c>
      <c r="C51" t="str">
        <f>MID(A51,4,1)</f>
        <v>B</v>
      </c>
      <c r="D51">
        <v>2494207</v>
      </c>
      <c r="E51">
        <v>2625207</v>
      </c>
      <c r="F51">
        <v>1796293</v>
      </c>
      <c r="G51">
        <v>1853602</v>
      </c>
      <c r="I51">
        <f t="shared" si="1"/>
        <v>5119414</v>
      </c>
      <c r="J51">
        <f t="shared" si="2"/>
        <v>3649895</v>
      </c>
      <c r="K51">
        <f t="shared" si="3"/>
        <v>0.71289999999999998</v>
      </c>
      <c r="N51">
        <f t="shared" si="4"/>
        <v>2602010</v>
      </c>
      <c r="O51">
        <f t="shared" ref="O51:X51" si="54">IF(N51&gt;2*$I51,N51,ROUNDDOWN(N51*$K51,0))</f>
        <v>1854972</v>
      </c>
      <c r="P51">
        <f t="shared" si="54"/>
        <v>1322409</v>
      </c>
      <c r="Q51">
        <f t="shared" si="54"/>
        <v>942745</v>
      </c>
      <c r="R51">
        <f t="shared" si="54"/>
        <v>672082</v>
      </c>
      <c r="S51">
        <f t="shared" si="54"/>
        <v>479127</v>
      </c>
      <c r="T51">
        <f t="shared" si="54"/>
        <v>341569</v>
      </c>
      <c r="U51">
        <f t="shared" si="54"/>
        <v>243504</v>
      </c>
      <c r="V51">
        <f t="shared" si="54"/>
        <v>173594</v>
      </c>
      <c r="W51">
        <f t="shared" si="54"/>
        <v>123755</v>
      </c>
      <c r="X51">
        <f t="shared" si="54"/>
        <v>88224</v>
      </c>
      <c r="Y51">
        <f t="shared" si="6"/>
        <v>0</v>
      </c>
    </row>
    <row r="52" spans="1:25" x14ac:dyDescent="0.25">
      <c r="Y52" s="2">
        <f>SUM(Y2:Y51)</f>
        <v>18</v>
      </c>
    </row>
  </sheetData>
  <conditionalFormatting sqref="X2:X51">
    <cfRule type="cellIs" dxfId="0" priority="1" operator="equal">
      <formula>$Z$5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dane</vt:lpstr>
      <vt:lpstr>a</vt:lpstr>
      <vt:lpstr>b</vt:lpstr>
      <vt:lpstr>c</vt:lpstr>
      <vt:lpstr>a!kraina</vt:lpstr>
      <vt:lpstr>b!kraina</vt:lpstr>
      <vt:lpstr>'c'!kraina</vt:lpstr>
      <vt:lpstr>dane!kraina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2026-02-19T17:40:30Z</dcterms:created>
  <dcterms:modified xsi:type="dcterms:W3CDTF">2026-02-19T20:44:11Z</dcterms:modified>
</cp:coreProperties>
</file>