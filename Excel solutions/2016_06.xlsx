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4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skar\Desktop\Excel zadania matura\"/>
    </mc:Choice>
  </mc:AlternateContent>
  <xr:revisionPtr revIDLastSave="0" documentId="8_{7853525D-1133-4132-BF43-8F1F02D6CF7F}" xr6:coauthVersionLast="47" xr6:coauthVersionMax="47" xr10:uidLastSave="{00000000-0000-0000-0000-000000000000}"/>
  <bookViews>
    <workbookView xWindow="-120" yWindow="-120" windowWidth="29040" windowHeight="15720" activeTab="3" xr2:uid="{EFB8D983-BA9C-47FB-99D1-1E2C1D719EAB}"/>
  </bookViews>
  <sheets>
    <sheet name="6.1" sheetId="1" r:id="rId1"/>
    <sheet name="6.2" sheetId="2" r:id="rId2"/>
    <sheet name="6.3" sheetId="3" r:id="rId3"/>
    <sheet name="6.4" sheetId="4" r:id="rId4"/>
  </sheets>
  <definedNames>
    <definedName name="ubezpieczenia" localSheetId="0">'6.1'!$A$1:$D$332</definedName>
    <definedName name="ubezpieczenia" localSheetId="1">'6.2'!$A$1:$D$332</definedName>
    <definedName name="ubezpieczenia" localSheetId="2">'6.3'!$A$1:$D$332</definedName>
    <definedName name="ubezpieczenia" localSheetId="3">'6.4'!$A$1:$D$332</definedName>
  </definedNames>
  <calcPr calcId="191029"/>
  <pivotCaches>
    <pivotCache cacheId="20" r:id="rId5"/>
    <pivotCache cacheId="2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3" i="4" l="1"/>
  <c r="P14" i="4"/>
  <c r="P15" i="4"/>
  <c r="P16" i="4"/>
  <c r="P17" i="4"/>
  <c r="P12" i="4"/>
  <c r="K2" i="4"/>
  <c r="J2" i="4"/>
  <c r="I2" i="4"/>
  <c r="H2" i="4"/>
  <c r="G2" i="4"/>
  <c r="F2" i="4"/>
  <c r="G3" i="4"/>
  <c r="H3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I3" i="3"/>
  <c r="I4" i="3"/>
  <c r="I5" i="3"/>
  <c r="I6" i="3"/>
  <c r="I7" i="3"/>
  <c r="I8" i="3"/>
  <c r="I9" i="3"/>
  <c r="I10" i="3"/>
  <c r="I11" i="3"/>
  <c r="L3" i="3" s="1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2" i="2"/>
  <c r="S13" i="1"/>
  <c r="S12" i="1"/>
  <c r="S11" i="1"/>
  <c r="S10" i="1"/>
  <c r="S9" i="1"/>
  <c r="S8" i="1" a="1"/>
  <c r="S8" i="1" s="1"/>
  <c r="S7" i="1"/>
  <c r="S6" i="1"/>
  <c r="S5" i="1"/>
  <c r="S4" i="1"/>
  <c r="S3" i="1"/>
  <c r="S2" i="1" a="1"/>
  <c r="S2" i="1" s="1"/>
  <c r="E3" i="1"/>
  <c r="F3" i="1"/>
  <c r="G3" i="1"/>
  <c r="H3" i="1"/>
  <c r="I3" i="1"/>
  <c r="J3" i="1"/>
  <c r="K3" i="1"/>
  <c r="L3" i="1"/>
  <c r="M3" i="1"/>
  <c r="N3" i="1"/>
  <c r="O3" i="1"/>
  <c r="P3" i="1"/>
  <c r="E4" i="1"/>
  <c r="F4" i="1"/>
  <c r="G4" i="1"/>
  <c r="H4" i="1"/>
  <c r="I4" i="1"/>
  <c r="J4" i="1"/>
  <c r="K4" i="1"/>
  <c r="L4" i="1"/>
  <c r="M4" i="1"/>
  <c r="N4" i="1"/>
  <c r="O4" i="1"/>
  <c r="P4" i="1"/>
  <c r="E5" i="1"/>
  <c r="F5" i="1"/>
  <c r="G5" i="1"/>
  <c r="H5" i="1"/>
  <c r="I5" i="1"/>
  <c r="J5" i="1"/>
  <c r="K5" i="1"/>
  <c r="L5" i="1"/>
  <c r="M5" i="1"/>
  <c r="N5" i="1"/>
  <c r="O5" i="1"/>
  <c r="P5" i="1"/>
  <c r="E6" i="1"/>
  <c r="F6" i="1"/>
  <c r="G6" i="1"/>
  <c r="H6" i="1"/>
  <c r="I6" i="1"/>
  <c r="J6" i="1"/>
  <c r="K6" i="1"/>
  <c r="L6" i="1"/>
  <c r="M6" i="1"/>
  <c r="N6" i="1"/>
  <c r="O6" i="1"/>
  <c r="P6" i="1"/>
  <c r="E7" i="1"/>
  <c r="F7" i="1"/>
  <c r="G7" i="1"/>
  <c r="H7" i="1"/>
  <c r="I7" i="1"/>
  <c r="J7" i="1"/>
  <c r="K7" i="1"/>
  <c r="L7" i="1"/>
  <c r="M7" i="1"/>
  <c r="N7" i="1"/>
  <c r="O7" i="1"/>
  <c r="P7" i="1"/>
  <c r="E8" i="1"/>
  <c r="F8" i="1"/>
  <c r="G8" i="1"/>
  <c r="H8" i="1"/>
  <c r="I8" i="1"/>
  <c r="J8" i="1"/>
  <c r="K8" i="1"/>
  <c r="L8" i="1"/>
  <c r="M8" i="1"/>
  <c r="N8" i="1"/>
  <c r="O8" i="1"/>
  <c r="P8" i="1"/>
  <c r="E9" i="1"/>
  <c r="F9" i="1"/>
  <c r="G9" i="1"/>
  <c r="H9" i="1"/>
  <c r="I9" i="1"/>
  <c r="J9" i="1"/>
  <c r="K9" i="1"/>
  <c r="L9" i="1"/>
  <c r="M9" i="1"/>
  <c r="N9" i="1"/>
  <c r="O9" i="1"/>
  <c r="P9" i="1"/>
  <c r="E10" i="1"/>
  <c r="F10" i="1"/>
  <c r="G10" i="1"/>
  <c r="H10" i="1"/>
  <c r="I10" i="1"/>
  <c r="J10" i="1"/>
  <c r="K10" i="1"/>
  <c r="L10" i="1"/>
  <c r="M10" i="1"/>
  <c r="N10" i="1"/>
  <c r="O10" i="1"/>
  <c r="P10" i="1"/>
  <c r="E11" i="1"/>
  <c r="F11" i="1"/>
  <c r="G11" i="1"/>
  <c r="H11" i="1"/>
  <c r="I11" i="1"/>
  <c r="J11" i="1"/>
  <c r="K11" i="1"/>
  <c r="L11" i="1"/>
  <c r="M11" i="1"/>
  <c r="N11" i="1"/>
  <c r="O11" i="1"/>
  <c r="P11" i="1"/>
  <c r="E12" i="1"/>
  <c r="F12" i="1"/>
  <c r="G12" i="1"/>
  <c r="H12" i="1"/>
  <c r="I12" i="1"/>
  <c r="J12" i="1"/>
  <c r="K12" i="1"/>
  <c r="L12" i="1"/>
  <c r="M12" i="1"/>
  <c r="N12" i="1"/>
  <c r="O12" i="1"/>
  <c r="P12" i="1"/>
  <c r="E13" i="1"/>
  <c r="F13" i="1"/>
  <c r="G13" i="1"/>
  <c r="H13" i="1"/>
  <c r="I13" i="1"/>
  <c r="J13" i="1"/>
  <c r="K13" i="1"/>
  <c r="L13" i="1"/>
  <c r="M13" i="1"/>
  <c r="N13" i="1"/>
  <c r="O13" i="1"/>
  <c r="P13" i="1"/>
  <c r="E14" i="1"/>
  <c r="F14" i="1"/>
  <c r="G14" i="1"/>
  <c r="H14" i="1"/>
  <c r="I14" i="1"/>
  <c r="J14" i="1"/>
  <c r="K14" i="1"/>
  <c r="L14" i="1"/>
  <c r="M14" i="1"/>
  <c r="N14" i="1"/>
  <c r="O14" i="1"/>
  <c r="P14" i="1"/>
  <c r="E15" i="1"/>
  <c r="F15" i="1"/>
  <c r="G15" i="1"/>
  <c r="H15" i="1"/>
  <c r="I15" i="1"/>
  <c r="J15" i="1"/>
  <c r="K15" i="1"/>
  <c r="L15" i="1"/>
  <c r="M15" i="1"/>
  <c r="N15" i="1"/>
  <c r="O15" i="1"/>
  <c r="P15" i="1"/>
  <c r="E16" i="1"/>
  <c r="F16" i="1"/>
  <c r="G16" i="1"/>
  <c r="H16" i="1"/>
  <c r="I16" i="1"/>
  <c r="J16" i="1"/>
  <c r="K16" i="1"/>
  <c r="L16" i="1"/>
  <c r="M16" i="1"/>
  <c r="N16" i="1"/>
  <c r="O16" i="1"/>
  <c r="P16" i="1"/>
  <c r="E17" i="1"/>
  <c r="F17" i="1"/>
  <c r="G17" i="1"/>
  <c r="H17" i="1"/>
  <c r="I17" i="1"/>
  <c r="J17" i="1"/>
  <c r="K17" i="1"/>
  <c r="L17" i="1"/>
  <c r="M17" i="1"/>
  <c r="N17" i="1"/>
  <c r="O17" i="1"/>
  <c r="P17" i="1"/>
  <c r="E18" i="1"/>
  <c r="F18" i="1"/>
  <c r="G18" i="1"/>
  <c r="H18" i="1"/>
  <c r="I18" i="1"/>
  <c r="J18" i="1"/>
  <c r="K18" i="1"/>
  <c r="L18" i="1"/>
  <c r="M18" i="1"/>
  <c r="N18" i="1"/>
  <c r="O18" i="1"/>
  <c r="P18" i="1"/>
  <c r="E19" i="1"/>
  <c r="F19" i="1"/>
  <c r="G19" i="1"/>
  <c r="H19" i="1"/>
  <c r="I19" i="1"/>
  <c r="J19" i="1"/>
  <c r="K19" i="1"/>
  <c r="L19" i="1"/>
  <c r="M19" i="1"/>
  <c r="N19" i="1"/>
  <c r="O19" i="1"/>
  <c r="P19" i="1"/>
  <c r="E20" i="1"/>
  <c r="F20" i="1"/>
  <c r="G20" i="1"/>
  <c r="H20" i="1"/>
  <c r="I20" i="1"/>
  <c r="J20" i="1"/>
  <c r="K20" i="1"/>
  <c r="L20" i="1"/>
  <c r="M20" i="1"/>
  <c r="N20" i="1"/>
  <c r="O20" i="1"/>
  <c r="P20" i="1"/>
  <c r="E21" i="1"/>
  <c r="F21" i="1"/>
  <c r="G21" i="1"/>
  <c r="H21" i="1"/>
  <c r="I21" i="1"/>
  <c r="J21" i="1"/>
  <c r="K21" i="1"/>
  <c r="L21" i="1"/>
  <c r="M21" i="1"/>
  <c r="N21" i="1"/>
  <c r="O21" i="1"/>
  <c r="P21" i="1"/>
  <c r="E22" i="1"/>
  <c r="F22" i="1"/>
  <c r="G22" i="1"/>
  <c r="H22" i="1"/>
  <c r="I22" i="1"/>
  <c r="J22" i="1"/>
  <c r="K22" i="1"/>
  <c r="L22" i="1"/>
  <c r="M22" i="1"/>
  <c r="N22" i="1"/>
  <c r="O22" i="1"/>
  <c r="P22" i="1"/>
  <c r="E23" i="1"/>
  <c r="F23" i="1"/>
  <c r="G23" i="1"/>
  <c r="H23" i="1"/>
  <c r="I23" i="1"/>
  <c r="J23" i="1"/>
  <c r="K23" i="1"/>
  <c r="L23" i="1"/>
  <c r="M23" i="1"/>
  <c r="N23" i="1"/>
  <c r="O23" i="1"/>
  <c r="P23" i="1"/>
  <c r="E24" i="1"/>
  <c r="F24" i="1"/>
  <c r="G24" i="1"/>
  <c r="H24" i="1"/>
  <c r="I24" i="1"/>
  <c r="J24" i="1"/>
  <c r="K24" i="1"/>
  <c r="L24" i="1"/>
  <c r="M24" i="1"/>
  <c r="N24" i="1"/>
  <c r="O24" i="1"/>
  <c r="P24" i="1"/>
  <c r="E25" i="1"/>
  <c r="F25" i="1"/>
  <c r="G25" i="1"/>
  <c r="H25" i="1"/>
  <c r="I25" i="1"/>
  <c r="J25" i="1"/>
  <c r="K25" i="1"/>
  <c r="L25" i="1"/>
  <c r="M25" i="1"/>
  <c r="N25" i="1"/>
  <c r="O25" i="1"/>
  <c r="P25" i="1"/>
  <c r="E26" i="1"/>
  <c r="F26" i="1"/>
  <c r="G26" i="1"/>
  <c r="H26" i="1"/>
  <c r="I26" i="1"/>
  <c r="J26" i="1"/>
  <c r="K26" i="1"/>
  <c r="L26" i="1"/>
  <c r="M26" i="1"/>
  <c r="N26" i="1"/>
  <c r="O26" i="1"/>
  <c r="P26" i="1"/>
  <c r="E27" i="1"/>
  <c r="F27" i="1"/>
  <c r="G27" i="1"/>
  <c r="H27" i="1"/>
  <c r="I27" i="1"/>
  <c r="J27" i="1"/>
  <c r="K27" i="1"/>
  <c r="L27" i="1"/>
  <c r="M27" i="1"/>
  <c r="N27" i="1"/>
  <c r="O27" i="1"/>
  <c r="P27" i="1"/>
  <c r="E28" i="1"/>
  <c r="F28" i="1"/>
  <c r="G28" i="1"/>
  <c r="H28" i="1"/>
  <c r="I28" i="1"/>
  <c r="J28" i="1"/>
  <c r="K28" i="1"/>
  <c r="L28" i="1"/>
  <c r="M28" i="1"/>
  <c r="N28" i="1"/>
  <c r="O28" i="1"/>
  <c r="P28" i="1"/>
  <c r="E29" i="1"/>
  <c r="F29" i="1"/>
  <c r="G29" i="1"/>
  <c r="H29" i="1"/>
  <c r="I29" i="1"/>
  <c r="J29" i="1"/>
  <c r="K29" i="1"/>
  <c r="L29" i="1"/>
  <c r="M29" i="1"/>
  <c r="N29" i="1"/>
  <c r="O29" i="1"/>
  <c r="P29" i="1"/>
  <c r="E30" i="1"/>
  <c r="F30" i="1"/>
  <c r="G30" i="1"/>
  <c r="H30" i="1"/>
  <c r="I30" i="1"/>
  <c r="J30" i="1"/>
  <c r="K30" i="1"/>
  <c r="L30" i="1"/>
  <c r="M30" i="1"/>
  <c r="N30" i="1"/>
  <c r="O30" i="1"/>
  <c r="P30" i="1"/>
  <c r="E31" i="1"/>
  <c r="F31" i="1"/>
  <c r="G31" i="1"/>
  <c r="H31" i="1"/>
  <c r="I31" i="1"/>
  <c r="J31" i="1"/>
  <c r="K31" i="1"/>
  <c r="L31" i="1"/>
  <c r="M31" i="1"/>
  <c r="N31" i="1"/>
  <c r="O31" i="1"/>
  <c r="P31" i="1"/>
  <c r="E32" i="1"/>
  <c r="F32" i="1"/>
  <c r="G32" i="1"/>
  <c r="H32" i="1"/>
  <c r="I32" i="1"/>
  <c r="J32" i="1"/>
  <c r="K32" i="1"/>
  <c r="L32" i="1"/>
  <c r="M32" i="1"/>
  <c r="N32" i="1"/>
  <c r="O32" i="1"/>
  <c r="P32" i="1"/>
  <c r="E33" i="1"/>
  <c r="F33" i="1"/>
  <c r="G33" i="1"/>
  <c r="H33" i="1"/>
  <c r="I33" i="1"/>
  <c r="J33" i="1"/>
  <c r="K33" i="1"/>
  <c r="L33" i="1"/>
  <c r="M33" i="1"/>
  <c r="N33" i="1"/>
  <c r="O33" i="1"/>
  <c r="P33" i="1"/>
  <c r="E34" i="1"/>
  <c r="F34" i="1"/>
  <c r="G34" i="1"/>
  <c r="H34" i="1"/>
  <c r="I34" i="1"/>
  <c r="J34" i="1"/>
  <c r="K34" i="1"/>
  <c r="L34" i="1"/>
  <c r="M34" i="1"/>
  <c r="N34" i="1"/>
  <c r="O34" i="1"/>
  <c r="P34" i="1"/>
  <c r="E35" i="1"/>
  <c r="F35" i="1"/>
  <c r="G35" i="1"/>
  <c r="H35" i="1"/>
  <c r="I35" i="1"/>
  <c r="J35" i="1"/>
  <c r="K35" i="1"/>
  <c r="L35" i="1"/>
  <c r="M35" i="1"/>
  <c r="N35" i="1"/>
  <c r="O35" i="1"/>
  <c r="P35" i="1"/>
  <c r="E36" i="1"/>
  <c r="F36" i="1"/>
  <c r="G36" i="1"/>
  <c r="H36" i="1"/>
  <c r="I36" i="1"/>
  <c r="J36" i="1"/>
  <c r="K36" i="1"/>
  <c r="L36" i="1"/>
  <c r="M36" i="1"/>
  <c r="N36" i="1"/>
  <c r="O36" i="1"/>
  <c r="P36" i="1"/>
  <c r="E37" i="1"/>
  <c r="F37" i="1"/>
  <c r="G37" i="1"/>
  <c r="H37" i="1"/>
  <c r="I37" i="1"/>
  <c r="J37" i="1"/>
  <c r="K37" i="1"/>
  <c r="L37" i="1"/>
  <c r="M37" i="1"/>
  <c r="N37" i="1"/>
  <c r="O37" i="1"/>
  <c r="P37" i="1"/>
  <c r="E38" i="1"/>
  <c r="F38" i="1"/>
  <c r="G38" i="1"/>
  <c r="H38" i="1"/>
  <c r="I38" i="1"/>
  <c r="J38" i="1"/>
  <c r="K38" i="1"/>
  <c r="L38" i="1"/>
  <c r="M38" i="1"/>
  <c r="N38" i="1"/>
  <c r="O38" i="1"/>
  <c r="P38" i="1"/>
  <c r="E39" i="1"/>
  <c r="F39" i="1"/>
  <c r="G39" i="1"/>
  <c r="H39" i="1"/>
  <c r="I39" i="1"/>
  <c r="J39" i="1"/>
  <c r="K39" i="1"/>
  <c r="L39" i="1"/>
  <c r="M39" i="1"/>
  <c r="N39" i="1"/>
  <c r="O39" i="1"/>
  <c r="P39" i="1"/>
  <c r="E40" i="1"/>
  <c r="F40" i="1"/>
  <c r="G40" i="1"/>
  <c r="H40" i="1"/>
  <c r="I40" i="1"/>
  <c r="J40" i="1"/>
  <c r="K40" i="1"/>
  <c r="L40" i="1"/>
  <c r="M40" i="1"/>
  <c r="N40" i="1"/>
  <c r="O40" i="1"/>
  <c r="P40" i="1"/>
  <c r="E41" i="1"/>
  <c r="F41" i="1"/>
  <c r="G41" i="1"/>
  <c r="H41" i="1"/>
  <c r="I41" i="1"/>
  <c r="J41" i="1"/>
  <c r="K41" i="1"/>
  <c r="L41" i="1"/>
  <c r="M41" i="1"/>
  <c r="N41" i="1"/>
  <c r="O41" i="1"/>
  <c r="P41" i="1"/>
  <c r="E42" i="1"/>
  <c r="F42" i="1"/>
  <c r="G42" i="1"/>
  <c r="H42" i="1"/>
  <c r="I42" i="1"/>
  <c r="J42" i="1"/>
  <c r="K42" i="1"/>
  <c r="L42" i="1"/>
  <c r="M42" i="1"/>
  <c r="N42" i="1"/>
  <c r="O42" i="1"/>
  <c r="P42" i="1"/>
  <c r="E43" i="1"/>
  <c r="F43" i="1"/>
  <c r="G43" i="1"/>
  <c r="H43" i="1"/>
  <c r="I43" i="1"/>
  <c r="J43" i="1"/>
  <c r="K43" i="1"/>
  <c r="L43" i="1"/>
  <c r="M43" i="1"/>
  <c r="N43" i="1"/>
  <c r="O43" i="1"/>
  <c r="P43" i="1"/>
  <c r="E44" i="1"/>
  <c r="F44" i="1"/>
  <c r="G44" i="1"/>
  <c r="H44" i="1"/>
  <c r="I44" i="1"/>
  <c r="J44" i="1"/>
  <c r="K44" i="1"/>
  <c r="L44" i="1"/>
  <c r="M44" i="1"/>
  <c r="N44" i="1"/>
  <c r="O44" i="1"/>
  <c r="P44" i="1"/>
  <c r="E45" i="1"/>
  <c r="F45" i="1"/>
  <c r="G45" i="1"/>
  <c r="H45" i="1"/>
  <c r="I45" i="1"/>
  <c r="J45" i="1"/>
  <c r="K45" i="1"/>
  <c r="L45" i="1"/>
  <c r="M45" i="1"/>
  <c r="N45" i="1"/>
  <c r="O45" i="1"/>
  <c r="P45" i="1"/>
  <c r="E46" i="1"/>
  <c r="F46" i="1"/>
  <c r="G46" i="1"/>
  <c r="H46" i="1"/>
  <c r="I46" i="1"/>
  <c r="J46" i="1"/>
  <c r="K46" i="1"/>
  <c r="L46" i="1"/>
  <c r="M46" i="1"/>
  <c r="N46" i="1"/>
  <c r="O46" i="1"/>
  <c r="P46" i="1"/>
  <c r="E47" i="1"/>
  <c r="F47" i="1"/>
  <c r="G47" i="1"/>
  <c r="H47" i="1"/>
  <c r="I47" i="1"/>
  <c r="J47" i="1"/>
  <c r="K47" i="1"/>
  <c r="L47" i="1"/>
  <c r="M47" i="1"/>
  <c r="N47" i="1"/>
  <c r="O47" i="1"/>
  <c r="P47" i="1"/>
  <c r="E48" i="1"/>
  <c r="F48" i="1"/>
  <c r="G48" i="1"/>
  <c r="H48" i="1"/>
  <c r="I48" i="1"/>
  <c r="J48" i="1"/>
  <c r="K48" i="1"/>
  <c r="L48" i="1"/>
  <c r="M48" i="1"/>
  <c r="N48" i="1"/>
  <c r="O48" i="1"/>
  <c r="P48" i="1"/>
  <c r="E49" i="1"/>
  <c r="F49" i="1"/>
  <c r="G49" i="1"/>
  <c r="H49" i="1"/>
  <c r="I49" i="1"/>
  <c r="J49" i="1"/>
  <c r="K49" i="1"/>
  <c r="L49" i="1"/>
  <c r="M49" i="1"/>
  <c r="N49" i="1"/>
  <c r="O49" i="1"/>
  <c r="P49" i="1"/>
  <c r="E50" i="1"/>
  <c r="F50" i="1"/>
  <c r="G50" i="1"/>
  <c r="H50" i="1"/>
  <c r="I50" i="1"/>
  <c r="J50" i="1"/>
  <c r="K50" i="1"/>
  <c r="L50" i="1"/>
  <c r="M50" i="1"/>
  <c r="N50" i="1"/>
  <c r="O50" i="1"/>
  <c r="P50" i="1"/>
  <c r="E51" i="1"/>
  <c r="F51" i="1"/>
  <c r="G51" i="1"/>
  <c r="H51" i="1"/>
  <c r="I51" i="1"/>
  <c r="J51" i="1"/>
  <c r="K51" i="1"/>
  <c r="L51" i="1"/>
  <c r="M51" i="1"/>
  <c r="N51" i="1"/>
  <c r="O51" i="1"/>
  <c r="P51" i="1"/>
  <c r="E52" i="1"/>
  <c r="F52" i="1"/>
  <c r="G52" i="1"/>
  <c r="H52" i="1"/>
  <c r="I52" i="1"/>
  <c r="J52" i="1"/>
  <c r="K52" i="1"/>
  <c r="L52" i="1"/>
  <c r="M52" i="1"/>
  <c r="N52" i="1"/>
  <c r="O52" i="1"/>
  <c r="P52" i="1"/>
  <c r="E53" i="1"/>
  <c r="F53" i="1"/>
  <c r="G53" i="1"/>
  <c r="H53" i="1"/>
  <c r="I53" i="1"/>
  <c r="J53" i="1"/>
  <c r="K53" i="1"/>
  <c r="L53" i="1"/>
  <c r="M53" i="1"/>
  <c r="N53" i="1"/>
  <c r="O53" i="1"/>
  <c r="P53" i="1"/>
  <c r="E54" i="1"/>
  <c r="F54" i="1"/>
  <c r="G54" i="1"/>
  <c r="H54" i="1"/>
  <c r="I54" i="1"/>
  <c r="J54" i="1"/>
  <c r="K54" i="1"/>
  <c r="L54" i="1"/>
  <c r="M54" i="1"/>
  <c r="N54" i="1"/>
  <c r="O54" i="1"/>
  <c r="P54" i="1"/>
  <c r="E55" i="1"/>
  <c r="F55" i="1"/>
  <c r="G55" i="1"/>
  <c r="H55" i="1"/>
  <c r="I55" i="1"/>
  <c r="J55" i="1"/>
  <c r="K55" i="1"/>
  <c r="L55" i="1"/>
  <c r="M55" i="1"/>
  <c r="N55" i="1"/>
  <c r="O55" i="1"/>
  <c r="P55" i="1"/>
  <c r="E56" i="1"/>
  <c r="F56" i="1"/>
  <c r="G56" i="1"/>
  <c r="H56" i="1"/>
  <c r="I56" i="1"/>
  <c r="J56" i="1"/>
  <c r="K56" i="1"/>
  <c r="L56" i="1"/>
  <c r="M56" i="1"/>
  <c r="N56" i="1"/>
  <c r="O56" i="1"/>
  <c r="P56" i="1"/>
  <c r="E57" i="1"/>
  <c r="F57" i="1"/>
  <c r="G57" i="1"/>
  <c r="H57" i="1"/>
  <c r="I57" i="1"/>
  <c r="J57" i="1"/>
  <c r="K57" i="1"/>
  <c r="L57" i="1"/>
  <c r="M57" i="1"/>
  <c r="N57" i="1"/>
  <c r="O57" i="1"/>
  <c r="P57" i="1"/>
  <c r="E58" i="1"/>
  <c r="F58" i="1"/>
  <c r="G58" i="1"/>
  <c r="H58" i="1"/>
  <c r="I58" i="1"/>
  <c r="J58" i="1"/>
  <c r="K58" i="1"/>
  <c r="L58" i="1"/>
  <c r="M58" i="1"/>
  <c r="N58" i="1"/>
  <c r="O58" i="1"/>
  <c r="P58" i="1"/>
  <c r="E59" i="1"/>
  <c r="F59" i="1"/>
  <c r="G59" i="1"/>
  <c r="H59" i="1"/>
  <c r="I59" i="1"/>
  <c r="J59" i="1"/>
  <c r="K59" i="1"/>
  <c r="L59" i="1"/>
  <c r="M59" i="1"/>
  <c r="N59" i="1"/>
  <c r="O59" i="1"/>
  <c r="P59" i="1"/>
  <c r="E60" i="1"/>
  <c r="F60" i="1"/>
  <c r="G60" i="1"/>
  <c r="H60" i="1"/>
  <c r="I60" i="1"/>
  <c r="J60" i="1"/>
  <c r="K60" i="1"/>
  <c r="L60" i="1"/>
  <c r="M60" i="1"/>
  <c r="N60" i="1"/>
  <c r="O60" i="1"/>
  <c r="P60" i="1"/>
  <c r="E61" i="1"/>
  <c r="F61" i="1"/>
  <c r="G61" i="1"/>
  <c r="H61" i="1"/>
  <c r="I61" i="1"/>
  <c r="J61" i="1"/>
  <c r="K61" i="1"/>
  <c r="L61" i="1"/>
  <c r="M61" i="1"/>
  <c r="N61" i="1"/>
  <c r="O61" i="1"/>
  <c r="P61" i="1"/>
  <c r="E62" i="1"/>
  <c r="F62" i="1"/>
  <c r="G62" i="1"/>
  <c r="H62" i="1"/>
  <c r="I62" i="1"/>
  <c r="J62" i="1"/>
  <c r="K62" i="1"/>
  <c r="L62" i="1"/>
  <c r="M62" i="1"/>
  <c r="N62" i="1"/>
  <c r="O62" i="1"/>
  <c r="P62" i="1"/>
  <c r="E63" i="1"/>
  <c r="F63" i="1"/>
  <c r="G63" i="1"/>
  <c r="H63" i="1"/>
  <c r="I63" i="1"/>
  <c r="J63" i="1"/>
  <c r="K63" i="1"/>
  <c r="L63" i="1"/>
  <c r="M63" i="1"/>
  <c r="N63" i="1"/>
  <c r="O63" i="1"/>
  <c r="P63" i="1"/>
  <c r="E64" i="1"/>
  <c r="F64" i="1"/>
  <c r="G64" i="1"/>
  <c r="H64" i="1"/>
  <c r="I64" i="1"/>
  <c r="J64" i="1"/>
  <c r="K64" i="1"/>
  <c r="L64" i="1"/>
  <c r="M64" i="1"/>
  <c r="N64" i="1"/>
  <c r="O64" i="1"/>
  <c r="P64" i="1"/>
  <c r="E65" i="1"/>
  <c r="F65" i="1"/>
  <c r="G65" i="1"/>
  <c r="H65" i="1"/>
  <c r="I65" i="1"/>
  <c r="J65" i="1"/>
  <c r="K65" i="1"/>
  <c r="L65" i="1"/>
  <c r="M65" i="1"/>
  <c r="N65" i="1"/>
  <c r="O65" i="1"/>
  <c r="P65" i="1"/>
  <c r="E66" i="1"/>
  <c r="F66" i="1"/>
  <c r="G66" i="1"/>
  <c r="H66" i="1"/>
  <c r="I66" i="1"/>
  <c r="J66" i="1"/>
  <c r="K66" i="1"/>
  <c r="L66" i="1"/>
  <c r="M66" i="1"/>
  <c r="N66" i="1"/>
  <c r="O66" i="1"/>
  <c r="P66" i="1"/>
  <c r="E67" i="1"/>
  <c r="F67" i="1"/>
  <c r="G67" i="1"/>
  <c r="H67" i="1"/>
  <c r="I67" i="1"/>
  <c r="J67" i="1"/>
  <c r="K67" i="1"/>
  <c r="L67" i="1"/>
  <c r="M67" i="1"/>
  <c r="N67" i="1"/>
  <c r="O67" i="1"/>
  <c r="P67" i="1"/>
  <c r="E68" i="1"/>
  <c r="F68" i="1"/>
  <c r="G68" i="1"/>
  <c r="H68" i="1"/>
  <c r="I68" i="1"/>
  <c r="J68" i="1"/>
  <c r="K68" i="1"/>
  <c r="L68" i="1"/>
  <c r="M68" i="1"/>
  <c r="N68" i="1"/>
  <c r="O68" i="1"/>
  <c r="P68" i="1"/>
  <c r="E69" i="1"/>
  <c r="F69" i="1"/>
  <c r="G69" i="1"/>
  <c r="H69" i="1"/>
  <c r="I69" i="1"/>
  <c r="J69" i="1"/>
  <c r="K69" i="1"/>
  <c r="L69" i="1"/>
  <c r="M69" i="1"/>
  <c r="N69" i="1"/>
  <c r="O69" i="1"/>
  <c r="P69" i="1"/>
  <c r="E70" i="1"/>
  <c r="F70" i="1"/>
  <c r="G70" i="1"/>
  <c r="H70" i="1"/>
  <c r="I70" i="1"/>
  <c r="J70" i="1"/>
  <c r="K70" i="1"/>
  <c r="L70" i="1"/>
  <c r="M70" i="1"/>
  <c r="N70" i="1"/>
  <c r="O70" i="1"/>
  <c r="P70" i="1"/>
  <c r="E71" i="1"/>
  <c r="F71" i="1"/>
  <c r="G71" i="1"/>
  <c r="H71" i="1"/>
  <c r="I71" i="1"/>
  <c r="J71" i="1"/>
  <c r="K71" i="1"/>
  <c r="L71" i="1"/>
  <c r="M71" i="1"/>
  <c r="N71" i="1"/>
  <c r="O71" i="1"/>
  <c r="P71" i="1"/>
  <c r="E72" i="1"/>
  <c r="F72" i="1"/>
  <c r="G72" i="1"/>
  <c r="H72" i="1"/>
  <c r="I72" i="1"/>
  <c r="J72" i="1"/>
  <c r="K72" i="1"/>
  <c r="L72" i="1"/>
  <c r="M72" i="1"/>
  <c r="N72" i="1"/>
  <c r="O72" i="1"/>
  <c r="P72" i="1"/>
  <c r="E73" i="1"/>
  <c r="F73" i="1"/>
  <c r="G73" i="1"/>
  <c r="H73" i="1"/>
  <c r="I73" i="1"/>
  <c r="J73" i="1"/>
  <c r="K73" i="1"/>
  <c r="L73" i="1"/>
  <c r="M73" i="1"/>
  <c r="N73" i="1"/>
  <c r="O73" i="1"/>
  <c r="P73" i="1"/>
  <c r="E74" i="1"/>
  <c r="F74" i="1"/>
  <c r="G74" i="1"/>
  <c r="H74" i="1"/>
  <c r="I74" i="1"/>
  <c r="J74" i="1"/>
  <c r="K74" i="1"/>
  <c r="L74" i="1"/>
  <c r="M74" i="1"/>
  <c r="N74" i="1"/>
  <c r="O74" i="1"/>
  <c r="P74" i="1"/>
  <c r="E75" i="1"/>
  <c r="F75" i="1"/>
  <c r="G75" i="1"/>
  <c r="H75" i="1"/>
  <c r="I75" i="1"/>
  <c r="J75" i="1"/>
  <c r="K75" i="1"/>
  <c r="L75" i="1"/>
  <c r="M75" i="1"/>
  <c r="N75" i="1"/>
  <c r="O75" i="1"/>
  <c r="P75" i="1"/>
  <c r="E76" i="1"/>
  <c r="F76" i="1"/>
  <c r="G76" i="1"/>
  <c r="H76" i="1"/>
  <c r="I76" i="1"/>
  <c r="J76" i="1"/>
  <c r="K76" i="1"/>
  <c r="L76" i="1"/>
  <c r="M76" i="1"/>
  <c r="N76" i="1"/>
  <c r="O76" i="1"/>
  <c r="P76" i="1"/>
  <c r="E77" i="1"/>
  <c r="F77" i="1"/>
  <c r="G77" i="1"/>
  <c r="H77" i="1"/>
  <c r="I77" i="1"/>
  <c r="J77" i="1"/>
  <c r="K77" i="1"/>
  <c r="L77" i="1"/>
  <c r="M77" i="1"/>
  <c r="N77" i="1"/>
  <c r="O77" i="1"/>
  <c r="P77" i="1"/>
  <c r="E78" i="1"/>
  <c r="F78" i="1"/>
  <c r="G78" i="1"/>
  <c r="H78" i="1"/>
  <c r="I78" i="1"/>
  <c r="J78" i="1"/>
  <c r="K78" i="1"/>
  <c r="L78" i="1"/>
  <c r="M78" i="1"/>
  <c r="N78" i="1"/>
  <c r="O78" i="1"/>
  <c r="P78" i="1"/>
  <c r="E79" i="1"/>
  <c r="F79" i="1"/>
  <c r="G79" i="1"/>
  <c r="H79" i="1"/>
  <c r="I79" i="1"/>
  <c r="J79" i="1"/>
  <c r="K79" i="1"/>
  <c r="L79" i="1"/>
  <c r="M79" i="1"/>
  <c r="N79" i="1"/>
  <c r="O79" i="1"/>
  <c r="P79" i="1"/>
  <c r="E80" i="1"/>
  <c r="F80" i="1"/>
  <c r="G80" i="1"/>
  <c r="H80" i="1"/>
  <c r="I80" i="1"/>
  <c r="J80" i="1"/>
  <c r="K80" i="1"/>
  <c r="L80" i="1"/>
  <c r="M80" i="1"/>
  <c r="N80" i="1"/>
  <c r="O80" i="1"/>
  <c r="P80" i="1"/>
  <c r="E81" i="1"/>
  <c r="F81" i="1"/>
  <c r="G81" i="1"/>
  <c r="H81" i="1"/>
  <c r="I81" i="1"/>
  <c r="J81" i="1"/>
  <c r="K81" i="1"/>
  <c r="L81" i="1"/>
  <c r="M81" i="1"/>
  <c r="N81" i="1"/>
  <c r="O81" i="1"/>
  <c r="P81" i="1"/>
  <c r="E82" i="1"/>
  <c r="F82" i="1"/>
  <c r="G82" i="1"/>
  <c r="H82" i="1"/>
  <c r="I82" i="1"/>
  <c r="J82" i="1"/>
  <c r="K82" i="1"/>
  <c r="L82" i="1"/>
  <c r="M82" i="1"/>
  <c r="N82" i="1"/>
  <c r="O82" i="1"/>
  <c r="P82" i="1"/>
  <c r="E83" i="1"/>
  <c r="F83" i="1"/>
  <c r="G83" i="1"/>
  <c r="H83" i="1"/>
  <c r="I83" i="1"/>
  <c r="J83" i="1"/>
  <c r="K83" i="1"/>
  <c r="L83" i="1"/>
  <c r="M83" i="1"/>
  <c r="N83" i="1"/>
  <c r="O83" i="1"/>
  <c r="P83" i="1"/>
  <c r="E84" i="1"/>
  <c r="F84" i="1"/>
  <c r="G84" i="1"/>
  <c r="H84" i="1"/>
  <c r="I84" i="1"/>
  <c r="J84" i="1"/>
  <c r="K84" i="1"/>
  <c r="L84" i="1"/>
  <c r="M84" i="1"/>
  <c r="N84" i="1"/>
  <c r="O84" i="1"/>
  <c r="P84" i="1"/>
  <c r="E85" i="1"/>
  <c r="F85" i="1"/>
  <c r="G85" i="1"/>
  <c r="H85" i="1"/>
  <c r="I85" i="1"/>
  <c r="J85" i="1"/>
  <c r="K85" i="1"/>
  <c r="L85" i="1"/>
  <c r="M85" i="1"/>
  <c r="N85" i="1"/>
  <c r="O85" i="1"/>
  <c r="P85" i="1"/>
  <c r="E86" i="1"/>
  <c r="F86" i="1"/>
  <c r="G86" i="1"/>
  <c r="H86" i="1"/>
  <c r="I86" i="1"/>
  <c r="J86" i="1"/>
  <c r="K86" i="1"/>
  <c r="L86" i="1"/>
  <c r="M86" i="1"/>
  <c r="N86" i="1"/>
  <c r="O86" i="1"/>
  <c r="P86" i="1"/>
  <c r="E87" i="1"/>
  <c r="F87" i="1"/>
  <c r="G87" i="1"/>
  <c r="H87" i="1"/>
  <c r="I87" i="1"/>
  <c r="J87" i="1"/>
  <c r="K87" i="1"/>
  <c r="L87" i="1"/>
  <c r="M87" i="1"/>
  <c r="N87" i="1"/>
  <c r="O87" i="1"/>
  <c r="P87" i="1"/>
  <c r="E88" i="1"/>
  <c r="F88" i="1"/>
  <c r="G88" i="1"/>
  <c r="H88" i="1"/>
  <c r="I88" i="1"/>
  <c r="J88" i="1"/>
  <c r="K88" i="1"/>
  <c r="L88" i="1"/>
  <c r="M88" i="1"/>
  <c r="N88" i="1"/>
  <c r="O88" i="1"/>
  <c r="P88" i="1"/>
  <c r="E89" i="1"/>
  <c r="F89" i="1"/>
  <c r="G89" i="1"/>
  <c r="H89" i="1"/>
  <c r="I89" i="1"/>
  <c r="J89" i="1"/>
  <c r="K89" i="1"/>
  <c r="L89" i="1"/>
  <c r="M89" i="1"/>
  <c r="N89" i="1"/>
  <c r="O89" i="1"/>
  <c r="P89" i="1"/>
  <c r="E90" i="1"/>
  <c r="F90" i="1"/>
  <c r="G90" i="1"/>
  <c r="H90" i="1"/>
  <c r="I90" i="1"/>
  <c r="J90" i="1"/>
  <c r="K90" i="1"/>
  <c r="L90" i="1"/>
  <c r="M90" i="1"/>
  <c r="N90" i="1"/>
  <c r="O90" i="1"/>
  <c r="P90" i="1"/>
  <c r="E91" i="1"/>
  <c r="F91" i="1"/>
  <c r="G91" i="1"/>
  <c r="H91" i="1"/>
  <c r="I91" i="1"/>
  <c r="J91" i="1"/>
  <c r="K91" i="1"/>
  <c r="L91" i="1"/>
  <c r="M91" i="1"/>
  <c r="N91" i="1"/>
  <c r="O91" i="1"/>
  <c r="P91" i="1"/>
  <c r="E92" i="1"/>
  <c r="F92" i="1"/>
  <c r="G92" i="1"/>
  <c r="H92" i="1"/>
  <c r="I92" i="1"/>
  <c r="J92" i="1"/>
  <c r="K92" i="1"/>
  <c r="L92" i="1"/>
  <c r="M92" i="1"/>
  <c r="N92" i="1"/>
  <c r="O92" i="1"/>
  <c r="P92" i="1"/>
  <c r="E93" i="1"/>
  <c r="F93" i="1"/>
  <c r="G93" i="1"/>
  <c r="H93" i="1"/>
  <c r="I93" i="1"/>
  <c r="J93" i="1"/>
  <c r="K93" i="1"/>
  <c r="L93" i="1"/>
  <c r="M93" i="1"/>
  <c r="N93" i="1"/>
  <c r="O93" i="1"/>
  <c r="P93" i="1"/>
  <c r="E94" i="1"/>
  <c r="F94" i="1"/>
  <c r="G94" i="1"/>
  <c r="H94" i="1"/>
  <c r="I94" i="1"/>
  <c r="J94" i="1"/>
  <c r="K94" i="1"/>
  <c r="L94" i="1"/>
  <c r="M94" i="1"/>
  <c r="N94" i="1"/>
  <c r="O94" i="1"/>
  <c r="P94" i="1"/>
  <c r="E95" i="1"/>
  <c r="F95" i="1"/>
  <c r="G95" i="1"/>
  <c r="H95" i="1"/>
  <c r="I95" i="1"/>
  <c r="J95" i="1"/>
  <c r="K95" i="1"/>
  <c r="L95" i="1"/>
  <c r="M95" i="1"/>
  <c r="N95" i="1"/>
  <c r="O95" i="1"/>
  <c r="P95" i="1"/>
  <c r="E96" i="1"/>
  <c r="F96" i="1"/>
  <c r="G96" i="1"/>
  <c r="H96" i="1"/>
  <c r="I96" i="1"/>
  <c r="J96" i="1"/>
  <c r="K96" i="1"/>
  <c r="L96" i="1"/>
  <c r="M96" i="1"/>
  <c r="N96" i="1"/>
  <c r="O96" i="1"/>
  <c r="P96" i="1"/>
  <c r="E97" i="1"/>
  <c r="F97" i="1"/>
  <c r="G97" i="1"/>
  <c r="H97" i="1"/>
  <c r="I97" i="1"/>
  <c r="J97" i="1"/>
  <c r="K97" i="1"/>
  <c r="L97" i="1"/>
  <c r="M97" i="1"/>
  <c r="N97" i="1"/>
  <c r="O97" i="1"/>
  <c r="P97" i="1"/>
  <c r="E98" i="1"/>
  <c r="F98" i="1"/>
  <c r="G98" i="1"/>
  <c r="H98" i="1"/>
  <c r="I98" i="1"/>
  <c r="J98" i="1"/>
  <c r="K98" i="1"/>
  <c r="L98" i="1"/>
  <c r="M98" i="1"/>
  <c r="N98" i="1"/>
  <c r="O98" i="1"/>
  <c r="P98" i="1"/>
  <c r="E99" i="1"/>
  <c r="F99" i="1"/>
  <c r="G99" i="1"/>
  <c r="H99" i="1"/>
  <c r="I99" i="1"/>
  <c r="J99" i="1"/>
  <c r="K99" i="1"/>
  <c r="L99" i="1"/>
  <c r="M99" i="1"/>
  <c r="N99" i="1"/>
  <c r="O99" i="1"/>
  <c r="P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E104" i="1"/>
  <c r="F104" i="1"/>
  <c r="G104" i="1"/>
  <c r="H104" i="1"/>
  <c r="I104" i="1"/>
  <c r="J104" i="1"/>
  <c r="K104" i="1"/>
  <c r="L104" i="1"/>
  <c r="M104" i="1"/>
  <c r="N104" i="1"/>
  <c r="O104" i="1"/>
  <c r="P104" i="1"/>
  <c r="E105" i="1"/>
  <c r="F105" i="1"/>
  <c r="G105" i="1"/>
  <c r="H105" i="1"/>
  <c r="I105" i="1"/>
  <c r="J105" i="1"/>
  <c r="K105" i="1"/>
  <c r="L105" i="1"/>
  <c r="M105" i="1"/>
  <c r="N105" i="1"/>
  <c r="O105" i="1"/>
  <c r="P105" i="1"/>
  <c r="E106" i="1"/>
  <c r="F106" i="1"/>
  <c r="G106" i="1"/>
  <c r="H106" i="1"/>
  <c r="I106" i="1"/>
  <c r="J106" i="1"/>
  <c r="K106" i="1"/>
  <c r="L106" i="1"/>
  <c r="M106" i="1"/>
  <c r="N106" i="1"/>
  <c r="O106" i="1"/>
  <c r="P106" i="1"/>
  <c r="E107" i="1"/>
  <c r="F107" i="1"/>
  <c r="G107" i="1"/>
  <c r="H107" i="1"/>
  <c r="I107" i="1"/>
  <c r="J107" i="1"/>
  <c r="K107" i="1"/>
  <c r="L107" i="1"/>
  <c r="M107" i="1"/>
  <c r="N107" i="1"/>
  <c r="O107" i="1"/>
  <c r="P107" i="1"/>
  <c r="E108" i="1"/>
  <c r="F108" i="1"/>
  <c r="G108" i="1"/>
  <c r="H108" i="1"/>
  <c r="I108" i="1"/>
  <c r="J108" i="1"/>
  <c r="K108" i="1"/>
  <c r="L108" i="1"/>
  <c r="M108" i="1"/>
  <c r="N108" i="1"/>
  <c r="O108" i="1"/>
  <c r="P108" i="1"/>
  <c r="E109" i="1"/>
  <c r="F109" i="1"/>
  <c r="G109" i="1"/>
  <c r="H109" i="1"/>
  <c r="I109" i="1"/>
  <c r="J109" i="1"/>
  <c r="K109" i="1"/>
  <c r="L109" i="1"/>
  <c r="M109" i="1"/>
  <c r="N109" i="1"/>
  <c r="O109" i="1"/>
  <c r="P109" i="1"/>
  <c r="E110" i="1"/>
  <c r="F110" i="1"/>
  <c r="G110" i="1"/>
  <c r="H110" i="1"/>
  <c r="I110" i="1"/>
  <c r="J110" i="1"/>
  <c r="K110" i="1"/>
  <c r="L110" i="1"/>
  <c r="M110" i="1"/>
  <c r="N110" i="1"/>
  <c r="O110" i="1"/>
  <c r="P110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E112" i="1"/>
  <c r="F112" i="1"/>
  <c r="G112" i="1"/>
  <c r="H112" i="1"/>
  <c r="I112" i="1"/>
  <c r="J112" i="1"/>
  <c r="K112" i="1"/>
  <c r="L112" i="1"/>
  <c r="M112" i="1"/>
  <c r="N112" i="1"/>
  <c r="O112" i="1"/>
  <c r="P112" i="1"/>
  <c r="E113" i="1"/>
  <c r="F113" i="1"/>
  <c r="G113" i="1"/>
  <c r="H113" i="1"/>
  <c r="I113" i="1"/>
  <c r="J113" i="1"/>
  <c r="K113" i="1"/>
  <c r="L113" i="1"/>
  <c r="M113" i="1"/>
  <c r="N113" i="1"/>
  <c r="O113" i="1"/>
  <c r="P113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E115" i="1"/>
  <c r="F115" i="1"/>
  <c r="G115" i="1"/>
  <c r="H115" i="1"/>
  <c r="I115" i="1"/>
  <c r="J115" i="1"/>
  <c r="K115" i="1"/>
  <c r="L115" i="1"/>
  <c r="M115" i="1"/>
  <c r="N115" i="1"/>
  <c r="O115" i="1"/>
  <c r="P115" i="1"/>
  <c r="E116" i="1"/>
  <c r="F116" i="1"/>
  <c r="G116" i="1"/>
  <c r="H116" i="1"/>
  <c r="I116" i="1"/>
  <c r="J116" i="1"/>
  <c r="K116" i="1"/>
  <c r="L116" i="1"/>
  <c r="M116" i="1"/>
  <c r="N116" i="1"/>
  <c r="O116" i="1"/>
  <c r="P116" i="1"/>
  <c r="E117" i="1"/>
  <c r="F117" i="1"/>
  <c r="G117" i="1"/>
  <c r="H117" i="1"/>
  <c r="I117" i="1"/>
  <c r="J117" i="1"/>
  <c r="K117" i="1"/>
  <c r="L117" i="1"/>
  <c r="M117" i="1"/>
  <c r="N117" i="1"/>
  <c r="O117" i="1"/>
  <c r="P117" i="1"/>
  <c r="E118" i="1"/>
  <c r="F118" i="1"/>
  <c r="G118" i="1"/>
  <c r="H118" i="1"/>
  <c r="I118" i="1"/>
  <c r="J118" i="1"/>
  <c r="K118" i="1"/>
  <c r="L118" i="1"/>
  <c r="M118" i="1"/>
  <c r="N118" i="1"/>
  <c r="O118" i="1"/>
  <c r="P118" i="1"/>
  <c r="E119" i="1"/>
  <c r="F119" i="1"/>
  <c r="G119" i="1"/>
  <c r="H119" i="1"/>
  <c r="I119" i="1"/>
  <c r="J119" i="1"/>
  <c r="K119" i="1"/>
  <c r="L119" i="1"/>
  <c r="M119" i="1"/>
  <c r="N119" i="1"/>
  <c r="O119" i="1"/>
  <c r="P119" i="1"/>
  <c r="E120" i="1"/>
  <c r="F120" i="1"/>
  <c r="G120" i="1"/>
  <c r="H120" i="1"/>
  <c r="I120" i="1"/>
  <c r="J120" i="1"/>
  <c r="K120" i="1"/>
  <c r="L120" i="1"/>
  <c r="M120" i="1"/>
  <c r="N120" i="1"/>
  <c r="O120" i="1"/>
  <c r="P120" i="1"/>
  <c r="E121" i="1"/>
  <c r="F121" i="1"/>
  <c r="G121" i="1"/>
  <c r="H121" i="1"/>
  <c r="I121" i="1"/>
  <c r="J121" i="1"/>
  <c r="K121" i="1"/>
  <c r="L121" i="1"/>
  <c r="M121" i="1"/>
  <c r="N121" i="1"/>
  <c r="O121" i="1"/>
  <c r="P121" i="1"/>
  <c r="E122" i="1"/>
  <c r="F122" i="1"/>
  <c r="G122" i="1"/>
  <c r="H122" i="1"/>
  <c r="I122" i="1"/>
  <c r="J122" i="1"/>
  <c r="K122" i="1"/>
  <c r="L122" i="1"/>
  <c r="M122" i="1"/>
  <c r="N122" i="1"/>
  <c r="O122" i="1"/>
  <c r="P122" i="1"/>
  <c r="E123" i="1"/>
  <c r="F123" i="1"/>
  <c r="G123" i="1"/>
  <c r="H123" i="1"/>
  <c r="I123" i="1"/>
  <c r="J123" i="1"/>
  <c r="K123" i="1"/>
  <c r="L123" i="1"/>
  <c r="M123" i="1"/>
  <c r="N123" i="1"/>
  <c r="O123" i="1"/>
  <c r="P123" i="1"/>
  <c r="E124" i="1"/>
  <c r="F124" i="1"/>
  <c r="G124" i="1"/>
  <c r="H124" i="1"/>
  <c r="I124" i="1"/>
  <c r="J124" i="1"/>
  <c r="K124" i="1"/>
  <c r="L124" i="1"/>
  <c r="M124" i="1"/>
  <c r="N124" i="1"/>
  <c r="O124" i="1"/>
  <c r="P124" i="1"/>
  <c r="E125" i="1"/>
  <c r="F125" i="1"/>
  <c r="G125" i="1"/>
  <c r="H125" i="1"/>
  <c r="I125" i="1"/>
  <c r="J125" i="1"/>
  <c r="K125" i="1"/>
  <c r="L125" i="1"/>
  <c r="M125" i="1"/>
  <c r="N125" i="1"/>
  <c r="O125" i="1"/>
  <c r="P125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E127" i="1"/>
  <c r="F127" i="1"/>
  <c r="G127" i="1"/>
  <c r="H127" i="1"/>
  <c r="I127" i="1"/>
  <c r="J127" i="1"/>
  <c r="K127" i="1"/>
  <c r="L127" i="1"/>
  <c r="M127" i="1"/>
  <c r="N127" i="1"/>
  <c r="O127" i="1"/>
  <c r="P127" i="1"/>
  <c r="E128" i="1"/>
  <c r="F128" i="1"/>
  <c r="G128" i="1"/>
  <c r="H128" i="1"/>
  <c r="I128" i="1"/>
  <c r="J128" i="1"/>
  <c r="K128" i="1"/>
  <c r="L128" i="1"/>
  <c r="M128" i="1"/>
  <c r="N128" i="1"/>
  <c r="O128" i="1"/>
  <c r="P128" i="1"/>
  <c r="E129" i="1"/>
  <c r="F129" i="1"/>
  <c r="G129" i="1"/>
  <c r="H129" i="1"/>
  <c r="I129" i="1"/>
  <c r="J129" i="1"/>
  <c r="K129" i="1"/>
  <c r="L129" i="1"/>
  <c r="M129" i="1"/>
  <c r="N129" i="1"/>
  <c r="O129" i="1"/>
  <c r="P129" i="1"/>
  <c r="E130" i="1"/>
  <c r="F130" i="1"/>
  <c r="G130" i="1"/>
  <c r="H130" i="1"/>
  <c r="I130" i="1"/>
  <c r="J130" i="1"/>
  <c r="K130" i="1"/>
  <c r="L130" i="1"/>
  <c r="M130" i="1"/>
  <c r="N130" i="1"/>
  <c r="O130" i="1"/>
  <c r="P130" i="1"/>
  <c r="E131" i="1"/>
  <c r="F131" i="1"/>
  <c r="G131" i="1"/>
  <c r="H131" i="1"/>
  <c r="I131" i="1"/>
  <c r="J131" i="1"/>
  <c r="K131" i="1"/>
  <c r="L131" i="1"/>
  <c r="M131" i="1"/>
  <c r="N131" i="1"/>
  <c r="O131" i="1"/>
  <c r="P131" i="1"/>
  <c r="E132" i="1"/>
  <c r="F132" i="1"/>
  <c r="G132" i="1"/>
  <c r="H132" i="1"/>
  <c r="I132" i="1"/>
  <c r="J132" i="1"/>
  <c r="K132" i="1"/>
  <c r="L132" i="1"/>
  <c r="M132" i="1"/>
  <c r="N132" i="1"/>
  <c r="O132" i="1"/>
  <c r="P132" i="1"/>
  <c r="E133" i="1"/>
  <c r="F133" i="1"/>
  <c r="G133" i="1"/>
  <c r="H133" i="1"/>
  <c r="I133" i="1"/>
  <c r="J133" i="1"/>
  <c r="K133" i="1"/>
  <c r="L133" i="1"/>
  <c r="M133" i="1"/>
  <c r="N133" i="1"/>
  <c r="O133" i="1"/>
  <c r="P133" i="1"/>
  <c r="E134" i="1"/>
  <c r="F134" i="1"/>
  <c r="G134" i="1"/>
  <c r="H134" i="1"/>
  <c r="I134" i="1"/>
  <c r="J134" i="1"/>
  <c r="K134" i="1"/>
  <c r="L134" i="1"/>
  <c r="M134" i="1"/>
  <c r="N134" i="1"/>
  <c r="O134" i="1"/>
  <c r="P134" i="1"/>
  <c r="E135" i="1"/>
  <c r="F135" i="1"/>
  <c r="G135" i="1"/>
  <c r="H135" i="1"/>
  <c r="I135" i="1"/>
  <c r="J135" i="1"/>
  <c r="K135" i="1"/>
  <c r="L135" i="1"/>
  <c r="M135" i="1"/>
  <c r="N135" i="1"/>
  <c r="O135" i="1"/>
  <c r="P135" i="1"/>
  <c r="E136" i="1"/>
  <c r="F136" i="1"/>
  <c r="G136" i="1"/>
  <c r="H136" i="1"/>
  <c r="I136" i="1"/>
  <c r="J136" i="1"/>
  <c r="K136" i="1"/>
  <c r="L136" i="1"/>
  <c r="M136" i="1"/>
  <c r="N136" i="1"/>
  <c r="O136" i="1"/>
  <c r="P136" i="1"/>
  <c r="E137" i="1"/>
  <c r="F137" i="1"/>
  <c r="G137" i="1"/>
  <c r="H137" i="1"/>
  <c r="I137" i="1"/>
  <c r="J137" i="1"/>
  <c r="K137" i="1"/>
  <c r="L137" i="1"/>
  <c r="M137" i="1"/>
  <c r="N137" i="1"/>
  <c r="O137" i="1"/>
  <c r="P137" i="1"/>
  <c r="E138" i="1"/>
  <c r="F138" i="1"/>
  <c r="G138" i="1"/>
  <c r="H138" i="1"/>
  <c r="I138" i="1"/>
  <c r="J138" i="1"/>
  <c r="K138" i="1"/>
  <c r="L138" i="1"/>
  <c r="M138" i="1"/>
  <c r="N138" i="1"/>
  <c r="O138" i="1"/>
  <c r="P138" i="1"/>
  <c r="E139" i="1"/>
  <c r="F139" i="1"/>
  <c r="G139" i="1"/>
  <c r="H139" i="1"/>
  <c r="I139" i="1"/>
  <c r="J139" i="1"/>
  <c r="K139" i="1"/>
  <c r="L139" i="1"/>
  <c r="M139" i="1"/>
  <c r="N139" i="1"/>
  <c r="O139" i="1"/>
  <c r="P139" i="1"/>
  <c r="E140" i="1"/>
  <c r="F140" i="1"/>
  <c r="G140" i="1"/>
  <c r="H140" i="1"/>
  <c r="I140" i="1"/>
  <c r="J140" i="1"/>
  <c r="K140" i="1"/>
  <c r="L140" i="1"/>
  <c r="M140" i="1"/>
  <c r="N140" i="1"/>
  <c r="O140" i="1"/>
  <c r="P140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E142" i="1"/>
  <c r="F142" i="1"/>
  <c r="G142" i="1"/>
  <c r="H142" i="1"/>
  <c r="I142" i="1"/>
  <c r="J142" i="1"/>
  <c r="K142" i="1"/>
  <c r="L142" i="1"/>
  <c r="M142" i="1"/>
  <c r="N142" i="1"/>
  <c r="O142" i="1"/>
  <c r="P142" i="1"/>
  <c r="E143" i="1"/>
  <c r="F143" i="1"/>
  <c r="G143" i="1"/>
  <c r="H143" i="1"/>
  <c r="I143" i="1"/>
  <c r="J143" i="1"/>
  <c r="K143" i="1"/>
  <c r="L143" i="1"/>
  <c r="M143" i="1"/>
  <c r="N143" i="1"/>
  <c r="O143" i="1"/>
  <c r="P143" i="1"/>
  <c r="E144" i="1"/>
  <c r="F144" i="1"/>
  <c r="G144" i="1"/>
  <c r="H144" i="1"/>
  <c r="I144" i="1"/>
  <c r="J144" i="1"/>
  <c r="K144" i="1"/>
  <c r="L144" i="1"/>
  <c r="M144" i="1"/>
  <c r="N144" i="1"/>
  <c r="O144" i="1"/>
  <c r="P144" i="1"/>
  <c r="E145" i="1"/>
  <c r="F145" i="1"/>
  <c r="G145" i="1"/>
  <c r="H145" i="1"/>
  <c r="I145" i="1"/>
  <c r="J145" i="1"/>
  <c r="K145" i="1"/>
  <c r="L145" i="1"/>
  <c r="M145" i="1"/>
  <c r="N145" i="1"/>
  <c r="O145" i="1"/>
  <c r="P145" i="1"/>
  <c r="E146" i="1"/>
  <c r="F146" i="1"/>
  <c r="G146" i="1"/>
  <c r="H146" i="1"/>
  <c r="I146" i="1"/>
  <c r="J146" i="1"/>
  <c r="K146" i="1"/>
  <c r="L146" i="1"/>
  <c r="M146" i="1"/>
  <c r="N146" i="1"/>
  <c r="O146" i="1"/>
  <c r="P146" i="1"/>
  <c r="E147" i="1"/>
  <c r="F147" i="1"/>
  <c r="G147" i="1"/>
  <c r="H147" i="1"/>
  <c r="I147" i="1"/>
  <c r="J147" i="1"/>
  <c r="K147" i="1"/>
  <c r="L147" i="1"/>
  <c r="M147" i="1"/>
  <c r="N147" i="1"/>
  <c r="O147" i="1"/>
  <c r="P147" i="1"/>
  <c r="E148" i="1"/>
  <c r="F148" i="1"/>
  <c r="G148" i="1"/>
  <c r="H148" i="1"/>
  <c r="I148" i="1"/>
  <c r="J148" i="1"/>
  <c r="K148" i="1"/>
  <c r="L148" i="1"/>
  <c r="M148" i="1"/>
  <c r="N148" i="1"/>
  <c r="O148" i="1"/>
  <c r="P148" i="1"/>
  <c r="E149" i="1"/>
  <c r="F149" i="1"/>
  <c r="G149" i="1"/>
  <c r="H149" i="1"/>
  <c r="I149" i="1"/>
  <c r="J149" i="1"/>
  <c r="K149" i="1"/>
  <c r="L149" i="1"/>
  <c r="M149" i="1"/>
  <c r="N149" i="1"/>
  <c r="O149" i="1"/>
  <c r="P149" i="1"/>
  <c r="E150" i="1"/>
  <c r="F150" i="1"/>
  <c r="G150" i="1"/>
  <c r="H150" i="1"/>
  <c r="I150" i="1"/>
  <c r="J150" i="1"/>
  <c r="K150" i="1"/>
  <c r="L150" i="1"/>
  <c r="M150" i="1"/>
  <c r="N150" i="1"/>
  <c r="O150" i="1"/>
  <c r="P150" i="1"/>
  <c r="E151" i="1"/>
  <c r="F151" i="1"/>
  <c r="G151" i="1"/>
  <c r="H151" i="1"/>
  <c r="I151" i="1"/>
  <c r="J151" i="1"/>
  <c r="K151" i="1"/>
  <c r="L151" i="1"/>
  <c r="M151" i="1"/>
  <c r="N151" i="1"/>
  <c r="O151" i="1"/>
  <c r="P151" i="1"/>
  <c r="E152" i="1"/>
  <c r="F152" i="1"/>
  <c r="G152" i="1"/>
  <c r="H152" i="1"/>
  <c r="I152" i="1"/>
  <c r="J152" i="1"/>
  <c r="K152" i="1"/>
  <c r="L152" i="1"/>
  <c r="M152" i="1"/>
  <c r="N152" i="1"/>
  <c r="O152" i="1"/>
  <c r="P152" i="1"/>
  <c r="E153" i="1"/>
  <c r="F153" i="1"/>
  <c r="G153" i="1"/>
  <c r="H153" i="1"/>
  <c r="I153" i="1"/>
  <c r="J153" i="1"/>
  <c r="K153" i="1"/>
  <c r="L153" i="1"/>
  <c r="M153" i="1"/>
  <c r="N153" i="1"/>
  <c r="O153" i="1"/>
  <c r="P153" i="1"/>
  <c r="E154" i="1"/>
  <c r="F154" i="1"/>
  <c r="G154" i="1"/>
  <c r="H154" i="1"/>
  <c r="I154" i="1"/>
  <c r="J154" i="1"/>
  <c r="K154" i="1"/>
  <c r="L154" i="1"/>
  <c r="M154" i="1"/>
  <c r="N154" i="1"/>
  <c r="O154" i="1"/>
  <c r="P154" i="1"/>
  <c r="E155" i="1"/>
  <c r="F155" i="1"/>
  <c r="G155" i="1"/>
  <c r="H155" i="1"/>
  <c r="I155" i="1"/>
  <c r="J155" i="1"/>
  <c r="K155" i="1"/>
  <c r="L155" i="1"/>
  <c r="M155" i="1"/>
  <c r="N155" i="1"/>
  <c r="O155" i="1"/>
  <c r="P155" i="1"/>
  <c r="E156" i="1"/>
  <c r="F156" i="1"/>
  <c r="G156" i="1"/>
  <c r="H156" i="1"/>
  <c r="I156" i="1"/>
  <c r="J156" i="1"/>
  <c r="K156" i="1"/>
  <c r="L156" i="1"/>
  <c r="M156" i="1"/>
  <c r="N156" i="1"/>
  <c r="O156" i="1"/>
  <c r="P156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E158" i="1"/>
  <c r="F158" i="1"/>
  <c r="G158" i="1"/>
  <c r="H158" i="1"/>
  <c r="I158" i="1"/>
  <c r="J158" i="1"/>
  <c r="K158" i="1"/>
  <c r="L158" i="1"/>
  <c r="M158" i="1"/>
  <c r="N158" i="1"/>
  <c r="O158" i="1"/>
  <c r="P158" i="1"/>
  <c r="E159" i="1"/>
  <c r="F159" i="1"/>
  <c r="G159" i="1"/>
  <c r="H159" i="1"/>
  <c r="I159" i="1"/>
  <c r="J159" i="1"/>
  <c r="K159" i="1"/>
  <c r="L159" i="1"/>
  <c r="M159" i="1"/>
  <c r="N159" i="1"/>
  <c r="O159" i="1"/>
  <c r="P159" i="1"/>
  <c r="E160" i="1"/>
  <c r="F160" i="1"/>
  <c r="G160" i="1"/>
  <c r="H160" i="1"/>
  <c r="I160" i="1"/>
  <c r="J160" i="1"/>
  <c r="K160" i="1"/>
  <c r="L160" i="1"/>
  <c r="M160" i="1"/>
  <c r="N160" i="1"/>
  <c r="O160" i="1"/>
  <c r="P160" i="1"/>
  <c r="E161" i="1"/>
  <c r="F161" i="1"/>
  <c r="G161" i="1"/>
  <c r="H161" i="1"/>
  <c r="I161" i="1"/>
  <c r="J161" i="1"/>
  <c r="K161" i="1"/>
  <c r="L161" i="1"/>
  <c r="M161" i="1"/>
  <c r="N161" i="1"/>
  <c r="O161" i="1"/>
  <c r="P161" i="1"/>
  <c r="E162" i="1"/>
  <c r="F162" i="1"/>
  <c r="G162" i="1"/>
  <c r="H162" i="1"/>
  <c r="I162" i="1"/>
  <c r="J162" i="1"/>
  <c r="K162" i="1"/>
  <c r="L162" i="1"/>
  <c r="M162" i="1"/>
  <c r="N162" i="1"/>
  <c r="O162" i="1"/>
  <c r="P162" i="1"/>
  <c r="E163" i="1"/>
  <c r="F163" i="1"/>
  <c r="G163" i="1"/>
  <c r="H163" i="1"/>
  <c r="I163" i="1"/>
  <c r="J163" i="1"/>
  <c r="K163" i="1"/>
  <c r="L163" i="1"/>
  <c r="M163" i="1"/>
  <c r="N163" i="1"/>
  <c r="O163" i="1"/>
  <c r="P163" i="1"/>
  <c r="E164" i="1"/>
  <c r="F164" i="1"/>
  <c r="G164" i="1"/>
  <c r="H164" i="1"/>
  <c r="I164" i="1"/>
  <c r="J164" i="1"/>
  <c r="K164" i="1"/>
  <c r="L164" i="1"/>
  <c r="M164" i="1"/>
  <c r="N164" i="1"/>
  <c r="O164" i="1"/>
  <c r="P164" i="1"/>
  <c r="E165" i="1"/>
  <c r="F165" i="1"/>
  <c r="G165" i="1"/>
  <c r="H165" i="1"/>
  <c r="I165" i="1"/>
  <c r="J165" i="1"/>
  <c r="K165" i="1"/>
  <c r="L165" i="1"/>
  <c r="M165" i="1"/>
  <c r="N165" i="1"/>
  <c r="O165" i="1"/>
  <c r="P165" i="1"/>
  <c r="E166" i="1"/>
  <c r="F166" i="1"/>
  <c r="G166" i="1"/>
  <c r="H166" i="1"/>
  <c r="I166" i="1"/>
  <c r="J166" i="1"/>
  <c r="K166" i="1"/>
  <c r="L166" i="1"/>
  <c r="M166" i="1"/>
  <c r="N166" i="1"/>
  <c r="O166" i="1"/>
  <c r="P166" i="1"/>
  <c r="E167" i="1"/>
  <c r="F167" i="1"/>
  <c r="G167" i="1"/>
  <c r="H167" i="1"/>
  <c r="I167" i="1"/>
  <c r="J167" i="1"/>
  <c r="K167" i="1"/>
  <c r="L167" i="1"/>
  <c r="M167" i="1"/>
  <c r="N167" i="1"/>
  <c r="O167" i="1"/>
  <c r="P167" i="1"/>
  <c r="E168" i="1"/>
  <c r="F168" i="1"/>
  <c r="G168" i="1"/>
  <c r="H168" i="1"/>
  <c r="I168" i="1"/>
  <c r="J168" i="1"/>
  <c r="K168" i="1"/>
  <c r="L168" i="1"/>
  <c r="M168" i="1"/>
  <c r="N168" i="1"/>
  <c r="O168" i="1"/>
  <c r="P168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E170" i="1"/>
  <c r="F170" i="1"/>
  <c r="G170" i="1"/>
  <c r="H170" i="1"/>
  <c r="I170" i="1"/>
  <c r="J170" i="1"/>
  <c r="K170" i="1"/>
  <c r="L170" i="1"/>
  <c r="M170" i="1"/>
  <c r="N170" i="1"/>
  <c r="O170" i="1"/>
  <c r="P170" i="1"/>
  <c r="E171" i="1"/>
  <c r="F171" i="1"/>
  <c r="G171" i="1"/>
  <c r="H171" i="1"/>
  <c r="I171" i="1"/>
  <c r="J171" i="1"/>
  <c r="K171" i="1"/>
  <c r="L171" i="1"/>
  <c r="M171" i="1"/>
  <c r="N171" i="1"/>
  <c r="O171" i="1"/>
  <c r="P171" i="1"/>
  <c r="E172" i="1"/>
  <c r="F172" i="1"/>
  <c r="G172" i="1"/>
  <c r="H172" i="1"/>
  <c r="I172" i="1"/>
  <c r="J172" i="1"/>
  <c r="K172" i="1"/>
  <c r="L172" i="1"/>
  <c r="M172" i="1"/>
  <c r="N172" i="1"/>
  <c r="O172" i="1"/>
  <c r="P172" i="1"/>
  <c r="E173" i="1"/>
  <c r="F173" i="1"/>
  <c r="G173" i="1"/>
  <c r="H173" i="1"/>
  <c r="I173" i="1"/>
  <c r="J173" i="1"/>
  <c r="K173" i="1"/>
  <c r="L173" i="1"/>
  <c r="M173" i="1"/>
  <c r="N173" i="1"/>
  <c r="O173" i="1"/>
  <c r="P173" i="1"/>
  <c r="E174" i="1"/>
  <c r="F174" i="1"/>
  <c r="G174" i="1"/>
  <c r="H174" i="1"/>
  <c r="I174" i="1"/>
  <c r="J174" i="1"/>
  <c r="K174" i="1"/>
  <c r="L174" i="1"/>
  <c r="M174" i="1"/>
  <c r="N174" i="1"/>
  <c r="O174" i="1"/>
  <c r="P174" i="1"/>
  <c r="E175" i="1"/>
  <c r="F175" i="1"/>
  <c r="G175" i="1"/>
  <c r="H175" i="1"/>
  <c r="I175" i="1"/>
  <c r="J175" i="1"/>
  <c r="K175" i="1"/>
  <c r="L175" i="1"/>
  <c r="M175" i="1"/>
  <c r="N175" i="1"/>
  <c r="O175" i="1"/>
  <c r="P175" i="1"/>
  <c r="E176" i="1"/>
  <c r="F176" i="1"/>
  <c r="G176" i="1"/>
  <c r="H176" i="1"/>
  <c r="I176" i="1"/>
  <c r="J176" i="1"/>
  <c r="K176" i="1"/>
  <c r="L176" i="1"/>
  <c r="M176" i="1"/>
  <c r="N176" i="1"/>
  <c r="O176" i="1"/>
  <c r="P176" i="1"/>
  <c r="E177" i="1"/>
  <c r="F177" i="1"/>
  <c r="G177" i="1"/>
  <c r="H177" i="1"/>
  <c r="I177" i="1"/>
  <c r="J177" i="1"/>
  <c r="K177" i="1"/>
  <c r="L177" i="1"/>
  <c r="M177" i="1"/>
  <c r="N177" i="1"/>
  <c r="O177" i="1"/>
  <c r="P177" i="1"/>
  <c r="E178" i="1"/>
  <c r="F178" i="1"/>
  <c r="G178" i="1"/>
  <c r="H178" i="1"/>
  <c r="I178" i="1"/>
  <c r="J178" i="1"/>
  <c r="K178" i="1"/>
  <c r="L178" i="1"/>
  <c r="M178" i="1"/>
  <c r="N178" i="1"/>
  <c r="O178" i="1"/>
  <c r="P178" i="1"/>
  <c r="E179" i="1"/>
  <c r="F179" i="1"/>
  <c r="G179" i="1"/>
  <c r="H179" i="1"/>
  <c r="I179" i="1"/>
  <c r="J179" i="1"/>
  <c r="K179" i="1"/>
  <c r="L179" i="1"/>
  <c r="M179" i="1"/>
  <c r="N179" i="1"/>
  <c r="O179" i="1"/>
  <c r="P179" i="1"/>
  <c r="E180" i="1"/>
  <c r="F180" i="1"/>
  <c r="G180" i="1"/>
  <c r="H180" i="1"/>
  <c r="I180" i="1"/>
  <c r="J180" i="1"/>
  <c r="K180" i="1"/>
  <c r="L180" i="1"/>
  <c r="M180" i="1"/>
  <c r="N180" i="1"/>
  <c r="O180" i="1"/>
  <c r="P180" i="1"/>
  <c r="E181" i="1"/>
  <c r="F181" i="1"/>
  <c r="G181" i="1"/>
  <c r="H181" i="1"/>
  <c r="I181" i="1"/>
  <c r="J181" i="1"/>
  <c r="K181" i="1"/>
  <c r="L181" i="1"/>
  <c r="M181" i="1"/>
  <c r="N181" i="1"/>
  <c r="O181" i="1"/>
  <c r="P181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E183" i="1"/>
  <c r="F183" i="1"/>
  <c r="G183" i="1"/>
  <c r="H183" i="1"/>
  <c r="I183" i="1"/>
  <c r="J183" i="1"/>
  <c r="K183" i="1"/>
  <c r="L183" i="1"/>
  <c r="M183" i="1"/>
  <c r="N183" i="1"/>
  <c r="O183" i="1"/>
  <c r="P183" i="1"/>
  <c r="E184" i="1"/>
  <c r="F184" i="1"/>
  <c r="G184" i="1"/>
  <c r="H184" i="1"/>
  <c r="I184" i="1"/>
  <c r="J184" i="1"/>
  <c r="K184" i="1"/>
  <c r="L184" i="1"/>
  <c r="M184" i="1"/>
  <c r="N184" i="1"/>
  <c r="O184" i="1"/>
  <c r="P184" i="1"/>
  <c r="E185" i="1"/>
  <c r="F185" i="1"/>
  <c r="G185" i="1"/>
  <c r="H185" i="1"/>
  <c r="I185" i="1"/>
  <c r="J185" i="1"/>
  <c r="K185" i="1"/>
  <c r="L185" i="1"/>
  <c r="M185" i="1"/>
  <c r="N185" i="1"/>
  <c r="O185" i="1"/>
  <c r="P185" i="1"/>
  <c r="E186" i="1"/>
  <c r="F186" i="1"/>
  <c r="G186" i="1"/>
  <c r="H186" i="1"/>
  <c r="I186" i="1"/>
  <c r="J186" i="1"/>
  <c r="K186" i="1"/>
  <c r="L186" i="1"/>
  <c r="M186" i="1"/>
  <c r="N186" i="1"/>
  <c r="O186" i="1"/>
  <c r="P186" i="1"/>
  <c r="E187" i="1"/>
  <c r="F187" i="1"/>
  <c r="G187" i="1"/>
  <c r="H187" i="1"/>
  <c r="I187" i="1"/>
  <c r="J187" i="1"/>
  <c r="K187" i="1"/>
  <c r="L187" i="1"/>
  <c r="M187" i="1"/>
  <c r="N187" i="1"/>
  <c r="O187" i="1"/>
  <c r="P187" i="1"/>
  <c r="E188" i="1"/>
  <c r="F188" i="1"/>
  <c r="G188" i="1"/>
  <c r="H188" i="1"/>
  <c r="I188" i="1"/>
  <c r="J188" i="1"/>
  <c r="K188" i="1"/>
  <c r="L188" i="1"/>
  <c r="M188" i="1"/>
  <c r="N188" i="1"/>
  <c r="O188" i="1"/>
  <c r="P188" i="1"/>
  <c r="E189" i="1"/>
  <c r="F189" i="1"/>
  <c r="G189" i="1"/>
  <c r="H189" i="1"/>
  <c r="I189" i="1"/>
  <c r="J189" i="1"/>
  <c r="K189" i="1"/>
  <c r="L189" i="1"/>
  <c r="M189" i="1"/>
  <c r="N189" i="1"/>
  <c r="O189" i="1"/>
  <c r="P189" i="1"/>
  <c r="E190" i="1"/>
  <c r="F190" i="1"/>
  <c r="G190" i="1"/>
  <c r="H190" i="1"/>
  <c r="I190" i="1"/>
  <c r="J190" i="1"/>
  <c r="K190" i="1"/>
  <c r="L190" i="1"/>
  <c r="M190" i="1"/>
  <c r="N190" i="1"/>
  <c r="O190" i="1"/>
  <c r="P190" i="1"/>
  <c r="E191" i="1"/>
  <c r="F191" i="1"/>
  <c r="G191" i="1"/>
  <c r="H191" i="1"/>
  <c r="I191" i="1"/>
  <c r="J191" i="1"/>
  <c r="K191" i="1"/>
  <c r="L191" i="1"/>
  <c r="M191" i="1"/>
  <c r="N191" i="1"/>
  <c r="O191" i="1"/>
  <c r="P191" i="1"/>
  <c r="E192" i="1"/>
  <c r="F192" i="1"/>
  <c r="G192" i="1"/>
  <c r="H192" i="1"/>
  <c r="I192" i="1"/>
  <c r="J192" i="1"/>
  <c r="K192" i="1"/>
  <c r="L192" i="1"/>
  <c r="M192" i="1"/>
  <c r="N192" i="1"/>
  <c r="O192" i="1"/>
  <c r="P192" i="1"/>
  <c r="E193" i="1"/>
  <c r="F193" i="1"/>
  <c r="G193" i="1"/>
  <c r="H193" i="1"/>
  <c r="I193" i="1"/>
  <c r="J193" i="1"/>
  <c r="K193" i="1"/>
  <c r="L193" i="1"/>
  <c r="M193" i="1"/>
  <c r="N193" i="1"/>
  <c r="O193" i="1"/>
  <c r="P193" i="1"/>
  <c r="E194" i="1"/>
  <c r="F194" i="1"/>
  <c r="G194" i="1"/>
  <c r="H194" i="1"/>
  <c r="I194" i="1"/>
  <c r="J194" i="1"/>
  <c r="K194" i="1"/>
  <c r="L194" i="1"/>
  <c r="M194" i="1"/>
  <c r="N194" i="1"/>
  <c r="O194" i="1"/>
  <c r="P194" i="1"/>
  <c r="E195" i="1"/>
  <c r="F195" i="1"/>
  <c r="G195" i="1"/>
  <c r="H195" i="1"/>
  <c r="I195" i="1"/>
  <c r="J195" i="1"/>
  <c r="K195" i="1"/>
  <c r="L195" i="1"/>
  <c r="M195" i="1"/>
  <c r="N195" i="1"/>
  <c r="O195" i="1"/>
  <c r="P195" i="1"/>
  <c r="E196" i="1"/>
  <c r="F196" i="1"/>
  <c r="G196" i="1"/>
  <c r="H196" i="1"/>
  <c r="I196" i="1"/>
  <c r="J196" i="1"/>
  <c r="K196" i="1"/>
  <c r="L196" i="1"/>
  <c r="M196" i="1"/>
  <c r="N196" i="1"/>
  <c r="O196" i="1"/>
  <c r="P196" i="1"/>
  <c r="E197" i="1"/>
  <c r="F197" i="1"/>
  <c r="G197" i="1"/>
  <c r="H197" i="1"/>
  <c r="I197" i="1"/>
  <c r="J197" i="1"/>
  <c r="K197" i="1"/>
  <c r="L197" i="1"/>
  <c r="M197" i="1"/>
  <c r="N197" i="1"/>
  <c r="O197" i="1"/>
  <c r="P197" i="1"/>
  <c r="E198" i="1"/>
  <c r="F198" i="1"/>
  <c r="G198" i="1"/>
  <c r="H198" i="1"/>
  <c r="I198" i="1"/>
  <c r="J198" i="1"/>
  <c r="K198" i="1"/>
  <c r="L198" i="1"/>
  <c r="M198" i="1"/>
  <c r="N198" i="1"/>
  <c r="O198" i="1"/>
  <c r="P198" i="1"/>
  <c r="E199" i="1"/>
  <c r="F199" i="1"/>
  <c r="G199" i="1"/>
  <c r="H199" i="1"/>
  <c r="I199" i="1"/>
  <c r="J199" i="1"/>
  <c r="K199" i="1"/>
  <c r="L199" i="1"/>
  <c r="M199" i="1"/>
  <c r="N199" i="1"/>
  <c r="O199" i="1"/>
  <c r="P199" i="1"/>
  <c r="E200" i="1"/>
  <c r="F200" i="1"/>
  <c r="G200" i="1"/>
  <c r="H200" i="1"/>
  <c r="I200" i="1"/>
  <c r="J200" i="1"/>
  <c r="K200" i="1"/>
  <c r="L200" i="1"/>
  <c r="M200" i="1"/>
  <c r="N200" i="1"/>
  <c r="O200" i="1"/>
  <c r="P200" i="1"/>
  <c r="E201" i="1"/>
  <c r="F201" i="1"/>
  <c r="G201" i="1"/>
  <c r="H201" i="1"/>
  <c r="I201" i="1"/>
  <c r="J201" i="1"/>
  <c r="K201" i="1"/>
  <c r="L201" i="1"/>
  <c r="M201" i="1"/>
  <c r="N201" i="1"/>
  <c r="O201" i="1"/>
  <c r="P201" i="1"/>
  <c r="E202" i="1"/>
  <c r="F202" i="1"/>
  <c r="G202" i="1"/>
  <c r="H202" i="1"/>
  <c r="I202" i="1"/>
  <c r="J202" i="1"/>
  <c r="K202" i="1"/>
  <c r="L202" i="1"/>
  <c r="M202" i="1"/>
  <c r="N202" i="1"/>
  <c r="O202" i="1"/>
  <c r="P202" i="1"/>
  <c r="E203" i="1"/>
  <c r="F203" i="1"/>
  <c r="G203" i="1"/>
  <c r="H203" i="1"/>
  <c r="I203" i="1"/>
  <c r="J203" i="1"/>
  <c r="K203" i="1"/>
  <c r="L203" i="1"/>
  <c r="M203" i="1"/>
  <c r="N203" i="1"/>
  <c r="O203" i="1"/>
  <c r="P203" i="1"/>
  <c r="E204" i="1"/>
  <c r="F204" i="1"/>
  <c r="G204" i="1"/>
  <c r="H204" i="1"/>
  <c r="I204" i="1"/>
  <c r="J204" i="1"/>
  <c r="K204" i="1"/>
  <c r="L204" i="1"/>
  <c r="M204" i="1"/>
  <c r="N204" i="1"/>
  <c r="O204" i="1"/>
  <c r="P204" i="1"/>
  <c r="E205" i="1"/>
  <c r="F205" i="1"/>
  <c r="G205" i="1"/>
  <c r="H205" i="1"/>
  <c r="I205" i="1"/>
  <c r="J205" i="1"/>
  <c r="K205" i="1"/>
  <c r="L205" i="1"/>
  <c r="M205" i="1"/>
  <c r="N205" i="1"/>
  <c r="O205" i="1"/>
  <c r="P205" i="1"/>
  <c r="E206" i="1"/>
  <c r="F206" i="1"/>
  <c r="G206" i="1"/>
  <c r="H206" i="1"/>
  <c r="I206" i="1"/>
  <c r="J206" i="1"/>
  <c r="K206" i="1"/>
  <c r="L206" i="1"/>
  <c r="M206" i="1"/>
  <c r="N206" i="1"/>
  <c r="O206" i="1"/>
  <c r="P206" i="1"/>
  <c r="E207" i="1"/>
  <c r="F207" i="1"/>
  <c r="G207" i="1"/>
  <c r="H207" i="1"/>
  <c r="I207" i="1"/>
  <c r="J207" i="1"/>
  <c r="K207" i="1"/>
  <c r="L207" i="1"/>
  <c r="M207" i="1"/>
  <c r="N207" i="1"/>
  <c r="O207" i="1"/>
  <c r="P207" i="1"/>
  <c r="E208" i="1"/>
  <c r="F208" i="1"/>
  <c r="G208" i="1"/>
  <c r="H208" i="1"/>
  <c r="I208" i="1"/>
  <c r="J208" i="1"/>
  <c r="K208" i="1"/>
  <c r="L208" i="1"/>
  <c r="M208" i="1"/>
  <c r="N208" i="1"/>
  <c r="O208" i="1"/>
  <c r="P208" i="1"/>
  <c r="E209" i="1"/>
  <c r="F209" i="1"/>
  <c r="G209" i="1"/>
  <c r="H209" i="1"/>
  <c r="I209" i="1"/>
  <c r="J209" i="1"/>
  <c r="K209" i="1"/>
  <c r="L209" i="1"/>
  <c r="M209" i="1"/>
  <c r="N209" i="1"/>
  <c r="O209" i="1"/>
  <c r="P209" i="1"/>
  <c r="E210" i="1"/>
  <c r="F210" i="1"/>
  <c r="G210" i="1"/>
  <c r="H210" i="1"/>
  <c r="I210" i="1"/>
  <c r="J210" i="1"/>
  <c r="K210" i="1"/>
  <c r="L210" i="1"/>
  <c r="M210" i="1"/>
  <c r="N210" i="1"/>
  <c r="O210" i="1"/>
  <c r="P210" i="1"/>
  <c r="E211" i="1"/>
  <c r="F211" i="1"/>
  <c r="G211" i="1"/>
  <c r="H211" i="1"/>
  <c r="I211" i="1"/>
  <c r="J211" i="1"/>
  <c r="K211" i="1"/>
  <c r="L211" i="1"/>
  <c r="M211" i="1"/>
  <c r="N211" i="1"/>
  <c r="O211" i="1"/>
  <c r="P211" i="1"/>
  <c r="E212" i="1"/>
  <c r="F212" i="1"/>
  <c r="G212" i="1"/>
  <c r="H212" i="1"/>
  <c r="I212" i="1"/>
  <c r="J212" i="1"/>
  <c r="K212" i="1"/>
  <c r="L212" i="1"/>
  <c r="M212" i="1"/>
  <c r="N212" i="1"/>
  <c r="O212" i="1"/>
  <c r="P212" i="1"/>
  <c r="E213" i="1"/>
  <c r="F213" i="1"/>
  <c r="G213" i="1"/>
  <c r="H213" i="1"/>
  <c r="I213" i="1"/>
  <c r="J213" i="1"/>
  <c r="K213" i="1"/>
  <c r="L213" i="1"/>
  <c r="M213" i="1"/>
  <c r="N213" i="1"/>
  <c r="O213" i="1"/>
  <c r="P213" i="1"/>
  <c r="E214" i="1"/>
  <c r="F214" i="1"/>
  <c r="G214" i="1"/>
  <c r="H214" i="1"/>
  <c r="I214" i="1"/>
  <c r="J214" i="1"/>
  <c r="K214" i="1"/>
  <c r="L214" i="1"/>
  <c r="M214" i="1"/>
  <c r="N214" i="1"/>
  <c r="O214" i="1"/>
  <c r="P214" i="1"/>
  <c r="E215" i="1"/>
  <c r="F215" i="1"/>
  <c r="G215" i="1"/>
  <c r="H215" i="1"/>
  <c r="I215" i="1"/>
  <c r="J215" i="1"/>
  <c r="K215" i="1"/>
  <c r="L215" i="1"/>
  <c r="M215" i="1"/>
  <c r="N215" i="1"/>
  <c r="O215" i="1"/>
  <c r="P215" i="1"/>
  <c r="E216" i="1"/>
  <c r="F216" i="1"/>
  <c r="G216" i="1"/>
  <c r="H216" i="1"/>
  <c r="I216" i="1"/>
  <c r="J216" i="1"/>
  <c r="K216" i="1"/>
  <c r="L216" i="1"/>
  <c r="M216" i="1"/>
  <c r="N216" i="1"/>
  <c r="O216" i="1"/>
  <c r="P216" i="1"/>
  <c r="E217" i="1"/>
  <c r="F217" i="1"/>
  <c r="G217" i="1"/>
  <c r="H217" i="1"/>
  <c r="I217" i="1"/>
  <c r="J217" i="1"/>
  <c r="K217" i="1"/>
  <c r="L217" i="1"/>
  <c r="M217" i="1"/>
  <c r="N217" i="1"/>
  <c r="O217" i="1"/>
  <c r="P217" i="1"/>
  <c r="E218" i="1"/>
  <c r="F218" i="1"/>
  <c r="G218" i="1"/>
  <c r="H218" i="1"/>
  <c r="I218" i="1"/>
  <c r="J218" i="1"/>
  <c r="K218" i="1"/>
  <c r="L218" i="1"/>
  <c r="M218" i="1"/>
  <c r="N218" i="1"/>
  <c r="O218" i="1"/>
  <c r="P218" i="1"/>
  <c r="E219" i="1"/>
  <c r="F219" i="1"/>
  <c r="G219" i="1"/>
  <c r="H219" i="1"/>
  <c r="I219" i="1"/>
  <c r="J219" i="1"/>
  <c r="K219" i="1"/>
  <c r="L219" i="1"/>
  <c r="M219" i="1"/>
  <c r="N219" i="1"/>
  <c r="O219" i="1"/>
  <c r="P219" i="1"/>
  <c r="E220" i="1"/>
  <c r="F220" i="1"/>
  <c r="G220" i="1"/>
  <c r="H220" i="1"/>
  <c r="I220" i="1"/>
  <c r="J220" i="1"/>
  <c r="K220" i="1"/>
  <c r="L220" i="1"/>
  <c r="M220" i="1"/>
  <c r="N220" i="1"/>
  <c r="O220" i="1"/>
  <c r="P220" i="1"/>
  <c r="E221" i="1"/>
  <c r="F221" i="1"/>
  <c r="G221" i="1"/>
  <c r="H221" i="1"/>
  <c r="I221" i="1"/>
  <c r="J221" i="1"/>
  <c r="K221" i="1"/>
  <c r="L221" i="1"/>
  <c r="M221" i="1"/>
  <c r="N221" i="1"/>
  <c r="O221" i="1"/>
  <c r="P221" i="1"/>
  <c r="E222" i="1"/>
  <c r="F222" i="1"/>
  <c r="G222" i="1"/>
  <c r="H222" i="1"/>
  <c r="I222" i="1"/>
  <c r="J222" i="1"/>
  <c r="K222" i="1"/>
  <c r="L222" i="1"/>
  <c r="M222" i="1"/>
  <c r="N222" i="1"/>
  <c r="O222" i="1"/>
  <c r="P222" i="1"/>
  <c r="E223" i="1"/>
  <c r="F223" i="1"/>
  <c r="G223" i="1"/>
  <c r="H223" i="1"/>
  <c r="I223" i="1"/>
  <c r="J223" i="1"/>
  <c r="K223" i="1"/>
  <c r="L223" i="1"/>
  <c r="M223" i="1"/>
  <c r="N223" i="1"/>
  <c r="O223" i="1"/>
  <c r="P223" i="1"/>
  <c r="E224" i="1"/>
  <c r="F224" i="1"/>
  <c r="G224" i="1"/>
  <c r="H224" i="1"/>
  <c r="I224" i="1"/>
  <c r="J224" i="1"/>
  <c r="K224" i="1"/>
  <c r="L224" i="1"/>
  <c r="M224" i="1"/>
  <c r="N224" i="1"/>
  <c r="O224" i="1"/>
  <c r="P224" i="1"/>
  <c r="E225" i="1"/>
  <c r="F225" i="1"/>
  <c r="G225" i="1"/>
  <c r="H225" i="1"/>
  <c r="I225" i="1"/>
  <c r="J225" i="1"/>
  <c r="K225" i="1"/>
  <c r="L225" i="1"/>
  <c r="M225" i="1"/>
  <c r="N225" i="1"/>
  <c r="O225" i="1"/>
  <c r="P225" i="1"/>
  <c r="E226" i="1"/>
  <c r="F226" i="1"/>
  <c r="G226" i="1"/>
  <c r="H226" i="1"/>
  <c r="I226" i="1"/>
  <c r="J226" i="1"/>
  <c r="K226" i="1"/>
  <c r="L226" i="1"/>
  <c r="M226" i="1"/>
  <c r="N226" i="1"/>
  <c r="O226" i="1"/>
  <c r="P226" i="1"/>
  <c r="E227" i="1"/>
  <c r="F227" i="1"/>
  <c r="G227" i="1"/>
  <c r="H227" i="1"/>
  <c r="I227" i="1"/>
  <c r="J227" i="1"/>
  <c r="K227" i="1"/>
  <c r="L227" i="1"/>
  <c r="M227" i="1"/>
  <c r="N227" i="1"/>
  <c r="O227" i="1"/>
  <c r="P227" i="1"/>
  <c r="E228" i="1"/>
  <c r="F228" i="1"/>
  <c r="G228" i="1"/>
  <c r="H228" i="1"/>
  <c r="I228" i="1"/>
  <c r="J228" i="1"/>
  <c r="K228" i="1"/>
  <c r="L228" i="1"/>
  <c r="M228" i="1"/>
  <c r="N228" i="1"/>
  <c r="O228" i="1"/>
  <c r="P228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E230" i="1"/>
  <c r="F230" i="1"/>
  <c r="G230" i="1"/>
  <c r="H230" i="1"/>
  <c r="I230" i="1"/>
  <c r="J230" i="1"/>
  <c r="K230" i="1"/>
  <c r="L230" i="1"/>
  <c r="M230" i="1"/>
  <c r="N230" i="1"/>
  <c r="O230" i="1"/>
  <c r="P230" i="1"/>
  <c r="E231" i="1"/>
  <c r="F231" i="1"/>
  <c r="G231" i="1"/>
  <c r="H231" i="1"/>
  <c r="I231" i="1"/>
  <c r="J231" i="1"/>
  <c r="K231" i="1"/>
  <c r="L231" i="1"/>
  <c r="M231" i="1"/>
  <c r="N231" i="1"/>
  <c r="O231" i="1"/>
  <c r="P231" i="1"/>
  <c r="E232" i="1"/>
  <c r="F232" i="1"/>
  <c r="G232" i="1"/>
  <c r="H232" i="1"/>
  <c r="I232" i="1"/>
  <c r="J232" i="1"/>
  <c r="K232" i="1"/>
  <c r="L232" i="1"/>
  <c r="M232" i="1"/>
  <c r="N232" i="1"/>
  <c r="O232" i="1"/>
  <c r="P232" i="1"/>
  <c r="E233" i="1"/>
  <c r="F233" i="1"/>
  <c r="G233" i="1"/>
  <c r="H233" i="1"/>
  <c r="I233" i="1"/>
  <c r="J233" i="1"/>
  <c r="K233" i="1"/>
  <c r="L233" i="1"/>
  <c r="M233" i="1"/>
  <c r="N233" i="1"/>
  <c r="O233" i="1"/>
  <c r="P233" i="1"/>
  <c r="E234" i="1"/>
  <c r="F234" i="1"/>
  <c r="G234" i="1"/>
  <c r="H234" i="1"/>
  <c r="I234" i="1"/>
  <c r="J234" i="1"/>
  <c r="K234" i="1"/>
  <c r="L234" i="1"/>
  <c r="M234" i="1"/>
  <c r="N234" i="1"/>
  <c r="O234" i="1"/>
  <c r="P234" i="1"/>
  <c r="E235" i="1"/>
  <c r="F235" i="1"/>
  <c r="G235" i="1"/>
  <c r="H235" i="1"/>
  <c r="I235" i="1"/>
  <c r="J235" i="1"/>
  <c r="K235" i="1"/>
  <c r="L235" i="1"/>
  <c r="M235" i="1"/>
  <c r="N235" i="1"/>
  <c r="O235" i="1"/>
  <c r="P235" i="1"/>
  <c r="E236" i="1"/>
  <c r="F236" i="1"/>
  <c r="G236" i="1"/>
  <c r="H236" i="1"/>
  <c r="I236" i="1"/>
  <c r="J236" i="1"/>
  <c r="K236" i="1"/>
  <c r="L236" i="1"/>
  <c r="M236" i="1"/>
  <c r="N236" i="1"/>
  <c r="O236" i="1"/>
  <c r="P236" i="1"/>
  <c r="E237" i="1"/>
  <c r="F237" i="1"/>
  <c r="G237" i="1"/>
  <c r="H237" i="1"/>
  <c r="I237" i="1"/>
  <c r="J237" i="1"/>
  <c r="K237" i="1"/>
  <c r="L237" i="1"/>
  <c r="M237" i="1"/>
  <c r="N237" i="1"/>
  <c r="O237" i="1"/>
  <c r="P237" i="1"/>
  <c r="E238" i="1"/>
  <c r="F238" i="1"/>
  <c r="G238" i="1"/>
  <c r="H238" i="1"/>
  <c r="I238" i="1"/>
  <c r="J238" i="1"/>
  <c r="K238" i="1"/>
  <c r="L238" i="1"/>
  <c r="M238" i="1"/>
  <c r="N238" i="1"/>
  <c r="O238" i="1"/>
  <c r="P238" i="1"/>
  <c r="E239" i="1"/>
  <c r="F239" i="1"/>
  <c r="G239" i="1"/>
  <c r="H239" i="1"/>
  <c r="I239" i="1"/>
  <c r="J239" i="1"/>
  <c r="K239" i="1"/>
  <c r="L239" i="1"/>
  <c r="M239" i="1"/>
  <c r="N239" i="1"/>
  <c r="O239" i="1"/>
  <c r="P239" i="1"/>
  <c r="E240" i="1"/>
  <c r="F240" i="1"/>
  <c r="G240" i="1"/>
  <c r="H240" i="1"/>
  <c r="I240" i="1"/>
  <c r="J240" i="1"/>
  <c r="K240" i="1"/>
  <c r="L240" i="1"/>
  <c r="M240" i="1"/>
  <c r="N240" i="1"/>
  <c r="O240" i="1"/>
  <c r="P240" i="1"/>
  <c r="E241" i="1"/>
  <c r="F241" i="1"/>
  <c r="G241" i="1"/>
  <c r="H241" i="1"/>
  <c r="I241" i="1"/>
  <c r="J241" i="1"/>
  <c r="K241" i="1"/>
  <c r="L241" i="1"/>
  <c r="M241" i="1"/>
  <c r="N241" i="1"/>
  <c r="O241" i="1"/>
  <c r="P241" i="1"/>
  <c r="E242" i="1"/>
  <c r="F242" i="1"/>
  <c r="G242" i="1"/>
  <c r="H242" i="1"/>
  <c r="I242" i="1"/>
  <c r="J242" i="1"/>
  <c r="K242" i="1"/>
  <c r="L242" i="1"/>
  <c r="M242" i="1"/>
  <c r="N242" i="1"/>
  <c r="O242" i="1"/>
  <c r="P242" i="1"/>
  <c r="E243" i="1"/>
  <c r="F243" i="1"/>
  <c r="G243" i="1"/>
  <c r="H243" i="1"/>
  <c r="I243" i="1"/>
  <c r="J243" i="1"/>
  <c r="K243" i="1"/>
  <c r="L243" i="1"/>
  <c r="M243" i="1"/>
  <c r="N243" i="1"/>
  <c r="O243" i="1"/>
  <c r="P243" i="1"/>
  <c r="E244" i="1"/>
  <c r="F244" i="1"/>
  <c r="G244" i="1"/>
  <c r="H244" i="1"/>
  <c r="I244" i="1"/>
  <c r="J244" i="1"/>
  <c r="K244" i="1"/>
  <c r="L244" i="1"/>
  <c r="M244" i="1"/>
  <c r="N244" i="1"/>
  <c r="O244" i="1"/>
  <c r="P244" i="1"/>
  <c r="E245" i="1"/>
  <c r="F245" i="1"/>
  <c r="G245" i="1"/>
  <c r="H245" i="1"/>
  <c r="I245" i="1"/>
  <c r="J245" i="1"/>
  <c r="K245" i="1"/>
  <c r="L245" i="1"/>
  <c r="M245" i="1"/>
  <c r="N245" i="1"/>
  <c r="O245" i="1"/>
  <c r="P245" i="1"/>
  <c r="E246" i="1"/>
  <c r="F246" i="1"/>
  <c r="G246" i="1"/>
  <c r="H246" i="1"/>
  <c r="I246" i="1"/>
  <c r="J246" i="1"/>
  <c r="K246" i="1"/>
  <c r="L246" i="1"/>
  <c r="M246" i="1"/>
  <c r="N246" i="1"/>
  <c r="O246" i="1"/>
  <c r="P246" i="1"/>
  <c r="E247" i="1"/>
  <c r="F247" i="1"/>
  <c r="G247" i="1"/>
  <c r="H247" i="1"/>
  <c r="I247" i="1"/>
  <c r="J247" i="1"/>
  <c r="K247" i="1"/>
  <c r="L247" i="1"/>
  <c r="M247" i="1"/>
  <c r="N247" i="1"/>
  <c r="O247" i="1"/>
  <c r="P247" i="1"/>
  <c r="E248" i="1"/>
  <c r="F248" i="1"/>
  <c r="G248" i="1"/>
  <c r="H248" i="1"/>
  <c r="I248" i="1"/>
  <c r="J248" i="1"/>
  <c r="K248" i="1"/>
  <c r="L248" i="1"/>
  <c r="M248" i="1"/>
  <c r="N248" i="1"/>
  <c r="O248" i="1"/>
  <c r="P248" i="1"/>
  <c r="E249" i="1"/>
  <c r="F249" i="1"/>
  <c r="G249" i="1"/>
  <c r="H249" i="1"/>
  <c r="I249" i="1"/>
  <c r="J249" i="1"/>
  <c r="K249" i="1"/>
  <c r="L249" i="1"/>
  <c r="M249" i="1"/>
  <c r="N249" i="1"/>
  <c r="O249" i="1"/>
  <c r="P249" i="1"/>
  <c r="E250" i="1"/>
  <c r="F250" i="1"/>
  <c r="G250" i="1"/>
  <c r="H250" i="1"/>
  <c r="I250" i="1"/>
  <c r="J250" i="1"/>
  <c r="K250" i="1"/>
  <c r="L250" i="1"/>
  <c r="M250" i="1"/>
  <c r="N250" i="1"/>
  <c r="O250" i="1"/>
  <c r="P250" i="1"/>
  <c r="E251" i="1"/>
  <c r="F251" i="1"/>
  <c r="G251" i="1"/>
  <c r="H251" i="1"/>
  <c r="I251" i="1"/>
  <c r="J251" i="1"/>
  <c r="K251" i="1"/>
  <c r="L251" i="1"/>
  <c r="M251" i="1"/>
  <c r="N251" i="1"/>
  <c r="O251" i="1"/>
  <c r="P251" i="1"/>
  <c r="E252" i="1"/>
  <c r="F252" i="1"/>
  <c r="G252" i="1"/>
  <c r="H252" i="1"/>
  <c r="I252" i="1"/>
  <c r="J252" i="1"/>
  <c r="K252" i="1"/>
  <c r="L252" i="1"/>
  <c r="M252" i="1"/>
  <c r="N252" i="1"/>
  <c r="O252" i="1"/>
  <c r="P252" i="1"/>
  <c r="E253" i="1"/>
  <c r="F253" i="1"/>
  <c r="G253" i="1"/>
  <c r="H253" i="1"/>
  <c r="I253" i="1"/>
  <c r="J253" i="1"/>
  <c r="K253" i="1"/>
  <c r="L253" i="1"/>
  <c r="M253" i="1"/>
  <c r="N253" i="1"/>
  <c r="O253" i="1"/>
  <c r="P253" i="1"/>
  <c r="E254" i="1"/>
  <c r="F254" i="1"/>
  <c r="G254" i="1"/>
  <c r="H254" i="1"/>
  <c r="I254" i="1"/>
  <c r="J254" i="1"/>
  <c r="K254" i="1"/>
  <c r="L254" i="1"/>
  <c r="M254" i="1"/>
  <c r="N254" i="1"/>
  <c r="O254" i="1"/>
  <c r="P254" i="1"/>
  <c r="E255" i="1"/>
  <c r="F255" i="1"/>
  <c r="G255" i="1"/>
  <c r="H255" i="1"/>
  <c r="I255" i="1"/>
  <c r="J255" i="1"/>
  <c r="K255" i="1"/>
  <c r="L255" i="1"/>
  <c r="M255" i="1"/>
  <c r="N255" i="1"/>
  <c r="O255" i="1"/>
  <c r="P255" i="1"/>
  <c r="E256" i="1"/>
  <c r="F256" i="1"/>
  <c r="G256" i="1"/>
  <c r="H256" i="1"/>
  <c r="I256" i="1"/>
  <c r="J256" i="1"/>
  <c r="K256" i="1"/>
  <c r="L256" i="1"/>
  <c r="M256" i="1"/>
  <c r="N256" i="1"/>
  <c r="O256" i="1"/>
  <c r="P256" i="1"/>
  <c r="E257" i="1"/>
  <c r="F257" i="1"/>
  <c r="G257" i="1"/>
  <c r="H257" i="1"/>
  <c r="I257" i="1"/>
  <c r="J257" i="1"/>
  <c r="K257" i="1"/>
  <c r="L257" i="1"/>
  <c r="M257" i="1"/>
  <c r="N257" i="1"/>
  <c r="O257" i="1"/>
  <c r="P257" i="1"/>
  <c r="E258" i="1"/>
  <c r="F258" i="1"/>
  <c r="G258" i="1"/>
  <c r="H258" i="1"/>
  <c r="I258" i="1"/>
  <c r="J258" i="1"/>
  <c r="K258" i="1"/>
  <c r="L258" i="1"/>
  <c r="M258" i="1"/>
  <c r="N258" i="1"/>
  <c r="O258" i="1"/>
  <c r="P258" i="1"/>
  <c r="E259" i="1"/>
  <c r="F259" i="1"/>
  <c r="G259" i="1"/>
  <c r="H259" i="1"/>
  <c r="I259" i="1"/>
  <c r="J259" i="1"/>
  <c r="K259" i="1"/>
  <c r="L259" i="1"/>
  <c r="M259" i="1"/>
  <c r="N259" i="1"/>
  <c r="O259" i="1"/>
  <c r="P259" i="1"/>
  <c r="E260" i="1"/>
  <c r="F260" i="1"/>
  <c r="G260" i="1"/>
  <c r="H260" i="1"/>
  <c r="I260" i="1"/>
  <c r="J260" i="1"/>
  <c r="K260" i="1"/>
  <c r="L260" i="1"/>
  <c r="M260" i="1"/>
  <c r="N260" i="1"/>
  <c r="O260" i="1"/>
  <c r="P260" i="1"/>
  <c r="E261" i="1"/>
  <c r="F261" i="1"/>
  <c r="G261" i="1"/>
  <c r="H261" i="1"/>
  <c r="I261" i="1"/>
  <c r="J261" i="1"/>
  <c r="K261" i="1"/>
  <c r="L261" i="1"/>
  <c r="M261" i="1"/>
  <c r="N261" i="1"/>
  <c r="O261" i="1"/>
  <c r="P261" i="1"/>
  <c r="E262" i="1"/>
  <c r="F262" i="1"/>
  <c r="G262" i="1"/>
  <c r="H262" i="1"/>
  <c r="I262" i="1"/>
  <c r="J262" i="1"/>
  <c r="K262" i="1"/>
  <c r="L262" i="1"/>
  <c r="M262" i="1"/>
  <c r="N262" i="1"/>
  <c r="O262" i="1"/>
  <c r="P262" i="1"/>
  <c r="E263" i="1"/>
  <c r="F263" i="1"/>
  <c r="G263" i="1"/>
  <c r="H263" i="1"/>
  <c r="I263" i="1"/>
  <c r="J263" i="1"/>
  <c r="K263" i="1"/>
  <c r="L263" i="1"/>
  <c r="M263" i="1"/>
  <c r="N263" i="1"/>
  <c r="O263" i="1"/>
  <c r="P263" i="1"/>
  <c r="E264" i="1"/>
  <c r="F264" i="1"/>
  <c r="G264" i="1"/>
  <c r="H264" i="1"/>
  <c r="I264" i="1"/>
  <c r="J264" i="1"/>
  <c r="K264" i="1"/>
  <c r="L264" i="1"/>
  <c r="M264" i="1"/>
  <c r="N264" i="1"/>
  <c r="O264" i="1"/>
  <c r="P264" i="1"/>
  <c r="E265" i="1"/>
  <c r="F265" i="1"/>
  <c r="G265" i="1"/>
  <c r="H265" i="1"/>
  <c r="I265" i="1"/>
  <c r="J265" i="1"/>
  <c r="K265" i="1"/>
  <c r="L265" i="1"/>
  <c r="M265" i="1"/>
  <c r="N265" i="1"/>
  <c r="O265" i="1"/>
  <c r="P265" i="1"/>
  <c r="E266" i="1"/>
  <c r="F266" i="1"/>
  <c r="G266" i="1"/>
  <c r="H266" i="1"/>
  <c r="I266" i="1"/>
  <c r="J266" i="1"/>
  <c r="K266" i="1"/>
  <c r="L266" i="1"/>
  <c r="M266" i="1"/>
  <c r="N266" i="1"/>
  <c r="O266" i="1"/>
  <c r="P266" i="1"/>
  <c r="E267" i="1"/>
  <c r="F267" i="1"/>
  <c r="G267" i="1"/>
  <c r="H267" i="1"/>
  <c r="I267" i="1"/>
  <c r="J267" i="1"/>
  <c r="K267" i="1"/>
  <c r="L267" i="1"/>
  <c r="M267" i="1"/>
  <c r="N267" i="1"/>
  <c r="O267" i="1"/>
  <c r="P267" i="1"/>
  <c r="E268" i="1"/>
  <c r="F268" i="1"/>
  <c r="G268" i="1"/>
  <c r="H268" i="1"/>
  <c r="I268" i="1"/>
  <c r="J268" i="1"/>
  <c r="K268" i="1"/>
  <c r="L268" i="1"/>
  <c r="M268" i="1"/>
  <c r="N268" i="1"/>
  <c r="O268" i="1"/>
  <c r="P268" i="1"/>
  <c r="E269" i="1"/>
  <c r="F269" i="1"/>
  <c r="G269" i="1"/>
  <c r="H269" i="1"/>
  <c r="I269" i="1"/>
  <c r="J269" i="1"/>
  <c r="K269" i="1"/>
  <c r="L269" i="1"/>
  <c r="M269" i="1"/>
  <c r="N269" i="1"/>
  <c r="O269" i="1"/>
  <c r="P269" i="1"/>
  <c r="E270" i="1"/>
  <c r="F270" i="1"/>
  <c r="G270" i="1"/>
  <c r="H270" i="1"/>
  <c r="I270" i="1"/>
  <c r="J270" i="1"/>
  <c r="K270" i="1"/>
  <c r="L270" i="1"/>
  <c r="M270" i="1"/>
  <c r="N270" i="1"/>
  <c r="O270" i="1"/>
  <c r="P270" i="1"/>
  <c r="E271" i="1"/>
  <c r="F271" i="1"/>
  <c r="G271" i="1"/>
  <c r="H271" i="1"/>
  <c r="I271" i="1"/>
  <c r="J271" i="1"/>
  <c r="K271" i="1"/>
  <c r="L271" i="1"/>
  <c r="M271" i="1"/>
  <c r="N271" i="1"/>
  <c r="O271" i="1"/>
  <c r="P271" i="1"/>
  <c r="E272" i="1"/>
  <c r="F272" i="1"/>
  <c r="G272" i="1"/>
  <c r="H272" i="1"/>
  <c r="I272" i="1"/>
  <c r="J272" i="1"/>
  <c r="K272" i="1"/>
  <c r="L272" i="1"/>
  <c r="M272" i="1"/>
  <c r="N272" i="1"/>
  <c r="O272" i="1"/>
  <c r="P272" i="1"/>
  <c r="E273" i="1"/>
  <c r="F273" i="1"/>
  <c r="G273" i="1"/>
  <c r="H273" i="1"/>
  <c r="I273" i="1"/>
  <c r="J273" i="1"/>
  <c r="K273" i="1"/>
  <c r="L273" i="1"/>
  <c r="M273" i="1"/>
  <c r="N273" i="1"/>
  <c r="O273" i="1"/>
  <c r="P273" i="1"/>
  <c r="E274" i="1"/>
  <c r="F274" i="1"/>
  <c r="G274" i="1"/>
  <c r="H274" i="1"/>
  <c r="I274" i="1"/>
  <c r="J274" i="1"/>
  <c r="K274" i="1"/>
  <c r="L274" i="1"/>
  <c r="M274" i="1"/>
  <c r="N274" i="1"/>
  <c r="O274" i="1"/>
  <c r="P274" i="1"/>
  <c r="E275" i="1"/>
  <c r="F275" i="1"/>
  <c r="G275" i="1"/>
  <c r="H275" i="1"/>
  <c r="I275" i="1"/>
  <c r="J275" i="1"/>
  <c r="K275" i="1"/>
  <c r="L275" i="1"/>
  <c r="M275" i="1"/>
  <c r="N275" i="1"/>
  <c r="O275" i="1"/>
  <c r="P275" i="1"/>
  <c r="E276" i="1"/>
  <c r="F276" i="1"/>
  <c r="G276" i="1"/>
  <c r="H276" i="1"/>
  <c r="I276" i="1"/>
  <c r="J276" i="1"/>
  <c r="K276" i="1"/>
  <c r="L276" i="1"/>
  <c r="M276" i="1"/>
  <c r="N276" i="1"/>
  <c r="O276" i="1"/>
  <c r="P276" i="1"/>
  <c r="E277" i="1"/>
  <c r="F277" i="1"/>
  <c r="G277" i="1"/>
  <c r="H277" i="1"/>
  <c r="I277" i="1"/>
  <c r="J277" i="1"/>
  <c r="K277" i="1"/>
  <c r="L277" i="1"/>
  <c r="M277" i="1"/>
  <c r="N277" i="1"/>
  <c r="O277" i="1"/>
  <c r="P277" i="1"/>
  <c r="E278" i="1"/>
  <c r="F278" i="1"/>
  <c r="G278" i="1"/>
  <c r="H278" i="1"/>
  <c r="I278" i="1"/>
  <c r="J278" i="1"/>
  <c r="K278" i="1"/>
  <c r="L278" i="1"/>
  <c r="M278" i="1"/>
  <c r="N278" i="1"/>
  <c r="O278" i="1"/>
  <c r="P278" i="1"/>
  <c r="E279" i="1"/>
  <c r="F279" i="1"/>
  <c r="G279" i="1"/>
  <c r="H279" i="1"/>
  <c r="I279" i="1"/>
  <c r="J279" i="1"/>
  <c r="K279" i="1"/>
  <c r="L279" i="1"/>
  <c r="M279" i="1"/>
  <c r="N279" i="1"/>
  <c r="O279" i="1"/>
  <c r="P279" i="1"/>
  <c r="E280" i="1"/>
  <c r="F280" i="1"/>
  <c r="G280" i="1"/>
  <c r="H280" i="1"/>
  <c r="I280" i="1"/>
  <c r="J280" i="1"/>
  <c r="K280" i="1"/>
  <c r="L280" i="1"/>
  <c r="M280" i="1"/>
  <c r="N280" i="1"/>
  <c r="O280" i="1"/>
  <c r="P280" i="1"/>
  <c r="E281" i="1"/>
  <c r="F281" i="1"/>
  <c r="G281" i="1"/>
  <c r="H281" i="1"/>
  <c r="I281" i="1"/>
  <c r="J281" i="1"/>
  <c r="K281" i="1"/>
  <c r="L281" i="1"/>
  <c r="M281" i="1"/>
  <c r="N281" i="1"/>
  <c r="O281" i="1"/>
  <c r="P281" i="1"/>
  <c r="E282" i="1"/>
  <c r="F282" i="1"/>
  <c r="G282" i="1"/>
  <c r="H282" i="1"/>
  <c r="I282" i="1"/>
  <c r="J282" i="1"/>
  <c r="K282" i="1"/>
  <c r="L282" i="1"/>
  <c r="M282" i="1"/>
  <c r="N282" i="1"/>
  <c r="O282" i="1"/>
  <c r="P282" i="1"/>
  <c r="E283" i="1"/>
  <c r="F283" i="1"/>
  <c r="G283" i="1"/>
  <c r="H283" i="1"/>
  <c r="I283" i="1"/>
  <c r="J283" i="1"/>
  <c r="K283" i="1"/>
  <c r="L283" i="1"/>
  <c r="M283" i="1"/>
  <c r="N283" i="1"/>
  <c r="O283" i="1"/>
  <c r="P283" i="1"/>
  <c r="E284" i="1"/>
  <c r="F284" i="1"/>
  <c r="G284" i="1"/>
  <c r="H284" i="1"/>
  <c r="I284" i="1"/>
  <c r="J284" i="1"/>
  <c r="K284" i="1"/>
  <c r="L284" i="1"/>
  <c r="M284" i="1"/>
  <c r="N284" i="1"/>
  <c r="O284" i="1"/>
  <c r="P284" i="1"/>
  <c r="E285" i="1"/>
  <c r="F285" i="1"/>
  <c r="G285" i="1"/>
  <c r="H285" i="1"/>
  <c r="I285" i="1"/>
  <c r="J285" i="1"/>
  <c r="K285" i="1"/>
  <c r="L285" i="1"/>
  <c r="M285" i="1"/>
  <c r="N285" i="1"/>
  <c r="O285" i="1"/>
  <c r="P285" i="1"/>
  <c r="E286" i="1"/>
  <c r="F286" i="1"/>
  <c r="G286" i="1"/>
  <c r="H286" i="1"/>
  <c r="I286" i="1"/>
  <c r="J286" i="1"/>
  <c r="K286" i="1"/>
  <c r="L286" i="1"/>
  <c r="M286" i="1"/>
  <c r="N286" i="1"/>
  <c r="O286" i="1"/>
  <c r="P286" i="1"/>
  <c r="E287" i="1"/>
  <c r="F287" i="1"/>
  <c r="G287" i="1"/>
  <c r="H287" i="1"/>
  <c r="I287" i="1"/>
  <c r="J287" i="1"/>
  <c r="K287" i="1"/>
  <c r="L287" i="1"/>
  <c r="M287" i="1"/>
  <c r="N287" i="1"/>
  <c r="O287" i="1"/>
  <c r="P287" i="1"/>
  <c r="E288" i="1"/>
  <c r="F288" i="1"/>
  <c r="G288" i="1"/>
  <c r="H288" i="1"/>
  <c r="I288" i="1"/>
  <c r="J288" i="1"/>
  <c r="K288" i="1"/>
  <c r="L288" i="1"/>
  <c r="M288" i="1"/>
  <c r="N288" i="1"/>
  <c r="O288" i="1"/>
  <c r="P288" i="1"/>
  <c r="E289" i="1"/>
  <c r="F289" i="1"/>
  <c r="G289" i="1"/>
  <c r="H289" i="1"/>
  <c r="I289" i="1"/>
  <c r="J289" i="1"/>
  <c r="K289" i="1"/>
  <c r="L289" i="1"/>
  <c r="M289" i="1"/>
  <c r="N289" i="1"/>
  <c r="O289" i="1"/>
  <c r="P289" i="1"/>
  <c r="E290" i="1"/>
  <c r="F290" i="1"/>
  <c r="G290" i="1"/>
  <c r="H290" i="1"/>
  <c r="I290" i="1"/>
  <c r="J290" i="1"/>
  <c r="K290" i="1"/>
  <c r="L290" i="1"/>
  <c r="M290" i="1"/>
  <c r="N290" i="1"/>
  <c r="O290" i="1"/>
  <c r="P290" i="1"/>
  <c r="E291" i="1"/>
  <c r="F291" i="1"/>
  <c r="G291" i="1"/>
  <c r="H291" i="1"/>
  <c r="I291" i="1"/>
  <c r="J291" i="1"/>
  <c r="K291" i="1"/>
  <c r="L291" i="1"/>
  <c r="M291" i="1"/>
  <c r="N291" i="1"/>
  <c r="O291" i="1"/>
  <c r="P291" i="1"/>
  <c r="E292" i="1"/>
  <c r="F292" i="1"/>
  <c r="G292" i="1"/>
  <c r="H292" i="1"/>
  <c r="I292" i="1"/>
  <c r="J292" i="1"/>
  <c r="K292" i="1"/>
  <c r="L292" i="1"/>
  <c r="M292" i="1"/>
  <c r="N292" i="1"/>
  <c r="O292" i="1"/>
  <c r="P292" i="1"/>
  <c r="E293" i="1"/>
  <c r="F293" i="1"/>
  <c r="G293" i="1"/>
  <c r="H293" i="1"/>
  <c r="I293" i="1"/>
  <c r="J293" i="1"/>
  <c r="K293" i="1"/>
  <c r="L293" i="1"/>
  <c r="M293" i="1"/>
  <c r="N293" i="1"/>
  <c r="O293" i="1"/>
  <c r="P293" i="1"/>
  <c r="E294" i="1"/>
  <c r="F294" i="1"/>
  <c r="G294" i="1"/>
  <c r="H294" i="1"/>
  <c r="I294" i="1"/>
  <c r="J294" i="1"/>
  <c r="K294" i="1"/>
  <c r="L294" i="1"/>
  <c r="M294" i="1"/>
  <c r="N294" i="1"/>
  <c r="O294" i="1"/>
  <c r="P294" i="1"/>
  <c r="E295" i="1"/>
  <c r="F295" i="1"/>
  <c r="G295" i="1"/>
  <c r="H295" i="1"/>
  <c r="I295" i="1"/>
  <c r="J295" i="1"/>
  <c r="K295" i="1"/>
  <c r="L295" i="1"/>
  <c r="M295" i="1"/>
  <c r="N295" i="1"/>
  <c r="O295" i="1"/>
  <c r="P295" i="1"/>
  <c r="E296" i="1"/>
  <c r="F296" i="1"/>
  <c r="G296" i="1"/>
  <c r="H296" i="1"/>
  <c r="I296" i="1"/>
  <c r="J296" i="1"/>
  <c r="K296" i="1"/>
  <c r="L296" i="1"/>
  <c r="M296" i="1"/>
  <c r="N296" i="1"/>
  <c r="O296" i="1"/>
  <c r="P296" i="1"/>
  <c r="E297" i="1"/>
  <c r="F297" i="1"/>
  <c r="G297" i="1"/>
  <c r="H297" i="1"/>
  <c r="I297" i="1"/>
  <c r="J297" i="1"/>
  <c r="K297" i="1"/>
  <c r="L297" i="1"/>
  <c r="M297" i="1"/>
  <c r="N297" i="1"/>
  <c r="O297" i="1"/>
  <c r="P297" i="1"/>
  <c r="E298" i="1"/>
  <c r="F298" i="1"/>
  <c r="G298" i="1"/>
  <c r="H298" i="1"/>
  <c r="I298" i="1"/>
  <c r="J298" i="1"/>
  <c r="K298" i="1"/>
  <c r="L298" i="1"/>
  <c r="M298" i="1"/>
  <c r="N298" i="1"/>
  <c r="O298" i="1"/>
  <c r="P298" i="1"/>
  <c r="E299" i="1"/>
  <c r="F299" i="1"/>
  <c r="G299" i="1"/>
  <c r="H299" i="1"/>
  <c r="I299" i="1"/>
  <c r="J299" i="1"/>
  <c r="K299" i="1"/>
  <c r="L299" i="1"/>
  <c r="M299" i="1"/>
  <c r="N299" i="1"/>
  <c r="O299" i="1"/>
  <c r="P299" i="1"/>
  <c r="E300" i="1"/>
  <c r="F300" i="1"/>
  <c r="G300" i="1"/>
  <c r="H300" i="1"/>
  <c r="I300" i="1"/>
  <c r="J300" i="1"/>
  <c r="K300" i="1"/>
  <c r="L300" i="1"/>
  <c r="M300" i="1"/>
  <c r="N300" i="1"/>
  <c r="O300" i="1"/>
  <c r="P300" i="1"/>
  <c r="E301" i="1"/>
  <c r="F301" i="1"/>
  <c r="G301" i="1"/>
  <c r="H301" i="1"/>
  <c r="I301" i="1"/>
  <c r="J301" i="1"/>
  <c r="K301" i="1"/>
  <c r="L301" i="1"/>
  <c r="M301" i="1"/>
  <c r="N301" i="1"/>
  <c r="O301" i="1"/>
  <c r="P301" i="1"/>
  <c r="E302" i="1"/>
  <c r="F302" i="1"/>
  <c r="G302" i="1"/>
  <c r="H302" i="1"/>
  <c r="I302" i="1"/>
  <c r="J302" i="1"/>
  <c r="K302" i="1"/>
  <c r="L302" i="1"/>
  <c r="M302" i="1"/>
  <c r="N302" i="1"/>
  <c r="O302" i="1"/>
  <c r="P302" i="1"/>
  <c r="E303" i="1"/>
  <c r="F303" i="1"/>
  <c r="G303" i="1"/>
  <c r="H303" i="1"/>
  <c r="I303" i="1"/>
  <c r="J303" i="1"/>
  <c r="K303" i="1"/>
  <c r="L303" i="1"/>
  <c r="M303" i="1"/>
  <c r="N303" i="1"/>
  <c r="O303" i="1"/>
  <c r="P303" i="1"/>
  <c r="E304" i="1"/>
  <c r="F304" i="1"/>
  <c r="G304" i="1"/>
  <c r="H304" i="1"/>
  <c r="I304" i="1"/>
  <c r="J304" i="1"/>
  <c r="K304" i="1"/>
  <c r="L304" i="1"/>
  <c r="M304" i="1"/>
  <c r="N304" i="1"/>
  <c r="O304" i="1"/>
  <c r="P304" i="1"/>
  <c r="E305" i="1"/>
  <c r="F305" i="1"/>
  <c r="G305" i="1"/>
  <c r="H305" i="1"/>
  <c r="I305" i="1"/>
  <c r="J305" i="1"/>
  <c r="K305" i="1"/>
  <c r="L305" i="1"/>
  <c r="M305" i="1"/>
  <c r="N305" i="1"/>
  <c r="O305" i="1"/>
  <c r="P305" i="1"/>
  <c r="E306" i="1"/>
  <c r="F306" i="1"/>
  <c r="G306" i="1"/>
  <c r="H306" i="1"/>
  <c r="I306" i="1"/>
  <c r="J306" i="1"/>
  <c r="K306" i="1"/>
  <c r="L306" i="1"/>
  <c r="M306" i="1"/>
  <c r="N306" i="1"/>
  <c r="O306" i="1"/>
  <c r="P306" i="1"/>
  <c r="E307" i="1"/>
  <c r="F307" i="1"/>
  <c r="G307" i="1"/>
  <c r="H307" i="1"/>
  <c r="I307" i="1"/>
  <c r="J307" i="1"/>
  <c r="K307" i="1"/>
  <c r="L307" i="1"/>
  <c r="M307" i="1"/>
  <c r="N307" i="1"/>
  <c r="O307" i="1"/>
  <c r="P307" i="1"/>
  <c r="E308" i="1"/>
  <c r="F308" i="1"/>
  <c r="G308" i="1"/>
  <c r="H308" i="1"/>
  <c r="I308" i="1"/>
  <c r="J308" i="1"/>
  <c r="K308" i="1"/>
  <c r="L308" i="1"/>
  <c r="M308" i="1"/>
  <c r="N308" i="1"/>
  <c r="O308" i="1"/>
  <c r="P308" i="1"/>
  <c r="E309" i="1"/>
  <c r="F309" i="1"/>
  <c r="G309" i="1"/>
  <c r="H309" i="1"/>
  <c r="I309" i="1"/>
  <c r="J309" i="1"/>
  <c r="K309" i="1"/>
  <c r="L309" i="1"/>
  <c r="M309" i="1"/>
  <c r="N309" i="1"/>
  <c r="O309" i="1"/>
  <c r="P309" i="1"/>
  <c r="E310" i="1"/>
  <c r="F310" i="1"/>
  <c r="G310" i="1"/>
  <c r="H310" i="1"/>
  <c r="I310" i="1"/>
  <c r="J310" i="1"/>
  <c r="K310" i="1"/>
  <c r="L310" i="1"/>
  <c r="M310" i="1"/>
  <c r="N310" i="1"/>
  <c r="O310" i="1"/>
  <c r="P310" i="1"/>
  <c r="E311" i="1"/>
  <c r="F311" i="1"/>
  <c r="G311" i="1"/>
  <c r="H311" i="1"/>
  <c r="I311" i="1"/>
  <c r="J311" i="1"/>
  <c r="K311" i="1"/>
  <c r="L311" i="1"/>
  <c r="M311" i="1"/>
  <c r="N311" i="1"/>
  <c r="O311" i="1"/>
  <c r="P311" i="1"/>
  <c r="E312" i="1"/>
  <c r="F312" i="1"/>
  <c r="G312" i="1"/>
  <c r="H312" i="1"/>
  <c r="I312" i="1"/>
  <c r="J312" i="1"/>
  <c r="K312" i="1"/>
  <c r="L312" i="1"/>
  <c r="M312" i="1"/>
  <c r="N312" i="1"/>
  <c r="O312" i="1"/>
  <c r="P312" i="1"/>
  <c r="E313" i="1"/>
  <c r="F313" i="1"/>
  <c r="G313" i="1"/>
  <c r="H313" i="1"/>
  <c r="I313" i="1"/>
  <c r="J313" i="1"/>
  <c r="K313" i="1"/>
  <c r="L313" i="1"/>
  <c r="M313" i="1"/>
  <c r="N313" i="1"/>
  <c r="O313" i="1"/>
  <c r="P313" i="1"/>
  <c r="E314" i="1"/>
  <c r="F314" i="1"/>
  <c r="G314" i="1"/>
  <c r="H314" i="1"/>
  <c r="I314" i="1"/>
  <c r="J314" i="1"/>
  <c r="K314" i="1"/>
  <c r="L314" i="1"/>
  <c r="M314" i="1"/>
  <c r="N314" i="1"/>
  <c r="O314" i="1"/>
  <c r="P314" i="1"/>
  <c r="E315" i="1"/>
  <c r="F315" i="1"/>
  <c r="G315" i="1"/>
  <c r="H315" i="1"/>
  <c r="I315" i="1"/>
  <c r="J315" i="1"/>
  <c r="K315" i="1"/>
  <c r="L315" i="1"/>
  <c r="M315" i="1"/>
  <c r="N315" i="1"/>
  <c r="O315" i="1"/>
  <c r="P315" i="1"/>
  <c r="E316" i="1"/>
  <c r="F316" i="1"/>
  <c r="G316" i="1"/>
  <c r="H316" i="1"/>
  <c r="I316" i="1"/>
  <c r="J316" i="1"/>
  <c r="K316" i="1"/>
  <c r="L316" i="1"/>
  <c r="M316" i="1"/>
  <c r="N316" i="1"/>
  <c r="O316" i="1"/>
  <c r="P316" i="1"/>
  <c r="E317" i="1"/>
  <c r="F317" i="1"/>
  <c r="G317" i="1"/>
  <c r="H317" i="1"/>
  <c r="I317" i="1"/>
  <c r="J317" i="1"/>
  <c r="K317" i="1"/>
  <c r="L317" i="1"/>
  <c r="M317" i="1"/>
  <c r="N317" i="1"/>
  <c r="O317" i="1"/>
  <c r="P317" i="1"/>
  <c r="E318" i="1"/>
  <c r="F318" i="1"/>
  <c r="G318" i="1"/>
  <c r="H318" i="1"/>
  <c r="I318" i="1"/>
  <c r="J318" i="1"/>
  <c r="K318" i="1"/>
  <c r="L318" i="1"/>
  <c r="M318" i="1"/>
  <c r="N318" i="1"/>
  <c r="O318" i="1"/>
  <c r="P318" i="1"/>
  <c r="E319" i="1"/>
  <c r="F319" i="1"/>
  <c r="G319" i="1"/>
  <c r="H319" i="1"/>
  <c r="I319" i="1"/>
  <c r="J319" i="1"/>
  <c r="K319" i="1"/>
  <c r="L319" i="1"/>
  <c r="M319" i="1"/>
  <c r="N319" i="1"/>
  <c r="O319" i="1"/>
  <c r="P319" i="1"/>
  <c r="E320" i="1"/>
  <c r="F320" i="1"/>
  <c r="G320" i="1"/>
  <c r="H320" i="1"/>
  <c r="I320" i="1"/>
  <c r="J320" i="1"/>
  <c r="K320" i="1"/>
  <c r="L320" i="1"/>
  <c r="M320" i="1"/>
  <c r="N320" i="1"/>
  <c r="O320" i="1"/>
  <c r="P320" i="1"/>
  <c r="E321" i="1"/>
  <c r="F321" i="1"/>
  <c r="G321" i="1"/>
  <c r="H321" i="1"/>
  <c r="I321" i="1"/>
  <c r="J321" i="1"/>
  <c r="K321" i="1"/>
  <c r="L321" i="1"/>
  <c r="M321" i="1"/>
  <c r="N321" i="1"/>
  <c r="O321" i="1"/>
  <c r="P321" i="1"/>
  <c r="E322" i="1"/>
  <c r="F322" i="1"/>
  <c r="G322" i="1"/>
  <c r="H322" i="1"/>
  <c r="I322" i="1"/>
  <c r="J322" i="1"/>
  <c r="K322" i="1"/>
  <c r="L322" i="1"/>
  <c r="M322" i="1"/>
  <c r="N322" i="1"/>
  <c r="O322" i="1"/>
  <c r="P322" i="1"/>
  <c r="E323" i="1"/>
  <c r="F323" i="1"/>
  <c r="G323" i="1"/>
  <c r="H323" i="1"/>
  <c r="I323" i="1"/>
  <c r="J323" i="1"/>
  <c r="K323" i="1"/>
  <c r="L323" i="1"/>
  <c r="M323" i="1"/>
  <c r="N323" i="1"/>
  <c r="O323" i="1"/>
  <c r="P323" i="1"/>
  <c r="E324" i="1"/>
  <c r="F324" i="1"/>
  <c r="G324" i="1"/>
  <c r="H324" i="1"/>
  <c r="I324" i="1"/>
  <c r="J324" i="1"/>
  <c r="K324" i="1"/>
  <c r="L324" i="1"/>
  <c r="M324" i="1"/>
  <c r="N324" i="1"/>
  <c r="O324" i="1"/>
  <c r="P324" i="1"/>
  <c r="E325" i="1"/>
  <c r="F325" i="1"/>
  <c r="G325" i="1"/>
  <c r="H325" i="1"/>
  <c r="I325" i="1"/>
  <c r="J325" i="1"/>
  <c r="K325" i="1"/>
  <c r="L325" i="1"/>
  <c r="M325" i="1"/>
  <c r="N325" i="1"/>
  <c r="O325" i="1"/>
  <c r="P325" i="1"/>
  <c r="E326" i="1"/>
  <c r="F326" i="1"/>
  <c r="G326" i="1"/>
  <c r="H326" i="1"/>
  <c r="I326" i="1"/>
  <c r="J326" i="1"/>
  <c r="K326" i="1"/>
  <c r="L326" i="1"/>
  <c r="M326" i="1"/>
  <c r="N326" i="1"/>
  <c r="O326" i="1"/>
  <c r="P326" i="1"/>
  <c r="E327" i="1"/>
  <c r="F327" i="1"/>
  <c r="G327" i="1"/>
  <c r="H327" i="1"/>
  <c r="I327" i="1"/>
  <c r="J327" i="1"/>
  <c r="K327" i="1"/>
  <c r="L327" i="1"/>
  <c r="M327" i="1"/>
  <c r="N327" i="1"/>
  <c r="O327" i="1"/>
  <c r="P327" i="1"/>
  <c r="E328" i="1"/>
  <c r="F328" i="1"/>
  <c r="G328" i="1"/>
  <c r="H328" i="1"/>
  <c r="I328" i="1"/>
  <c r="J328" i="1"/>
  <c r="K328" i="1"/>
  <c r="L328" i="1"/>
  <c r="M328" i="1"/>
  <c r="N328" i="1"/>
  <c r="O328" i="1"/>
  <c r="P328" i="1"/>
  <c r="E329" i="1"/>
  <c r="F329" i="1"/>
  <c r="G329" i="1"/>
  <c r="H329" i="1"/>
  <c r="I329" i="1"/>
  <c r="J329" i="1"/>
  <c r="K329" i="1"/>
  <c r="L329" i="1"/>
  <c r="M329" i="1"/>
  <c r="N329" i="1"/>
  <c r="O329" i="1"/>
  <c r="P329" i="1"/>
  <c r="E330" i="1"/>
  <c r="F330" i="1"/>
  <c r="G330" i="1"/>
  <c r="H330" i="1"/>
  <c r="I330" i="1"/>
  <c r="J330" i="1"/>
  <c r="K330" i="1"/>
  <c r="L330" i="1"/>
  <c r="M330" i="1"/>
  <c r="N330" i="1"/>
  <c r="O330" i="1"/>
  <c r="P330" i="1"/>
  <c r="E331" i="1"/>
  <c r="F331" i="1"/>
  <c r="G331" i="1"/>
  <c r="H331" i="1"/>
  <c r="I331" i="1"/>
  <c r="J331" i="1"/>
  <c r="K331" i="1"/>
  <c r="L331" i="1"/>
  <c r="M331" i="1"/>
  <c r="N331" i="1"/>
  <c r="O331" i="1"/>
  <c r="P331" i="1"/>
  <c r="E332" i="1"/>
  <c r="F332" i="1"/>
  <c r="G332" i="1"/>
  <c r="H332" i="1"/>
  <c r="I332" i="1"/>
  <c r="J332" i="1"/>
  <c r="K332" i="1"/>
  <c r="L332" i="1"/>
  <c r="M332" i="1"/>
  <c r="N332" i="1"/>
  <c r="O332" i="1"/>
  <c r="P332" i="1"/>
  <c r="P2" i="1"/>
  <c r="O2" i="1"/>
  <c r="N2" i="1"/>
  <c r="M2" i="1"/>
  <c r="L2" i="1"/>
  <c r="K2" i="1"/>
  <c r="J2" i="1"/>
  <c r="I2" i="1"/>
  <c r="H2" i="1"/>
  <c r="G2" i="1"/>
  <c r="F2" i="1"/>
  <c r="E2" i="1"/>
  <c r="L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4EB5E8-2626-4792-9DEE-2E0F5ABA5FA3}" name="ubezpieczenia" type="6" refreshedVersion="8" background="1" saveData="1">
    <textPr codePage="1250" sourceFile="C:\Users\oskar\Desktop\Excel zadania matura\ubezpieczenia.txt" decimal="," thousands=" " semicolon="1">
      <textFields count="4">
        <textField/>
        <textField/>
        <textField type="YMD"/>
        <textField/>
      </textFields>
    </textPr>
  </connection>
  <connection id="2" xr16:uid="{34B132B2-A207-4451-94BC-F39F0A8C61B5}" name="ubezpieczenia1" type="6" refreshedVersion="8" background="1" saveData="1">
    <textPr codePage="1250" sourceFile="C:\Users\oskar\Desktop\Excel zadania matura\ubezpieczenia.txt" decimal="," thousands=" " semicolon="1">
      <textFields count="4">
        <textField/>
        <textField/>
        <textField type="YMD"/>
        <textField/>
      </textFields>
    </textPr>
  </connection>
  <connection id="3" xr16:uid="{FB7A90C3-DB78-4BC0-98DD-286E3036CDB4}" name="ubezpieczenia2" type="6" refreshedVersion="8" background="1" saveData="1">
    <textPr codePage="1250" sourceFile="C:\Users\oskar\Desktop\Excel zadania matura\ubezpieczenia.txt" decimal="," thousands=" " semicolon="1">
      <textFields count="4">
        <textField/>
        <textField/>
        <textField type="YMD"/>
        <textField/>
      </textFields>
    </textPr>
  </connection>
  <connection id="4" xr16:uid="{95913008-CBEE-4783-B55E-3853D713278B}" name="ubezpieczenia21" type="6" refreshedVersion="8" background="1" saveData="1">
    <textPr codePage="1250" sourceFile="C:\Users\oskar\Desktop\Excel zadania matura\ubezpieczenia.txt" decimal="," thousands=" " semicolon="1">
      <textFields count="4">
        <textField/>
        <textField/>
        <textField type="YMD"/>
        <textField/>
      </textFields>
    </textPr>
  </connection>
</connections>
</file>

<file path=xl/sharedStrings.xml><?xml version="1.0" encoding="utf-8"?>
<sst xmlns="http://schemas.openxmlformats.org/spreadsheetml/2006/main" count="4053" uniqueCount="469">
  <si>
    <t>Nazwisko</t>
  </si>
  <si>
    <t>Imie</t>
  </si>
  <si>
    <t>Data_urodz</t>
  </si>
  <si>
    <t>Miejsce_zamieszkania</t>
  </si>
  <si>
    <t>Czarnecka</t>
  </si>
  <si>
    <t>Ewelina</t>
  </si>
  <si>
    <t>srednie miasto</t>
  </si>
  <si>
    <t>Nesterowicz</t>
  </si>
  <si>
    <t>Piotr</t>
  </si>
  <si>
    <t>wies</t>
  </si>
  <si>
    <t>Adamus</t>
  </si>
  <si>
    <t>Magdalena</t>
  </si>
  <si>
    <t>duze miasto</t>
  </si>
  <si>
    <t>Kowalski</t>
  </si>
  <si>
    <t>Hubert</t>
  </si>
  <si>
    <t>Zamojska</t>
  </si>
  <si>
    <t>Maria</t>
  </si>
  <si>
    <t>Matecki</t>
  </si>
  <si>
    <t>Adam</t>
  </si>
  <si>
    <t>Potocki</t>
  </si>
  <si>
    <t>Anna</t>
  </si>
  <si>
    <t>Przybylska</t>
  </si>
  <si>
    <t>Laura</t>
  </si>
  <si>
    <t>Monachijski</t>
  </si>
  <si>
    <t>Cender</t>
  </si>
  <si>
    <t>Urszula</t>
  </si>
  <si>
    <t>Badowski</t>
  </si>
  <si>
    <t>Bogdan</t>
  </si>
  <si>
    <t>Mazurowski</t>
  </si>
  <si>
    <t>Janusz</t>
  </si>
  <si>
    <t>Lasota</t>
  </si>
  <si>
    <t>Olczak</t>
  </si>
  <si>
    <t>Damian</t>
  </si>
  <si>
    <t>Kolesinski</t>
  </si>
  <si>
    <t>Konstanty</t>
  </si>
  <si>
    <t>Pakulski</t>
  </si>
  <si>
    <t>Banasiak</t>
  </si>
  <si>
    <t>Paulina</t>
  </si>
  <si>
    <t>Bajdek</t>
  </si>
  <si>
    <t>Katarzyna</t>
  </si>
  <si>
    <t>male miasto</t>
  </si>
  <si>
    <t>Chojnacka</t>
  </si>
  <si>
    <t>Monika</t>
  </si>
  <si>
    <t>Karpowicz</t>
  </si>
  <si>
    <t>Korcela</t>
  </si>
  <si>
    <t>Marta</t>
  </si>
  <si>
    <t>Deska</t>
  </si>
  <si>
    <t>Ewa</t>
  </si>
  <si>
    <t>Krencik</t>
  </si>
  <si>
    <t>Maciej</t>
  </si>
  <si>
    <t>Nawrot</t>
  </si>
  <si>
    <t>Legnicka</t>
  </si>
  <si>
    <t>Karolina</t>
  </si>
  <si>
    <t>Wenecka</t>
  </si>
  <si>
    <t>Justyna</t>
  </si>
  <si>
    <t>Kaleta</t>
  </si>
  <si>
    <t>Natalia</t>
  </si>
  <si>
    <t>Samarskyi</t>
  </si>
  <si>
    <t>Kostiantyn</t>
  </si>
  <si>
    <t>Tkacz</t>
  </si>
  <si>
    <t>Borsuk</t>
  </si>
  <si>
    <t>Anusz</t>
  </si>
  <si>
    <t>Trzebnicka</t>
  </si>
  <si>
    <t>Bardzio</t>
  </si>
  <si>
    <t>Celina</t>
  </si>
  <si>
    <t>Firlej</t>
  </si>
  <si>
    <t>Sadcza</t>
  </si>
  <si>
    <t>Romuald</t>
  </si>
  <si>
    <t>Uniejewski</t>
  </si>
  <si>
    <t>Tobiasz</t>
  </si>
  <si>
    <t>Iwaszko</t>
  </si>
  <si>
    <t>Rutkowski</t>
  </si>
  <si>
    <t>Sebastian</t>
  </si>
  <si>
    <t>Kubiak</t>
  </si>
  <si>
    <t>Aleksandra</t>
  </si>
  <si>
    <t>Krakowska</t>
  </si>
  <si>
    <t>Uss</t>
  </si>
  <si>
    <t>Adrian</t>
  </si>
  <si>
    <t>Zasada</t>
  </si>
  <si>
    <t>Joanna</t>
  </si>
  <si>
    <t>Majka</t>
  </si>
  <si>
    <t>Danuta</t>
  </si>
  <si>
    <t>Kaczmar</t>
  </si>
  <si>
    <t>Adamczyk</t>
  </si>
  <si>
    <t>Irena</t>
  </si>
  <si>
    <t>Jasiak</t>
  </si>
  <si>
    <t>Sosnowski</t>
  </si>
  <si>
    <t>Arkadiusz</t>
  </si>
  <si>
    <t>Bydgoska</t>
  </si>
  <si>
    <t>Szulgo</t>
  </si>
  <si>
    <t>Marek</t>
  </si>
  <si>
    <t>Szczygielski</t>
  </si>
  <si>
    <t>Tadeusz</t>
  </si>
  <si>
    <t>Magierowicz</t>
  </si>
  <si>
    <t>Patryk</t>
  </si>
  <si>
    <t>Biegaj</t>
  </si>
  <si>
    <t>Boss</t>
  </si>
  <si>
    <t>Rusu</t>
  </si>
  <si>
    <t>Siergiu</t>
  </si>
  <si>
    <t>Lipski</t>
  </si>
  <si>
    <t>Milcarz</t>
  </si>
  <si>
    <t>Czarnoleska</t>
  </si>
  <si>
    <t>Patrycja</t>
  </si>
  <si>
    <t>Rejkowicz</t>
  </si>
  <si>
    <t>Rybicka</t>
  </si>
  <si>
    <t>Martyna</t>
  </si>
  <si>
    <t>Gajak</t>
  </si>
  <si>
    <t>Agnieszka</t>
  </si>
  <si>
    <t>Zakowicz</t>
  </si>
  <si>
    <t>Kacper</t>
  </si>
  <si>
    <t>Chorzowska</t>
  </si>
  <si>
    <t>Belgracka</t>
  </si>
  <si>
    <t>Paszewski</t>
  </si>
  <si>
    <t>Wielogorski</t>
  </si>
  <si>
    <t>Karol</t>
  </si>
  <si>
    <t>Kowalczyk</t>
  </si>
  <si>
    <t>Marzec</t>
  </si>
  <si>
    <t>Kaczan</t>
  </si>
  <si>
    <t>Cichocka</t>
  </si>
  <si>
    <t>Wichrowa</t>
  </si>
  <si>
    <t>Wpawska</t>
  </si>
  <si>
    <t>Barbara</t>
  </si>
  <si>
    <t>Bugajska</t>
  </si>
  <si>
    <t>Julia</t>
  </si>
  <si>
    <t>Adaszek</t>
  </si>
  <si>
    <t>Mielecka</t>
  </si>
  <si>
    <t>Radu</t>
  </si>
  <si>
    <t>Daniel</t>
  </si>
  <si>
    <t>Szymenderski</t>
  </si>
  <si>
    <t>Olaf</t>
  </si>
  <si>
    <t>Banasik</t>
  </si>
  <si>
    <t>Zofia</t>
  </si>
  <si>
    <t>Kostrzewa</t>
  </si>
  <si>
    <t>Gazda</t>
  </si>
  <si>
    <t>Alicja</t>
  </si>
  <si>
    <t>Lubelska</t>
  </si>
  <si>
    <t>Grabowska</t>
  </si>
  <si>
    <t>Klaudia</t>
  </si>
  <si>
    <t>Talaska</t>
  </si>
  <si>
    <t>Marcin</t>
  </si>
  <si>
    <t>Lewandowski</t>
  </si>
  <si>
    <t>Bartosz</t>
  </si>
  <si>
    <t>Durka</t>
  </si>
  <si>
    <t>Kornelia</t>
  </si>
  <si>
    <t>Krynicka</t>
  </si>
  <si>
    <t>Baran</t>
  </si>
  <si>
    <t>Leon</t>
  </si>
  <si>
    <t>Pleszewska</t>
  </si>
  <si>
    <t>Kika</t>
  </si>
  <si>
    <t>Marcelina</t>
  </si>
  <si>
    <t>Maryla</t>
  </si>
  <si>
    <t>Kijowski</t>
  </si>
  <si>
    <t>Wojciech</t>
  </si>
  <si>
    <t>Antczak</t>
  </si>
  <si>
    <t>Teresa</t>
  </si>
  <si>
    <t>Suwalska</t>
  </si>
  <si>
    <t>Karwatowska</t>
  </si>
  <si>
    <t>Marzena</t>
  </si>
  <si>
    <t>Sofijska</t>
  </si>
  <si>
    <t>Sadecki</t>
  </si>
  <si>
    <t>Andrzej</t>
  </si>
  <si>
    <t>Podlaska</t>
  </si>
  <si>
    <t>Augustowska</t>
  </si>
  <si>
    <t>Piotrkowska</t>
  </si>
  <si>
    <t>Sopocka</t>
  </si>
  <si>
    <t>Beata</t>
  </si>
  <si>
    <t>Kalinowski</t>
  </si>
  <si>
    <t>Szymon</t>
  </si>
  <si>
    <t>Rzymski</t>
  </si>
  <si>
    <t>Robert</t>
  </si>
  <si>
    <t>Kowalik</t>
  </si>
  <si>
    <t>Malgorzata</t>
  </si>
  <si>
    <t>Bajda</t>
  </si>
  <si>
    <t>Kapala</t>
  </si>
  <si>
    <t>Szklarska</t>
  </si>
  <si>
    <t>Jagos</t>
  </si>
  <si>
    <t>Wioletta</t>
  </si>
  <si>
    <t>Dominika</t>
  </si>
  <si>
    <t>Bolkowski</t>
  </si>
  <si>
    <t>Jan</t>
  </si>
  <si>
    <t>Barszcz</t>
  </si>
  <si>
    <t>Kot</t>
  </si>
  <si>
    <t>Junak</t>
  </si>
  <si>
    <t>Roxana</t>
  </si>
  <si>
    <t>Setniewska</t>
  </si>
  <si>
    <t>Wiktoria</t>
  </si>
  <si>
    <t>Hajkiewicz</t>
  </si>
  <si>
    <t>Balcerzak</t>
  </si>
  <si>
    <t>Ilona</t>
  </si>
  <si>
    <t>Litewka</t>
  </si>
  <si>
    <t>Kotala</t>
  </si>
  <si>
    <t>Aronowska</t>
  </si>
  <si>
    <t>Halina</t>
  </si>
  <si>
    <t>Katowicka</t>
  </si>
  <si>
    <t>Dorota</t>
  </si>
  <si>
    <t>Bitner</t>
  </si>
  <si>
    <t>Sochacki</t>
  </si>
  <si>
    <t>Skrok</t>
  </si>
  <si>
    <t>Bartosiak</t>
  </si>
  <si>
    <t>Kazimiera</t>
  </si>
  <si>
    <t>Siedlecka</t>
  </si>
  <si>
    <t>Rozalia</t>
  </si>
  <si>
    <t>Muchewicz</t>
  </si>
  <si>
    <t>Pilipczuk</t>
  </si>
  <si>
    <t>Mariusz</t>
  </si>
  <si>
    <t>Bielun</t>
  </si>
  <si>
    <t>Grzeskowiak</t>
  </si>
  <si>
    <t>Karpek</t>
  </si>
  <si>
    <t>Kowal</t>
  </si>
  <si>
    <t>Augustyn</t>
  </si>
  <si>
    <t>Filipczuk</t>
  </si>
  <si>
    <t>Miklas</t>
  </si>
  <si>
    <t>Vasina</t>
  </si>
  <si>
    <t>Inga</t>
  </si>
  <si>
    <t>Banasiewicz</t>
  </si>
  <si>
    <t>Fryziel</t>
  </si>
  <si>
    <t>Daria</t>
  </si>
  <si>
    <t>Bedka</t>
  </si>
  <si>
    <t>Banaszczyk</t>
  </si>
  <si>
    <t>Ptaszek</t>
  </si>
  <si>
    <t>Rey</t>
  </si>
  <si>
    <t>Zeller</t>
  </si>
  <si>
    <t>Majcherczyk</t>
  </si>
  <si>
    <t>Grabicka</t>
  </si>
  <si>
    <t>Grazyna</t>
  </si>
  <si>
    <t>Praska</t>
  </si>
  <si>
    <t>Jakus</t>
  </si>
  <si>
    <t>Grdulska</t>
  </si>
  <si>
    <t>Majkut</t>
  </si>
  <si>
    <t>Cabaj</t>
  </si>
  <si>
    <t>Malecka</t>
  </si>
  <si>
    <t>Stefania</t>
  </si>
  <si>
    <t>Gagatek</t>
  </si>
  <si>
    <t>Stefan</t>
  </si>
  <si>
    <t>Otwocka</t>
  </si>
  <si>
    <t>Ewelia</t>
  </si>
  <si>
    <t>Krystyna</t>
  </si>
  <si>
    <t>Sabatowicz</t>
  </si>
  <si>
    <t>Magiera</t>
  </si>
  <si>
    <t>Klekotko</t>
  </si>
  <si>
    <t>Nowak</t>
  </si>
  <si>
    <t>Doszko</t>
  </si>
  <si>
    <t>Rozwalka</t>
  </si>
  <si>
    <t>Aleksandrowicz</t>
  </si>
  <si>
    <t>Kilarski</t>
  </si>
  <si>
    <t>Rykowski</t>
  </si>
  <si>
    <t>Roman</t>
  </si>
  <si>
    <t>Skierniewicka</t>
  </si>
  <si>
    <t>Malwina</t>
  </si>
  <si>
    <t>Wronka</t>
  </si>
  <si>
    <t>Cezary</t>
  </si>
  <si>
    <t>Wroniszewski</t>
  </si>
  <si>
    <t>Mieszko</t>
  </si>
  <si>
    <t>Andrzejewska</t>
  </si>
  <si>
    <t>Klimaszewski</t>
  </si>
  <si>
    <t>Krzysztof</t>
  </si>
  <si>
    <t>Pachnowski</t>
  </si>
  <si>
    <t>Jacek</t>
  </si>
  <si>
    <t>Klimaszewska</t>
  </si>
  <si>
    <t>Malik</t>
  </si>
  <si>
    <t>Jakub</t>
  </si>
  <si>
    <t>Lwowska</t>
  </si>
  <si>
    <t>Adamowicz</t>
  </si>
  <si>
    <t>Jolanta</t>
  </si>
  <si>
    <t>Pastuszka</t>
  </si>
  <si>
    <t>Kalitowski</t>
  </si>
  <si>
    <t>Miller</t>
  </si>
  <si>
    <t>Zbigniew</t>
  </si>
  <si>
    <t>Bartkiewicz</t>
  </si>
  <si>
    <t>Elwira</t>
  </si>
  <si>
    <t>Dmochowska</t>
  </si>
  <si>
    <t>Szostek</t>
  </si>
  <si>
    <t>Paprocki</t>
  </si>
  <si>
    <t>Konrad</t>
  </si>
  <si>
    <t>Holmes</t>
  </si>
  <si>
    <t>Kozar</t>
  </si>
  <si>
    <t>Bednarska</t>
  </si>
  <si>
    <t>Zuzanna</t>
  </si>
  <si>
    <t>Antos</t>
  </si>
  <si>
    <t>Kumur</t>
  </si>
  <si>
    <t>Genowefa</t>
  </si>
  <si>
    <t>Wilczko</t>
  </si>
  <si>
    <t>Bugajski</t>
  </si>
  <si>
    <t>Florczuk</t>
  </si>
  <si>
    <t>Bielec</t>
  </si>
  <si>
    <t>Busz</t>
  </si>
  <si>
    <t>Balicka</t>
  </si>
  <si>
    <t>Badowska</t>
  </si>
  <si>
    <t>Labryga</t>
  </si>
  <si>
    <t>Barcik</t>
  </si>
  <si>
    <t>Ksel</t>
  </si>
  <si>
    <t>Skrzypek</t>
  </si>
  <si>
    <t>Konstantinova</t>
  </si>
  <si>
    <t>Alexandra</t>
  </si>
  <si>
    <t>Kowalska</t>
  </si>
  <si>
    <t>Wojtkowiak</t>
  </si>
  <si>
    <t>Jurecka</t>
  </si>
  <si>
    <t>Kinga</t>
  </si>
  <si>
    <t>Popowski</t>
  </si>
  <si>
    <t>Pietrzyk</t>
  </si>
  <si>
    <t>Anita</t>
  </si>
  <si>
    <t>Sieduszewski</t>
  </si>
  <si>
    <t>Pryk</t>
  </si>
  <si>
    <t>Tymon</t>
  </si>
  <si>
    <t>Maj</t>
  </si>
  <si>
    <t>Marciszewski</t>
  </si>
  <si>
    <t>Adamski</t>
  </si>
  <si>
    <t>Jerzy</t>
  </si>
  <si>
    <t>Albert</t>
  </si>
  <si>
    <t>Polkowicka</t>
  </si>
  <si>
    <t>Cieplik</t>
  </si>
  <si>
    <t>Parczewska</t>
  </si>
  <si>
    <t>Pisarska</t>
  </si>
  <si>
    <t>Basiak</t>
  </si>
  <si>
    <t>Janicka</t>
  </si>
  <si>
    <t>Engel</t>
  </si>
  <si>
    <t>Plichta</t>
  </si>
  <si>
    <t>Barszczewska</t>
  </si>
  <si>
    <t>Cecylia</t>
  </si>
  <si>
    <t>Tekla</t>
  </si>
  <si>
    <t>Kuc</t>
  </si>
  <si>
    <t>Kogut</t>
  </si>
  <si>
    <t>Olivia</t>
  </si>
  <si>
    <t>Berezowska</t>
  </si>
  <si>
    <t>Walczak</t>
  </si>
  <si>
    <t>Guzik</t>
  </si>
  <si>
    <t>Modzelewski</t>
  </si>
  <si>
    <t>Mateusz</t>
  </si>
  <si>
    <t>Dudek</t>
  </si>
  <si>
    <t>Banach</t>
  </si>
  <si>
    <t>Klasz</t>
  </si>
  <si>
    <t>Kisiel</t>
  </si>
  <si>
    <t>Dawid</t>
  </si>
  <si>
    <t>Geldner</t>
  </si>
  <si>
    <t>Rygielski</t>
  </si>
  <si>
    <t>Ossowski</t>
  </si>
  <si>
    <t>Kisielewska</t>
  </si>
  <si>
    <t>Greta</t>
  </si>
  <si>
    <t>Nyski</t>
  </si>
  <si>
    <t>Kopec</t>
  </si>
  <si>
    <t>Sznyrowska</t>
  </si>
  <si>
    <t>Tichoniuk</t>
  </si>
  <si>
    <t>Dul</t>
  </si>
  <si>
    <t>Grzegorczyk</t>
  </si>
  <si>
    <t>Grzywacz</t>
  </si>
  <si>
    <t>Wanda</t>
  </si>
  <si>
    <t>Karina</t>
  </si>
  <si>
    <t>Barabasz</t>
  </si>
  <si>
    <t>Borowska</t>
  </si>
  <si>
    <t>Cedro</t>
  </si>
  <si>
    <t>Sieradzki</t>
  </si>
  <si>
    <t>Sar</t>
  </si>
  <si>
    <t>Kordaszewska</t>
  </si>
  <si>
    <t>Bauer</t>
  </si>
  <si>
    <t>Jagoda</t>
  </si>
  <si>
    <t>Brychcy</t>
  </si>
  <si>
    <t>Agata</t>
  </si>
  <si>
    <t>Grzegorz</t>
  </si>
  <si>
    <t>Kordaszewski</t>
  </si>
  <si>
    <t>Wiatrowski</t>
  </si>
  <si>
    <t>Balcer</t>
  </si>
  <si>
    <t>Iwona</t>
  </si>
  <si>
    <t>Irma</t>
  </si>
  <si>
    <t>Jackowska</t>
  </si>
  <si>
    <t>Sosnowiecka</t>
  </si>
  <si>
    <t>Henrykowski</t>
  </si>
  <si>
    <t>Kornel</t>
  </si>
  <si>
    <t>Podczasiak</t>
  </si>
  <si>
    <t>Jadwiga</t>
  </si>
  <si>
    <t>Skrzydlowski</t>
  </si>
  <si>
    <t>Genewski</t>
  </si>
  <si>
    <t>Bienias</t>
  </si>
  <si>
    <t>Alina</t>
  </si>
  <si>
    <t>Madrycki</t>
  </si>
  <si>
    <t>Opolska</t>
  </si>
  <si>
    <t>Barwicka</t>
  </si>
  <si>
    <t>Leniak</t>
  </si>
  <si>
    <t>Kapanowska</t>
  </si>
  <si>
    <t>Lech</t>
  </si>
  <si>
    <t>Kaczocha</t>
  </si>
  <si>
    <t>Artur</t>
  </si>
  <si>
    <t>Bartoszek</t>
  </si>
  <si>
    <t>Gawlowska</t>
  </si>
  <si>
    <t>Enrika</t>
  </si>
  <si>
    <t>Balcerowska</t>
  </si>
  <si>
    <t>Nagaj</t>
  </si>
  <si>
    <t>Jakubczyk</t>
  </si>
  <si>
    <t>Aleksander</t>
  </si>
  <si>
    <t>Wiek</t>
  </si>
  <si>
    <t>Suchocki</t>
  </si>
  <si>
    <t>Michalik</t>
  </si>
  <si>
    <t>Bandera</t>
  </si>
  <si>
    <t>Rybicki</t>
  </si>
  <si>
    <t>Lysiak</t>
  </si>
  <si>
    <t>Helena</t>
  </si>
  <si>
    <t>Balcerek</t>
  </si>
  <si>
    <t>Blacharz</t>
  </si>
  <si>
    <t>Kaczorowska</t>
  </si>
  <si>
    <t>Kisielewski</t>
  </si>
  <si>
    <t>Krystian</t>
  </si>
  <si>
    <t>Sikora</t>
  </si>
  <si>
    <t>Norbert</t>
  </si>
  <si>
    <t>Warszawska</t>
  </si>
  <si>
    <t>Rita</t>
  </si>
  <si>
    <t>Moskiewski</t>
  </si>
  <si>
    <t>Pogrebniak</t>
  </si>
  <si>
    <t>Jegor</t>
  </si>
  <si>
    <t>Gates</t>
  </si>
  <si>
    <t>Zaprawa</t>
  </si>
  <si>
    <t>Mazgaj</t>
  </si>
  <si>
    <t>Samborski</t>
  </si>
  <si>
    <t>Barcikowska</t>
  </si>
  <si>
    <t>Zyta</t>
  </si>
  <si>
    <t>Radziejowski</t>
  </si>
  <si>
    <t>Baranek</t>
  </si>
  <si>
    <t>Wosiak</t>
  </si>
  <si>
    <t>Cichawa</t>
  </si>
  <si>
    <t>Smutnicki</t>
  </si>
  <si>
    <t>Tomasz</t>
  </si>
  <si>
    <t>Dominik</t>
  </si>
  <si>
    <t>Gralewicz</t>
  </si>
  <si>
    <t>Matczak</t>
  </si>
  <si>
    <t>Grzybek</t>
  </si>
  <si>
    <t>Bartel</t>
  </si>
  <si>
    <t>Kosaty</t>
  </si>
  <si>
    <t>Pietkiewicz</t>
  </si>
  <si>
    <t>Alot</t>
  </si>
  <si>
    <t>Glazik</t>
  </si>
  <si>
    <t>Barczuk</t>
  </si>
  <si>
    <t>Maja</t>
  </si>
  <si>
    <t>Szkutnik</t>
  </si>
  <si>
    <t>Podstawa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</si>
  <si>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</si>
  <si>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</si>
  <si>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</si>
  <si>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</si>
  <si>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</si>
  <si>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</si>
  <si>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</si>
  <si>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</si>
  <si>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</si>
  <si>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</si>
  <si>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</si>
  <si>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</si>
  <si>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Etykiety wierszy</t>
  </si>
  <si>
    <t>Suma końcowa</t>
  </si>
  <si>
    <t>kobieta</t>
  </si>
  <si>
    <t>Suma z kobieta</t>
  </si>
  <si>
    <t>wiek</t>
  </si>
  <si>
    <t>kobiety</t>
  </si>
  <si>
    <t>mężczyźni</t>
  </si>
  <si>
    <t>skladka kobiety</t>
  </si>
  <si>
    <t>skladka mezczyzni</t>
  </si>
  <si>
    <t>suma kobiety</t>
  </si>
  <si>
    <t>suma mezczyzni</t>
  </si>
  <si>
    <t>20-29</t>
  </si>
  <si>
    <t>30-39</t>
  </si>
  <si>
    <t>40-49</t>
  </si>
  <si>
    <t>50-59</t>
  </si>
  <si>
    <t>60-69</t>
  </si>
  <si>
    <t>70-79</t>
  </si>
  <si>
    <t>Suma z 70-79</t>
  </si>
  <si>
    <t>Suma z 60-69</t>
  </si>
  <si>
    <t>Suma z 50-59</t>
  </si>
  <si>
    <t>Suma z 40-49</t>
  </si>
  <si>
    <t>Suma z 30-39</t>
  </si>
  <si>
    <t>Suma z 20-29</t>
  </si>
  <si>
    <t>Wartości</t>
  </si>
  <si>
    <t>ilosc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</si>
</sst>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1"/>
    <xf numFmtId="0" fontId="1" fillId="2" borderId="0" xfId="1" applyAlignment="1">
      <alignment horizontal="left"/>
    </xf>
    <xf numFmtId="0" fontId="1" fillId="2" borderId="0" xfId="1" applyNumberFormat="1"/>
    <xf numFmtId="2" fontId="0" fillId="0" borderId="0" xfId="0" applyNumberForma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w poszczególnym wieku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'6.4'!$Q$11</c:f>
              <c:strCache>
                <c:ptCount val="1"/>
                <c:pt idx="0">
                  <c:v>ilosc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'6.4'!$P$12:$P$17</c:f>
              <c:strCache>
                <c:ptCount val="6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  <c:pt idx="3">
                  <c:v>50-59</c:v>
                </c:pt>
                <c:pt idx="4">
                  <c:v>60-69</c:v>
                </c:pt>
                <c:pt idx="5">
                  <c:v>70-79</c:v>
                </c:pt>
              </c:strCache>
            </c:strRef>
          </c:cat>
          <c:val>
            <c:numRef>
              <c:f>'6.4'!$Q$12:$Q$17</c:f>
              <c:numCache>
                <c:formatCode>General</c:formatCode>
                <c:ptCount val="6"/>
                <c:pt idx="0">
                  <c:v>62</c:v>
                </c:pt>
                <c:pt idx="1">
                  <c:v>56</c:v>
                </c:pt>
                <c:pt idx="2">
                  <c:v>64</c:v>
                </c:pt>
                <c:pt idx="3">
                  <c:v>56</c:v>
                </c:pt>
                <c:pt idx="4">
                  <c:v>71</c:v>
                </c:pt>
                <c:pt idx="5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7-410F-B3CB-EF0D4A5D9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7717887"/>
        <c:axId val="867718367"/>
      </c:barChart>
      <c:catAx>
        <c:axId val="867717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przedział</a:t>
                </a:r>
                <a:r>
                  <a:rPr lang="pl-PL" baseline="0"/>
                  <a:t> wiekowy</a:t>
                </a:r>
                <a:endParaRPr lang="pl-PL"/>
              </a:p>
            </c:rich>
          </c:tx>
          <c:layout>
            <c:manualLayout>
              <c:xMode val="edge"/>
              <c:yMode val="edge"/>
              <c:x val="0.39940157480314958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7718367"/>
        <c:crosses val="autoZero"/>
        <c:auto val="1"/>
        <c:lblAlgn val="ctr"/>
        <c:lblOffset val="100"/>
        <c:noMultiLvlLbl val="0"/>
      </c:catAx>
      <c:valAx>
        <c:axId val="86771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</a:t>
                </a:r>
                <a:r>
                  <a:rPr lang="pl-PL" baseline="0"/>
                  <a:t> osób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86771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200339</xdr:colOff>
      <xdr:row>19</xdr:row>
      <xdr:rowOff>51915</xdr:rowOff>
    </xdr:from>
    <xdr:to>
      <xdr:col>17</xdr:col>
      <xdr:colOff>401724</xdr:colOff>
      <xdr:row>33</xdr:row>
      <xdr:rowOff>128115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AEF4045A-DE15-8ED1-4366-572DA6639A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6.966655787037" createdVersion="8" refreshedVersion="8" minRefreshableVersion="3" recordCount="331" xr:uid="{A854FEC1-46E8-4C88-9001-EC6A83372770}">
  <cacheSource type="worksheet">
    <worksheetSource ref="D1:E332" sheet="6.2"/>
  </cacheSource>
  <cacheFields count="2">
    <cacheField name="Miejsce_zamieszkania" numFmtId="0">
      <sharedItems count="4">
        <s v="srednie miasto"/>
        <s v="wies"/>
        <s v="duze miasto"/>
        <s v="male miasto"/>
      </sharedItems>
    </cacheField>
    <cacheField name="kobieta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skar Pawlik" refreshedDate="46136.985746759259" createdVersion="8" refreshedVersion="8" minRefreshableVersion="3" recordCount="331" xr:uid="{BDE06B82-DC87-400B-B1F8-080BCA39C1EC}">
  <cacheSource type="worksheet">
    <worksheetSource ref="F1:K332" sheet="6.4"/>
  </cacheSource>
  <cacheFields count="6">
    <cacheField name="20-29" numFmtId="0">
      <sharedItems containsSemiMixedTypes="0" containsString="0" containsNumber="1" containsInteger="1" minValue="0" maxValue="1"/>
    </cacheField>
    <cacheField name="30-39" numFmtId="0">
      <sharedItems containsSemiMixedTypes="0" containsString="0" containsNumber="1" containsInteger="1" minValue="0" maxValue="1"/>
    </cacheField>
    <cacheField name="40-49" numFmtId="0">
      <sharedItems containsSemiMixedTypes="0" containsString="0" containsNumber="1" containsInteger="1" minValue="0" maxValue="1"/>
    </cacheField>
    <cacheField name="50-59" numFmtId="0">
      <sharedItems containsSemiMixedTypes="0" containsString="0" containsNumber="1" containsInteger="1" minValue="0" maxValue="1"/>
    </cacheField>
    <cacheField name="60-69" numFmtId="0">
      <sharedItems containsSemiMixedTypes="0" containsString="0" containsNumber="1" containsInteger="1" minValue="0" maxValue="1"/>
    </cacheField>
    <cacheField name="70-79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x v="0"/>
    <n v="1"/>
  </r>
  <r>
    <x v="1"/>
    <n v="0"/>
  </r>
  <r>
    <x v="2"/>
    <n v="1"/>
  </r>
  <r>
    <x v="1"/>
    <n v="0"/>
  </r>
  <r>
    <x v="1"/>
    <n v="1"/>
  </r>
  <r>
    <x v="2"/>
    <n v="0"/>
  </r>
  <r>
    <x v="0"/>
    <n v="1"/>
  </r>
  <r>
    <x v="0"/>
    <n v="1"/>
  </r>
  <r>
    <x v="0"/>
    <n v="0"/>
  </r>
  <r>
    <x v="0"/>
    <n v="1"/>
  </r>
  <r>
    <x v="0"/>
    <n v="0"/>
  </r>
  <r>
    <x v="2"/>
    <n v="0"/>
  </r>
  <r>
    <x v="2"/>
    <n v="0"/>
  </r>
  <r>
    <x v="2"/>
    <n v="0"/>
  </r>
  <r>
    <x v="2"/>
    <n v="0"/>
  </r>
  <r>
    <x v="0"/>
    <n v="0"/>
  </r>
  <r>
    <x v="1"/>
    <n v="1"/>
  </r>
  <r>
    <x v="3"/>
    <n v="1"/>
  </r>
  <r>
    <x v="1"/>
    <n v="1"/>
  </r>
  <r>
    <x v="0"/>
    <n v="1"/>
  </r>
  <r>
    <x v="2"/>
    <n v="1"/>
  </r>
  <r>
    <x v="0"/>
    <n v="1"/>
  </r>
  <r>
    <x v="3"/>
    <n v="0"/>
  </r>
  <r>
    <x v="1"/>
    <n v="0"/>
  </r>
  <r>
    <x v="2"/>
    <n v="1"/>
  </r>
  <r>
    <x v="2"/>
    <n v="1"/>
  </r>
  <r>
    <x v="3"/>
    <n v="1"/>
  </r>
  <r>
    <x v="2"/>
    <n v="0"/>
  </r>
  <r>
    <x v="1"/>
    <n v="0"/>
  </r>
  <r>
    <x v="2"/>
    <n v="1"/>
  </r>
  <r>
    <x v="2"/>
    <n v="1"/>
  </r>
  <r>
    <x v="0"/>
    <n v="1"/>
  </r>
  <r>
    <x v="3"/>
    <n v="1"/>
  </r>
  <r>
    <x v="0"/>
    <n v="1"/>
  </r>
  <r>
    <x v="2"/>
    <n v="0"/>
  </r>
  <r>
    <x v="0"/>
    <n v="0"/>
  </r>
  <r>
    <x v="2"/>
    <n v="1"/>
  </r>
  <r>
    <x v="0"/>
    <n v="0"/>
  </r>
  <r>
    <x v="1"/>
    <n v="1"/>
  </r>
  <r>
    <x v="2"/>
    <n v="1"/>
  </r>
  <r>
    <x v="3"/>
    <n v="0"/>
  </r>
  <r>
    <x v="0"/>
    <n v="1"/>
  </r>
  <r>
    <x v="2"/>
    <n v="1"/>
  </r>
  <r>
    <x v="2"/>
    <n v="1"/>
  </r>
  <r>
    <x v="0"/>
    <n v="1"/>
  </r>
  <r>
    <x v="3"/>
    <n v="1"/>
  </r>
  <r>
    <x v="2"/>
    <n v="0"/>
  </r>
  <r>
    <x v="2"/>
    <n v="1"/>
  </r>
  <r>
    <x v="0"/>
    <n v="0"/>
  </r>
  <r>
    <x v="0"/>
    <n v="0"/>
  </r>
  <r>
    <x v="3"/>
    <n v="0"/>
  </r>
  <r>
    <x v="0"/>
    <n v="1"/>
  </r>
  <r>
    <x v="0"/>
    <n v="1"/>
  </r>
  <r>
    <x v="0"/>
    <n v="0"/>
  </r>
  <r>
    <x v="2"/>
    <n v="0"/>
  </r>
  <r>
    <x v="0"/>
    <n v="0"/>
  </r>
  <r>
    <x v="2"/>
    <n v="1"/>
  </r>
  <r>
    <x v="1"/>
    <n v="1"/>
  </r>
  <r>
    <x v="2"/>
    <n v="1"/>
  </r>
  <r>
    <x v="2"/>
    <n v="1"/>
  </r>
  <r>
    <x v="0"/>
    <n v="0"/>
  </r>
  <r>
    <x v="2"/>
    <n v="1"/>
  </r>
  <r>
    <x v="0"/>
    <n v="1"/>
  </r>
  <r>
    <x v="3"/>
    <n v="0"/>
  </r>
  <r>
    <x v="2"/>
    <n v="0"/>
  </r>
  <r>
    <x v="3"/>
    <n v="0"/>
  </r>
  <r>
    <x v="3"/>
    <n v="0"/>
  </r>
  <r>
    <x v="3"/>
    <n v="1"/>
  </r>
  <r>
    <x v="2"/>
    <n v="1"/>
  </r>
  <r>
    <x v="1"/>
    <n v="1"/>
  </r>
  <r>
    <x v="2"/>
    <n v="1"/>
  </r>
  <r>
    <x v="3"/>
    <n v="1"/>
  </r>
  <r>
    <x v="0"/>
    <n v="1"/>
  </r>
  <r>
    <x v="0"/>
    <n v="1"/>
  </r>
  <r>
    <x v="3"/>
    <n v="0"/>
  </r>
  <r>
    <x v="0"/>
    <n v="1"/>
  </r>
  <r>
    <x v="3"/>
    <n v="0"/>
  </r>
  <r>
    <x v="1"/>
    <n v="1"/>
  </r>
  <r>
    <x v="1"/>
    <n v="1"/>
  </r>
  <r>
    <x v="2"/>
    <n v="0"/>
  </r>
  <r>
    <x v="2"/>
    <n v="1"/>
  </r>
  <r>
    <x v="2"/>
    <n v="1"/>
  </r>
  <r>
    <x v="2"/>
    <n v="1"/>
  </r>
  <r>
    <x v="2"/>
    <n v="0"/>
  </r>
  <r>
    <x v="0"/>
    <n v="0"/>
  </r>
  <r>
    <x v="2"/>
    <n v="1"/>
  </r>
  <r>
    <x v="0"/>
    <n v="1"/>
  </r>
  <r>
    <x v="0"/>
    <n v="0"/>
  </r>
  <r>
    <x v="2"/>
    <n v="1"/>
  </r>
  <r>
    <x v="1"/>
    <n v="1"/>
  </r>
  <r>
    <x v="3"/>
    <n v="1"/>
  </r>
  <r>
    <x v="3"/>
    <n v="0"/>
  </r>
  <r>
    <x v="2"/>
    <n v="1"/>
  </r>
  <r>
    <x v="2"/>
    <n v="1"/>
  </r>
  <r>
    <x v="3"/>
    <n v="1"/>
  </r>
  <r>
    <x v="2"/>
    <n v="1"/>
  </r>
  <r>
    <x v="1"/>
    <n v="1"/>
  </r>
  <r>
    <x v="1"/>
    <n v="0"/>
  </r>
  <r>
    <x v="2"/>
    <n v="1"/>
  </r>
  <r>
    <x v="0"/>
    <n v="1"/>
  </r>
  <r>
    <x v="3"/>
    <n v="1"/>
  </r>
  <r>
    <x v="2"/>
    <n v="1"/>
  </r>
  <r>
    <x v="2"/>
    <n v="1"/>
  </r>
  <r>
    <x v="2"/>
    <n v="1"/>
  </r>
  <r>
    <x v="0"/>
    <n v="0"/>
  </r>
  <r>
    <x v="0"/>
    <n v="0"/>
  </r>
  <r>
    <x v="3"/>
    <n v="1"/>
  </r>
  <r>
    <x v="3"/>
    <n v="1"/>
  </r>
  <r>
    <x v="2"/>
    <n v="0"/>
  </r>
  <r>
    <x v="2"/>
    <n v="1"/>
  </r>
  <r>
    <x v="2"/>
    <n v="1"/>
  </r>
  <r>
    <x v="2"/>
    <n v="1"/>
  </r>
  <r>
    <x v="3"/>
    <n v="0"/>
  </r>
  <r>
    <x v="2"/>
    <n v="0"/>
  </r>
  <r>
    <x v="3"/>
    <n v="0"/>
  </r>
  <r>
    <x v="0"/>
    <n v="1"/>
  </r>
  <r>
    <x v="3"/>
    <n v="1"/>
  </r>
  <r>
    <x v="2"/>
    <n v="1"/>
  </r>
  <r>
    <x v="0"/>
    <n v="1"/>
  </r>
  <r>
    <x v="2"/>
    <n v="0"/>
  </r>
  <r>
    <x v="0"/>
    <n v="1"/>
  </r>
  <r>
    <x v="2"/>
    <n v="1"/>
  </r>
  <r>
    <x v="0"/>
    <n v="1"/>
  </r>
  <r>
    <x v="2"/>
    <n v="1"/>
  </r>
  <r>
    <x v="2"/>
    <n v="0"/>
  </r>
  <r>
    <x v="0"/>
    <n v="0"/>
  </r>
  <r>
    <x v="2"/>
    <n v="1"/>
  </r>
  <r>
    <x v="2"/>
    <n v="1"/>
  </r>
  <r>
    <x v="0"/>
    <n v="0"/>
  </r>
  <r>
    <x v="3"/>
    <n v="0"/>
  </r>
  <r>
    <x v="0"/>
    <n v="1"/>
  </r>
  <r>
    <x v="1"/>
    <n v="1"/>
  </r>
  <r>
    <x v="1"/>
    <n v="0"/>
  </r>
  <r>
    <x v="0"/>
    <n v="1"/>
  </r>
  <r>
    <x v="2"/>
    <n v="1"/>
  </r>
  <r>
    <x v="0"/>
    <n v="1"/>
  </r>
  <r>
    <x v="2"/>
    <n v="1"/>
  </r>
  <r>
    <x v="1"/>
    <n v="0"/>
  </r>
  <r>
    <x v="1"/>
    <n v="0"/>
  </r>
  <r>
    <x v="2"/>
    <n v="1"/>
  </r>
  <r>
    <x v="2"/>
    <n v="1"/>
  </r>
  <r>
    <x v="2"/>
    <n v="1"/>
  </r>
  <r>
    <x v="1"/>
    <n v="1"/>
  </r>
  <r>
    <x v="2"/>
    <n v="1"/>
  </r>
  <r>
    <x v="2"/>
    <n v="0"/>
  </r>
  <r>
    <x v="0"/>
    <n v="0"/>
  </r>
  <r>
    <x v="1"/>
    <n v="1"/>
  </r>
  <r>
    <x v="1"/>
    <n v="0"/>
  </r>
  <r>
    <x v="2"/>
    <n v="1"/>
  </r>
  <r>
    <x v="0"/>
    <n v="1"/>
  </r>
  <r>
    <x v="2"/>
    <n v="0"/>
  </r>
  <r>
    <x v="2"/>
    <n v="1"/>
  </r>
  <r>
    <x v="0"/>
    <n v="0"/>
  </r>
  <r>
    <x v="0"/>
    <n v="0"/>
  </r>
  <r>
    <x v="1"/>
    <n v="1"/>
  </r>
  <r>
    <x v="2"/>
    <n v="1"/>
  </r>
  <r>
    <x v="2"/>
    <n v="0"/>
  </r>
  <r>
    <x v="0"/>
    <n v="1"/>
  </r>
  <r>
    <x v="3"/>
    <n v="1"/>
  </r>
  <r>
    <x v="2"/>
    <n v="0"/>
  </r>
  <r>
    <x v="3"/>
    <n v="0"/>
  </r>
  <r>
    <x v="0"/>
    <n v="1"/>
  </r>
  <r>
    <x v="3"/>
    <n v="0"/>
  </r>
  <r>
    <x v="1"/>
    <n v="1"/>
  </r>
  <r>
    <x v="1"/>
    <n v="0"/>
  </r>
  <r>
    <x v="0"/>
    <n v="1"/>
  </r>
  <r>
    <x v="3"/>
    <n v="1"/>
  </r>
  <r>
    <x v="3"/>
    <n v="0"/>
  </r>
  <r>
    <x v="2"/>
    <n v="1"/>
  </r>
  <r>
    <x v="0"/>
    <n v="0"/>
  </r>
  <r>
    <x v="2"/>
    <n v="0"/>
  </r>
  <r>
    <x v="0"/>
    <n v="1"/>
  </r>
  <r>
    <x v="3"/>
    <n v="0"/>
  </r>
  <r>
    <x v="0"/>
    <n v="0"/>
  </r>
  <r>
    <x v="2"/>
    <n v="1"/>
  </r>
  <r>
    <x v="0"/>
    <n v="0"/>
  </r>
  <r>
    <x v="1"/>
    <n v="0"/>
  </r>
  <r>
    <x v="2"/>
    <n v="1"/>
  </r>
  <r>
    <x v="2"/>
    <n v="1"/>
  </r>
  <r>
    <x v="0"/>
    <n v="1"/>
  </r>
  <r>
    <x v="0"/>
    <n v="0"/>
  </r>
  <r>
    <x v="2"/>
    <n v="0"/>
  </r>
  <r>
    <x v="2"/>
    <n v="1"/>
  </r>
  <r>
    <x v="3"/>
    <n v="1"/>
  </r>
  <r>
    <x v="0"/>
    <n v="0"/>
  </r>
  <r>
    <x v="3"/>
    <n v="0"/>
  </r>
  <r>
    <x v="2"/>
    <n v="1"/>
  </r>
  <r>
    <x v="2"/>
    <n v="0"/>
  </r>
  <r>
    <x v="2"/>
    <n v="1"/>
  </r>
  <r>
    <x v="2"/>
    <n v="1"/>
  </r>
  <r>
    <x v="0"/>
    <n v="1"/>
  </r>
  <r>
    <x v="2"/>
    <n v="1"/>
  </r>
  <r>
    <x v="1"/>
    <n v="0"/>
  </r>
  <r>
    <x v="2"/>
    <n v="0"/>
  </r>
  <r>
    <x v="2"/>
    <n v="1"/>
  </r>
  <r>
    <x v="3"/>
    <n v="1"/>
  </r>
  <r>
    <x v="1"/>
    <n v="0"/>
  </r>
  <r>
    <x v="2"/>
    <n v="1"/>
  </r>
  <r>
    <x v="0"/>
    <n v="1"/>
  </r>
  <r>
    <x v="2"/>
    <n v="0"/>
  </r>
  <r>
    <x v="2"/>
    <n v="1"/>
  </r>
  <r>
    <x v="3"/>
    <n v="0"/>
  </r>
  <r>
    <x v="2"/>
    <n v="0"/>
  </r>
  <r>
    <x v="2"/>
    <n v="1"/>
  </r>
  <r>
    <x v="0"/>
    <n v="1"/>
  </r>
  <r>
    <x v="3"/>
    <n v="0"/>
  </r>
  <r>
    <x v="2"/>
    <n v="1"/>
  </r>
  <r>
    <x v="0"/>
    <n v="0"/>
  </r>
  <r>
    <x v="2"/>
    <n v="1"/>
  </r>
  <r>
    <x v="1"/>
    <n v="0"/>
  </r>
  <r>
    <x v="1"/>
    <n v="0"/>
  </r>
  <r>
    <x v="2"/>
    <n v="0"/>
  </r>
  <r>
    <x v="0"/>
    <n v="0"/>
  </r>
  <r>
    <x v="2"/>
    <n v="0"/>
  </r>
  <r>
    <x v="0"/>
    <n v="0"/>
  </r>
  <r>
    <x v="2"/>
    <n v="1"/>
  </r>
  <r>
    <x v="2"/>
    <n v="1"/>
  </r>
  <r>
    <x v="1"/>
    <n v="1"/>
  </r>
  <r>
    <x v="2"/>
    <n v="1"/>
  </r>
  <r>
    <x v="1"/>
    <n v="1"/>
  </r>
  <r>
    <x v="2"/>
    <n v="1"/>
  </r>
  <r>
    <x v="2"/>
    <n v="1"/>
  </r>
  <r>
    <x v="2"/>
    <n v="0"/>
  </r>
  <r>
    <x v="0"/>
    <n v="1"/>
  </r>
  <r>
    <x v="1"/>
    <n v="1"/>
  </r>
  <r>
    <x v="1"/>
    <n v="1"/>
  </r>
  <r>
    <x v="0"/>
    <n v="1"/>
  </r>
  <r>
    <x v="0"/>
    <n v="1"/>
  </r>
  <r>
    <x v="0"/>
    <n v="1"/>
  </r>
  <r>
    <x v="1"/>
    <n v="1"/>
  </r>
  <r>
    <x v="2"/>
    <n v="0"/>
  </r>
  <r>
    <x v="2"/>
    <n v="1"/>
  </r>
  <r>
    <x v="2"/>
    <n v="0"/>
  </r>
  <r>
    <x v="2"/>
    <n v="1"/>
  </r>
  <r>
    <x v="1"/>
    <n v="0"/>
  </r>
  <r>
    <x v="0"/>
    <n v="0"/>
  </r>
  <r>
    <x v="2"/>
    <n v="1"/>
  </r>
  <r>
    <x v="0"/>
    <n v="0"/>
  </r>
  <r>
    <x v="0"/>
    <n v="1"/>
  </r>
  <r>
    <x v="2"/>
    <n v="0"/>
  </r>
  <r>
    <x v="0"/>
    <n v="0"/>
  </r>
  <r>
    <x v="0"/>
    <n v="1"/>
  </r>
  <r>
    <x v="2"/>
    <n v="0"/>
  </r>
  <r>
    <x v="2"/>
    <n v="1"/>
  </r>
  <r>
    <x v="2"/>
    <n v="1"/>
  </r>
  <r>
    <x v="2"/>
    <n v="0"/>
  </r>
  <r>
    <x v="0"/>
    <n v="1"/>
  </r>
  <r>
    <x v="0"/>
    <n v="1"/>
  </r>
  <r>
    <x v="2"/>
    <n v="1"/>
  </r>
  <r>
    <x v="2"/>
    <n v="1"/>
  </r>
  <r>
    <x v="2"/>
    <n v="1"/>
  </r>
  <r>
    <x v="0"/>
    <n v="1"/>
  </r>
  <r>
    <x v="0"/>
    <n v="1"/>
  </r>
  <r>
    <x v="1"/>
    <n v="1"/>
  </r>
  <r>
    <x v="2"/>
    <n v="0"/>
  </r>
  <r>
    <x v="2"/>
    <n v="0"/>
  </r>
  <r>
    <x v="0"/>
    <n v="1"/>
  </r>
  <r>
    <x v="0"/>
    <n v="1"/>
  </r>
  <r>
    <x v="1"/>
    <n v="1"/>
  </r>
  <r>
    <x v="2"/>
    <n v="0"/>
  </r>
  <r>
    <x v="0"/>
    <n v="0"/>
  </r>
  <r>
    <x v="2"/>
    <n v="0"/>
  </r>
  <r>
    <x v="2"/>
    <n v="1"/>
  </r>
  <r>
    <x v="1"/>
    <n v="1"/>
  </r>
  <r>
    <x v="0"/>
    <n v="1"/>
  </r>
  <r>
    <x v="2"/>
    <n v="1"/>
  </r>
  <r>
    <x v="0"/>
    <n v="1"/>
  </r>
  <r>
    <x v="2"/>
    <n v="1"/>
  </r>
  <r>
    <x v="2"/>
    <n v="0"/>
  </r>
  <r>
    <x v="0"/>
    <n v="1"/>
  </r>
  <r>
    <x v="2"/>
    <n v="1"/>
  </r>
  <r>
    <x v="1"/>
    <n v="0"/>
  </r>
  <r>
    <x v="0"/>
    <n v="0"/>
  </r>
  <r>
    <x v="2"/>
    <n v="1"/>
  </r>
  <r>
    <x v="2"/>
    <n v="0"/>
  </r>
  <r>
    <x v="2"/>
    <n v="1"/>
  </r>
  <r>
    <x v="2"/>
    <n v="1"/>
  </r>
  <r>
    <x v="1"/>
    <n v="0"/>
  </r>
  <r>
    <x v="0"/>
    <n v="1"/>
  </r>
  <r>
    <x v="0"/>
    <n v="0"/>
  </r>
  <r>
    <x v="0"/>
    <n v="0"/>
  </r>
  <r>
    <x v="2"/>
    <n v="1"/>
  </r>
  <r>
    <x v="2"/>
    <n v="0"/>
  </r>
  <r>
    <x v="0"/>
    <n v="1"/>
  </r>
  <r>
    <x v="0"/>
    <n v="1"/>
  </r>
  <r>
    <x v="0"/>
    <n v="1"/>
  </r>
  <r>
    <x v="2"/>
    <n v="1"/>
  </r>
  <r>
    <x v="2"/>
    <n v="0"/>
  </r>
  <r>
    <x v="0"/>
    <n v="1"/>
  </r>
  <r>
    <x v="0"/>
    <n v="1"/>
  </r>
  <r>
    <x v="3"/>
    <n v="1"/>
  </r>
  <r>
    <x v="3"/>
    <n v="0"/>
  </r>
  <r>
    <x v="2"/>
    <n v="1"/>
  </r>
  <r>
    <x v="2"/>
    <n v="0"/>
  </r>
  <r>
    <x v="2"/>
    <n v="1"/>
  </r>
  <r>
    <x v="3"/>
    <n v="0"/>
  </r>
  <r>
    <x v="0"/>
    <n v="1"/>
  </r>
  <r>
    <x v="2"/>
    <n v="1"/>
  </r>
  <r>
    <x v="3"/>
    <n v="1"/>
  </r>
  <r>
    <x v="0"/>
    <n v="1"/>
  </r>
  <r>
    <x v="2"/>
    <n v="1"/>
  </r>
  <r>
    <x v="2"/>
    <n v="0"/>
  </r>
  <r>
    <x v="0"/>
    <n v="0"/>
  </r>
  <r>
    <x v="3"/>
    <n v="1"/>
  </r>
  <r>
    <x v="2"/>
    <n v="1"/>
  </r>
  <r>
    <x v="0"/>
    <n v="0"/>
  </r>
  <r>
    <x v="2"/>
    <n v="0"/>
  </r>
  <r>
    <x v="1"/>
    <n v="1"/>
  </r>
  <r>
    <x v="0"/>
    <n v="0"/>
  </r>
  <r>
    <x v="2"/>
    <n v="0"/>
  </r>
  <r>
    <x v="0"/>
    <n v="0"/>
  </r>
  <r>
    <x v="2"/>
    <n v="1"/>
  </r>
  <r>
    <x v="2"/>
    <n v="0"/>
  </r>
  <r>
    <x v="0"/>
    <n v="1"/>
  </r>
  <r>
    <x v="0"/>
    <n v="0"/>
  </r>
  <r>
    <x v="2"/>
    <n v="1"/>
  </r>
  <r>
    <x v="2"/>
    <n v="0"/>
  </r>
  <r>
    <x v="3"/>
    <n v="0"/>
  </r>
  <r>
    <x v="3"/>
    <n v="1"/>
  </r>
  <r>
    <x v="2"/>
    <n v="0"/>
  </r>
  <r>
    <x v="2"/>
    <n v="1"/>
  </r>
  <r>
    <x v="2"/>
    <n v="1"/>
  </r>
  <r>
    <x v="2"/>
    <n v="1"/>
  </r>
  <r>
    <x v="0"/>
    <n v="0"/>
  </r>
  <r>
    <x v="2"/>
    <n v="0"/>
  </r>
  <r>
    <x v="0"/>
    <n v="1"/>
  </r>
  <r>
    <x v="2"/>
    <n v="1"/>
  </r>
  <r>
    <x v="2"/>
    <n v="1"/>
  </r>
  <r>
    <x v="2"/>
    <n v="1"/>
  </r>
  <r>
    <x v="1"/>
    <n v="0"/>
  </r>
  <r>
    <x v="2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">
  <r>
    <n v="0"/>
    <n v="0"/>
    <n v="0"/>
    <n v="1"/>
    <n v="0"/>
    <n v="0"/>
  </r>
  <r>
    <n v="0"/>
    <n v="1"/>
    <n v="1"/>
    <n v="0"/>
    <n v="0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0"/>
  </r>
  <r>
    <n v="1"/>
    <n v="0"/>
    <n v="1"/>
    <n v="0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1"/>
    <n v="0"/>
    <n v="0"/>
  </r>
  <r>
    <n v="0"/>
    <n v="0"/>
    <n v="0"/>
    <n v="0"/>
    <n v="0"/>
    <n v="1"/>
  </r>
  <r>
    <n v="0"/>
    <n v="0"/>
    <n v="0"/>
    <n v="0"/>
    <n v="1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0"/>
  </r>
  <r>
    <n v="1"/>
    <n v="0"/>
    <n v="0"/>
    <n v="0"/>
    <n v="0"/>
    <n v="0"/>
  </r>
  <r>
    <n v="0"/>
    <n v="1"/>
    <n v="0"/>
    <n v="0"/>
    <n v="1"/>
    <n v="0"/>
  </r>
  <r>
    <n v="0"/>
    <n v="0"/>
    <n v="0"/>
    <n v="1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0"/>
    <n v="1"/>
  </r>
  <r>
    <n v="0"/>
    <n v="0"/>
    <n v="0"/>
    <n v="0"/>
    <n v="0"/>
    <n v="0"/>
  </r>
  <r>
    <n v="0"/>
    <n v="1"/>
    <n v="0"/>
    <n v="1"/>
    <n v="0"/>
    <n v="0"/>
  </r>
  <r>
    <n v="0"/>
    <n v="0"/>
    <n v="0"/>
    <n v="1"/>
    <n v="0"/>
    <n v="0"/>
  </r>
  <r>
    <n v="0"/>
    <n v="0"/>
    <n v="0"/>
    <n v="1"/>
    <n v="0"/>
    <n v="0"/>
  </r>
  <r>
    <n v="0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1"/>
    <n v="0"/>
  </r>
  <r>
    <n v="0"/>
    <n v="0"/>
    <n v="1"/>
    <n v="0"/>
    <n v="0"/>
    <n v="0"/>
  </r>
  <r>
    <n v="0"/>
    <n v="0"/>
    <n v="0"/>
    <n v="0"/>
    <n v="0"/>
    <n v="1"/>
  </r>
  <r>
    <n v="0"/>
    <n v="0"/>
    <n v="0"/>
    <n v="0"/>
    <n v="1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1"/>
    <n v="0"/>
  </r>
  <r>
    <n v="0"/>
    <n v="0"/>
    <n v="0"/>
    <n v="0"/>
    <n v="0"/>
    <n v="1"/>
  </r>
  <r>
    <n v="0"/>
    <n v="0"/>
    <n v="0"/>
    <n v="0"/>
    <n v="0"/>
    <n v="0"/>
  </r>
  <r>
    <n v="1"/>
    <n v="0"/>
    <n v="0"/>
    <n v="0"/>
    <n v="1"/>
    <n v="0"/>
  </r>
  <r>
    <n v="0"/>
    <n v="0"/>
    <n v="0"/>
    <n v="0"/>
    <n v="1"/>
    <n v="0"/>
  </r>
  <r>
    <n v="0"/>
    <n v="0"/>
    <n v="0"/>
    <n v="0"/>
    <n v="0"/>
    <n v="0"/>
  </r>
  <r>
    <n v="1"/>
    <n v="0"/>
    <n v="0"/>
    <n v="1"/>
    <n v="0"/>
    <n v="0"/>
  </r>
  <r>
    <n v="0"/>
    <n v="0"/>
    <n v="0"/>
    <n v="0"/>
    <n v="0"/>
    <n v="0"/>
  </r>
  <r>
    <n v="0"/>
    <n v="1"/>
    <n v="1"/>
    <n v="0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1"/>
    <n v="0"/>
  </r>
  <r>
    <n v="0"/>
    <n v="0"/>
    <n v="0"/>
    <n v="0"/>
    <n v="0"/>
    <n v="0"/>
  </r>
  <r>
    <n v="1"/>
    <n v="0"/>
    <n v="1"/>
    <n v="0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0"/>
    <n v="0"/>
    <n v="1"/>
  </r>
  <r>
    <n v="0"/>
    <n v="0"/>
    <n v="0"/>
    <n v="0"/>
    <n v="0"/>
    <n v="0"/>
  </r>
  <r>
    <n v="1"/>
    <n v="0"/>
    <n v="0"/>
    <n v="0"/>
    <n v="0"/>
    <n v="1"/>
  </r>
  <r>
    <n v="0"/>
    <n v="0"/>
    <n v="0"/>
    <n v="0"/>
    <n v="0"/>
    <n v="0"/>
  </r>
  <r>
    <n v="1"/>
    <n v="0"/>
    <n v="1"/>
    <n v="0"/>
    <n v="0"/>
    <n v="0"/>
  </r>
  <r>
    <n v="0"/>
    <n v="0"/>
    <n v="0"/>
    <n v="0"/>
    <n v="0"/>
    <n v="0"/>
  </r>
  <r>
    <n v="1"/>
    <n v="0"/>
    <n v="0"/>
    <n v="0"/>
    <n v="1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0"/>
    <n v="1"/>
  </r>
  <r>
    <n v="0"/>
    <n v="0"/>
    <n v="0"/>
    <n v="0"/>
    <n v="0"/>
    <n v="0"/>
  </r>
  <r>
    <n v="1"/>
    <n v="0"/>
    <n v="0"/>
    <n v="0"/>
    <n v="0"/>
    <n v="1"/>
  </r>
  <r>
    <n v="0"/>
    <n v="0"/>
    <n v="0"/>
    <n v="0"/>
    <n v="0"/>
    <n v="0"/>
  </r>
  <r>
    <n v="1"/>
    <n v="0"/>
    <n v="0"/>
    <n v="0"/>
    <n v="1"/>
    <n v="0"/>
  </r>
  <r>
    <n v="0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1"/>
    <n v="0"/>
    <n v="0"/>
    <n v="1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0"/>
    <n v="0"/>
    <n v="1"/>
  </r>
  <r>
    <n v="0"/>
    <n v="0"/>
    <n v="0"/>
    <n v="1"/>
    <n v="0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1"/>
    <n v="0"/>
  </r>
  <r>
    <n v="0"/>
    <n v="0"/>
    <n v="0"/>
    <n v="0"/>
    <n v="0"/>
    <n v="0"/>
  </r>
  <r>
    <n v="1"/>
    <n v="0"/>
    <n v="0"/>
    <n v="1"/>
    <n v="0"/>
    <n v="0"/>
  </r>
  <r>
    <n v="0"/>
    <n v="0"/>
    <n v="1"/>
    <n v="0"/>
    <n v="0"/>
    <n v="0"/>
  </r>
  <r>
    <n v="0"/>
    <n v="0"/>
    <n v="0"/>
    <n v="0"/>
    <n v="0"/>
    <n v="0"/>
  </r>
  <r>
    <n v="0"/>
    <n v="1"/>
    <n v="1"/>
    <n v="0"/>
    <n v="0"/>
    <n v="0"/>
  </r>
  <r>
    <n v="0"/>
    <n v="0"/>
    <n v="0"/>
    <n v="0"/>
    <n v="0"/>
    <n v="1"/>
  </r>
  <r>
    <n v="0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0"/>
    <n v="1"/>
    <n v="0"/>
    <n v="1"/>
    <n v="0"/>
    <n v="0"/>
  </r>
  <r>
    <n v="0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0"/>
    <n v="0"/>
    <n v="0"/>
  </r>
  <r>
    <n v="1"/>
    <n v="0"/>
    <n v="1"/>
    <n v="0"/>
    <n v="0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0"/>
    <n v="0"/>
    <n v="1"/>
  </r>
  <r>
    <n v="0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1"/>
    <n v="0"/>
    <n v="0"/>
  </r>
  <r>
    <n v="0"/>
    <n v="0"/>
    <n v="1"/>
    <n v="0"/>
    <n v="0"/>
    <n v="0"/>
  </r>
  <r>
    <n v="0"/>
    <n v="0"/>
    <n v="0"/>
    <n v="1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0"/>
  </r>
  <r>
    <n v="1"/>
    <n v="0"/>
    <n v="0"/>
    <n v="0"/>
    <n v="0"/>
    <n v="0"/>
  </r>
  <r>
    <n v="1"/>
    <n v="0"/>
    <n v="0"/>
    <n v="0"/>
    <n v="1"/>
    <n v="0"/>
  </r>
  <r>
    <n v="0"/>
    <n v="0"/>
    <n v="1"/>
    <n v="0"/>
    <n v="0"/>
    <n v="0"/>
  </r>
  <r>
    <n v="0"/>
    <n v="0"/>
    <n v="0"/>
    <n v="1"/>
    <n v="0"/>
    <n v="0"/>
  </r>
  <r>
    <n v="0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0"/>
    <n v="0"/>
  </r>
  <r>
    <n v="1"/>
    <n v="0"/>
    <n v="1"/>
    <n v="0"/>
    <n v="0"/>
    <n v="0"/>
  </r>
  <r>
    <n v="0"/>
    <n v="0"/>
    <n v="0"/>
    <n v="1"/>
    <n v="0"/>
    <n v="0"/>
  </r>
  <r>
    <n v="0"/>
    <n v="0"/>
    <n v="1"/>
    <n v="0"/>
    <n v="0"/>
    <n v="0"/>
  </r>
  <r>
    <n v="0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0"/>
  </r>
  <r>
    <n v="0"/>
    <n v="1"/>
    <n v="1"/>
    <n v="0"/>
    <n v="0"/>
    <n v="0"/>
  </r>
  <r>
    <n v="0"/>
    <n v="0"/>
    <n v="0"/>
    <n v="1"/>
    <n v="0"/>
    <n v="0"/>
  </r>
  <r>
    <n v="0"/>
    <n v="0"/>
    <n v="0"/>
    <n v="0"/>
    <n v="0"/>
    <n v="0"/>
  </r>
  <r>
    <n v="1"/>
    <n v="0"/>
    <n v="0"/>
    <n v="0"/>
    <n v="1"/>
    <n v="0"/>
  </r>
  <r>
    <n v="0"/>
    <n v="0"/>
    <n v="1"/>
    <n v="0"/>
    <n v="0"/>
    <n v="0"/>
  </r>
  <r>
    <n v="0"/>
    <n v="0"/>
    <n v="0"/>
    <n v="1"/>
    <n v="0"/>
    <n v="0"/>
  </r>
  <r>
    <n v="0"/>
    <n v="0"/>
    <n v="0"/>
    <n v="1"/>
    <n v="0"/>
    <n v="0"/>
  </r>
  <r>
    <n v="0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1"/>
  </r>
  <r>
    <n v="0"/>
    <n v="0"/>
    <n v="1"/>
    <n v="0"/>
    <n v="0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0"/>
    <n v="1"/>
  </r>
  <r>
    <n v="0"/>
    <n v="0"/>
    <n v="0"/>
    <n v="1"/>
    <n v="0"/>
    <n v="0"/>
  </r>
  <r>
    <n v="0"/>
    <n v="0"/>
    <n v="0"/>
    <n v="0"/>
    <n v="0"/>
    <n v="0"/>
  </r>
  <r>
    <n v="1"/>
    <n v="0"/>
    <n v="0"/>
    <n v="0"/>
    <n v="1"/>
    <n v="0"/>
  </r>
  <r>
    <n v="0"/>
    <n v="0"/>
    <n v="0"/>
    <n v="0"/>
    <n v="0"/>
    <n v="0"/>
  </r>
  <r>
    <n v="1"/>
    <n v="0"/>
    <n v="0"/>
    <n v="0"/>
    <n v="1"/>
    <n v="0"/>
  </r>
  <r>
    <n v="0"/>
    <n v="0"/>
    <n v="0"/>
    <n v="0"/>
    <n v="0"/>
    <n v="0"/>
  </r>
  <r>
    <n v="1"/>
    <n v="0"/>
    <n v="0"/>
    <n v="1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1"/>
    <n v="0"/>
    <n v="0"/>
  </r>
  <r>
    <n v="0"/>
    <n v="0"/>
    <n v="0"/>
    <n v="0"/>
    <n v="0"/>
    <n v="0"/>
  </r>
  <r>
    <n v="1"/>
    <n v="0"/>
    <n v="0"/>
    <n v="0"/>
    <n v="1"/>
    <n v="0"/>
  </r>
  <r>
    <n v="0"/>
    <n v="0"/>
    <n v="1"/>
    <n v="0"/>
    <n v="0"/>
    <n v="0"/>
  </r>
  <r>
    <n v="0"/>
    <n v="0"/>
    <n v="0"/>
    <n v="0"/>
    <n v="0"/>
    <n v="0"/>
  </r>
  <r>
    <n v="0"/>
    <n v="1"/>
    <n v="0"/>
    <n v="0"/>
    <n v="0"/>
    <n v="0"/>
  </r>
  <r>
    <n v="0"/>
    <n v="1"/>
    <n v="0"/>
    <n v="1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0"/>
    <n v="0"/>
  </r>
  <r>
    <n v="0"/>
    <n v="1"/>
    <n v="0"/>
    <n v="0"/>
    <n v="1"/>
    <n v="0"/>
  </r>
  <r>
    <n v="0"/>
    <n v="0"/>
    <n v="0"/>
    <n v="1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0"/>
    <n v="0"/>
  </r>
  <r>
    <n v="0"/>
    <n v="1"/>
    <n v="1"/>
    <n v="0"/>
    <n v="0"/>
    <n v="0"/>
  </r>
  <r>
    <n v="0"/>
    <n v="0"/>
    <n v="0"/>
    <n v="0"/>
    <n v="0"/>
    <n v="0"/>
  </r>
  <r>
    <n v="1"/>
    <n v="0"/>
    <n v="0"/>
    <n v="0"/>
    <n v="0"/>
    <n v="0"/>
  </r>
  <r>
    <n v="1"/>
    <n v="0"/>
    <n v="1"/>
    <n v="0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0"/>
    <n v="0"/>
  </r>
  <r>
    <n v="0"/>
    <n v="1"/>
    <n v="0"/>
    <n v="0"/>
    <n v="0"/>
    <n v="0"/>
  </r>
  <r>
    <n v="1"/>
    <n v="0"/>
    <n v="0"/>
    <n v="1"/>
    <n v="0"/>
    <n v="0"/>
  </r>
  <r>
    <n v="0"/>
    <n v="0"/>
    <n v="0"/>
    <n v="0"/>
    <n v="0"/>
    <n v="1"/>
  </r>
  <r>
    <n v="0"/>
    <n v="0"/>
    <n v="0"/>
    <n v="0"/>
    <n v="0"/>
    <n v="0"/>
  </r>
  <r>
    <n v="1"/>
    <n v="0"/>
    <n v="1"/>
    <n v="0"/>
    <n v="0"/>
    <n v="0"/>
  </r>
  <r>
    <n v="0"/>
    <n v="0"/>
    <n v="0"/>
    <n v="0"/>
    <n v="0"/>
    <n v="0"/>
  </r>
  <r>
    <n v="1"/>
    <n v="0"/>
    <n v="0"/>
    <n v="0"/>
    <n v="0"/>
    <n v="0"/>
  </r>
  <r>
    <n v="0"/>
    <n v="1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1"/>
    <n v="0"/>
    <n v="0"/>
    <n v="0"/>
  </r>
  <r>
    <n v="0"/>
    <n v="0"/>
    <n v="0"/>
    <n v="0"/>
    <n v="0"/>
    <n v="0"/>
  </r>
  <r>
    <n v="1"/>
    <n v="0"/>
    <n v="1"/>
    <n v="0"/>
    <n v="0"/>
    <n v="0"/>
  </r>
  <r>
    <n v="0"/>
    <n v="0"/>
    <n v="0"/>
    <n v="1"/>
    <n v="0"/>
    <n v="0"/>
  </r>
  <r>
    <n v="0"/>
    <n v="0"/>
    <n v="0"/>
    <n v="0"/>
    <n v="0"/>
    <n v="0"/>
  </r>
  <r>
    <n v="1"/>
    <n v="0"/>
    <n v="0"/>
    <n v="1"/>
    <n v="0"/>
    <n v="0"/>
  </r>
  <r>
    <n v="0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0"/>
  </r>
  <r>
    <n v="1"/>
    <n v="0"/>
    <n v="0"/>
    <n v="0"/>
    <n v="1"/>
    <n v="0"/>
  </r>
  <r>
    <n v="0"/>
    <n v="0"/>
    <n v="0"/>
    <n v="0"/>
    <n v="1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0"/>
    <n v="1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0"/>
    <n v="1"/>
  </r>
  <r>
    <n v="0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0"/>
  </r>
  <r>
    <n v="1"/>
    <n v="0"/>
    <n v="0"/>
    <n v="0"/>
    <n v="1"/>
    <n v="0"/>
  </r>
  <r>
    <n v="0"/>
    <n v="0"/>
    <n v="0"/>
    <n v="1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0"/>
    <n v="0"/>
  </r>
  <r>
    <n v="1"/>
    <n v="0"/>
    <n v="0"/>
    <n v="1"/>
    <n v="0"/>
    <n v="0"/>
  </r>
  <r>
    <n v="0"/>
    <n v="0"/>
    <n v="0"/>
    <n v="0"/>
    <n v="0"/>
    <n v="0"/>
  </r>
  <r>
    <n v="0"/>
    <n v="1"/>
    <n v="0"/>
    <n v="0"/>
    <n v="0"/>
    <n v="0"/>
  </r>
  <r>
    <n v="1"/>
    <n v="0"/>
    <n v="0"/>
    <n v="0"/>
    <n v="1"/>
    <n v="0"/>
  </r>
  <r>
    <n v="0"/>
    <n v="0"/>
    <n v="1"/>
    <n v="0"/>
    <n v="0"/>
    <n v="0"/>
  </r>
  <r>
    <n v="0"/>
    <n v="0"/>
    <n v="0"/>
    <n v="1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0"/>
    <n v="0"/>
  </r>
  <r>
    <n v="1"/>
    <n v="0"/>
    <n v="0"/>
    <n v="0"/>
    <n v="1"/>
    <n v="0"/>
  </r>
  <r>
    <n v="0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0"/>
    <n v="0"/>
  </r>
  <r>
    <n v="0"/>
    <n v="1"/>
    <n v="0"/>
    <n v="0"/>
    <n v="1"/>
    <n v="0"/>
  </r>
  <r>
    <n v="0"/>
    <n v="0"/>
    <n v="0"/>
    <n v="0"/>
    <n v="0"/>
    <n v="0"/>
  </r>
  <r>
    <n v="1"/>
    <n v="0"/>
    <n v="1"/>
    <n v="0"/>
    <n v="0"/>
    <n v="0"/>
  </r>
  <r>
    <n v="0"/>
    <n v="0"/>
    <n v="0"/>
    <n v="1"/>
    <n v="0"/>
    <n v="0"/>
  </r>
  <r>
    <n v="0"/>
    <n v="0"/>
    <n v="0"/>
    <n v="1"/>
    <n v="0"/>
    <n v="0"/>
  </r>
  <r>
    <n v="0"/>
    <n v="0"/>
    <n v="0"/>
    <n v="0"/>
    <n v="1"/>
    <n v="0"/>
  </r>
  <r>
    <n v="0"/>
    <n v="0"/>
    <n v="0"/>
    <n v="1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1"/>
    <n v="0"/>
  </r>
  <r>
    <n v="0"/>
    <n v="0"/>
    <n v="0"/>
    <n v="0"/>
    <n v="0"/>
    <n v="1"/>
  </r>
  <r>
    <n v="0"/>
    <n v="0"/>
    <n v="0"/>
    <n v="0"/>
    <n v="0"/>
    <n v="0"/>
  </r>
  <r>
    <n v="1"/>
    <n v="0"/>
    <n v="1"/>
    <n v="0"/>
    <n v="0"/>
    <n v="0"/>
  </r>
  <r>
    <n v="0"/>
    <n v="0"/>
    <n v="0"/>
    <n v="0"/>
    <n v="0"/>
    <n v="0"/>
  </r>
  <r>
    <n v="1"/>
    <n v="0"/>
    <n v="0"/>
    <n v="0"/>
    <n v="0"/>
    <n v="0"/>
  </r>
  <r>
    <n v="0"/>
    <n v="1"/>
    <n v="0"/>
    <n v="0"/>
    <n v="1"/>
    <n v="0"/>
  </r>
  <r>
    <n v="0"/>
    <n v="0"/>
    <n v="0"/>
    <n v="1"/>
    <n v="0"/>
    <n v="0"/>
  </r>
  <r>
    <n v="0"/>
    <n v="0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0"/>
    <n v="1"/>
    <n v="0"/>
  </r>
  <r>
    <n v="0"/>
    <n v="0"/>
    <n v="1"/>
    <n v="0"/>
    <n v="0"/>
    <n v="0"/>
  </r>
  <r>
    <n v="0"/>
    <n v="0"/>
    <n v="0"/>
    <n v="0"/>
    <n v="0"/>
    <n v="0"/>
  </r>
  <r>
    <n v="0"/>
    <n v="1"/>
    <n v="0"/>
    <n v="0"/>
    <n v="0"/>
    <n v="1"/>
  </r>
  <r>
    <n v="0"/>
    <n v="0"/>
    <n v="0"/>
    <n v="1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0"/>
    <n v="1"/>
    <n v="0"/>
    <n v="0"/>
  </r>
  <r>
    <n v="0"/>
    <n v="0"/>
    <n v="0"/>
    <n v="0"/>
    <n v="0"/>
    <n v="0"/>
  </r>
  <r>
    <n v="1"/>
    <n v="0"/>
    <n v="0"/>
    <n v="1"/>
    <n v="0"/>
    <n v="0"/>
  </r>
  <r>
    <n v="0"/>
    <n v="0"/>
    <n v="0"/>
    <n v="1"/>
    <n v="0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0"/>
    <n v="0"/>
  </r>
  <r>
    <n v="0"/>
    <n v="1"/>
    <n v="0"/>
    <n v="0"/>
    <n v="0"/>
    <n v="1"/>
  </r>
  <r>
    <n v="0"/>
    <n v="0"/>
    <n v="0"/>
    <n v="0"/>
    <n v="0"/>
    <n v="0"/>
  </r>
  <r>
    <n v="1"/>
    <n v="0"/>
    <n v="0"/>
    <n v="1"/>
    <n v="0"/>
    <n v="0"/>
  </r>
  <r>
    <n v="0"/>
    <n v="0"/>
    <n v="0"/>
    <n v="0"/>
    <n v="0"/>
    <n v="0"/>
  </r>
  <r>
    <n v="0"/>
    <n v="1"/>
    <n v="0"/>
    <n v="1"/>
    <n v="0"/>
    <n v="0"/>
  </r>
  <r>
    <n v="0"/>
    <n v="0"/>
    <n v="0"/>
    <n v="0"/>
    <n v="0"/>
    <n v="0"/>
  </r>
  <r>
    <n v="1"/>
    <n v="0"/>
    <n v="0"/>
    <n v="0"/>
    <n v="0"/>
    <n v="0"/>
  </r>
  <r>
    <n v="1"/>
    <n v="0"/>
    <n v="0"/>
    <n v="0"/>
    <n v="0"/>
    <n v="1"/>
  </r>
  <r>
    <n v="0"/>
    <n v="0"/>
    <n v="0"/>
    <n v="0"/>
    <n v="0"/>
    <n v="0"/>
  </r>
  <r>
    <n v="0"/>
    <n v="1"/>
    <n v="0"/>
    <n v="0"/>
    <n v="0"/>
    <n v="0"/>
  </r>
  <r>
    <n v="1"/>
    <n v="0"/>
    <n v="0"/>
    <n v="0"/>
    <n v="0"/>
    <n v="0"/>
  </r>
  <r>
    <n v="0"/>
    <n v="1"/>
    <n v="0"/>
    <n v="0"/>
    <n v="0"/>
    <n v="0"/>
  </r>
  <r>
    <n v="0"/>
    <n v="1"/>
    <n v="0"/>
    <n v="0"/>
    <n v="0"/>
    <n v="0"/>
  </r>
  <r>
    <n v="1"/>
    <n v="0"/>
    <n v="1"/>
    <n v="0"/>
    <n v="0"/>
    <n v="0"/>
  </r>
  <r>
    <n v="0"/>
    <n v="0"/>
    <n v="0"/>
    <n v="1"/>
    <n v="0"/>
    <n v="0"/>
  </r>
  <r>
    <n v="0"/>
    <n v="0"/>
    <n v="1"/>
    <n v="0"/>
    <n v="0"/>
    <n v="0"/>
  </r>
  <r>
    <n v="0"/>
    <n v="0"/>
    <n v="0"/>
    <n v="0"/>
    <n v="1"/>
    <n v="0"/>
  </r>
  <r>
    <n v="0"/>
    <n v="0"/>
    <n v="0"/>
    <n v="0"/>
    <n v="0"/>
    <n v="1"/>
  </r>
  <r>
    <n v="0"/>
    <n v="0"/>
    <n v="0"/>
    <n v="0"/>
    <n v="1"/>
    <n v="0"/>
  </r>
  <r>
    <n v="0"/>
    <n v="0"/>
    <n v="0"/>
    <n v="0"/>
    <n v="0"/>
    <n v="0"/>
  </r>
  <r>
    <n v="1"/>
    <n v="0"/>
    <n v="0"/>
    <n v="0"/>
    <n v="0"/>
    <n v="0"/>
  </r>
  <r>
    <n v="0"/>
    <n v="1"/>
    <n v="0"/>
    <n v="1"/>
    <n v="0"/>
    <n v="0"/>
  </r>
  <r>
    <n v="0"/>
    <n v="0"/>
    <n v="0"/>
    <n v="0"/>
    <n v="1"/>
    <n v="0"/>
  </r>
  <r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6A6CE1-2154-4444-959E-6B3DF73A8318}" name="Tabela przestawna3" cacheId="2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H2:I7" firstHeaderRow="1" firstDataRow="1" firstDataCol="1"/>
  <pivotFields count="2">
    <pivotField axis="axisRow" showAll="0">
      <items count="5">
        <item x="2"/>
        <item x="3"/>
        <item x="0"/>
        <item x="1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z kobiet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AD2875-7C35-4FEC-AAD0-96942C6B90AC}" name="Tabela przestawna5" cacheId="26" dataOnRows="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3:N9" firstHeaderRow="1" firstDataRow="1" firstDataCol="1"/>
  <pivotFields count="6"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6">
    <i>
      <x/>
    </i>
    <i i="1">
      <x v="1"/>
    </i>
    <i i="2">
      <x v="2"/>
    </i>
    <i i="3">
      <x v="3"/>
    </i>
    <i i="4">
      <x v="4"/>
    </i>
    <i i="5">
      <x v="5"/>
    </i>
  </rowItems>
  <colItems count="1">
    <i/>
  </colItems>
  <dataFields count="6">
    <dataField name="Suma z 20-29" fld="0" baseField="0" baseItem="0"/>
    <dataField name="Suma z 30-39" fld="1" baseField="0" baseItem="0"/>
    <dataField name="Suma z 40-49" fld="2" baseField="0" baseItem="0"/>
    <dataField name="Suma z 50-59" fld="3" baseField="0" baseItem="0"/>
    <dataField name="Suma z 60-69" fld="4" baseField="0" baseItem="0"/>
    <dataField name="Suma z 70-79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bezpieczenia" connectionId="1" xr16:uid="{B8D1B448-26E4-4E2B-9614-B06956F34FEC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bezpieczenia" connectionId="2" xr16:uid="{F6CE9639-43C3-4F58-B0AC-86CECAFC19CC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bezpieczenia" connectionId="3" xr16:uid="{A43CA885-892A-4AA4-954C-A4341E02A897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bezpieczenia" connectionId="4" xr16:uid="{D571D00E-B54E-47AC-A001-58D2202AC68D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5F6C1-6319-43A1-AA1C-9E58624C88B2}">
  <dimension ref="A1:S332"/>
  <sheetViews>
    <sheetView topLeftCell="A305" zoomScale="130" zoomScaleNormal="130" workbookViewId="0">
      <selection sqref="A1:D332"/>
    </sheetView>
  </sheetViews>
  <sheetFormatPr defaultRowHeight="15" x14ac:dyDescent="0.25"/>
  <cols>
    <col min="1" max="1" width="15" bestFit="1" customWidth="1"/>
    <col min="2" max="2" width="10.85546875" bestFit="1" customWidth="1"/>
    <col min="3" max="3" width="11" bestFit="1" customWidth="1"/>
    <col min="4" max="4" width="20.85546875" bestFit="1" customWidth="1"/>
    <col min="14" max="14" width="11.140625" bestFit="1" customWidth="1"/>
    <col min="18" max="18" width="17.7109375" bestFit="1" customWidth="1"/>
    <col min="19" max="29" width="14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432</v>
      </c>
      <c r="F1" t="s">
        <v>433</v>
      </c>
      <c r="G1" t="s">
        <v>434</v>
      </c>
      <c r="H1" t="s">
        <v>435</v>
      </c>
      <c r="I1" t="s">
        <v>436</v>
      </c>
      <c r="J1" t="s">
        <v>437</v>
      </c>
      <c r="K1" t="s">
        <v>438</v>
      </c>
      <c r="L1" t="s">
        <v>439</v>
      </c>
      <c r="M1" t="s">
        <v>440</v>
      </c>
      <c r="N1" t="s">
        <v>441</v>
      </c>
      <c r="O1" t="s">
        <v>442</v>
      </c>
      <c r="P1" t="s">
        <v>443</v>
      </c>
    </row>
    <row r="2" spans="1:19" x14ac:dyDescent="0.25">
      <c r="A2" t="s">
        <v>4</v>
      </c>
      <c r="B2" t="s">
        <v>5</v>
      </c>
      <c r="C2" s="1">
        <v>22190</v>
      </c>
      <c r="D2" t="s">
        <v>6</v>
      </c>
      <c r="E2">
        <f>IF(MONTH(C2)=1,1,0)</f>
        <v>0</v>
      </c>
      <c r="F2">
        <f>IF(MONTH(C2)=2,1,0)</f>
        <v>0</v>
      </c>
      <c r="G2">
        <f>IF(MONTH(C2)=3,1,0)</f>
        <v>0</v>
      </c>
      <c r="H2">
        <f>IF(MONTH($C2)=4,1,0)</f>
        <v>0</v>
      </c>
      <c r="I2">
        <f>IF(MONTH($C2)=5,1,0)</f>
        <v>0</v>
      </c>
      <c r="J2">
        <f>IF(MONTH($C2)=6,1,0)</f>
        <v>0</v>
      </c>
      <c r="K2">
        <f>IF(MONTH($C2)=7,1,0)</f>
        <v>0</v>
      </c>
      <c r="L2">
        <f>IF(MONTH($C2)=8,1,0)</f>
        <v>0</v>
      </c>
      <c r="M2">
        <f>IF(MONTH($C2)=9,1,0)</f>
        <v>0</v>
      </c>
      <c r="N2">
        <f>IF(MONTH($C2)=10,1,0)</f>
        <v>1</v>
      </c>
      <c r="O2">
        <f>IF(MONTH($C2)=11,1,0)</f>
        <v>0</v>
      </c>
      <c r="P2">
        <f>IF(MONTH($C2)=12,1,0)</f>
        <v>0</v>
      </c>
      <c r="R2" s="5" t="s">
        <v>432</v>
      </c>
      <c r="S2" s="5">
        <f t="array" ref="S2">SUM(E2:E332)</f>
        <v>26</v>
      </c>
    </row>
    <row r="3" spans="1:19" x14ac:dyDescent="0.25">
      <c r="A3" t="s">
        <v>7</v>
      </c>
      <c r="B3" t="s">
        <v>8</v>
      </c>
      <c r="C3" s="1">
        <v>30952</v>
      </c>
      <c r="D3" t="s">
        <v>9</v>
      </c>
      <c r="E3">
        <f t="shared" ref="E3:E66" si="0">IF(MONTH(C3)=1,1,0)</f>
        <v>0</v>
      </c>
      <c r="F3">
        <f t="shared" ref="F3:F66" si="1">IF(MONTH(C3)=2,1,0)</f>
        <v>0</v>
      </c>
      <c r="G3">
        <f t="shared" ref="G3:G66" si="2">IF(MONTH(C3)=3,1,0)</f>
        <v>0</v>
      </c>
      <c r="H3">
        <f t="shared" ref="H3:H66" si="3">IF(MONTH($C3)=4,1,0)</f>
        <v>0</v>
      </c>
      <c r="I3">
        <f t="shared" ref="I3:I66" si="4">IF(MONTH($C3)=5,1,0)</f>
        <v>0</v>
      </c>
      <c r="J3">
        <f t="shared" ref="J3:J66" si="5">IF(MONTH($C3)=6,1,0)</f>
        <v>0</v>
      </c>
      <c r="K3">
        <f t="shared" ref="K3:K66" si="6">IF(MONTH($C3)=7,1,0)</f>
        <v>0</v>
      </c>
      <c r="L3">
        <f t="shared" ref="L3:L66" si="7">IF(MONTH($C3)=8,1,0)</f>
        <v>0</v>
      </c>
      <c r="M3">
        <f t="shared" ref="M3:M66" si="8">IF(MONTH($C3)=9,1,0)</f>
        <v>1</v>
      </c>
      <c r="N3">
        <f t="shared" ref="N3:N66" si="9">IF(MONTH($C3)=10,1,0)</f>
        <v>0</v>
      </c>
      <c r="O3">
        <f t="shared" ref="O3:O66" si="10">IF(MONTH($C3)=11,1,0)</f>
        <v>0</v>
      </c>
      <c r="P3">
        <f t="shared" ref="P3:P66" si="11">IF(MONTH($C3)=12,1,0)</f>
        <v>0</v>
      </c>
      <c r="R3" s="5" t="s">
        <v>433</v>
      </c>
      <c r="S3" s="5">
        <f>SUM(F2:F332)</f>
        <v>22</v>
      </c>
    </row>
    <row r="4" spans="1:19" x14ac:dyDescent="0.25">
      <c r="A4" t="s">
        <v>10</v>
      </c>
      <c r="B4" t="s">
        <v>11</v>
      </c>
      <c r="C4" s="1">
        <v>24753</v>
      </c>
      <c r="D4" t="s">
        <v>12</v>
      </c>
      <c r="E4">
        <f t="shared" si="0"/>
        <v>0</v>
      </c>
      <c r="F4">
        <f t="shared" si="1"/>
        <v>0</v>
      </c>
      <c r="G4">
        <f t="shared" si="2"/>
        <v>0</v>
      </c>
      <c r="H4">
        <f t="shared" si="3"/>
        <v>0</v>
      </c>
      <c r="I4">
        <f t="shared" si="4"/>
        <v>0</v>
      </c>
      <c r="J4">
        <f t="shared" si="5"/>
        <v>0</v>
      </c>
      <c r="K4">
        <f t="shared" si="6"/>
        <v>0</v>
      </c>
      <c r="L4">
        <f t="shared" si="7"/>
        <v>0</v>
      </c>
      <c r="M4">
        <f t="shared" si="8"/>
        <v>0</v>
      </c>
      <c r="N4">
        <f t="shared" si="9"/>
        <v>1</v>
      </c>
      <c r="O4">
        <f t="shared" si="10"/>
        <v>0</v>
      </c>
      <c r="P4">
        <f t="shared" si="11"/>
        <v>0</v>
      </c>
      <c r="R4" s="5" t="s">
        <v>434</v>
      </c>
      <c r="S4" s="5">
        <f>SUM(G2:G332)</f>
        <v>30</v>
      </c>
    </row>
    <row r="5" spans="1:19" x14ac:dyDescent="0.25">
      <c r="A5" t="s">
        <v>13</v>
      </c>
      <c r="B5" t="s">
        <v>14</v>
      </c>
      <c r="C5" s="1">
        <v>31544</v>
      </c>
      <c r="D5" t="s">
        <v>9</v>
      </c>
      <c r="E5">
        <f t="shared" si="0"/>
        <v>0</v>
      </c>
      <c r="F5">
        <f t="shared" si="1"/>
        <v>0</v>
      </c>
      <c r="G5">
        <f t="shared" si="2"/>
        <v>0</v>
      </c>
      <c r="H5">
        <f t="shared" si="3"/>
        <v>0</v>
      </c>
      <c r="I5">
        <f t="shared" si="4"/>
        <v>1</v>
      </c>
      <c r="J5">
        <f t="shared" si="5"/>
        <v>0</v>
      </c>
      <c r="K5">
        <f t="shared" si="6"/>
        <v>0</v>
      </c>
      <c r="L5">
        <f t="shared" si="7"/>
        <v>0</v>
      </c>
      <c r="M5">
        <f t="shared" si="8"/>
        <v>0</v>
      </c>
      <c r="N5">
        <f t="shared" si="9"/>
        <v>0</v>
      </c>
      <c r="O5">
        <f t="shared" si="10"/>
        <v>0</v>
      </c>
      <c r="P5">
        <f t="shared" si="11"/>
        <v>0</v>
      </c>
      <c r="R5" s="5" t="s">
        <v>435</v>
      </c>
      <c r="S5" s="5">
        <f>SUM(H2:H332)</f>
        <v>27</v>
      </c>
    </row>
    <row r="6" spans="1:19" x14ac:dyDescent="0.25">
      <c r="A6" t="s">
        <v>15</v>
      </c>
      <c r="B6" t="s">
        <v>16</v>
      </c>
      <c r="C6" s="1">
        <v>22780</v>
      </c>
      <c r="D6" t="s">
        <v>9</v>
      </c>
      <c r="E6">
        <f t="shared" si="0"/>
        <v>0</v>
      </c>
      <c r="F6">
        <f t="shared" si="1"/>
        <v>0</v>
      </c>
      <c r="G6">
        <f t="shared" si="2"/>
        <v>0</v>
      </c>
      <c r="H6">
        <f t="shared" si="3"/>
        <v>0</v>
      </c>
      <c r="I6">
        <f t="shared" si="4"/>
        <v>1</v>
      </c>
      <c r="J6">
        <f t="shared" si="5"/>
        <v>0</v>
      </c>
      <c r="K6">
        <f t="shared" si="6"/>
        <v>0</v>
      </c>
      <c r="L6">
        <f t="shared" si="7"/>
        <v>0</v>
      </c>
      <c r="M6">
        <f t="shared" si="8"/>
        <v>0</v>
      </c>
      <c r="N6">
        <f t="shared" si="9"/>
        <v>0</v>
      </c>
      <c r="O6">
        <f t="shared" si="10"/>
        <v>0</v>
      </c>
      <c r="P6">
        <f t="shared" si="11"/>
        <v>0</v>
      </c>
      <c r="R6" s="5" t="s">
        <v>436</v>
      </c>
      <c r="S6" s="5">
        <f>SUM(I2:I332)</f>
        <v>25</v>
      </c>
    </row>
    <row r="7" spans="1:19" x14ac:dyDescent="0.25">
      <c r="A7" t="s">
        <v>17</v>
      </c>
      <c r="B7" t="s">
        <v>18</v>
      </c>
      <c r="C7" s="1">
        <v>31694</v>
      </c>
      <c r="D7" t="s">
        <v>12</v>
      </c>
      <c r="E7">
        <f t="shared" si="0"/>
        <v>0</v>
      </c>
      <c r="F7">
        <f t="shared" si="1"/>
        <v>0</v>
      </c>
      <c r="G7">
        <f t="shared" si="2"/>
        <v>0</v>
      </c>
      <c r="H7">
        <f t="shared" si="3"/>
        <v>0</v>
      </c>
      <c r="I7">
        <f t="shared" si="4"/>
        <v>0</v>
      </c>
      <c r="J7">
        <f t="shared" si="5"/>
        <v>0</v>
      </c>
      <c r="K7">
        <f t="shared" si="6"/>
        <v>0</v>
      </c>
      <c r="L7">
        <f t="shared" si="7"/>
        <v>0</v>
      </c>
      <c r="M7">
        <f t="shared" si="8"/>
        <v>0</v>
      </c>
      <c r="N7">
        <f t="shared" si="9"/>
        <v>1</v>
      </c>
      <c r="O7">
        <f t="shared" si="10"/>
        <v>0</v>
      </c>
      <c r="P7">
        <f t="shared" si="11"/>
        <v>0</v>
      </c>
      <c r="R7" s="5" t="s">
        <v>437</v>
      </c>
      <c r="S7" s="5">
        <f>SUM(J2:J332)</f>
        <v>31</v>
      </c>
    </row>
    <row r="8" spans="1:19" x14ac:dyDescent="0.25">
      <c r="A8" t="s">
        <v>19</v>
      </c>
      <c r="B8" t="s">
        <v>20</v>
      </c>
      <c r="C8" s="1">
        <v>33569</v>
      </c>
      <c r="D8" t="s">
        <v>6</v>
      </c>
      <c r="E8">
        <f t="shared" si="0"/>
        <v>0</v>
      </c>
      <c r="F8">
        <f t="shared" si="1"/>
        <v>0</v>
      </c>
      <c r="G8">
        <f t="shared" si="2"/>
        <v>0</v>
      </c>
      <c r="H8">
        <f t="shared" si="3"/>
        <v>0</v>
      </c>
      <c r="I8">
        <f t="shared" si="4"/>
        <v>0</v>
      </c>
      <c r="J8">
        <f t="shared" si="5"/>
        <v>0</v>
      </c>
      <c r="K8">
        <f t="shared" si="6"/>
        <v>0</v>
      </c>
      <c r="L8">
        <f t="shared" si="7"/>
        <v>0</v>
      </c>
      <c r="M8">
        <f t="shared" si="8"/>
        <v>0</v>
      </c>
      <c r="N8">
        <f t="shared" si="9"/>
        <v>0</v>
      </c>
      <c r="O8">
        <f t="shared" si="10"/>
        <v>1</v>
      </c>
      <c r="P8">
        <f t="shared" si="11"/>
        <v>0</v>
      </c>
      <c r="R8" s="5" t="s">
        <v>438</v>
      </c>
      <c r="S8" s="5">
        <f t="array" ref="S8">SUM(K2:K332)</f>
        <v>33</v>
      </c>
    </row>
    <row r="9" spans="1:19" x14ac:dyDescent="0.25">
      <c r="A9" t="s">
        <v>21</v>
      </c>
      <c r="B9" t="s">
        <v>22</v>
      </c>
      <c r="C9" s="1">
        <v>30372</v>
      </c>
      <c r="D9" t="s">
        <v>6</v>
      </c>
      <c r="E9">
        <f t="shared" si="0"/>
        <v>0</v>
      </c>
      <c r="F9">
        <f t="shared" si="1"/>
        <v>1</v>
      </c>
      <c r="G9">
        <f t="shared" si="2"/>
        <v>0</v>
      </c>
      <c r="H9">
        <f t="shared" si="3"/>
        <v>0</v>
      </c>
      <c r="I9">
        <f t="shared" si="4"/>
        <v>0</v>
      </c>
      <c r="J9">
        <f t="shared" si="5"/>
        <v>0</v>
      </c>
      <c r="K9">
        <f t="shared" si="6"/>
        <v>0</v>
      </c>
      <c r="L9">
        <f t="shared" si="7"/>
        <v>0</v>
      </c>
      <c r="M9">
        <f t="shared" si="8"/>
        <v>0</v>
      </c>
      <c r="N9">
        <f t="shared" si="9"/>
        <v>0</v>
      </c>
      <c r="O9">
        <f t="shared" si="10"/>
        <v>0</v>
      </c>
      <c r="P9">
        <f t="shared" si="11"/>
        <v>0</v>
      </c>
      <c r="R9" s="5" t="s">
        <v>439</v>
      </c>
      <c r="S9" s="5">
        <f>SUM(L2:L332)</f>
        <v>19</v>
      </c>
    </row>
    <row r="10" spans="1:19" x14ac:dyDescent="0.25">
      <c r="A10" t="s">
        <v>23</v>
      </c>
      <c r="B10" t="s">
        <v>8</v>
      </c>
      <c r="C10" s="1">
        <v>33568</v>
      </c>
      <c r="D10" t="s">
        <v>6</v>
      </c>
      <c r="E10">
        <f t="shared" si="0"/>
        <v>0</v>
      </c>
      <c r="F10">
        <f t="shared" si="1"/>
        <v>0</v>
      </c>
      <c r="G10">
        <f t="shared" si="2"/>
        <v>0</v>
      </c>
      <c r="H10">
        <f t="shared" si="3"/>
        <v>0</v>
      </c>
      <c r="I10">
        <f t="shared" si="4"/>
        <v>0</v>
      </c>
      <c r="J10">
        <f t="shared" si="5"/>
        <v>0</v>
      </c>
      <c r="K10">
        <f t="shared" si="6"/>
        <v>0</v>
      </c>
      <c r="L10">
        <f t="shared" si="7"/>
        <v>0</v>
      </c>
      <c r="M10">
        <f t="shared" si="8"/>
        <v>0</v>
      </c>
      <c r="N10">
        <f t="shared" si="9"/>
        <v>0</v>
      </c>
      <c r="O10">
        <f t="shared" si="10"/>
        <v>1</v>
      </c>
      <c r="P10">
        <f t="shared" si="11"/>
        <v>0</v>
      </c>
      <c r="R10" s="5" t="s">
        <v>440</v>
      </c>
      <c r="S10" s="5">
        <f>SUM(M2:M332)</f>
        <v>29</v>
      </c>
    </row>
    <row r="11" spans="1:19" x14ac:dyDescent="0.25">
      <c r="A11" t="s">
        <v>24</v>
      </c>
      <c r="B11" t="s">
        <v>25</v>
      </c>
      <c r="C11" s="1">
        <v>31111</v>
      </c>
      <c r="D11" t="s">
        <v>6</v>
      </c>
      <c r="E11">
        <f t="shared" si="0"/>
        <v>0</v>
      </c>
      <c r="F11">
        <f t="shared" si="1"/>
        <v>0</v>
      </c>
      <c r="G11">
        <f t="shared" si="2"/>
        <v>1</v>
      </c>
      <c r="H11">
        <f t="shared" si="3"/>
        <v>0</v>
      </c>
      <c r="I11">
        <f t="shared" si="4"/>
        <v>0</v>
      </c>
      <c r="J11">
        <f t="shared" si="5"/>
        <v>0</v>
      </c>
      <c r="K11">
        <f t="shared" si="6"/>
        <v>0</v>
      </c>
      <c r="L11">
        <f t="shared" si="7"/>
        <v>0</v>
      </c>
      <c r="M11">
        <f t="shared" si="8"/>
        <v>0</v>
      </c>
      <c r="N11">
        <f t="shared" si="9"/>
        <v>0</v>
      </c>
      <c r="O11">
        <f t="shared" si="10"/>
        <v>0</v>
      </c>
      <c r="P11">
        <f t="shared" si="11"/>
        <v>0</v>
      </c>
      <c r="R11" s="5" t="s">
        <v>441</v>
      </c>
      <c r="S11" s="5">
        <f>SUM(N2:N332)</f>
        <v>32</v>
      </c>
    </row>
    <row r="12" spans="1:19" x14ac:dyDescent="0.25">
      <c r="A12" t="s">
        <v>26</v>
      </c>
      <c r="B12" t="s">
        <v>27</v>
      </c>
      <c r="C12" s="1">
        <v>17347</v>
      </c>
      <c r="D12" t="s">
        <v>6</v>
      </c>
      <c r="E12">
        <f t="shared" si="0"/>
        <v>0</v>
      </c>
      <c r="F12">
        <f t="shared" si="1"/>
        <v>0</v>
      </c>
      <c r="G12">
        <f t="shared" si="2"/>
        <v>0</v>
      </c>
      <c r="H12">
        <f t="shared" si="3"/>
        <v>0</v>
      </c>
      <c r="I12">
        <f t="shared" si="4"/>
        <v>0</v>
      </c>
      <c r="J12">
        <f t="shared" si="5"/>
        <v>1</v>
      </c>
      <c r="K12">
        <f t="shared" si="6"/>
        <v>0</v>
      </c>
      <c r="L12">
        <f t="shared" si="7"/>
        <v>0</v>
      </c>
      <c r="M12">
        <f t="shared" si="8"/>
        <v>0</v>
      </c>
      <c r="N12">
        <f t="shared" si="9"/>
        <v>0</v>
      </c>
      <c r="O12">
        <f t="shared" si="10"/>
        <v>0</v>
      </c>
      <c r="P12">
        <f t="shared" si="11"/>
        <v>0</v>
      </c>
      <c r="R12" s="5" t="s">
        <v>442</v>
      </c>
      <c r="S12" s="5">
        <f>SUM(O2:O332)</f>
        <v>28</v>
      </c>
    </row>
    <row r="13" spans="1:19" x14ac:dyDescent="0.25">
      <c r="A13" t="s">
        <v>28</v>
      </c>
      <c r="B13" t="s">
        <v>29</v>
      </c>
      <c r="C13" s="1">
        <v>33321</v>
      </c>
      <c r="D13" t="s">
        <v>12</v>
      </c>
      <c r="E13">
        <f t="shared" si="0"/>
        <v>0</v>
      </c>
      <c r="F13">
        <f t="shared" si="1"/>
        <v>0</v>
      </c>
      <c r="G13">
        <f t="shared" si="2"/>
        <v>1</v>
      </c>
      <c r="H13">
        <f t="shared" si="3"/>
        <v>0</v>
      </c>
      <c r="I13">
        <f t="shared" si="4"/>
        <v>0</v>
      </c>
      <c r="J13">
        <f t="shared" si="5"/>
        <v>0</v>
      </c>
      <c r="K13">
        <f t="shared" si="6"/>
        <v>0</v>
      </c>
      <c r="L13">
        <f t="shared" si="7"/>
        <v>0</v>
      </c>
      <c r="M13">
        <f t="shared" si="8"/>
        <v>0</v>
      </c>
      <c r="N13">
        <f t="shared" si="9"/>
        <v>0</v>
      </c>
      <c r="O13">
        <f t="shared" si="10"/>
        <v>0</v>
      </c>
      <c r="P13">
        <f t="shared" si="11"/>
        <v>0</v>
      </c>
      <c r="R13" s="5" t="s">
        <v>443</v>
      </c>
      <c r="S13" s="5">
        <f>SUM(P2:P332)</f>
        <v>29</v>
      </c>
    </row>
    <row r="14" spans="1:19" x14ac:dyDescent="0.25">
      <c r="A14" t="s">
        <v>30</v>
      </c>
      <c r="B14" t="s">
        <v>8</v>
      </c>
      <c r="C14" s="1">
        <v>26093</v>
      </c>
      <c r="D14" t="s">
        <v>12</v>
      </c>
      <c r="E14">
        <f t="shared" si="0"/>
        <v>0</v>
      </c>
      <c r="F14">
        <f t="shared" si="1"/>
        <v>0</v>
      </c>
      <c r="G14">
        <f t="shared" si="2"/>
        <v>0</v>
      </c>
      <c r="H14">
        <f t="shared" si="3"/>
        <v>0</v>
      </c>
      <c r="I14">
        <f t="shared" si="4"/>
        <v>0</v>
      </c>
      <c r="J14">
        <f t="shared" si="5"/>
        <v>1</v>
      </c>
      <c r="K14">
        <f t="shared" si="6"/>
        <v>0</v>
      </c>
      <c r="L14">
        <f t="shared" si="7"/>
        <v>0</v>
      </c>
      <c r="M14">
        <f t="shared" si="8"/>
        <v>0</v>
      </c>
      <c r="N14">
        <f t="shared" si="9"/>
        <v>0</v>
      </c>
      <c r="O14">
        <f t="shared" si="10"/>
        <v>0</v>
      </c>
      <c r="P14">
        <f t="shared" si="11"/>
        <v>0</v>
      </c>
    </row>
    <row r="15" spans="1:19" x14ac:dyDescent="0.25">
      <c r="A15" t="s">
        <v>31</v>
      </c>
      <c r="B15" t="s">
        <v>32</v>
      </c>
      <c r="C15" s="1">
        <v>17144</v>
      </c>
      <c r="D15" t="s">
        <v>12</v>
      </c>
      <c r="E15">
        <f t="shared" si="0"/>
        <v>0</v>
      </c>
      <c r="F15">
        <f t="shared" si="1"/>
        <v>0</v>
      </c>
      <c r="G15">
        <f t="shared" si="2"/>
        <v>0</v>
      </c>
      <c r="H15">
        <f t="shared" si="3"/>
        <v>0</v>
      </c>
      <c r="I15">
        <f t="shared" si="4"/>
        <v>0</v>
      </c>
      <c r="J15">
        <f t="shared" si="5"/>
        <v>0</v>
      </c>
      <c r="K15">
        <f t="shared" si="6"/>
        <v>0</v>
      </c>
      <c r="L15">
        <f t="shared" si="7"/>
        <v>0</v>
      </c>
      <c r="M15">
        <f t="shared" si="8"/>
        <v>0</v>
      </c>
      <c r="N15">
        <f t="shared" si="9"/>
        <v>0</v>
      </c>
      <c r="O15">
        <f t="shared" si="10"/>
        <v>0</v>
      </c>
      <c r="P15">
        <f t="shared" si="11"/>
        <v>1</v>
      </c>
    </row>
    <row r="16" spans="1:19" x14ac:dyDescent="0.25">
      <c r="A16" t="s">
        <v>33</v>
      </c>
      <c r="B16" t="s">
        <v>34</v>
      </c>
      <c r="C16" s="1">
        <v>26019</v>
      </c>
      <c r="D16" t="s">
        <v>12</v>
      </c>
      <c r="E16">
        <f t="shared" si="0"/>
        <v>0</v>
      </c>
      <c r="F16">
        <f t="shared" si="1"/>
        <v>0</v>
      </c>
      <c r="G16">
        <f t="shared" si="2"/>
        <v>1</v>
      </c>
      <c r="H16">
        <f t="shared" si="3"/>
        <v>0</v>
      </c>
      <c r="I16">
        <f t="shared" si="4"/>
        <v>0</v>
      </c>
      <c r="J16">
        <f t="shared" si="5"/>
        <v>0</v>
      </c>
      <c r="K16">
        <f t="shared" si="6"/>
        <v>0</v>
      </c>
      <c r="L16">
        <f t="shared" si="7"/>
        <v>0</v>
      </c>
      <c r="M16">
        <f t="shared" si="8"/>
        <v>0</v>
      </c>
      <c r="N16">
        <f t="shared" si="9"/>
        <v>0</v>
      </c>
      <c r="O16">
        <f t="shared" si="10"/>
        <v>0</v>
      </c>
      <c r="P16">
        <f t="shared" si="11"/>
        <v>0</v>
      </c>
    </row>
    <row r="17" spans="1:16" x14ac:dyDescent="0.25">
      <c r="A17" t="s">
        <v>35</v>
      </c>
      <c r="B17" t="s">
        <v>27</v>
      </c>
      <c r="C17" s="1">
        <v>30193</v>
      </c>
      <c r="D17" t="s">
        <v>6</v>
      </c>
      <c r="E17">
        <f t="shared" si="0"/>
        <v>0</v>
      </c>
      <c r="F17">
        <f t="shared" si="1"/>
        <v>0</v>
      </c>
      <c r="G17">
        <f t="shared" si="2"/>
        <v>0</v>
      </c>
      <c r="H17">
        <f t="shared" si="3"/>
        <v>0</v>
      </c>
      <c r="I17">
        <f t="shared" si="4"/>
        <v>0</v>
      </c>
      <c r="J17">
        <f t="shared" si="5"/>
        <v>0</v>
      </c>
      <c r="K17">
        <f t="shared" si="6"/>
        <v>0</v>
      </c>
      <c r="L17">
        <f t="shared" si="7"/>
        <v>1</v>
      </c>
      <c r="M17">
        <f t="shared" si="8"/>
        <v>0</v>
      </c>
      <c r="N17">
        <f t="shared" si="9"/>
        <v>0</v>
      </c>
      <c r="O17">
        <f t="shared" si="10"/>
        <v>0</v>
      </c>
      <c r="P17">
        <f t="shared" si="11"/>
        <v>0</v>
      </c>
    </row>
    <row r="18" spans="1:16" x14ac:dyDescent="0.25">
      <c r="A18" t="s">
        <v>36</v>
      </c>
      <c r="B18" t="s">
        <v>37</v>
      </c>
      <c r="C18" s="1">
        <v>29668</v>
      </c>
      <c r="D18" t="s">
        <v>9</v>
      </c>
      <c r="E18">
        <f t="shared" si="0"/>
        <v>0</v>
      </c>
      <c r="F18">
        <f t="shared" si="1"/>
        <v>0</v>
      </c>
      <c r="G18">
        <f t="shared" si="2"/>
        <v>1</v>
      </c>
      <c r="H18">
        <f t="shared" si="3"/>
        <v>0</v>
      </c>
      <c r="I18">
        <f t="shared" si="4"/>
        <v>0</v>
      </c>
      <c r="J18">
        <f t="shared" si="5"/>
        <v>0</v>
      </c>
      <c r="K18">
        <f t="shared" si="6"/>
        <v>0</v>
      </c>
      <c r="L18">
        <f t="shared" si="7"/>
        <v>0</v>
      </c>
      <c r="M18">
        <f t="shared" si="8"/>
        <v>0</v>
      </c>
      <c r="N18">
        <f t="shared" si="9"/>
        <v>0</v>
      </c>
      <c r="O18">
        <f t="shared" si="10"/>
        <v>0</v>
      </c>
      <c r="P18">
        <f t="shared" si="11"/>
        <v>0</v>
      </c>
    </row>
    <row r="19" spans="1:16" x14ac:dyDescent="0.25">
      <c r="A19" t="s">
        <v>38</v>
      </c>
      <c r="B19" t="s">
        <v>39</v>
      </c>
      <c r="C19" s="1">
        <v>34945</v>
      </c>
      <c r="D19" t="s">
        <v>40</v>
      </c>
      <c r="E19">
        <f t="shared" si="0"/>
        <v>0</v>
      </c>
      <c r="F19">
        <f t="shared" si="1"/>
        <v>0</v>
      </c>
      <c r="G19">
        <f t="shared" si="2"/>
        <v>0</v>
      </c>
      <c r="H19">
        <f t="shared" si="3"/>
        <v>0</v>
      </c>
      <c r="I19">
        <f t="shared" si="4"/>
        <v>0</v>
      </c>
      <c r="J19">
        <f t="shared" si="5"/>
        <v>0</v>
      </c>
      <c r="K19">
        <f t="shared" si="6"/>
        <v>0</v>
      </c>
      <c r="L19">
        <f t="shared" si="7"/>
        <v>0</v>
      </c>
      <c r="M19">
        <f t="shared" si="8"/>
        <v>1</v>
      </c>
      <c r="N19">
        <f t="shared" si="9"/>
        <v>0</v>
      </c>
      <c r="O19">
        <f t="shared" si="10"/>
        <v>0</v>
      </c>
      <c r="P19">
        <f t="shared" si="11"/>
        <v>0</v>
      </c>
    </row>
    <row r="20" spans="1:16" x14ac:dyDescent="0.25">
      <c r="A20" t="s">
        <v>41</v>
      </c>
      <c r="B20" t="s">
        <v>42</v>
      </c>
      <c r="C20" s="1">
        <v>23309</v>
      </c>
      <c r="D20" t="s">
        <v>9</v>
      </c>
      <c r="E20">
        <f t="shared" si="0"/>
        <v>0</v>
      </c>
      <c r="F20">
        <f t="shared" si="1"/>
        <v>0</v>
      </c>
      <c r="G20">
        <f t="shared" si="2"/>
        <v>0</v>
      </c>
      <c r="H20">
        <f t="shared" si="3"/>
        <v>0</v>
      </c>
      <c r="I20">
        <f t="shared" si="4"/>
        <v>0</v>
      </c>
      <c r="J20">
        <f t="shared" si="5"/>
        <v>0</v>
      </c>
      <c r="K20">
        <f t="shared" si="6"/>
        <v>0</v>
      </c>
      <c r="L20">
        <f t="shared" si="7"/>
        <v>0</v>
      </c>
      <c r="M20">
        <f t="shared" si="8"/>
        <v>0</v>
      </c>
      <c r="N20">
        <f t="shared" si="9"/>
        <v>1</v>
      </c>
      <c r="O20">
        <f t="shared" si="10"/>
        <v>0</v>
      </c>
      <c r="P20">
        <f t="shared" si="11"/>
        <v>0</v>
      </c>
    </row>
    <row r="21" spans="1:16" x14ac:dyDescent="0.25">
      <c r="A21" t="s">
        <v>43</v>
      </c>
      <c r="B21" t="s">
        <v>20</v>
      </c>
      <c r="C21" s="1">
        <v>16498</v>
      </c>
      <c r="D21" t="s">
        <v>6</v>
      </c>
      <c r="E21">
        <f t="shared" si="0"/>
        <v>0</v>
      </c>
      <c r="F21">
        <f t="shared" si="1"/>
        <v>0</v>
      </c>
      <c r="G21">
        <f t="shared" si="2"/>
        <v>1</v>
      </c>
      <c r="H21">
        <f t="shared" si="3"/>
        <v>0</v>
      </c>
      <c r="I21">
        <f t="shared" si="4"/>
        <v>0</v>
      </c>
      <c r="J21">
        <f t="shared" si="5"/>
        <v>0</v>
      </c>
      <c r="K21">
        <f t="shared" si="6"/>
        <v>0</v>
      </c>
      <c r="L21">
        <f t="shared" si="7"/>
        <v>0</v>
      </c>
      <c r="M21">
        <f t="shared" si="8"/>
        <v>0</v>
      </c>
      <c r="N21">
        <f t="shared" si="9"/>
        <v>0</v>
      </c>
      <c r="O21">
        <f t="shared" si="10"/>
        <v>0</v>
      </c>
      <c r="P21">
        <f t="shared" si="11"/>
        <v>0</v>
      </c>
    </row>
    <row r="22" spans="1:16" x14ac:dyDescent="0.25">
      <c r="A22" t="s">
        <v>44</v>
      </c>
      <c r="B22" t="s">
        <v>45</v>
      </c>
      <c r="C22" s="1">
        <v>19872</v>
      </c>
      <c r="D22" t="s">
        <v>12</v>
      </c>
      <c r="E22">
        <f t="shared" si="0"/>
        <v>0</v>
      </c>
      <c r="F22">
        <f t="shared" si="1"/>
        <v>0</v>
      </c>
      <c r="G22">
        <f t="shared" si="2"/>
        <v>0</v>
      </c>
      <c r="H22">
        <f t="shared" si="3"/>
        <v>0</v>
      </c>
      <c r="I22">
        <f t="shared" si="4"/>
        <v>1</v>
      </c>
      <c r="J22">
        <f t="shared" si="5"/>
        <v>0</v>
      </c>
      <c r="K22">
        <f t="shared" si="6"/>
        <v>0</v>
      </c>
      <c r="L22">
        <f t="shared" si="7"/>
        <v>0</v>
      </c>
      <c r="M22">
        <f t="shared" si="8"/>
        <v>0</v>
      </c>
      <c r="N22">
        <f t="shared" si="9"/>
        <v>0</v>
      </c>
      <c r="O22">
        <f t="shared" si="10"/>
        <v>0</v>
      </c>
      <c r="P22">
        <f t="shared" si="11"/>
        <v>0</v>
      </c>
    </row>
    <row r="23" spans="1:16" x14ac:dyDescent="0.25">
      <c r="A23" t="s">
        <v>46</v>
      </c>
      <c r="B23" t="s">
        <v>47</v>
      </c>
      <c r="C23" s="1">
        <v>26018</v>
      </c>
      <c r="D23" t="s">
        <v>6</v>
      </c>
      <c r="E23">
        <f t="shared" si="0"/>
        <v>0</v>
      </c>
      <c r="F23">
        <f t="shared" si="1"/>
        <v>0</v>
      </c>
      <c r="G23">
        <f t="shared" si="2"/>
        <v>1</v>
      </c>
      <c r="H23">
        <f t="shared" si="3"/>
        <v>0</v>
      </c>
      <c r="I23">
        <f t="shared" si="4"/>
        <v>0</v>
      </c>
      <c r="J23">
        <f t="shared" si="5"/>
        <v>0</v>
      </c>
      <c r="K23">
        <f t="shared" si="6"/>
        <v>0</v>
      </c>
      <c r="L23">
        <f t="shared" si="7"/>
        <v>0</v>
      </c>
      <c r="M23">
        <f t="shared" si="8"/>
        <v>0</v>
      </c>
      <c r="N23">
        <f t="shared" si="9"/>
        <v>0</v>
      </c>
      <c r="O23">
        <f t="shared" si="10"/>
        <v>0</v>
      </c>
      <c r="P23">
        <f t="shared" si="11"/>
        <v>0</v>
      </c>
    </row>
    <row r="24" spans="1:16" x14ac:dyDescent="0.25">
      <c r="A24" t="s">
        <v>48</v>
      </c>
      <c r="B24" t="s">
        <v>49</v>
      </c>
      <c r="C24" s="1">
        <v>25110</v>
      </c>
      <c r="D24" t="s">
        <v>40</v>
      </c>
      <c r="E24">
        <f t="shared" si="0"/>
        <v>0</v>
      </c>
      <c r="F24">
        <f t="shared" si="1"/>
        <v>0</v>
      </c>
      <c r="G24">
        <f t="shared" si="2"/>
        <v>0</v>
      </c>
      <c r="H24">
        <f t="shared" si="3"/>
        <v>0</v>
      </c>
      <c r="I24">
        <f t="shared" si="4"/>
        <v>0</v>
      </c>
      <c r="J24">
        <f t="shared" si="5"/>
        <v>0</v>
      </c>
      <c r="K24">
        <f t="shared" si="6"/>
        <v>0</v>
      </c>
      <c r="L24">
        <f t="shared" si="7"/>
        <v>0</v>
      </c>
      <c r="M24">
        <f t="shared" si="8"/>
        <v>1</v>
      </c>
      <c r="N24">
        <f t="shared" si="9"/>
        <v>0</v>
      </c>
      <c r="O24">
        <f t="shared" si="10"/>
        <v>0</v>
      </c>
      <c r="P24">
        <f t="shared" si="11"/>
        <v>0</v>
      </c>
    </row>
    <row r="25" spans="1:16" x14ac:dyDescent="0.25">
      <c r="A25" t="s">
        <v>50</v>
      </c>
      <c r="B25" t="s">
        <v>29</v>
      </c>
      <c r="C25" s="1">
        <v>33411</v>
      </c>
      <c r="D25" t="s">
        <v>9</v>
      </c>
      <c r="E25">
        <f t="shared" si="0"/>
        <v>0</v>
      </c>
      <c r="F25">
        <f t="shared" si="1"/>
        <v>0</v>
      </c>
      <c r="G25">
        <f t="shared" si="2"/>
        <v>0</v>
      </c>
      <c r="H25">
        <f t="shared" si="3"/>
        <v>0</v>
      </c>
      <c r="I25">
        <f t="shared" si="4"/>
        <v>0</v>
      </c>
      <c r="J25">
        <f t="shared" si="5"/>
        <v>1</v>
      </c>
      <c r="K25">
        <f t="shared" si="6"/>
        <v>0</v>
      </c>
      <c r="L25">
        <f t="shared" si="7"/>
        <v>0</v>
      </c>
      <c r="M25">
        <f t="shared" si="8"/>
        <v>0</v>
      </c>
      <c r="N25">
        <f t="shared" si="9"/>
        <v>0</v>
      </c>
      <c r="O25">
        <f t="shared" si="10"/>
        <v>0</v>
      </c>
      <c r="P25">
        <f t="shared" si="11"/>
        <v>0</v>
      </c>
    </row>
    <row r="26" spans="1:16" x14ac:dyDescent="0.25">
      <c r="A26" t="s">
        <v>51</v>
      </c>
      <c r="B26" t="s">
        <v>52</v>
      </c>
      <c r="C26" s="1">
        <v>30969</v>
      </c>
      <c r="D26" t="s">
        <v>12</v>
      </c>
      <c r="E26">
        <f t="shared" si="0"/>
        <v>0</v>
      </c>
      <c r="F26">
        <f t="shared" si="1"/>
        <v>0</v>
      </c>
      <c r="G26">
        <f t="shared" si="2"/>
        <v>0</v>
      </c>
      <c r="H26">
        <f t="shared" si="3"/>
        <v>0</v>
      </c>
      <c r="I26">
        <f t="shared" si="4"/>
        <v>0</v>
      </c>
      <c r="J26">
        <f t="shared" si="5"/>
        <v>0</v>
      </c>
      <c r="K26">
        <f t="shared" si="6"/>
        <v>0</v>
      </c>
      <c r="L26">
        <f t="shared" si="7"/>
        <v>0</v>
      </c>
      <c r="M26">
        <f t="shared" si="8"/>
        <v>0</v>
      </c>
      <c r="N26">
        <f t="shared" si="9"/>
        <v>1</v>
      </c>
      <c r="O26">
        <f t="shared" si="10"/>
        <v>0</v>
      </c>
      <c r="P26">
        <f t="shared" si="11"/>
        <v>0</v>
      </c>
    </row>
    <row r="27" spans="1:16" x14ac:dyDescent="0.25">
      <c r="A27" t="s">
        <v>53</v>
      </c>
      <c r="B27" t="s">
        <v>54</v>
      </c>
      <c r="C27" s="1">
        <v>19368</v>
      </c>
      <c r="D27" t="s">
        <v>12</v>
      </c>
      <c r="E27">
        <f t="shared" si="0"/>
        <v>1</v>
      </c>
      <c r="F27">
        <f t="shared" si="1"/>
        <v>0</v>
      </c>
      <c r="G27">
        <f t="shared" si="2"/>
        <v>0</v>
      </c>
      <c r="H27">
        <f t="shared" si="3"/>
        <v>0</v>
      </c>
      <c r="I27">
        <f t="shared" si="4"/>
        <v>0</v>
      </c>
      <c r="J27">
        <f t="shared" si="5"/>
        <v>0</v>
      </c>
      <c r="K27">
        <f t="shared" si="6"/>
        <v>0</v>
      </c>
      <c r="L27">
        <f t="shared" si="7"/>
        <v>0</v>
      </c>
      <c r="M27">
        <f t="shared" si="8"/>
        <v>0</v>
      </c>
      <c r="N27">
        <f t="shared" si="9"/>
        <v>0</v>
      </c>
      <c r="O27">
        <f t="shared" si="10"/>
        <v>0</v>
      </c>
      <c r="P27">
        <f t="shared" si="11"/>
        <v>0</v>
      </c>
    </row>
    <row r="28" spans="1:16" x14ac:dyDescent="0.25">
      <c r="A28" t="s">
        <v>55</v>
      </c>
      <c r="B28" t="s">
        <v>56</v>
      </c>
      <c r="C28" s="1">
        <v>23668</v>
      </c>
      <c r="D28" t="s">
        <v>40</v>
      </c>
      <c r="E28">
        <f t="shared" si="0"/>
        <v>0</v>
      </c>
      <c r="F28">
        <f t="shared" si="1"/>
        <v>0</v>
      </c>
      <c r="G28">
        <f t="shared" si="2"/>
        <v>0</v>
      </c>
      <c r="H28">
        <f t="shared" si="3"/>
        <v>0</v>
      </c>
      <c r="I28">
        <f t="shared" si="4"/>
        <v>0</v>
      </c>
      <c r="J28">
        <f t="shared" si="5"/>
        <v>0</v>
      </c>
      <c r="K28">
        <f t="shared" si="6"/>
        <v>0</v>
      </c>
      <c r="L28">
        <f t="shared" si="7"/>
        <v>0</v>
      </c>
      <c r="M28">
        <f t="shared" si="8"/>
        <v>0</v>
      </c>
      <c r="N28">
        <f t="shared" si="9"/>
        <v>1</v>
      </c>
      <c r="O28">
        <f t="shared" si="10"/>
        <v>0</v>
      </c>
      <c r="P28">
        <f t="shared" si="11"/>
        <v>0</v>
      </c>
    </row>
    <row r="29" spans="1:16" x14ac:dyDescent="0.25">
      <c r="A29" t="s">
        <v>57</v>
      </c>
      <c r="B29" t="s">
        <v>58</v>
      </c>
      <c r="C29" s="1">
        <v>19851</v>
      </c>
      <c r="D29" t="s">
        <v>12</v>
      </c>
      <c r="E29">
        <f t="shared" si="0"/>
        <v>0</v>
      </c>
      <c r="F29">
        <f t="shared" si="1"/>
        <v>0</v>
      </c>
      <c r="G29">
        <f t="shared" si="2"/>
        <v>0</v>
      </c>
      <c r="H29">
        <f t="shared" si="3"/>
        <v>0</v>
      </c>
      <c r="I29">
        <f t="shared" si="4"/>
        <v>1</v>
      </c>
      <c r="J29">
        <f t="shared" si="5"/>
        <v>0</v>
      </c>
      <c r="K29">
        <f t="shared" si="6"/>
        <v>0</v>
      </c>
      <c r="L29">
        <f t="shared" si="7"/>
        <v>0</v>
      </c>
      <c r="M29">
        <f t="shared" si="8"/>
        <v>0</v>
      </c>
      <c r="N29">
        <f t="shared" si="9"/>
        <v>0</v>
      </c>
      <c r="O29">
        <f t="shared" si="10"/>
        <v>0</v>
      </c>
      <c r="P29">
        <f t="shared" si="11"/>
        <v>0</v>
      </c>
    </row>
    <row r="30" spans="1:16" x14ac:dyDescent="0.25">
      <c r="A30" t="s">
        <v>59</v>
      </c>
      <c r="B30" t="s">
        <v>18</v>
      </c>
      <c r="C30" s="1">
        <v>17896</v>
      </c>
      <c r="D30" t="s">
        <v>9</v>
      </c>
      <c r="E30">
        <f t="shared" si="0"/>
        <v>0</v>
      </c>
      <c r="F30">
        <f t="shared" si="1"/>
        <v>0</v>
      </c>
      <c r="G30">
        <f t="shared" si="2"/>
        <v>0</v>
      </c>
      <c r="H30">
        <f t="shared" si="3"/>
        <v>0</v>
      </c>
      <c r="I30">
        <f t="shared" si="4"/>
        <v>0</v>
      </c>
      <c r="J30">
        <f t="shared" si="5"/>
        <v>0</v>
      </c>
      <c r="K30">
        <f t="shared" si="6"/>
        <v>0</v>
      </c>
      <c r="L30">
        <f t="shared" si="7"/>
        <v>0</v>
      </c>
      <c r="M30">
        <f t="shared" si="8"/>
        <v>0</v>
      </c>
      <c r="N30">
        <f t="shared" si="9"/>
        <v>0</v>
      </c>
      <c r="O30">
        <f t="shared" si="10"/>
        <v>0</v>
      </c>
      <c r="P30">
        <f t="shared" si="11"/>
        <v>1</v>
      </c>
    </row>
    <row r="31" spans="1:16" x14ac:dyDescent="0.25">
      <c r="A31" t="s">
        <v>60</v>
      </c>
      <c r="B31" t="s">
        <v>11</v>
      </c>
      <c r="C31" s="1">
        <v>25045</v>
      </c>
      <c r="D31" t="s">
        <v>12</v>
      </c>
      <c r="E31">
        <f t="shared" si="0"/>
        <v>0</v>
      </c>
      <c r="F31">
        <f t="shared" si="1"/>
        <v>0</v>
      </c>
      <c r="G31">
        <f t="shared" si="2"/>
        <v>0</v>
      </c>
      <c r="H31">
        <f t="shared" si="3"/>
        <v>0</v>
      </c>
      <c r="I31">
        <f t="shared" si="4"/>
        <v>0</v>
      </c>
      <c r="J31">
        <f t="shared" si="5"/>
        <v>0</v>
      </c>
      <c r="K31">
        <f t="shared" si="6"/>
        <v>1</v>
      </c>
      <c r="L31">
        <f t="shared" si="7"/>
        <v>0</v>
      </c>
      <c r="M31">
        <f t="shared" si="8"/>
        <v>0</v>
      </c>
      <c r="N31">
        <f t="shared" si="9"/>
        <v>0</v>
      </c>
      <c r="O31">
        <f t="shared" si="10"/>
        <v>0</v>
      </c>
      <c r="P31">
        <f t="shared" si="11"/>
        <v>0</v>
      </c>
    </row>
    <row r="32" spans="1:16" x14ac:dyDescent="0.25">
      <c r="A32" t="s">
        <v>61</v>
      </c>
      <c r="B32" t="s">
        <v>20</v>
      </c>
      <c r="C32" s="1">
        <v>18367</v>
      </c>
      <c r="D32" t="s">
        <v>12</v>
      </c>
      <c r="E32">
        <f t="shared" si="0"/>
        <v>0</v>
      </c>
      <c r="F32">
        <f t="shared" si="1"/>
        <v>0</v>
      </c>
      <c r="G32">
        <f t="shared" si="2"/>
        <v>0</v>
      </c>
      <c r="H32">
        <f t="shared" si="3"/>
        <v>1</v>
      </c>
      <c r="I32">
        <f t="shared" si="4"/>
        <v>0</v>
      </c>
      <c r="J32">
        <f t="shared" si="5"/>
        <v>0</v>
      </c>
      <c r="K32">
        <f t="shared" si="6"/>
        <v>0</v>
      </c>
      <c r="L32">
        <f t="shared" si="7"/>
        <v>0</v>
      </c>
      <c r="M32">
        <f t="shared" si="8"/>
        <v>0</v>
      </c>
      <c r="N32">
        <f t="shared" si="9"/>
        <v>0</v>
      </c>
      <c r="O32">
        <f t="shared" si="10"/>
        <v>0</v>
      </c>
      <c r="P32">
        <f t="shared" si="11"/>
        <v>0</v>
      </c>
    </row>
    <row r="33" spans="1:16" x14ac:dyDescent="0.25">
      <c r="A33" t="s">
        <v>62</v>
      </c>
      <c r="B33" t="s">
        <v>20</v>
      </c>
      <c r="C33" s="1">
        <v>21630</v>
      </c>
      <c r="D33" t="s">
        <v>6</v>
      </c>
      <c r="E33">
        <f t="shared" si="0"/>
        <v>0</v>
      </c>
      <c r="F33">
        <f t="shared" si="1"/>
        <v>0</v>
      </c>
      <c r="G33">
        <f t="shared" si="2"/>
        <v>1</v>
      </c>
      <c r="H33">
        <f t="shared" si="3"/>
        <v>0</v>
      </c>
      <c r="I33">
        <f t="shared" si="4"/>
        <v>0</v>
      </c>
      <c r="J33">
        <f t="shared" si="5"/>
        <v>0</v>
      </c>
      <c r="K33">
        <f t="shared" si="6"/>
        <v>0</v>
      </c>
      <c r="L33">
        <f t="shared" si="7"/>
        <v>0</v>
      </c>
      <c r="M33">
        <f t="shared" si="8"/>
        <v>0</v>
      </c>
      <c r="N33">
        <f t="shared" si="9"/>
        <v>0</v>
      </c>
      <c r="O33">
        <f t="shared" si="10"/>
        <v>0</v>
      </c>
      <c r="P33">
        <f t="shared" si="11"/>
        <v>0</v>
      </c>
    </row>
    <row r="34" spans="1:16" x14ac:dyDescent="0.25">
      <c r="A34" t="s">
        <v>63</v>
      </c>
      <c r="B34" t="s">
        <v>64</v>
      </c>
      <c r="C34" s="1">
        <v>16075</v>
      </c>
      <c r="D34" t="s">
        <v>40</v>
      </c>
      <c r="E34">
        <f t="shared" si="0"/>
        <v>1</v>
      </c>
      <c r="F34">
        <f t="shared" si="1"/>
        <v>0</v>
      </c>
      <c r="G34">
        <f t="shared" si="2"/>
        <v>0</v>
      </c>
      <c r="H34">
        <f t="shared" si="3"/>
        <v>0</v>
      </c>
      <c r="I34">
        <f t="shared" si="4"/>
        <v>0</v>
      </c>
      <c r="J34">
        <f t="shared" si="5"/>
        <v>0</v>
      </c>
      <c r="K34">
        <f t="shared" si="6"/>
        <v>0</v>
      </c>
      <c r="L34">
        <f t="shared" si="7"/>
        <v>0</v>
      </c>
      <c r="M34">
        <f t="shared" si="8"/>
        <v>0</v>
      </c>
      <c r="N34">
        <f t="shared" si="9"/>
        <v>0</v>
      </c>
      <c r="O34">
        <f t="shared" si="10"/>
        <v>0</v>
      </c>
      <c r="P34">
        <f t="shared" si="11"/>
        <v>0</v>
      </c>
    </row>
    <row r="35" spans="1:16" x14ac:dyDescent="0.25">
      <c r="A35" t="s">
        <v>65</v>
      </c>
      <c r="B35" t="s">
        <v>20</v>
      </c>
      <c r="C35" s="1">
        <v>30640</v>
      </c>
      <c r="D35" t="s">
        <v>6</v>
      </c>
      <c r="E35">
        <f t="shared" si="0"/>
        <v>0</v>
      </c>
      <c r="F35">
        <f t="shared" si="1"/>
        <v>0</v>
      </c>
      <c r="G35">
        <f t="shared" si="2"/>
        <v>0</v>
      </c>
      <c r="H35">
        <f t="shared" si="3"/>
        <v>0</v>
      </c>
      <c r="I35">
        <f t="shared" si="4"/>
        <v>0</v>
      </c>
      <c r="J35">
        <f t="shared" si="5"/>
        <v>0</v>
      </c>
      <c r="K35">
        <f t="shared" si="6"/>
        <v>0</v>
      </c>
      <c r="L35">
        <f t="shared" si="7"/>
        <v>0</v>
      </c>
      <c r="M35">
        <f t="shared" si="8"/>
        <v>0</v>
      </c>
      <c r="N35">
        <f t="shared" si="9"/>
        <v>0</v>
      </c>
      <c r="O35">
        <f t="shared" si="10"/>
        <v>1</v>
      </c>
      <c r="P35">
        <f t="shared" si="11"/>
        <v>0</v>
      </c>
    </row>
    <row r="36" spans="1:16" x14ac:dyDescent="0.25">
      <c r="A36" t="s">
        <v>66</v>
      </c>
      <c r="B36" t="s">
        <v>67</v>
      </c>
      <c r="C36" s="1">
        <v>21633</v>
      </c>
      <c r="D36" t="s">
        <v>12</v>
      </c>
      <c r="E36">
        <f t="shared" si="0"/>
        <v>0</v>
      </c>
      <c r="F36">
        <f t="shared" si="1"/>
        <v>0</v>
      </c>
      <c r="G36">
        <f t="shared" si="2"/>
        <v>1</v>
      </c>
      <c r="H36">
        <f t="shared" si="3"/>
        <v>0</v>
      </c>
      <c r="I36">
        <f t="shared" si="4"/>
        <v>0</v>
      </c>
      <c r="J36">
        <f t="shared" si="5"/>
        <v>0</v>
      </c>
      <c r="K36">
        <f t="shared" si="6"/>
        <v>0</v>
      </c>
      <c r="L36">
        <f t="shared" si="7"/>
        <v>0</v>
      </c>
      <c r="M36">
        <f t="shared" si="8"/>
        <v>0</v>
      </c>
      <c r="N36">
        <f t="shared" si="9"/>
        <v>0</v>
      </c>
      <c r="O36">
        <f t="shared" si="10"/>
        <v>0</v>
      </c>
      <c r="P36">
        <f t="shared" si="11"/>
        <v>0</v>
      </c>
    </row>
    <row r="37" spans="1:16" x14ac:dyDescent="0.25">
      <c r="A37" t="s">
        <v>68</v>
      </c>
      <c r="B37" t="s">
        <v>69</v>
      </c>
      <c r="C37" s="1">
        <v>22843</v>
      </c>
      <c r="D37" t="s">
        <v>6</v>
      </c>
      <c r="E37">
        <f t="shared" si="0"/>
        <v>0</v>
      </c>
      <c r="F37">
        <f t="shared" si="1"/>
        <v>0</v>
      </c>
      <c r="G37">
        <f t="shared" si="2"/>
        <v>0</v>
      </c>
      <c r="H37">
        <f t="shared" si="3"/>
        <v>0</v>
      </c>
      <c r="I37">
        <f t="shared" si="4"/>
        <v>0</v>
      </c>
      <c r="J37">
        <f t="shared" si="5"/>
        <v>0</v>
      </c>
      <c r="K37">
        <f t="shared" si="6"/>
        <v>1</v>
      </c>
      <c r="L37">
        <f t="shared" si="7"/>
        <v>0</v>
      </c>
      <c r="M37">
        <f t="shared" si="8"/>
        <v>0</v>
      </c>
      <c r="N37">
        <f t="shared" si="9"/>
        <v>0</v>
      </c>
      <c r="O37">
        <f t="shared" si="10"/>
        <v>0</v>
      </c>
      <c r="P37">
        <f t="shared" si="11"/>
        <v>0</v>
      </c>
    </row>
    <row r="38" spans="1:16" x14ac:dyDescent="0.25">
      <c r="A38" t="s">
        <v>70</v>
      </c>
      <c r="B38" t="s">
        <v>39</v>
      </c>
      <c r="C38" s="1">
        <v>22944</v>
      </c>
      <c r="D38" t="s">
        <v>12</v>
      </c>
      <c r="E38">
        <f t="shared" si="0"/>
        <v>0</v>
      </c>
      <c r="F38">
        <f t="shared" si="1"/>
        <v>0</v>
      </c>
      <c r="G38">
        <f t="shared" si="2"/>
        <v>0</v>
      </c>
      <c r="H38">
        <f t="shared" si="3"/>
        <v>0</v>
      </c>
      <c r="I38">
        <f t="shared" si="4"/>
        <v>0</v>
      </c>
      <c r="J38">
        <f t="shared" si="5"/>
        <v>0</v>
      </c>
      <c r="K38">
        <f t="shared" si="6"/>
        <v>0</v>
      </c>
      <c r="L38">
        <f t="shared" si="7"/>
        <v>0</v>
      </c>
      <c r="M38">
        <f t="shared" si="8"/>
        <v>0</v>
      </c>
      <c r="N38">
        <f t="shared" si="9"/>
        <v>1</v>
      </c>
      <c r="O38">
        <f t="shared" si="10"/>
        <v>0</v>
      </c>
      <c r="P38">
        <f t="shared" si="11"/>
        <v>0</v>
      </c>
    </row>
    <row r="39" spans="1:16" x14ac:dyDescent="0.25">
      <c r="A39" t="s">
        <v>71</v>
      </c>
      <c r="B39" t="s">
        <v>72</v>
      </c>
      <c r="C39" s="1">
        <v>28856</v>
      </c>
      <c r="D39" t="s">
        <v>6</v>
      </c>
      <c r="E39">
        <f t="shared" si="0"/>
        <v>1</v>
      </c>
      <c r="F39">
        <f t="shared" si="1"/>
        <v>0</v>
      </c>
      <c r="G39">
        <f t="shared" si="2"/>
        <v>0</v>
      </c>
      <c r="H39">
        <f t="shared" si="3"/>
        <v>0</v>
      </c>
      <c r="I39">
        <f t="shared" si="4"/>
        <v>0</v>
      </c>
      <c r="J39">
        <f t="shared" si="5"/>
        <v>0</v>
      </c>
      <c r="K39">
        <f t="shared" si="6"/>
        <v>0</v>
      </c>
      <c r="L39">
        <f t="shared" si="7"/>
        <v>0</v>
      </c>
      <c r="M39">
        <f t="shared" si="8"/>
        <v>0</v>
      </c>
      <c r="N39">
        <f t="shared" si="9"/>
        <v>0</v>
      </c>
      <c r="O39">
        <f t="shared" si="10"/>
        <v>0</v>
      </c>
      <c r="P39">
        <f t="shared" si="11"/>
        <v>0</v>
      </c>
    </row>
    <row r="40" spans="1:16" x14ac:dyDescent="0.25">
      <c r="A40" t="s">
        <v>73</v>
      </c>
      <c r="B40" t="s">
        <v>74</v>
      </c>
      <c r="C40" s="1">
        <v>27510</v>
      </c>
      <c r="D40" t="s">
        <v>9</v>
      </c>
      <c r="E40">
        <f t="shared" si="0"/>
        <v>0</v>
      </c>
      <c r="F40">
        <f t="shared" si="1"/>
        <v>0</v>
      </c>
      <c r="G40">
        <f t="shared" si="2"/>
        <v>0</v>
      </c>
      <c r="H40">
        <f t="shared" si="3"/>
        <v>1</v>
      </c>
      <c r="I40">
        <f t="shared" si="4"/>
        <v>0</v>
      </c>
      <c r="J40">
        <f t="shared" si="5"/>
        <v>0</v>
      </c>
      <c r="K40">
        <f t="shared" si="6"/>
        <v>0</v>
      </c>
      <c r="L40">
        <f t="shared" si="7"/>
        <v>0</v>
      </c>
      <c r="M40">
        <f t="shared" si="8"/>
        <v>0</v>
      </c>
      <c r="N40">
        <f t="shared" si="9"/>
        <v>0</v>
      </c>
      <c r="O40">
        <f t="shared" si="10"/>
        <v>0</v>
      </c>
      <c r="P40">
        <f t="shared" si="11"/>
        <v>0</v>
      </c>
    </row>
    <row r="41" spans="1:16" x14ac:dyDescent="0.25">
      <c r="A41" t="s">
        <v>75</v>
      </c>
      <c r="B41" t="s">
        <v>52</v>
      </c>
      <c r="C41" s="1">
        <v>24744</v>
      </c>
      <c r="D41" t="s">
        <v>12</v>
      </c>
      <c r="E41">
        <f t="shared" si="0"/>
        <v>0</v>
      </c>
      <c r="F41">
        <f t="shared" si="1"/>
        <v>0</v>
      </c>
      <c r="G41">
        <f t="shared" si="2"/>
        <v>0</v>
      </c>
      <c r="H41">
        <f t="shared" si="3"/>
        <v>0</v>
      </c>
      <c r="I41">
        <f t="shared" si="4"/>
        <v>0</v>
      </c>
      <c r="J41">
        <f t="shared" si="5"/>
        <v>0</v>
      </c>
      <c r="K41">
        <f t="shared" si="6"/>
        <v>0</v>
      </c>
      <c r="L41">
        <f t="shared" si="7"/>
        <v>0</v>
      </c>
      <c r="M41">
        <f t="shared" si="8"/>
        <v>1</v>
      </c>
      <c r="N41">
        <f t="shared" si="9"/>
        <v>0</v>
      </c>
      <c r="O41">
        <f t="shared" si="10"/>
        <v>0</v>
      </c>
      <c r="P41">
        <f t="shared" si="11"/>
        <v>0</v>
      </c>
    </row>
    <row r="42" spans="1:16" x14ac:dyDescent="0.25">
      <c r="A42" t="s">
        <v>76</v>
      </c>
      <c r="B42" t="s">
        <v>77</v>
      </c>
      <c r="C42" s="1">
        <v>26703</v>
      </c>
      <c r="D42" t="s">
        <v>40</v>
      </c>
      <c r="E42">
        <f t="shared" si="0"/>
        <v>0</v>
      </c>
      <c r="F42">
        <f t="shared" si="1"/>
        <v>1</v>
      </c>
      <c r="G42">
        <f t="shared" si="2"/>
        <v>0</v>
      </c>
      <c r="H42">
        <f t="shared" si="3"/>
        <v>0</v>
      </c>
      <c r="I42">
        <f t="shared" si="4"/>
        <v>0</v>
      </c>
      <c r="J42">
        <f t="shared" si="5"/>
        <v>0</v>
      </c>
      <c r="K42">
        <f t="shared" si="6"/>
        <v>0</v>
      </c>
      <c r="L42">
        <f t="shared" si="7"/>
        <v>0</v>
      </c>
      <c r="M42">
        <f t="shared" si="8"/>
        <v>0</v>
      </c>
      <c r="N42">
        <f t="shared" si="9"/>
        <v>0</v>
      </c>
      <c r="O42">
        <f t="shared" si="10"/>
        <v>0</v>
      </c>
      <c r="P42">
        <f t="shared" si="11"/>
        <v>0</v>
      </c>
    </row>
    <row r="43" spans="1:16" x14ac:dyDescent="0.25">
      <c r="A43" t="s">
        <v>78</v>
      </c>
      <c r="B43" t="s">
        <v>79</v>
      </c>
      <c r="C43" s="1">
        <v>18847</v>
      </c>
      <c r="D43" t="s">
        <v>6</v>
      </c>
      <c r="E43">
        <f t="shared" si="0"/>
        <v>0</v>
      </c>
      <c r="F43">
        <f t="shared" si="1"/>
        <v>0</v>
      </c>
      <c r="G43">
        <f t="shared" si="2"/>
        <v>0</v>
      </c>
      <c r="H43">
        <f t="shared" si="3"/>
        <v>0</v>
      </c>
      <c r="I43">
        <f t="shared" si="4"/>
        <v>0</v>
      </c>
      <c r="J43">
        <f t="shared" si="5"/>
        <v>0</v>
      </c>
      <c r="K43">
        <f t="shared" si="6"/>
        <v>0</v>
      </c>
      <c r="L43">
        <f t="shared" si="7"/>
        <v>1</v>
      </c>
      <c r="M43">
        <f t="shared" si="8"/>
        <v>0</v>
      </c>
      <c r="N43">
        <f t="shared" si="9"/>
        <v>0</v>
      </c>
      <c r="O43">
        <f t="shared" si="10"/>
        <v>0</v>
      </c>
      <c r="P43">
        <f t="shared" si="11"/>
        <v>0</v>
      </c>
    </row>
    <row r="44" spans="1:16" x14ac:dyDescent="0.25">
      <c r="A44" t="s">
        <v>80</v>
      </c>
      <c r="B44" t="s">
        <v>81</v>
      </c>
      <c r="C44" s="1">
        <v>33899</v>
      </c>
      <c r="D44" t="s">
        <v>12</v>
      </c>
      <c r="E44">
        <f t="shared" si="0"/>
        <v>0</v>
      </c>
      <c r="F44">
        <f t="shared" si="1"/>
        <v>0</v>
      </c>
      <c r="G44">
        <f t="shared" si="2"/>
        <v>0</v>
      </c>
      <c r="H44">
        <f t="shared" si="3"/>
        <v>0</v>
      </c>
      <c r="I44">
        <f t="shared" si="4"/>
        <v>0</v>
      </c>
      <c r="J44">
        <f t="shared" si="5"/>
        <v>0</v>
      </c>
      <c r="K44">
        <f t="shared" si="6"/>
        <v>0</v>
      </c>
      <c r="L44">
        <f t="shared" si="7"/>
        <v>0</v>
      </c>
      <c r="M44">
        <f t="shared" si="8"/>
        <v>0</v>
      </c>
      <c r="N44">
        <f t="shared" si="9"/>
        <v>1</v>
      </c>
      <c r="O44">
        <f t="shared" si="10"/>
        <v>0</v>
      </c>
      <c r="P44">
        <f t="shared" si="11"/>
        <v>0</v>
      </c>
    </row>
    <row r="45" spans="1:16" x14ac:dyDescent="0.25">
      <c r="A45" t="s">
        <v>82</v>
      </c>
      <c r="B45" t="s">
        <v>42</v>
      </c>
      <c r="C45" s="1">
        <v>34773</v>
      </c>
      <c r="D45" t="s">
        <v>12</v>
      </c>
      <c r="E45">
        <f t="shared" si="0"/>
        <v>0</v>
      </c>
      <c r="F45">
        <f t="shared" si="1"/>
        <v>0</v>
      </c>
      <c r="G45">
        <f t="shared" si="2"/>
        <v>1</v>
      </c>
      <c r="H45">
        <f t="shared" si="3"/>
        <v>0</v>
      </c>
      <c r="I45">
        <f t="shared" si="4"/>
        <v>0</v>
      </c>
      <c r="J45">
        <f t="shared" si="5"/>
        <v>0</v>
      </c>
      <c r="K45">
        <f t="shared" si="6"/>
        <v>0</v>
      </c>
      <c r="L45">
        <f t="shared" si="7"/>
        <v>0</v>
      </c>
      <c r="M45">
        <f t="shared" si="8"/>
        <v>0</v>
      </c>
      <c r="N45">
        <f t="shared" si="9"/>
        <v>0</v>
      </c>
      <c r="O45">
        <f t="shared" si="10"/>
        <v>0</v>
      </c>
      <c r="P45">
        <f t="shared" si="11"/>
        <v>0</v>
      </c>
    </row>
    <row r="46" spans="1:16" x14ac:dyDescent="0.25">
      <c r="A46" t="s">
        <v>83</v>
      </c>
      <c r="B46" t="s">
        <v>84</v>
      </c>
      <c r="C46" s="1">
        <v>28929</v>
      </c>
      <c r="D46" t="s">
        <v>6</v>
      </c>
      <c r="E46">
        <f t="shared" si="0"/>
        <v>0</v>
      </c>
      <c r="F46">
        <f t="shared" si="1"/>
        <v>0</v>
      </c>
      <c r="G46">
        <f t="shared" si="2"/>
        <v>1</v>
      </c>
      <c r="H46">
        <f t="shared" si="3"/>
        <v>0</v>
      </c>
      <c r="I46">
        <f t="shared" si="4"/>
        <v>0</v>
      </c>
      <c r="J46">
        <f t="shared" si="5"/>
        <v>0</v>
      </c>
      <c r="K46">
        <f t="shared" si="6"/>
        <v>0</v>
      </c>
      <c r="L46">
        <f t="shared" si="7"/>
        <v>0</v>
      </c>
      <c r="M46">
        <f t="shared" si="8"/>
        <v>0</v>
      </c>
      <c r="N46">
        <f t="shared" si="9"/>
        <v>0</v>
      </c>
      <c r="O46">
        <f t="shared" si="10"/>
        <v>0</v>
      </c>
      <c r="P46">
        <f t="shared" si="11"/>
        <v>0</v>
      </c>
    </row>
    <row r="47" spans="1:16" x14ac:dyDescent="0.25">
      <c r="A47" t="s">
        <v>85</v>
      </c>
      <c r="B47" t="s">
        <v>42</v>
      </c>
      <c r="C47" s="1">
        <v>17612</v>
      </c>
      <c r="D47" t="s">
        <v>40</v>
      </c>
      <c r="E47">
        <f t="shared" si="0"/>
        <v>0</v>
      </c>
      <c r="F47">
        <f t="shared" si="1"/>
        <v>0</v>
      </c>
      <c r="G47">
        <f t="shared" si="2"/>
        <v>1</v>
      </c>
      <c r="H47">
        <f t="shared" si="3"/>
        <v>0</v>
      </c>
      <c r="I47">
        <f t="shared" si="4"/>
        <v>0</v>
      </c>
      <c r="J47">
        <f t="shared" si="5"/>
        <v>0</v>
      </c>
      <c r="K47">
        <f t="shared" si="6"/>
        <v>0</v>
      </c>
      <c r="L47">
        <f t="shared" si="7"/>
        <v>0</v>
      </c>
      <c r="M47">
        <f t="shared" si="8"/>
        <v>0</v>
      </c>
      <c r="N47">
        <f t="shared" si="9"/>
        <v>0</v>
      </c>
      <c r="O47">
        <f t="shared" si="10"/>
        <v>0</v>
      </c>
      <c r="P47">
        <f t="shared" si="11"/>
        <v>0</v>
      </c>
    </row>
    <row r="48" spans="1:16" x14ac:dyDescent="0.25">
      <c r="A48" t="s">
        <v>86</v>
      </c>
      <c r="B48" t="s">
        <v>87</v>
      </c>
      <c r="C48" s="1">
        <v>26002</v>
      </c>
      <c r="D48" t="s">
        <v>12</v>
      </c>
      <c r="E48">
        <f t="shared" si="0"/>
        <v>0</v>
      </c>
      <c r="F48">
        <f t="shared" si="1"/>
        <v>0</v>
      </c>
      <c r="G48">
        <f t="shared" si="2"/>
        <v>1</v>
      </c>
      <c r="H48">
        <f t="shared" si="3"/>
        <v>0</v>
      </c>
      <c r="I48">
        <f t="shared" si="4"/>
        <v>0</v>
      </c>
      <c r="J48">
        <f t="shared" si="5"/>
        <v>0</v>
      </c>
      <c r="K48">
        <f t="shared" si="6"/>
        <v>0</v>
      </c>
      <c r="L48">
        <f t="shared" si="7"/>
        <v>0</v>
      </c>
      <c r="M48">
        <f t="shared" si="8"/>
        <v>0</v>
      </c>
      <c r="N48">
        <f t="shared" si="9"/>
        <v>0</v>
      </c>
      <c r="O48">
        <f t="shared" si="10"/>
        <v>0</v>
      </c>
      <c r="P48">
        <f t="shared" si="11"/>
        <v>0</v>
      </c>
    </row>
    <row r="49" spans="1:16" x14ac:dyDescent="0.25">
      <c r="A49" t="s">
        <v>88</v>
      </c>
      <c r="B49" t="s">
        <v>52</v>
      </c>
      <c r="C49" s="1">
        <v>17050</v>
      </c>
      <c r="D49" t="s">
        <v>12</v>
      </c>
      <c r="E49">
        <f t="shared" si="0"/>
        <v>0</v>
      </c>
      <c r="F49">
        <f t="shared" si="1"/>
        <v>0</v>
      </c>
      <c r="G49">
        <f t="shared" si="2"/>
        <v>0</v>
      </c>
      <c r="H49">
        <f t="shared" si="3"/>
        <v>0</v>
      </c>
      <c r="I49">
        <f t="shared" si="4"/>
        <v>0</v>
      </c>
      <c r="J49">
        <f t="shared" si="5"/>
        <v>0</v>
      </c>
      <c r="K49">
        <f t="shared" si="6"/>
        <v>0</v>
      </c>
      <c r="L49">
        <f t="shared" si="7"/>
        <v>0</v>
      </c>
      <c r="M49">
        <f t="shared" si="8"/>
        <v>1</v>
      </c>
      <c r="N49">
        <f t="shared" si="9"/>
        <v>0</v>
      </c>
      <c r="O49">
        <f t="shared" si="10"/>
        <v>0</v>
      </c>
      <c r="P49">
        <f t="shared" si="11"/>
        <v>0</v>
      </c>
    </row>
    <row r="50" spans="1:16" x14ac:dyDescent="0.25">
      <c r="A50" t="s">
        <v>89</v>
      </c>
      <c r="B50" t="s">
        <v>90</v>
      </c>
      <c r="C50" s="1">
        <v>17757</v>
      </c>
      <c r="D50" t="s">
        <v>6</v>
      </c>
      <c r="E50">
        <f t="shared" si="0"/>
        <v>0</v>
      </c>
      <c r="F50">
        <f t="shared" si="1"/>
        <v>0</v>
      </c>
      <c r="G50">
        <f t="shared" si="2"/>
        <v>0</v>
      </c>
      <c r="H50">
        <f t="shared" si="3"/>
        <v>0</v>
      </c>
      <c r="I50">
        <f t="shared" si="4"/>
        <v>0</v>
      </c>
      <c r="J50">
        <f t="shared" si="5"/>
        <v>0</v>
      </c>
      <c r="K50">
        <f t="shared" si="6"/>
        <v>0</v>
      </c>
      <c r="L50">
        <f t="shared" si="7"/>
        <v>1</v>
      </c>
      <c r="M50">
        <f t="shared" si="8"/>
        <v>0</v>
      </c>
      <c r="N50">
        <f t="shared" si="9"/>
        <v>0</v>
      </c>
      <c r="O50">
        <f t="shared" si="10"/>
        <v>0</v>
      </c>
      <c r="P50">
        <f t="shared" si="11"/>
        <v>0</v>
      </c>
    </row>
    <row r="51" spans="1:16" x14ac:dyDescent="0.25">
      <c r="A51" t="s">
        <v>91</v>
      </c>
      <c r="B51" t="s">
        <v>92</v>
      </c>
      <c r="C51" s="1">
        <v>30155</v>
      </c>
      <c r="D51" t="s">
        <v>6</v>
      </c>
      <c r="E51">
        <f t="shared" si="0"/>
        <v>0</v>
      </c>
      <c r="F51">
        <f t="shared" si="1"/>
        <v>0</v>
      </c>
      <c r="G51">
        <f t="shared" si="2"/>
        <v>0</v>
      </c>
      <c r="H51">
        <f t="shared" si="3"/>
        <v>0</v>
      </c>
      <c r="I51">
        <f t="shared" si="4"/>
        <v>0</v>
      </c>
      <c r="J51">
        <f t="shared" si="5"/>
        <v>0</v>
      </c>
      <c r="K51">
        <f t="shared" si="6"/>
        <v>1</v>
      </c>
      <c r="L51">
        <f t="shared" si="7"/>
        <v>0</v>
      </c>
      <c r="M51">
        <f t="shared" si="8"/>
        <v>0</v>
      </c>
      <c r="N51">
        <f t="shared" si="9"/>
        <v>0</v>
      </c>
      <c r="O51">
        <f t="shared" si="10"/>
        <v>0</v>
      </c>
      <c r="P51">
        <f t="shared" si="11"/>
        <v>0</v>
      </c>
    </row>
    <row r="52" spans="1:16" x14ac:dyDescent="0.25">
      <c r="A52" t="s">
        <v>93</v>
      </c>
      <c r="B52" t="s">
        <v>94</v>
      </c>
      <c r="C52" s="1">
        <v>22758</v>
      </c>
      <c r="D52" t="s">
        <v>40</v>
      </c>
      <c r="E52">
        <f t="shared" si="0"/>
        <v>0</v>
      </c>
      <c r="F52">
        <f t="shared" si="1"/>
        <v>0</v>
      </c>
      <c r="G52">
        <f t="shared" si="2"/>
        <v>0</v>
      </c>
      <c r="H52">
        <f t="shared" si="3"/>
        <v>1</v>
      </c>
      <c r="I52">
        <f t="shared" si="4"/>
        <v>0</v>
      </c>
      <c r="J52">
        <f t="shared" si="5"/>
        <v>0</v>
      </c>
      <c r="K52">
        <f t="shared" si="6"/>
        <v>0</v>
      </c>
      <c r="L52">
        <f t="shared" si="7"/>
        <v>0</v>
      </c>
      <c r="M52">
        <f t="shared" si="8"/>
        <v>0</v>
      </c>
      <c r="N52">
        <f t="shared" si="9"/>
        <v>0</v>
      </c>
      <c r="O52">
        <f t="shared" si="10"/>
        <v>0</v>
      </c>
      <c r="P52">
        <f t="shared" si="11"/>
        <v>0</v>
      </c>
    </row>
    <row r="53" spans="1:16" x14ac:dyDescent="0.25">
      <c r="A53" t="s">
        <v>95</v>
      </c>
      <c r="B53" t="s">
        <v>52</v>
      </c>
      <c r="C53" s="1">
        <v>17830</v>
      </c>
      <c r="D53" t="s">
        <v>6</v>
      </c>
      <c r="E53">
        <f t="shared" si="0"/>
        <v>0</v>
      </c>
      <c r="F53">
        <f t="shared" si="1"/>
        <v>0</v>
      </c>
      <c r="G53">
        <f t="shared" si="2"/>
        <v>0</v>
      </c>
      <c r="H53">
        <f t="shared" si="3"/>
        <v>0</v>
      </c>
      <c r="I53">
        <f t="shared" si="4"/>
        <v>0</v>
      </c>
      <c r="J53">
        <f t="shared" si="5"/>
        <v>0</v>
      </c>
      <c r="K53">
        <f t="shared" si="6"/>
        <v>0</v>
      </c>
      <c r="L53">
        <f t="shared" si="7"/>
        <v>0</v>
      </c>
      <c r="M53">
        <f t="shared" si="8"/>
        <v>0</v>
      </c>
      <c r="N53">
        <f t="shared" si="9"/>
        <v>1</v>
      </c>
      <c r="O53">
        <f t="shared" si="10"/>
        <v>0</v>
      </c>
      <c r="P53">
        <f t="shared" si="11"/>
        <v>0</v>
      </c>
    </row>
    <row r="54" spans="1:16" x14ac:dyDescent="0.25">
      <c r="A54" t="s">
        <v>96</v>
      </c>
      <c r="B54" t="s">
        <v>20</v>
      </c>
      <c r="C54" s="1">
        <v>16168</v>
      </c>
      <c r="D54" t="s">
        <v>6</v>
      </c>
      <c r="E54">
        <f t="shared" si="0"/>
        <v>0</v>
      </c>
      <c r="F54">
        <f t="shared" si="1"/>
        <v>0</v>
      </c>
      <c r="G54">
        <f t="shared" si="2"/>
        <v>0</v>
      </c>
      <c r="H54">
        <f t="shared" si="3"/>
        <v>1</v>
      </c>
      <c r="I54">
        <f t="shared" si="4"/>
        <v>0</v>
      </c>
      <c r="J54">
        <f t="shared" si="5"/>
        <v>0</v>
      </c>
      <c r="K54">
        <f t="shared" si="6"/>
        <v>0</v>
      </c>
      <c r="L54">
        <f t="shared" si="7"/>
        <v>0</v>
      </c>
      <c r="M54">
        <f t="shared" si="8"/>
        <v>0</v>
      </c>
      <c r="N54">
        <f t="shared" si="9"/>
        <v>0</v>
      </c>
      <c r="O54">
        <f t="shared" si="10"/>
        <v>0</v>
      </c>
      <c r="P54">
        <f t="shared" si="11"/>
        <v>0</v>
      </c>
    </row>
    <row r="55" spans="1:16" x14ac:dyDescent="0.25">
      <c r="A55" t="s">
        <v>97</v>
      </c>
      <c r="B55" t="s">
        <v>98</v>
      </c>
      <c r="C55" s="1">
        <v>32118</v>
      </c>
      <c r="D55" t="s">
        <v>6</v>
      </c>
      <c r="E55">
        <f t="shared" si="0"/>
        <v>0</v>
      </c>
      <c r="F55">
        <f t="shared" si="1"/>
        <v>0</v>
      </c>
      <c r="G55">
        <f t="shared" si="2"/>
        <v>0</v>
      </c>
      <c r="H55">
        <f t="shared" si="3"/>
        <v>0</v>
      </c>
      <c r="I55">
        <f t="shared" si="4"/>
        <v>0</v>
      </c>
      <c r="J55">
        <f t="shared" si="5"/>
        <v>0</v>
      </c>
      <c r="K55">
        <f t="shared" si="6"/>
        <v>0</v>
      </c>
      <c r="L55">
        <f t="shared" si="7"/>
        <v>0</v>
      </c>
      <c r="M55">
        <f t="shared" si="8"/>
        <v>0</v>
      </c>
      <c r="N55">
        <f t="shared" si="9"/>
        <v>0</v>
      </c>
      <c r="O55">
        <f t="shared" si="10"/>
        <v>0</v>
      </c>
      <c r="P55">
        <f t="shared" si="11"/>
        <v>1</v>
      </c>
    </row>
    <row r="56" spans="1:16" x14ac:dyDescent="0.25">
      <c r="A56" t="s">
        <v>99</v>
      </c>
      <c r="B56" t="s">
        <v>18</v>
      </c>
      <c r="C56" s="1">
        <v>20332</v>
      </c>
      <c r="D56" t="s">
        <v>12</v>
      </c>
      <c r="E56">
        <f t="shared" si="0"/>
        <v>0</v>
      </c>
      <c r="F56">
        <f t="shared" si="1"/>
        <v>0</v>
      </c>
      <c r="G56">
        <f t="shared" si="2"/>
        <v>0</v>
      </c>
      <c r="H56">
        <f t="shared" si="3"/>
        <v>0</v>
      </c>
      <c r="I56">
        <f t="shared" si="4"/>
        <v>0</v>
      </c>
      <c r="J56">
        <f t="shared" si="5"/>
        <v>0</v>
      </c>
      <c r="K56">
        <f t="shared" si="6"/>
        <v>0</v>
      </c>
      <c r="L56">
        <f t="shared" si="7"/>
        <v>1</v>
      </c>
      <c r="M56">
        <f t="shared" si="8"/>
        <v>0</v>
      </c>
      <c r="N56">
        <f t="shared" si="9"/>
        <v>0</v>
      </c>
      <c r="O56">
        <f t="shared" si="10"/>
        <v>0</v>
      </c>
      <c r="P56">
        <f t="shared" si="11"/>
        <v>0</v>
      </c>
    </row>
    <row r="57" spans="1:16" x14ac:dyDescent="0.25">
      <c r="A57" t="s">
        <v>100</v>
      </c>
      <c r="B57" t="s">
        <v>49</v>
      </c>
      <c r="C57" s="1">
        <v>19375</v>
      </c>
      <c r="D57" t="s">
        <v>6</v>
      </c>
      <c r="E57">
        <f t="shared" si="0"/>
        <v>1</v>
      </c>
      <c r="F57">
        <f t="shared" si="1"/>
        <v>0</v>
      </c>
      <c r="G57">
        <f t="shared" si="2"/>
        <v>0</v>
      </c>
      <c r="H57">
        <f t="shared" si="3"/>
        <v>0</v>
      </c>
      <c r="I57">
        <f t="shared" si="4"/>
        <v>0</v>
      </c>
      <c r="J57">
        <f t="shared" si="5"/>
        <v>0</v>
      </c>
      <c r="K57">
        <f t="shared" si="6"/>
        <v>0</v>
      </c>
      <c r="L57">
        <f t="shared" si="7"/>
        <v>0</v>
      </c>
      <c r="M57">
        <f t="shared" si="8"/>
        <v>0</v>
      </c>
      <c r="N57">
        <f t="shared" si="9"/>
        <v>0</v>
      </c>
      <c r="O57">
        <f t="shared" si="10"/>
        <v>0</v>
      </c>
      <c r="P57">
        <f t="shared" si="11"/>
        <v>0</v>
      </c>
    </row>
    <row r="58" spans="1:16" x14ac:dyDescent="0.25">
      <c r="A58" t="s">
        <v>101</v>
      </c>
      <c r="B58" t="s">
        <v>102</v>
      </c>
      <c r="C58" s="1">
        <v>34818</v>
      </c>
      <c r="D58" t="s">
        <v>12</v>
      </c>
      <c r="E58">
        <f t="shared" si="0"/>
        <v>0</v>
      </c>
      <c r="F58">
        <f t="shared" si="1"/>
        <v>0</v>
      </c>
      <c r="G58">
        <f t="shared" si="2"/>
        <v>0</v>
      </c>
      <c r="H58">
        <f t="shared" si="3"/>
        <v>1</v>
      </c>
      <c r="I58">
        <f t="shared" si="4"/>
        <v>0</v>
      </c>
      <c r="J58">
        <f t="shared" si="5"/>
        <v>0</v>
      </c>
      <c r="K58">
        <f t="shared" si="6"/>
        <v>0</v>
      </c>
      <c r="L58">
        <f t="shared" si="7"/>
        <v>0</v>
      </c>
      <c r="M58">
        <f t="shared" si="8"/>
        <v>0</v>
      </c>
      <c r="N58">
        <f t="shared" si="9"/>
        <v>0</v>
      </c>
      <c r="O58">
        <f t="shared" si="10"/>
        <v>0</v>
      </c>
      <c r="P58">
        <f t="shared" si="11"/>
        <v>0</v>
      </c>
    </row>
    <row r="59" spans="1:16" x14ac:dyDescent="0.25">
      <c r="A59" t="s">
        <v>103</v>
      </c>
      <c r="B59" t="s">
        <v>16</v>
      </c>
      <c r="C59" s="1">
        <v>23775</v>
      </c>
      <c r="D59" t="s">
        <v>9</v>
      </c>
      <c r="E59">
        <f t="shared" si="0"/>
        <v>0</v>
      </c>
      <c r="F59">
        <f t="shared" si="1"/>
        <v>1</v>
      </c>
      <c r="G59">
        <f t="shared" si="2"/>
        <v>0</v>
      </c>
      <c r="H59">
        <f t="shared" si="3"/>
        <v>0</v>
      </c>
      <c r="I59">
        <f t="shared" si="4"/>
        <v>0</v>
      </c>
      <c r="J59">
        <f t="shared" si="5"/>
        <v>0</v>
      </c>
      <c r="K59">
        <f t="shared" si="6"/>
        <v>0</v>
      </c>
      <c r="L59">
        <f t="shared" si="7"/>
        <v>0</v>
      </c>
      <c r="M59">
        <f t="shared" si="8"/>
        <v>0</v>
      </c>
      <c r="N59">
        <f t="shared" si="9"/>
        <v>0</v>
      </c>
      <c r="O59">
        <f t="shared" si="10"/>
        <v>0</v>
      </c>
      <c r="P59">
        <f t="shared" si="11"/>
        <v>0</v>
      </c>
    </row>
    <row r="60" spans="1:16" x14ac:dyDescent="0.25">
      <c r="A60" t="s">
        <v>104</v>
      </c>
      <c r="B60" t="s">
        <v>105</v>
      </c>
      <c r="C60" s="1">
        <v>29371</v>
      </c>
      <c r="D60" t="s">
        <v>12</v>
      </c>
      <c r="E60">
        <f t="shared" si="0"/>
        <v>0</v>
      </c>
      <c r="F60">
        <f t="shared" si="1"/>
        <v>0</v>
      </c>
      <c r="G60">
        <f t="shared" si="2"/>
        <v>0</v>
      </c>
      <c r="H60">
        <f t="shared" si="3"/>
        <v>0</v>
      </c>
      <c r="I60">
        <f t="shared" si="4"/>
        <v>1</v>
      </c>
      <c r="J60">
        <f t="shared" si="5"/>
        <v>0</v>
      </c>
      <c r="K60">
        <f t="shared" si="6"/>
        <v>0</v>
      </c>
      <c r="L60">
        <f t="shared" si="7"/>
        <v>0</v>
      </c>
      <c r="M60">
        <f t="shared" si="8"/>
        <v>0</v>
      </c>
      <c r="N60">
        <f t="shared" si="9"/>
        <v>0</v>
      </c>
      <c r="O60">
        <f t="shared" si="10"/>
        <v>0</v>
      </c>
      <c r="P60">
        <f t="shared" si="11"/>
        <v>0</v>
      </c>
    </row>
    <row r="61" spans="1:16" x14ac:dyDescent="0.25">
      <c r="A61" t="s">
        <v>106</v>
      </c>
      <c r="B61" t="s">
        <v>107</v>
      </c>
      <c r="C61" s="1">
        <v>27370</v>
      </c>
      <c r="D61" t="s">
        <v>12</v>
      </c>
      <c r="E61">
        <f t="shared" si="0"/>
        <v>0</v>
      </c>
      <c r="F61">
        <f t="shared" si="1"/>
        <v>0</v>
      </c>
      <c r="G61">
        <f t="shared" si="2"/>
        <v>0</v>
      </c>
      <c r="H61">
        <f t="shared" si="3"/>
        <v>0</v>
      </c>
      <c r="I61">
        <f t="shared" si="4"/>
        <v>0</v>
      </c>
      <c r="J61">
        <f t="shared" si="5"/>
        <v>0</v>
      </c>
      <c r="K61">
        <f t="shared" si="6"/>
        <v>0</v>
      </c>
      <c r="L61">
        <f t="shared" si="7"/>
        <v>0</v>
      </c>
      <c r="M61">
        <f t="shared" si="8"/>
        <v>0</v>
      </c>
      <c r="N61">
        <f t="shared" si="9"/>
        <v>0</v>
      </c>
      <c r="O61">
        <f t="shared" si="10"/>
        <v>0</v>
      </c>
      <c r="P61">
        <f t="shared" si="11"/>
        <v>1</v>
      </c>
    </row>
    <row r="62" spans="1:16" x14ac:dyDescent="0.25">
      <c r="A62" t="s">
        <v>108</v>
      </c>
      <c r="B62" t="s">
        <v>109</v>
      </c>
      <c r="C62" s="1">
        <v>19032</v>
      </c>
      <c r="D62" t="s">
        <v>6</v>
      </c>
      <c r="E62">
        <f t="shared" si="0"/>
        <v>0</v>
      </c>
      <c r="F62">
        <f t="shared" si="1"/>
        <v>1</v>
      </c>
      <c r="G62">
        <f t="shared" si="2"/>
        <v>0</v>
      </c>
      <c r="H62">
        <f t="shared" si="3"/>
        <v>0</v>
      </c>
      <c r="I62">
        <f t="shared" si="4"/>
        <v>0</v>
      </c>
      <c r="J62">
        <f t="shared" si="5"/>
        <v>0</v>
      </c>
      <c r="K62">
        <f t="shared" si="6"/>
        <v>0</v>
      </c>
      <c r="L62">
        <f t="shared" si="7"/>
        <v>0</v>
      </c>
      <c r="M62">
        <f t="shared" si="8"/>
        <v>0</v>
      </c>
      <c r="N62">
        <f t="shared" si="9"/>
        <v>0</v>
      </c>
      <c r="O62">
        <f t="shared" si="10"/>
        <v>0</v>
      </c>
      <c r="P62">
        <f t="shared" si="11"/>
        <v>0</v>
      </c>
    </row>
    <row r="63" spans="1:16" x14ac:dyDescent="0.25">
      <c r="A63" t="s">
        <v>110</v>
      </c>
      <c r="B63" t="s">
        <v>37</v>
      </c>
      <c r="C63" s="1">
        <v>27475</v>
      </c>
      <c r="D63" t="s">
        <v>12</v>
      </c>
      <c r="E63">
        <f t="shared" si="0"/>
        <v>0</v>
      </c>
      <c r="F63">
        <f t="shared" si="1"/>
        <v>0</v>
      </c>
      <c r="G63">
        <f t="shared" si="2"/>
        <v>1</v>
      </c>
      <c r="H63">
        <f t="shared" si="3"/>
        <v>0</v>
      </c>
      <c r="I63">
        <f t="shared" si="4"/>
        <v>0</v>
      </c>
      <c r="J63">
        <f t="shared" si="5"/>
        <v>0</v>
      </c>
      <c r="K63">
        <f t="shared" si="6"/>
        <v>0</v>
      </c>
      <c r="L63">
        <f t="shared" si="7"/>
        <v>0</v>
      </c>
      <c r="M63">
        <f t="shared" si="8"/>
        <v>0</v>
      </c>
      <c r="N63">
        <f t="shared" si="9"/>
        <v>0</v>
      </c>
      <c r="O63">
        <f t="shared" si="10"/>
        <v>0</v>
      </c>
      <c r="P63">
        <f t="shared" si="11"/>
        <v>0</v>
      </c>
    </row>
    <row r="64" spans="1:16" x14ac:dyDescent="0.25">
      <c r="A64" t="s">
        <v>111</v>
      </c>
      <c r="B64" t="s">
        <v>52</v>
      </c>
      <c r="C64" s="1">
        <v>20719</v>
      </c>
      <c r="D64" t="s">
        <v>6</v>
      </c>
      <c r="E64">
        <f t="shared" si="0"/>
        <v>0</v>
      </c>
      <c r="F64">
        <f t="shared" si="1"/>
        <v>0</v>
      </c>
      <c r="G64">
        <f t="shared" si="2"/>
        <v>0</v>
      </c>
      <c r="H64">
        <f t="shared" si="3"/>
        <v>0</v>
      </c>
      <c r="I64">
        <f t="shared" si="4"/>
        <v>0</v>
      </c>
      <c r="J64">
        <f t="shared" si="5"/>
        <v>0</v>
      </c>
      <c r="K64">
        <f t="shared" si="6"/>
        <v>0</v>
      </c>
      <c r="L64">
        <f t="shared" si="7"/>
        <v>0</v>
      </c>
      <c r="M64">
        <f t="shared" si="8"/>
        <v>1</v>
      </c>
      <c r="N64">
        <f t="shared" si="9"/>
        <v>0</v>
      </c>
      <c r="O64">
        <f t="shared" si="10"/>
        <v>0</v>
      </c>
      <c r="P64">
        <f t="shared" si="11"/>
        <v>0</v>
      </c>
    </row>
    <row r="65" spans="1:16" x14ac:dyDescent="0.25">
      <c r="A65" t="s">
        <v>112</v>
      </c>
      <c r="B65" t="s">
        <v>8</v>
      </c>
      <c r="C65" s="1">
        <v>22206</v>
      </c>
      <c r="D65" t="s">
        <v>40</v>
      </c>
      <c r="E65">
        <f t="shared" si="0"/>
        <v>0</v>
      </c>
      <c r="F65">
        <f t="shared" si="1"/>
        <v>0</v>
      </c>
      <c r="G65">
        <f t="shared" si="2"/>
        <v>0</v>
      </c>
      <c r="H65">
        <f t="shared" si="3"/>
        <v>0</v>
      </c>
      <c r="I65">
        <f t="shared" si="4"/>
        <v>0</v>
      </c>
      <c r="J65">
        <f t="shared" si="5"/>
        <v>0</v>
      </c>
      <c r="K65">
        <f t="shared" si="6"/>
        <v>0</v>
      </c>
      <c r="L65">
        <f t="shared" si="7"/>
        <v>0</v>
      </c>
      <c r="M65">
        <f t="shared" si="8"/>
        <v>0</v>
      </c>
      <c r="N65">
        <f t="shared" si="9"/>
        <v>1</v>
      </c>
      <c r="O65">
        <f t="shared" si="10"/>
        <v>0</v>
      </c>
      <c r="P65">
        <f t="shared" si="11"/>
        <v>0</v>
      </c>
    </row>
    <row r="66" spans="1:16" x14ac:dyDescent="0.25">
      <c r="A66" t="s">
        <v>113</v>
      </c>
      <c r="B66" t="s">
        <v>114</v>
      </c>
      <c r="C66" s="1">
        <v>17376</v>
      </c>
      <c r="D66" t="s">
        <v>12</v>
      </c>
      <c r="E66">
        <f t="shared" si="0"/>
        <v>0</v>
      </c>
      <c r="F66">
        <f t="shared" si="1"/>
        <v>0</v>
      </c>
      <c r="G66">
        <f t="shared" si="2"/>
        <v>0</v>
      </c>
      <c r="H66">
        <f t="shared" si="3"/>
        <v>0</v>
      </c>
      <c r="I66">
        <f t="shared" si="4"/>
        <v>0</v>
      </c>
      <c r="J66">
        <f t="shared" si="5"/>
        <v>0</v>
      </c>
      <c r="K66">
        <f t="shared" si="6"/>
        <v>1</v>
      </c>
      <c r="L66">
        <f t="shared" si="7"/>
        <v>0</v>
      </c>
      <c r="M66">
        <f t="shared" si="8"/>
        <v>0</v>
      </c>
      <c r="N66">
        <f t="shared" si="9"/>
        <v>0</v>
      </c>
      <c r="O66">
        <f t="shared" si="10"/>
        <v>0</v>
      </c>
      <c r="P66">
        <f t="shared" si="11"/>
        <v>0</v>
      </c>
    </row>
    <row r="67" spans="1:16" x14ac:dyDescent="0.25">
      <c r="A67" t="s">
        <v>115</v>
      </c>
      <c r="B67" t="s">
        <v>114</v>
      </c>
      <c r="C67" s="1">
        <v>34280</v>
      </c>
      <c r="D67" t="s">
        <v>40</v>
      </c>
      <c r="E67">
        <f t="shared" ref="E67:E130" si="12">IF(MONTH(C67)=1,1,0)</f>
        <v>0</v>
      </c>
      <c r="F67">
        <f t="shared" ref="F67:F130" si="13">IF(MONTH(C67)=2,1,0)</f>
        <v>0</v>
      </c>
      <c r="G67">
        <f t="shared" ref="G67:G130" si="14">IF(MONTH(C67)=3,1,0)</f>
        <v>0</v>
      </c>
      <c r="H67">
        <f t="shared" ref="H67:H130" si="15">IF(MONTH($C67)=4,1,0)</f>
        <v>0</v>
      </c>
      <c r="I67">
        <f t="shared" ref="I67:I130" si="16">IF(MONTH($C67)=5,1,0)</f>
        <v>0</v>
      </c>
      <c r="J67">
        <f t="shared" ref="J67:J130" si="17">IF(MONTH($C67)=6,1,0)</f>
        <v>0</v>
      </c>
      <c r="K67">
        <f t="shared" ref="K67:K130" si="18">IF(MONTH($C67)=7,1,0)</f>
        <v>0</v>
      </c>
      <c r="L67">
        <f t="shared" ref="L67:L130" si="19">IF(MONTH($C67)=8,1,0)</f>
        <v>0</v>
      </c>
      <c r="M67">
        <f t="shared" ref="M67:M130" si="20">IF(MONTH($C67)=9,1,0)</f>
        <v>0</v>
      </c>
      <c r="N67">
        <f t="shared" ref="N67:N130" si="21">IF(MONTH($C67)=10,1,0)</f>
        <v>0</v>
      </c>
      <c r="O67">
        <f t="shared" ref="O67:O130" si="22">IF(MONTH($C67)=11,1,0)</f>
        <v>1</v>
      </c>
      <c r="P67">
        <f t="shared" ref="P67:P130" si="23">IF(MONTH($C67)=12,1,0)</f>
        <v>0</v>
      </c>
    </row>
    <row r="68" spans="1:16" x14ac:dyDescent="0.25">
      <c r="A68" t="s">
        <v>116</v>
      </c>
      <c r="B68" t="s">
        <v>49</v>
      </c>
      <c r="C68" s="1">
        <v>25821</v>
      </c>
      <c r="D68" t="s">
        <v>40</v>
      </c>
      <c r="E68">
        <f t="shared" si="12"/>
        <v>0</v>
      </c>
      <c r="F68">
        <f t="shared" si="13"/>
        <v>0</v>
      </c>
      <c r="G68">
        <f t="shared" si="14"/>
        <v>0</v>
      </c>
      <c r="H68">
        <f t="shared" si="15"/>
        <v>0</v>
      </c>
      <c r="I68">
        <f t="shared" si="16"/>
        <v>0</v>
      </c>
      <c r="J68">
        <f t="shared" si="17"/>
        <v>0</v>
      </c>
      <c r="K68">
        <f t="shared" si="18"/>
        <v>0</v>
      </c>
      <c r="L68">
        <f t="shared" si="19"/>
        <v>0</v>
      </c>
      <c r="M68">
        <f t="shared" si="20"/>
        <v>1</v>
      </c>
      <c r="N68">
        <f t="shared" si="21"/>
        <v>0</v>
      </c>
      <c r="O68">
        <f t="shared" si="22"/>
        <v>0</v>
      </c>
      <c r="P68">
        <f t="shared" si="23"/>
        <v>0</v>
      </c>
    </row>
    <row r="69" spans="1:16" x14ac:dyDescent="0.25">
      <c r="A69" t="s">
        <v>117</v>
      </c>
      <c r="B69" t="s">
        <v>47</v>
      </c>
      <c r="C69" s="1">
        <v>20242</v>
      </c>
      <c r="D69" t="s">
        <v>40</v>
      </c>
      <c r="E69">
        <f t="shared" si="12"/>
        <v>0</v>
      </c>
      <c r="F69">
        <f t="shared" si="13"/>
        <v>0</v>
      </c>
      <c r="G69">
        <f t="shared" si="14"/>
        <v>0</v>
      </c>
      <c r="H69">
        <f t="shared" si="15"/>
        <v>0</v>
      </c>
      <c r="I69">
        <f t="shared" si="16"/>
        <v>0</v>
      </c>
      <c r="J69">
        <f t="shared" si="17"/>
        <v>1</v>
      </c>
      <c r="K69">
        <f t="shared" si="18"/>
        <v>0</v>
      </c>
      <c r="L69">
        <f t="shared" si="19"/>
        <v>0</v>
      </c>
      <c r="M69">
        <f t="shared" si="20"/>
        <v>0</v>
      </c>
      <c r="N69">
        <f t="shared" si="21"/>
        <v>0</v>
      </c>
      <c r="O69">
        <f t="shared" si="22"/>
        <v>0</v>
      </c>
      <c r="P69">
        <f t="shared" si="23"/>
        <v>0</v>
      </c>
    </row>
    <row r="70" spans="1:16" x14ac:dyDescent="0.25">
      <c r="A70" t="s">
        <v>118</v>
      </c>
      <c r="B70" t="s">
        <v>20</v>
      </c>
      <c r="C70" s="1">
        <v>25415</v>
      </c>
      <c r="D70" t="s">
        <v>12</v>
      </c>
      <c r="E70">
        <f t="shared" si="12"/>
        <v>0</v>
      </c>
      <c r="F70">
        <f t="shared" si="13"/>
        <v>0</v>
      </c>
      <c r="G70">
        <f t="shared" si="14"/>
        <v>0</v>
      </c>
      <c r="H70">
        <f t="shared" si="15"/>
        <v>0</v>
      </c>
      <c r="I70">
        <f t="shared" si="16"/>
        <v>0</v>
      </c>
      <c r="J70">
        <f t="shared" si="17"/>
        <v>0</v>
      </c>
      <c r="K70">
        <f t="shared" si="18"/>
        <v>1</v>
      </c>
      <c r="L70">
        <f t="shared" si="19"/>
        <v>0</v>
      </c>
      <c r="M70">
        <f t="shared" si="20"/>
        <v>0</v>
      </c>
      <c r="N70">
        <f t="shared" si="21"/>
        <v>0</v>
      </c>
      <c r="O70">
        <f t="shared" si="22"/>
        <v>0</v>
      </c>
      <c r="P70">
        <f t="shared" si="23"/>
        <v>0</v>
      </c>
    </row>
    <row r="71" spans="1:16" x14ac:dyDescent="0.25">
      <c r="A71" t="s">
        <v>119</v>
      </c>
      <c r="B71" t="s">
        <v>47</v>
      </c>
      <c r="C71" s="1">
        <v>19048</v>
      </c>
      <c r="D71" t="s">
        <v>9</v>
      </c>
      <c r="E71">
        <f t="shared" si="12"/>
        <v>0</v>
      </c>
      <c r="F71">
        <f t="shared" si="13"/>
        <v>1</v>
      </c>
      <c r="G71">
        <f t="shared" si="14"/>
        <v>0</v>
      </c>
      <c r="H71">
        <f t="shared" si="15"/>
        <v>0</v>
      </c>
      <c r="I71">
        <f t="shared" si="16"/>
        <v>0</v>
      </c>
      <c r="J71">
        <f t="shared" si="17"/>
        <v>0</v>
      </c>
      <c r="K71">
        <f t="shared" si="18"/>
        <v>0</v>
      </c>
      <c r="L71">
        <f t="shared" si="19"/>
        <v>0</v>
      </c>
      <c r="M71">
        <f t="shared" si="20"/>
        <v>0</v>
      </c>
      <c r="N71">
        <f t="shared" si="21"/>
        <v>0</v>
      </c>
      <c r="O71">
        <f t="shared" si="22"/>
        <v>0</v>
      </c>
      <c r="P71">
        <f t="shared" si="23"/>
        <v>0</v>
      </c>
    </row>
    <row r="72" spans="1:16" x14ac:dyDescent="0.25">
      <c r="A72" t="s">
        <v>120</v>
      </c>
      <c r="B72" t="s">
        <v>121</v>
      </c>
      <c r="C72" s="1">
        <v>18811</v>
      </c>
      <c r="D72" t="s">
        <v>12</v>
      </c>
      <c r="E72">
        <f t="shared" si="12"/>
        <v>0</v>
      </c>
      <c r="F72">
        <f t="shared" si="13"/>
        <v>0</v>
      </c>
      <c r="G72">
        <f t="shared" si="14"/>
        <v>0</v>
      </c>
      <c r="H72">
        <f t="shared" si="15"/>
        <v>0</v>
      </c>
      <c r="I72">
        <f t="shared" si="16"/>
        <v>0</v>
      </c>
      <c r="J72">
        <f t="shared" si="17"/>
        <v>0</v>
      </c>
      <c r="K72">
        <f t="shared" si="18"/>
        <v>1</v>
      </c>
      <c r="L72">
        <f t="shared" si="19"/>
        <v>0</v>
      </c>
      <c r="M72">
        <f t="shared" si="20"/>
        <v>0</v>
      </c>
      <c r="N72">
        <f t="shared" si="21"/>
        <v>0</v>
      </c>
      <c r="O72">
        <f t="shared" si="22"/>
        <v>0</v>
      </c>
      <c r="P72">
        <f t="shared" si="23"/>
        <v>0</v>
      </c>
    </row>
    <row r="73" spans="1:16" x14ac:dyDescent="0.25">
      <c r="A73" t="s">
        <v>122</v>
      </c>
      <c r="B73" t="s">
        <v>123</v>
      </c>
      <c r="C73" s="1">
        <v>17072</v>
      </c>
      <c r="D73" t="s">
        <v>40</v>
      </c>
      <c r="E73">
        <f t="shared" si="12"/>
        <v>0</v>
      </c>
      <c r="F73">
        <f t="shared" si="13"/>
        <v>0</v>
      </c>
      <c r="G73">
        <f t="shared" si="14"/>
        <v>0</v>
      </c>
      <c r="H73">
        <f t="shared" si="15"/>
        <v>0</v>
      </c>
      <c r="I73">
        <f t="shared" si="16"/>
        <v>0</v>
      </c>
      <c r="J73">
        <f t="shared" si="17"/>
        <v>0</v>
      </c>
      <c r="K73">
        <f t="shared" si="18"/>
        <v>0</v>
      </c>
      <c r="L73">
        <f t="shared" si="19"/>
        <v>0</v>
      </c>
      <c r="M73">
        <f t="shared" si="20"/>
        <v>1</v>
      </c>
      <c r="N73">
        <f t="shared" si="21"/>
        <v>0</v>
      </c>
      <c r="O73">
        <f t="shared" si="22"/>
        <v>0</v>
      </c>
      <c r="P73">
        <f t="shared" si="23"/>
        <v>0</v>
      </c>
    </row>
    <row r="74" spans="1:16" x14ac:dyDescent="0.25">
      <c r="A74" t="s">
        <v>124</v>
      </c>
      <c r="B74" t="s">
        <v>121</v>
      </c>
      <c r="C74" s="1">
        <v>33277</v>
      </c>
      <c r="D74" t="s">
        <v>6</v>
      </c>
      <c r="E74">
        <f t="shared" si="12"/>
        <v>0</v>
      </c>
      <c r="F74">
        <f t="shared" si="13"/>
        <v>1</v>
      </c>
      <c r="G74">
        <f t="shared" si="14"/>
        <v>0</v>
      </c>
      <c r="H74">
        <f t="shared" si="15"/>
        <v>0</v>
      </c>
      <c r="I74">
        <f t="shared" si="16"/>
        <v>0</v>
      </c>
      <c r="J74">
        <f t="shared" si="17"/>
        <v>0</v>
      </c>
      <c r="K74">
        <f t="shared" si="18"/>
        <v>0</v>
      </c>
      <c r="L74">
        <f t="shared" si="19"/>
        <v>0</v>
      </c>
      <c r="M74">
        <f t="shared" si="20"/>
        <v>0</v>
      </c>
      <c r="N74">
        <f t="shared" si="21"/>
        <v>0</v>
      </c>
      <c r="O74">
        <f t="shared" si="22"/>
        <v>0</v>
      </c>
      <c r="P74">
        <f t="shared" si="23"/>
        <v>0</v>
      </c>
    </row>
    <row r="75" spans="1:16" x14ac:dyDescent="0.25">
      <c r="A75" t="s">
        <v>125</v>
      </c>
      <c r="B75" t="s">
        <v>79</v>
      </c>
      <c r="C75" s="1">
        <v>16987</v>
      </c>
      <c r="D75" t="s">
        <v>6</v>
      </c>
      <c r="E75">
        <f t="shared" si="12"/>
        <v>0</v>
      </c>
      <c r="F75">
        <f t="shared" si="13"/>
        <v>0</v>
      </c>
      <c r="G75">
        <f t="shared" si="14"/>
        <v>0</v>
      </c>
      <c r="H75">
        <f t="shared" si="15"/>
        <v>0</v>
      </c>
      <c r="I75">
        <f t="shared" si="16"/>
        <v>0</v>
      </c>
      <c r="J75">
        <f t="shared" si="17"/>
        <v>0</v>
      </c>
      <c r="K75">
        <f t="shared" si="18"/>
        <v>1</v>
      </c>
      <c r="L75">
        <f t="shared" si="19"/>
        <v>0</v>
      </c>
      <c r="M75">
        <f t="shared" si="20"/>
        <v>0</v>
      </c>
      <c r="N75">
        <f t="shared" si="21"/>
        <v>0</v>
      </c>
      <c r="O75">
        <f t="shared" si="22"/>
        <v>0</v>
      </c>
      <c r="P75">
        <f t="shared" si="23"/>
        <v>0</v>
      </c>
    </row>
    <row r="76" spans="1:16" x14ac:dyDescent="0.25">
      <c r="A76" t="s">
        <v>126</v>
      </c>
      <c r="B76" t="s">
        <v>127</v>
      </c>
      <c r="C76" s="1">
        <v>33408</v>
      </c>
      <c r="D76" t="s">
        <v>40</v>
      </c>
      <c r="E76">
        <f t="shared" si="12"/>
        <v>0</v>
      </c>
      <c r="F76">
        <f t="shared" si="13"/>
        <v>0</v>
      </c>
      <c r="G76">
        <f t="shared" si="14"/>
        <v>0</v>
      </c>
      <c r="H76">
        <f t="shared" si="15"/>
        <v>0</v>
      </c>
      <c r="I76">
        <f t="shared" si="16"/>
        <v>0</v>
      </c>
      <c r="J76">
        <f t="shared" si="17"/>
        <v>1</v>
      </c>
      <c r="K76">
        <f t="shared" si="18"/>
        <v>0</v>
      </c>
      <c r="L76">
        <f t="shared" si="19"/>
        <v>0</v>
      </c>
      <c r="M76">
        <f t="shared" si="20"/>
        <v>0</v>
      </c>
      <c r="N76">
        <f t="shared" si="21"/>
        <v>0</v>
      </c>
      <c r="O76">
        <f t="shared" si="22"/>
        <v>0</v>
      </c>
      <c r="P76">
        <f t="shared" si="23"/>
        <v>0</v>
      </c>
    </row>
    <row r="77" spans="1:16" x14ac:dyDescent="0.25">
      <c r="A77" t="s">
        <v>110</v>
      </c>
      <c r="B77" t="s">
        <v>79</v>
      </c>
      <c r="C77" s="1">
        <v>25070</v>
      </c>
      <c r="D77" t="s">
        <v>6</v>
      </c>
      <c r="E77">
        <f t="shared" si="12"/>
        <v>0</v>
      </c>
      <c r="F77">
        <f t="shared" si="13"/>
        <v>0</v>
      </c>
      <c r="G77">
        <f t="shared" si="14"/>
        <v>0</v>
      </c>
      <c r="H77">
        <f t="shared" si="15"/>
        <v>0</v>
      </c>
      <c r="I77">
        <f t="shared" si="16"/>
        <v>0</v>
      </c>
      <c r="J77">
        <f t="shared" si="17"/>
        <v>0</v>
      </c>
      <c r="K77">
        <f t="shared" si="18"/>
        <v>0</v>
      </c>
      <c r="L77">
        <f t="shared" si="19"/>
        <v>1</v>
      </c>
      <c r="M77">
        <f t="shared" si="20"/>
        <v>0</v>
      </c>
      <c r="N77">
        <f t="shared" si="21"/>
        <v>0</v>
      </c>
      <c r="O77">
        <f t="shared" si="22"/>
        <v>0</v>
      </c>
      <c r="P77">
        <f t="shared" si="23"/>
        <v>0</v>
      </c>
    </row>
    <row r="78" spans="1:16" x14ac:dyDescent="0.25">
      <c r="A78" t="s">
        <v>128</v>
      </c>
      <c r="B78" t="s">
        <v>129</v>
      </c>
      <c r="C78" s="1">
        <v>34100</v>
      </c>
      <c r="D78" t="s">
        <v>40</v>
      </c>
      <c r="E78">
        <f t="shared" si="12"/>
        <v>0</v>
      </c>
      <c r="F78">
        <f t="shared" si="13"/>
        <v>0</v>
      </c>
      <c r="G78">
        <f t="shared" si="14"/>
        <v>0</v>
      </c>
      <c r="H78">
        <f t="shared" si="15"/>
        <v>0</v>
      </c>
      <c r="I78">
        <f t="shared" si="16"/>
        <v>1</v>
      </c>
      <c r="J78">
        <f t="shared" si="17"/>
        <v>0</v>
      </c>
      <c r="K78">
        <f t="shared" si="18"/>
        <v>0</v>
      </c>
      <c r="L78">
        <f t="shared" si="19"/>
        <v>0</v>
      </c>
      <c r="M78">
        <f t="shared" si="20"/>
        <v>0</v>
      </c>
      <c r="N78">
        <f t="shared" si="21"/>
        <v>0</v>
      </c>
      <c r="O78">
        <f t="shared" si="22"/>
        <v>0</v>
      </c>
      <c r="P78">
        <f t="shared" si="23"/>
        <v>0</v>
      </c>
    </row>
    <row r="79" spans="1:16" x14ac:dyDescent="0.25">
      <c r="A79" t="s">
        <v>83</v>
      </c>
      <c r="B79" t="s">
        <v>52</v>
      </c>
      <c r="C79" s="1">
        <v>19522</v>
      </c>
      <c r="D79" t="s">
        <v>9</v>
      </c>
      <c r="E79">
        <f t="shared" si="12"/>
        <v>0</v>
      </c>
      <c r="F79">
        <f t="shared" si="13"/>
        <v>0</v>
      </c>
      <c r="G79">
        <f t="shared" si="14"/>
        <v>0</v>
      </c>
      <c r="H79">
        <f t="shared" si="15"/>
        <v>0</v>
      </c>
      <c r="I79">
        <f t="shared" si="16"/>
        <v>0</v>
      </c>
      <c r="J79">
        <f t="shared" si="17"/>
        <v>1</v>
      </c>
      <c r="K79">
        <f t="shared" si="18"/>
        <v>0</v>
      </c>
      <c r="L79">
        <f t="shared" si="19"/>
        <v>0</v>
      </c>
      <c r="M79">
        <f t="shared" si="20"/>
        <v>0</v>
      </c>
      <c r="N79">
        <f t="shared" si="21"/>
        <v>0</v>
      </c>
      <c r="O79">
        <f t="shared" si="22"/>
        <v>0</v>
      </c>
      <c r="P79">
        <f t="shared" si="23"/>
        <v>0</v>
      </c>
    </row>
    <row r="80" spans="1:16" x14ac:dyDescent="0.25">
      <c r="A80" t="s">
        <v>130</v>
      </c>
      <c r="B80" t="s">
        <v>131</v>
      </c>
      <c r="C80" s="1">
        <v>27284</v>
      </c>
      <c r="D80" t="s">
        <v>9</v>
      </c>
      <c r="E80">
        <f t="shared" si="12"/>
        <v>0</v>
      </c>
      <c r="F80">
        <f t="shared" si="13"/>
        <v>0</v>
      </c>
      <c r="G80">
        <f t="shared" si="14"/>
        <v>0</v>
      </c>
      <c r="H80">
        <f t="shared" si="15"/>
        <v>0</v>
      </c>
      <c r="I80">
        <f t="shared" si="16"/>
        <v>0</v>
      </c>
      <c r="J80">
        <f t="shared" si="17"/>
        <v>0</v>
      </c>
      <c r="K80">
        <f t="shared" si="18"/>
        <v>0</v>
      </c>
      <c r="L80">
        <f t="shared" si="19"/>
        <v>0</v>
      </c>
      <c r="M80">
        <f t="shared" si="20"/>
        <v>1</v>
      </c>
      <c r="N80">
        <f t="shared" si="21"/>
        <v>0</v>
      </c>
      <c r="O80">
        <f t="shared" si="22"/>
        <v>0</v>
      </c>
      <c r="P80">
        <f t="shared" si="23"/>
        <v>0</v>
      </c>
    </row>
    <row r="81" spans="1:16" x14ac:dyDescent="0.25">
      <c r="A81" t="s">
        <v>132</v>
      </c>
      <c r="B81" t="s">
        <v>8</v>
      </c>
      <c r="C81" s="1">
        <v>27347</v>
      </c>
      <c r="D81" t="s">
        <v>12</v>
      </c>
      <c r="E81">
        <f t="shared" si="12"/>
        <v>0</v>
      </c>
      <c r="F81">
        <f t="shared" si="13"/>
        <v>0</v>
      </c>
      <c r="G81">
        <f t="shared" si="14"/>
        <v>0</v>
      </c>
      <c r="H81">
        <f t="shared" si="15"/>
        <v>0</v>
      </c>
      <c r="I81">
        <f t="shared" si="16"/>
        <v>0</v>
      </c>
      <c r="J81">
        <f t="shared" si="17"/>
        <v>0</v>
      </c>
      <c r="K81">
        <f t="shared" si="18"/>
        <v>0</v>
      </c>
      <c r="L81">
        <f t="shared" si="19"/>
        <v>0</v>
      </c>
      <c r="M81">
        <f t="shared" si="20"/>
        <v>0</v>
      </c>
      <c r="N81">
        <f t="shared" si="21"/>
        <v>0</v>
      </c>
      <c r="O81">
        <f t="shared" si="22"/>
        <v>1</v>
      </c>
      <c r="P81">
        <f t="shared" si="23"/>
        <v>0</v>
      </c>
    </row>
    <row r="82" spans="1:16" x14ac:dyDescent="0.25">
      <c r="A82" t="s">
        <v>133</v>
      </c>
      <c r="B82" t="s">
        <v>134</v>
      </c>
      <c r="C82" s="1">
        <v>20618</v>
      </c>
      <c r="D82" t="s">
        <v>12</v>
      </c>
      <c r="E82">
        <f t="shared" si="12"/>
        <v>0</v>
      </c>
      <c r="F82">
        <f t="shared" si="13"/>
        <v>0</v>
      </c>
      <c r="G82">
        <f t="shared" si="14"/>
        <v>0</v>
      </c>
      <c r="H82">
        <f t="shared" si="15"/>
        <v>0</v>
      </c>
      <c r="I82">
        <f t="shared" si="16"/>
        <v>0</v>
      </c>
      <c r="J82">
        <f t="shared" si="17"/>
        <v>1</v>
      </c>
      <c r="K82">
        <f t="shared" si="18"/>
        <v>0</v>
      </c>
      <c r="L82">
        <f t="shared" si="19"/>
        <v>0</v>
      </c>
      <c r="M82">
        <f t="shared" si="20"/>
        <v>0</v>
      </c>
      <c r="N82">
        <f t="shared" si="21"/>
        <v>0</v>
      </c>
      <c r="O82">
        <f t="shared" si="22"/>
        <v>0</v>
      </c>
      <c r="P82">
        <f t="shared" si="23"/>
        <v>0</v>
      </c>
    </row>
    <row r="83" spans="1:16" x14ac:dyDescent="0.25">
      <c r="A83" t="s">
        <v>135</v>
      </c>
      <c r="B83" t="s">
        <v>54</v>
      </c>
      <c r="C83" s="1">
        <v>19256</v>
      </c>
      <c r="D83" t="s">
        <v>12</v>
      </c>
      <c r="E83">
        <f t="shared" si="12"/>
        <v>0</v>
      </c>
      <c r="F83">
        <f t="shared" si="13"/>
        <v>0</v>
      </c>
      <c r="G83">
        <f t="shared" si="14"/>
        <v>0</v>
      </c>
      <c r="H83">
        <f t="shared" si="15"/>
        <v>0</v>
      </c>
      <c r="I83">
        <f t="shared" si="16"/>
        <v>0</v>
      </c>
      <c r="J83">
        <f t="shared" si="17"/>
        <v>0</v>
      </c>
      <c r="K83">
        <f t="shared" si="18"/>
        <v>0</v>
      </c>
      <c r="L83">
        <f t="shared" si="19"/>
        <v>0</v>
      </c>
      <c r="M83">
        <f t="shared" si="20"/>
        <v>1</v>
      </c>
      <c r="N83">
        <f t="shared" si="21"/>
        <v>0</v>
      </c>
      <c r="O83">
        <f t="shared" si="22"/>
        <v>0</v>
      </c>
      <c r="P83">
        <f t="shared" si="23"/>
        <v>0</v>
      </c>
    </row>
    <row r="84" spans="1:16" x14ac:dyDescent="0.25">
      <c r="A84" t="s">
        <v>136</v>
      </c>
      <c r="B84" t="s">
        <v>137</v>
      </c>
      <c r="C84" s="1">
        <v>21898</v>
      </c>
      <c r="D84" t="s">
        <v>12</v>
      </c>
      <c r="E84">
        <f t="shared" si="12"/>
        <v>0</v>
      </c>
      <c r="F84">
        <f t="shared" si="13"/>
        <v>0</v>
      </c>
      <c r="G84">
        <f t="shared" si="14"/>
        <v>0</v>
      </c>
      <c r="H84">
        <f t="shared" si="15"/>
        <v>0</v>
      </c>
      <c r="I84">
        <f t="shared" si="16"/>
        <v>0</v>
      </c>
      <c r="J84">
        <f t="shared" si="17"/>
        <v>0</v>
      </c>
      <c r="K84">
        <f t="shared" si="18"/>
        <v>0</v>
      </c>
      <c r="L84">
        <f t="shared" si="19"/>
        <v>0</v>
      </c>
      <c r="M84">
        <f t="shared" si="20"/>
        <v>0</v>
      </c>
      <c r="N84">
        <f t="shared" si="21"/>
        <v>0</v>
      </c>
      <c r="O84">
        <f t="shared" si="22"/>
        <v>0</v>
      </c>
      <c r="P84">
        <f t="shared" si="23"/>
        <v>1</v>
      </c>
    </row>
    <row r="85" spans="1:16" x14ac:dyDescent="0.25">
      <c r="A85" t="s">
        <v>138</v>
      </c>
      <c r="B85" t="s">
        <v>139</v>
      </c>
      <c r="C85" s="1">
        <v>16873</v>
      </c>
      <c r="D85" t="s">
        <v>12</v>
      </c>
      <c r="E85">
        <f t="shared" si="12"/>
        <v>0</v>
      </c>
      <c r="F85">
        <f t="shared" si="13"/>
        <v>0</v>
      </c>
      <c r="G85">
        <f t="shared" si="14"/>
        <v>1</v>
      </c>
      <c r="H85">
        <f t="shared" si="15"/>
        <v>0</v>
      </c>
      <c r="I85">
        <f t="shared" si="16"/>
        <v>0</v>
      </c>
      <c r="J85">
        <f t="shared" si="17"/>
        <v>0</v>
      </c>
      <c r="K85">
        <f t="shared" si="18"/>
        <v>0</v>
      </c>
      <c r="L85">
        <f t="shared" si="19"/>
        <v>0</v>
      </c>
      <c r="M85">
        <f t="shared" si="20"/>
        <v>0</v>
      </c>
      <c r="N85">
        <f t="shared" si="21"/>
        <v>0</v>
      </c>
      <c r="O85">
        <f t="shared" si="22"/>
        <v>0</v>
      </c>
      <c r="P85">
        <f t="shared" si="23"/>
        <v>0</v>
      </c>
    </row>
    <row r="86" spans="1:16" x14ac:dyDescent="0.25">
      <c r="A86" t="s">
        <v>140</v>
      </c>
      <c r="B86" t="s">
        <v>141</v>
      </c>
      <c r="C86" s="1">
        <v>34893</v>
      </c>
      <c r="D86" t="s">
        <v>6</v>
      </c>
      <c r="E86">
        <f t="shared" si="12"/>
        <v>0</v>
      </c>
      <c r="F86">
        <f t="shared" si="13"/>
        <v>0</v>
      </c>
      <c r="G86">
        <f t="shared" si="14"/>
        <v>0</v>
      </c>
      <c r="H86">
        <f t="shared" si="15"/>
        <v>0</v>
      </c>
      <c r="I86">
        <f t="shared" si="16"/>
        <v>0</v>
      </c>
      <c r="J86">
        <f t="shared" si="17"/>
        <v>0</v>
      </c>
      <c r="K86">
        <f t="shared" si="18"/>
        <v>1</v>
      </c>
      <c r="L86">
        <f t="shared" si="19"/>
        <v>0</v>
      </c>
      <c r="M86">
        <f t="shared" si="20"/>
        <v>0</v>
      </c>
      <c r="N86">
        <f t="shared" si="21"/>
        <v>0</v>
      </c>
      <c r="O86">
        <f t="shared" si="22"/>
        <v>0</v>
      </c>
      <c r="P86">
        <f t="shared" si="23"/>
        <v>0</v>
      </c>
    </row>
    <row r="87" spans="1:16" x14ac:dyDescent="0.25">
      <c r="A87" t="s">
        <v>142</v>
      </c>
      <c r="B87" t="s">
        <v>143</v>
      </c>
      <c r="C87" s="1">
        <v>16028</v>
      </c>
      <c r="D87" t="s">
        <v>12</v>
      </c>
      <c r="E87">
        <f t="shared" si="12"/>
        <v>0</v>
      </c>
      <c r="F87">
        <f t="shared" si="13"/>
        <v>0</v>
      </c>
      <c r="G87">
        <f t="shared" si="14"/>
        <v>0</v>
      </c>
      <c r="H87">
        <f t="shared" si="15"/>
        <v>0</v>
      </c>
      <c r="I87">
        <f t="shared" si="16"/>
        <v>0</v>
      </c>
      <c r="J87">
        <f t="shared" si="17"/>
        <v>0</v>
      </c>
      <c r="K87">
        <f t="shared" si="18"/>
        <v>0</v>
      </c>
      <c r="L87">
        <f t="shared" si="19"/>
        <v>0</v>
      </c>
      <c r="M87">
        <f t="shared" si="20"/>
        <v>0</v>
      </c>
      <c r="N87">
        <f t="shared" si="21"/>
        <v>0</v>
      </c>
      <c r="O87">
        <f t="shared" si="22"/>
        <v>1</v>
      </c>
      <c r="P87">
        <f t="shared" si="23"/>
        <v>0</v>
      </c>
    </row>
    <row r="88" spans="1:16" x14ac:dyDescent="0.25">
      <c r="A88" t="s">
        <v>144</v>
      </c>
      <c r="B88" t="s">
        <v>54</v>
      </c>
      <c r="C88" s="1">
        <v>33446</v>
      </c>
      <c r="D88" t="s">
        <v>6</v>
      </c>
      <c r="E88">
        <f t="shared" si="12"/>
        <v>0</v>
      </c>
      <c r="F88">
        <f t="shared" si="13"/>
        <v>0</v>
      </c>
      <c r="G88">
        <f t="shared" si="14"/>
        <v>0</v>
      </c>
      <c r="H88">
        <f t="shared" si="15"/>
        <v>0</v>
      </c>
      <c r="I88">
        <f t="shared" si="16"/>
        <v>0</v>
      </c>
      <c r="J88">
        <f t="shared" si="17"/>
        <v>0</v>
      </c>
      <c r="K88">
        <f t="shared" si="18"/>
        <v>1</v>
      </c>
      <c r="L88">
        <f t="shared" si="19"/>
        <v>0</v>
      </c>
      <c r="M88">
        <f t="shared" si="20"/>
        <v>0</v>
      </c>
      <c r="N88">
        <f t="shared" si="21"/>
        <v>0</v>
      </c>
      <c r="O88">
        <f t="shared" si="22"/>
        <v>0</v>
      </c>
      <c r="P88">
        <f t="shared" si="23"/>
        <v>0</v>
      </c>
    </row>
    <row r="89" spans="1:16" x14ac:dyDescent="0.25">
      <c r="A89" t="s">
        <v>145</v>
      </c>
      <c r="B89" t="s">
        <v>146</v>
      </c>
      <c r="C89" s="1">
        <v>18892</v>
      </c>
      <c r="D89" t="s">
        <v>6</v>
      </c>
      <c r="E89">
        <f t="shared" si="12"/>
        <v>0</v>
      </c>
      <c r="F89">
        <f t="shared" si="13"/>
        <v>0</v>
      </c>
      <c r="G89">
        <f t="shared" si="14"/>
        <v>0</v>
      </c>
      <c r="H89">
        <f t="shared" si="15"/>
        <v>0</v>
      </c>
      <c r="I89">
        <f t="shared" si="16"/>
        <v>0</v>
      </c>
      <c r="J89">
        <f t="shared" si="17"/>
        <v>0</v>
      </c>
      <c r="K89">
        <f t="shared" si="18"/>
        <v>0</v>
      </c>
      <c r="L89">
        <f t="shared" si="19"/>
        <v>0</v>
      </c>
      <c r="M89">
        <f t="shared" si="20"/>
        <v>1</v>
      </c>
      <c r="N89">
        <f t="shared" si="21"/>
        <v>0</v>
      </c>
      <c r="O89">
        <f t="shared" si="22"/>
        <v>0</v>
      </c>
      <c r="P89">
        <f t="shared" si="23"/>
        <v>0</v>
      </c>
    </row>
    <row r="90" spans="1:16" x14ac:dyDescent="0.25">
      <c r="A90" t="s">
        <v>147</v>
      </c>
      <c r="B90" t="s">
        <v>102</v>
      </c>
      <c r="C90" s="1">
        <v>32219</v>
      </c>
      <c r="D90" t="s">
        <v>12</v>
      </c>
      <c r="E90">
        <f t="shared" si="12"/>
        <v>0</v>
      </c>
      <c r="F90">
        <f t="shared" si="13"/>
        <v>0</v>
      </c>
      <c r="G90">
        <f t="shared" si="14"/>
        <v>1</v>
      </c>
      <c r="H90">
        <f t="shared" si="15"/>
        <v>0</v>
      </c>
      <c r="I90">
        <f t="shared" si="16"/>
        <v>0</v>
      </c>
      <c r="J90">
        <f t="shared" si="17"/>
        <v>0</v>
      </c>
      <c r="K90">
        <f t="shared" si="18"/>
        <v>0</v>
      </c>
      <c r="L90">
        <f t="shared" si="19"/>
        <v>0</v>
      </c>
      <c r="M90">
        <f t="shared" si="20"/>
        <v>0</v>
      </c>
      <c r="N90">
        <f t="shared" si="21"/>
        <v>0</v>
      </c>
      <c r="O90">
        <f t="shared" si="22"/>
        <v>0</v>
      </c>
      <c r="P90">
        <f t="shared" si="23"/>
        <v>0</v>
      </c>
    </row>
    <row r="91" spans="1:16" x14ac:dyDescent="0.25">
      <c r="A91" t="s">
        <v>148</v>
      </c>
      <c r="B91" t="s">
        <v>149</v>
      </c>
      <c r="C91" s="1">
        <v>31771</v>
      </c>
      <c r="D91" t="s">
        <v>9</v>
      </c>
      <c r="E91">
        <f t="shared" si="12"/>
        <v>0</v>
      </c>
      <c r="F91">
        <f t="shared" si="13"/>
        <v>0</v>
      </c>
      <c r="G91">
        <f t="shared" si="14"/>
        <v>0</v>
      </c>
      <c r="H91">
        <f t="shared" si="15"/>
        <v>0</v>
      </c>
      <c r="I91">
        <f t="shared" si="16"/>
        <v>0</v>
      </c>
      <c r="J91">
        <f t="shared" si="17"/>
        <v>0</v>
      </c>
      <c r="K91">
        <f t="shared" si="18"/>
        <v>0</v>
      </c>
      <c r="L91">
        <f t="shared" si="19"/>
        <v>0</v>
      </c>
      <c r="M91">
        <f t="shared" si="20"/>
        <v>0</v>
      </c>
      <c r="N91">
        <f t="shared" si="21"/>
        <v>0</v>
      </c>
      <c r="O91">
        <f t="shared" si="22"/>
        <v>0</v>
      </c>
      <c r="P91">
        <f t="shared" si="23"/>
        <v>1</v>
      </c>
    </row>
    <row r="92" spans="1:16" x14ac:dyDescent="0.25">
      <c r="A92" t="s">
        <v>51</v>
      </c>
      <c r="B92" t="s">
        <v>150</v>
      </c>
      <c r="C92" s="1">
        <v>30633</v>
      </c>
      <c r="D92" t="s">
        <v>40</v>
      </c>
      <c r="E92">
        <f t="shared" si="12"/>
        <v>0</v>
      </c>
      <c r="F92">
        <f t="shared" si="13"/>
        <v>0</v>
      </c>
      <c r="G92">
        <f t="shared" si="14"/>
        <v>0</v>
      </c>
      <c r="H92">
        <f t="shared" si="15"/>
        <v>0</v>
      </c>
      <c r="I92">
        <f t="shared" si="16"/>
        <v>0</v>
      </c>
      <c r="J92">
        <f t="shared" si="17"/>
        <v>0</v>
      </c>
      <c r="K92">
        <f t="shared" si="18"/>
        <v>0</v>
      </c>
      <c r="L92">
        <f t="shared" si="19"/>
        <v>0</v>
      </c>
      <c r="M92">
        <f t="shared" si="20"/>
        <v>0</v>
      </c>
      <c r="N92">
        <f t="shared" si="21"/>
        <v>0</v>
      </c>
      <c r="O92">
        <f t="shared" si="22"/>
        <v>1</v>
      </c>
      <c r="P92">
        <f t="shared" si="23"/>
        <v>0</v>
      </c>
    </row>
    <row r="93" spans="1:16" x14ac:dyDescent="0.25">
      <c r="A93" t="s">
        <v>151</v>
      </c>
      <c r="B93" t="s">
        <v>152</v>
      </c>
      <c r="C93" s="1">
        <v>34177</v>
      </c>
      <c r="D93" t="s">
        <v>40</v>
      </c>
      <c r="E93">
        <f t="shared" si="12"/>
        <v>0</v>
      </c>
      <c r="F93">
        <f t="shared" si="13"/>
        <v>0</v>
      </c>
      <c r="G93">
        <f t="shared" si="14"/>
        <v>0</v>
      </c>
      <c r="H93">
        <f t="shared" si="15"/>
        <v>0</v>
      </c>
      <c r="I93">
        <f t="shared" si="16"/>
        <v>0</v>
      </c>
      <c r="J93">
        <f t="shared" si="17"/>
        <v>0</v>
      </c>
      <c r="K93">
        <f t="shared" si="18"/>
        <v>1</v>
      </c>
      <c r="L93">
        <f t="shared" si="19"/>
        <v>0</v>
      </c>
      <c r="M93">
        <f t="shared" si="20"/>
        <v>0</v>
      </c>
      <c r="N93">
        <f t="shared" si="21"/>
        <v>0</v>
      </c>
      <c r="O93">
        <f t="shared" si="22"/>
        <v>0</v>
      </c>
      <c r="P93">
        <f t="shared" si="23"/>
        <v>0</v>
      </c>
    </row>
    <row r="94" spans="1:16" x14ac:dyDescent="0.25">
      <c r="A94" t="s">
        <v>153</v>
      </c>
      <c r="B94" t="s">
        <v>137</v>
      </c>
      <c r="C94" s="1">
        <v>33281</v>
      </c>
      <c r="D94" t="s">
        <v>12</v>
      </c>
      <c r="E94">
        <f t="shared" si="12"/>
        <v>0</v>
      </c>
      <c r="F94">
        <f t="shared" si="13"/>
        <v>1</v>
      </c>
      <c r="G94">
        <f t="shared" si="14"/>
        <v>0</v>
      </c>
      <c r="H94">
        <f t="shared" si="15"/>
        <v>0</v>
      </c>
      <c r="I94">
        <f t="shared" si="16"/>
        <v>0</v>
      </c>
      <c r="J94">
        <f t="shared" si="17"/>
        <v>0</v>
      </c>
      <c r="K94">
        <f t="shared" si="18"/>
        <v>0</v>
      </c>
      <c r="L94">
        <f t="shared" si="19"/>
        <v>0</v>
      </c>
      <c r="M94">
        <f t="shared" si="20"/>
        <v>0</v>
      </c>
      <c r="N94">
        <f t="shared" si="21"/>
        <v>0</v>
      </c>
      <c r="O94">
        <f t="shared" si="22"/>
        <v>0</v>
      </c>
      <c r="P94">
        <f t="shared" si="23"/>
        <v>0</v>
      </c>
    </row>
    <row r="95" spans="1:16" x14ac:dyDescent="0.25">
      <c r="A95" t="s">
        <v>75</v>
      </c>
      <c r="B95" t="s">
        <v>154</v>
      </c>
      <c r="C95" s="1">
        <v>21897</v>
      </c>
      <c r="D95" t="s">
        <v>12</v>
      </c>
      <c r="E95">
        <f t="shared" si="12"/>
        <v>0</v>
      </c>
      <c r="F95">
        <f t="shared" si="13"/>
        <v>0</v>
      </c>
      <c r="G95">
        <f t="shared" si="14"/>
        <v>0</v>
      </c>
      <c r="H95">
        <f t="shared" si="15"/>
        <v>0</v>
      </c>
      <c r="I95">
        <f t="shared" si="16"/>
        <v>0</v>
      </c>
      <c r="J95">
        <f t="shared" si="17"/>
        <v>0</v>
      </c>
      <c r="K95">
        <f t="shared" si="18"/>
        <v>0</v>
      </c>
      <c r="L95">
        <f t="shared" si="19"/>
        <v>0</v>
      </c>
      <c r="M95">
        <f t="shared" si="20"/>
        <v>0</v>
      </c>
      <c r="N95">
        <f t="shared" si="21"/>
        <v>0</v>
      </c>
      <c r="O95">
        <f t="shared" si="22"/>
        <v>0</v>
      </c>
      <c r="P95">
        <f t="shared" si="23"/>
        <v>1</v>
      </c>
    </row>
    <row r="96" spans="1:16" x14ac:dyDescent="0.25">
      <c r="A96" t="s">
        <v>155</v>
      </c>
      <c r="B96" t="s">
        <v>37</v>
      </c>
      <c r="C96" s="1">
        <v>18604</v>
      </c>
      <c r="D96" t="s">
        <v>40</v>
      </c>
      <c r="E96">
        <f t="shared" si="12"/>
        <v>0</v>
      </c>
      <c r="F96">
        <f t="shared" si="13"/>
        <v>0</v>
      </c>
      <c r="G96">
        <f t="shared" si="14"/>
        <v>0</v>
      </c>
      <c r="H96">
        <f t="shared" si="15"/>
        <v>0</v>
      </c>
      <c r="I96">
        <f t="shared" si="16"/>
        <v>0</v>
      </c>
      <c r="J96">
        <f t="shared" si="17"/>
        <v>0</v>
      </c>
      <c r="K96">
        <f t="shared" si="18"/>
        <v>0</v>
      </c>
      <c r="L96">
        <f t="shared" si="19"/>
        <v>0</v>
      </c>
      <c r="M96">
        <f t="shared" si="20"/>
        <v>0</v>
      </c>
      <c r="N96">
        <f t="shared" si="21"/>
        <v>0</v>
      </c>
      <c r="O96">
        <f t="shared" si="22"/>
        <v>0</v>
      </c>
      <c r="P96">
        <f t="shared" si="23"/>
        <v>1</v>
      </c>
    </row>
    <row r="97" spans="1:16" x14ac:dyDescent="0.25">
      <c r="A97" t="s">
        <v>156</v>
      </c>
      <c r="B97" t="s">
        <v>157</v>
      </c>
      <c r="C97" s="1">
        <v>18910</v>
      </c>
      <c r="D97" t="s">
        <v>12</v>
      </c>
      <c r="E97">
        <f t="shared" si="12"/>
        <v>0</v>
      </c>
      <c r="F97">
        <f t="shared" si="13"/>
        <v>0</v>
      </c>
      <c r="G97">
        <f t="shared" si="14"/>
        <v>0</v>
      </c>
      <c r="H97">
        <f t="shared" si="15"/>
        <v>0</v>
      </c>
      <c r="I97">
        <f t="shared" si="16"/>
        <v>0</v>
      </c>
      <c r="J97">
        <f t="shared" si="17"/>
        <v>0</v>
      </c>
      <c r="K97">
        <f t="shared" si="18"/>
        <v>0</v>
      </c>
      <c r="L97">
        <f t="shared" si="19"/>
        <v>0</v>
      </c>
      <c r="M97">
        <f t="shared" si="20"/>
        <v>0</v>
      </c>
      <c r="N97">
        <f t="shared" si="21"/>
        <v>1</v>
      </c>
      <c r="O97">
        <f t="shared" si="22"/>
        <v>0</v>
      </c>
      <c r="P97">
        <f t="shared" si="23"/>
        <v>0</v>
      </c>
    </row>
    <row r="98" spans="1:16" x14ac:dyDescent="0.25">
      <c r="A98" t="s">
        <v>158</v>
      </c>
      <c r="B98" t="s">
        <v>47</v>
      </c>
      <c r="C98" s="1">
        <v>17056</v>
      </c>
      <c r="D98" t="s">
        <v>9</v>
      </c>
      <c r="E98">
        <f t="shared" si="12"/>
        <v>0</v>
      </c>
      <c r="F98">
        <f t="shared" si="13"/>
        <v>0</v>
      </c>
      <c r="G98">
        <f t="shared" si="14"/>
        <v>0</v>
      </c>
      <c r="H98">
        <f t="shared" si="15"/>
        <v>0</v>
      </c>
      <c r="I98">
        <f t="shared" si="16"/>
        <v>0</v>
      </c>
      <c r="J98">
        <f t="shared" si="17"/>
        <v>0</v>
      </c>
      <c r="K98">
        <f t="shared" si="18"/>
        <v>0</v>
      </c>
      <c r="L98">
        <f t="shared" si="19"/>
        <v>0</v>
      </c>
      <c r="M98">
        <f t="shared" si="20"/>
        <v>1</v>
      </c>
      <c r="N98">
        <f t="shared" si="21"/>
        <v>0</v>
      </c>
      <c r="O98">
        <f t="shared" si="22"/>
        <v>0</v>
      </c>
      <c r="P98">
        <f t="shared" si="23"/>
        <v>0</v>
      </c>
    </row>
    <row r="99" spans="1:16" x14ac:dyDescent="0.25">
      <c r="A99" t="s">
        <v>159</v>
      </c>
      <c r="B99" t="s">
        <v>160</v>
      </c>
      <c r="C99" s="1">
        <v>22619</v>
      </c>
      <c r="D99" t="s">
        <v>9</v>
      </c>
      <c r="E99">
        <f t="shared" si="12"/>
        <v>0</v>
      </c>
      <c r="F99">
        <f t="shared" si="13"/>
        <v>0</v>
      </c>
      <c r="G99">
        <f t="shared" si="14"/>
        <v>0</v>
      </c>
      <c r="H99">
        <f t="shared" si="15"/>
        <v>0</v>
      </c>
      <c r="I99">
        <f t="shared" si="16"/>
        <v>0</v>
      </c>
      <c r="J99">
        <f t="shared" si="17"/>
        <v>0</v>
      </c>
      <c r="K99">
        <f t="shared" si="18"/>
        <v>0</v>
      </c>
      <c r="L99">
        <f t="shared" si="19"/>
        <v>0</v>
      </c>
      <c r="M99">
        <f t="shared" si="20"/>
        <v>0</v>
      </c>
      <c r="N99">
        <f t="shared" si="21"/>
        <v>0</v>
      </c>
      <c r="O99">
        <f t="shared" si="22"/>
        <v>0</v>
      </c>
      <c r="P99">
        <f t="shared" si="23"/>
        <v>1</v>
      </c>
    </row>
    <row r="100" spans="1:16" x14ac:dyDescent="0.25">
      <c r="A100" t="s">
        <v>161</v>
      </c>
      <c r="B100" t="s">
        <v>37</v>
      </c>
      <c r="C100" s="1">
        <v>19740</v>
      </c>
      <c r="D100" t="s">
        <v>12</v>
      </c>
      <c r="E100">
        <f t="shared" si="12"/>
        <v>1</v>
      </c>
      <c r="F100">
        <f t="shared" si="13"/>
        <v>0</v>
      </c>
      <c r="G100">
        <f t="shared" si="14"/>
        <v>0</v>
      </c>
      <c r="H100">
        <f t="shared" si="15"/>
        <v>0</v>
      </c>
      <c r="I100">
        <f t="shared" si="16"/>
        <v>0</v>
      </c>
      <c r="J100">
        <f t="shared" si="17"/>
        <v>0</v>
      </c>
      <c r="K100">
        <f t="shared" si="18"/>
        <v>0</v>
      </c>
      <c r="L100">
        <f t="shared" si="19"/>
        <v>0</v>
      </c>
      <c r="M100">
        <f t="shared" si="20"/>
        <v>0</v>
      </c>
      <c r="N100">
        <f t="shared" si="21"/>
        <v>0</v>
      </c>
      <c r="O100">
        <f t="shared" si="22"/>
        <v>0</v>
      </c>
      <c r="P100">
        <f t="shared" si="23"/>
        <v>0</v>
      </c>
    </row>
    <row r="101" spans="1:16" x14ac:dyDescent="0.25">
      <c r="A101" t="s">
        <v>162</v>
      </c>
      <c r="B101" t="s">
        <v>131</v>
      </c>
      <c r="C101" s="1">
        <v>24222</v>
      </c>
      <c r="D101" t="s">
        <v>6</v>
      </c>
      <c r="E101">
        <f t="shared" si="12"/>
        <v>0</v>
      </c>
      <c r="F101">
        <f t="shared" si="13"/>
        <v>0</v>
      </c>
      <c r="G101">
        <f t="shared" si="14"/>
        <v>0</v>
      </c>
      <c r="H101">
        <f t="shared" si="15"/>
        <v>1</v>
      </c>
      <c r="I101">
        <f t="shared" si="16"/>
        <v>0</v>
      </c>
      <c r="J101">
        <f t="shared" si="17"/>
        <v>0</v>
      </c>
      <c r="K101">
        <f t="shared" si="18"/>
        <v>0</v>
      </c>
      <c r="L101">
        <f t="shared" si="19"/>
        <v>0</v>
      </c>
      <c r="M101">
        <f t="shared" si="20"/>
        <v>0</v>
      </c>
      <c r="N101">
        <f t="shared" si="21"/>
        <v>0</v>
      </c>
      <c r="O101">
        <f t="shared" si="22"/>
        <v>0</v>
      </c>
      <c r="P101">
        <f t="shared" si="23"/>
        <v>0</v>
      </c>
    </row>
    <row r="102" spans="1:16" x14ac:dyDescent="0.25">
      <c r="A102" t="s">
        <v>163</v>
      </c>
      <c r="B102" t="s">
        <v>37</v>
      </c>
      <c r="C102" s="1">
        <v>17196</v>
      </c>
      <c r="D102" t="s">
        <v>40</v>
      </c>
      <c r="E102">
        <f t="shared" si="12"/>
        <v>1</v>
      </c>
      <c r="F102">
        <f t="shared" si="13"/>
        <v>0</v>
      </c>
      <c r="G102">
        <f t="shared" si="14"/>
        <v>0</v>
      </c>
      <c r="H102">
        <f t="shared" si="15"/>
        <v>0</v>
      </c>
      <c r="I102">
        <f t="shared" si="16"/>
        <v>0</v>
      </c>
      <c r="J102">
        <f t="shared" si="17"/>
        <v>0</v>
      </c>
      <c r="K102">
        <f t="shared" si="18"/>
        <v>0</v>
      </c>
      <c r="L102">
        <f t="shared" si="19"/>
        <v>0</v>
      </c>
      <c r="M102">
        <f t="shared" si="20"/>
        <v>0</v>
      </c>
      <c r="N102">
        <f t="shared" si="21"/>
        <v>0</v>
      </c>
      <c r="O102">
        <f t="shared" si="22"/>
        <v>0</v>
      </c>
      <c r="P102">
        <f t="shared" si="23"/>
        <v>0</v>
      </c>
    </row>
    <row r="103" spans="1:16" x14ac:dyDescent="0.25">
      <c r="A103" t="s">
        <v>164</v>
      </c>
      <c r="B103" t="s">
        <v>52</v>
      </c>
      <c r="C103" s="1">
        <v>32013</v>
      </c>
      <c r="D103" t="s">
        <v>12</v>
      </c>
      <c r="E103">
        <f t="shared" si="12"/>
        <v>0</v>
      </c>
      <c r="F103">
        <f t="shared" si="13"/>
        <v>0</v>
      </c>
      <c r="G103">
        <f t="shared" si="14"/>
        <v>0</v>
      </c>
      <c r="H103">
        <f t="shared" si="15"/>
        <v>0</v>
      </c>
      <c r="I103">
        <f t="shared" si="16"/>
        <v>0</v>
      </c>
      <c r="J103">
        <f t="shared" si="17"/>
        <v>0</v>
      </c>
      <c r="K103">
        <f t="shared" si="18"/>
        <v>0</v>
      </c>
      <c r="L103">
        <f t="shared" si="19"/>
        <v>1</v>
      </c>
      <c r="M103">
        <f t="shared" si="20"/>
        <v>0</v>
      </c>
      <c r="N103">
        <f t="shared" si="21"/>
        <v>0</v>
      </c>
      <c r="O103">
        <f t="shared" si="22"/>
        <v>0</v>
      </c>
      <c r="P103">
        <f t="shared" si="23"/>
        <v>0</v>
      </c>
    </row>
    <row r="104" spans="1:16" x14ac:dyDescent="0.25">
      <c r="A104" t="s">
        <v>163</v>
      </c>
      <c r="B104" t="s">
        <v>39</v>
      </c>
      <c r="C104" s="1">
        <v>23679</v>
      </c>
      <c r="D104" t="s">
        <v>12</v>
      </c>
      <c r="E104">
        <f t="shared" si="12"/>
        <v>0</v>
      </c>
      <c r="F104">
        <f t="shared" si="13"/>
        <v>0</v>
      </c>
      <c r="G104">
        <f t="shared" si="14"/>
        <v>0</v>
      </c>
      <c r="H104">
        <f t="shared" si="15"/>
        <v>0</v>
      </c>
      <c r="I104">
        <f t="shared" si="16"/>
        <v>0</v>
      </c>
      <c r="J104">
        <f t="shared" si="17"/>
        <v>0</v>
      </c>
      <c r="K104">
        <f t="shared" si="18"/>
        <v>0</v>
      </c>
      <c r="L104">
        <f t="shared" si="19"/>
        <v>0</v>
      </c>
      <c r="M104">
        <f t="shared" si="20"/>
        <v>0</v>
      </c>
      <c r="N104">
        <f t="shared" si="21"/>
        <v>1</v>
      </c>
      <c r="O104">
        <f t="shared" si="22"/>
        <v>0</v>
      </c>
      <c r="P104">
        <f t="shared" si="23"/>
        <v>0</v>
      </c>
    </row>
    <row r="105" spans="1:16" x14ac:dyDescent="0.25">
      <c r="A105" t="s">
        <v>75</v>
      </c>
      <c r="B105" t="s">
        <v>165</v>
      </c>
      <c r="C105" s="1">
        <v>26239</v>
      </c>
      <c r="D105" t="s">
        <v>12</v>
      </c>
      <c r="E105">
        <f t="shared" si="12"/>
        <v>0</v>
      </c>
      <c r="F105">
        <f t="shared" si="13"/>
        <v>0</v>
      </c>
      <c r="G105">
        <f t="shared" si="14"/>
        <v>0</v>
      </c>
      <c r="H105">
        <f t="shared" si="15"/>
        <v>0</v>
      </c>
      <c r="I105">
        <f t="shared" si="16"/>
        <v>0</v>
      </c>
      <c r="J105">
        <f t="shared" si="17"/>
        <v>0</v>
      </c>
      <c r="K105">
        <f t="shared" si="18"/>
        <v>0</v>
      </c>
      <c r="L105">
        <f t="shared" si="19"/>
        <v>0</v>
      </c>
      <c r="M105">
        <f t="shared" si="20"/>
        <v>0</v>
      </c>
      <c r="N105">
        <f t="shared" si="21"/>
        <v>0</v>
      </c>
      <c r="O105">
        <f t="shared" si="22"/>
        <v>1</v>
      </c>
      <c r="P105">
        <f t="shared" si="23"/>
        <v>0</v>
      </c>
    </row>
    <row r="106" spans="1:16" x14ac:dyDescent="0.25">
      <c r="A106" t="s">
        <v>166</v>
      </c>
      <c r="B106" t="s">
        <v>167</v>
      </c>
      <c r="C106" s="1">
        <v>30774</v>
      </c>
      <c r="D106" t="s">
        <v>6</v>
      </c>
      <c r="E106">
        <f t="shared" si="12"/>
        <v>0</v>
      </c>
      <c r="F106">
        <f t="shared" si="13"/>
        <v>0</v>
      </c>
      <c r="G106">
        <f t="shared" si="14"/>
        <v>0</v>
      </c>
      <c r="H106">
        <f t="shared" si="15"/>
        <v>1</v>
      </c>
      <c r="I106">
        <f t="shared" si="16"/>
        <v>0</v>
      </c>
      <c r="J106">
        <f t="shared" si="17"/>
        <v>0</v>
      </c>
      <c r="K106">
        <f t="shared" si="18"/>
        <v>0</v>
      </c>
      <c r="L106">
        <f t="shared" si="19"/>
        <v>0</v>
      </c>
      <c r="M106">
        <f t="shared" si="20"/>
        <v>0</v>
      </c>
      <c r="N106">
        <f t="shared" si="21"/>
        <v>0</v>
      </c>
      <c r="O106">
        <f t="shared" si="22"/>
        <v>0</v>
      </c>
      <c r="P106">
        <f t="shared" si="23"/>
        <v>0</v>
      </c>
    </row>
    <row r="107" spans="1:16" x14ac:dyDescent="0.25">
      <c r="A107" t="s">
        <v>168</v>
      </c>
      <c r="B107" t="s">
        <v>169</v>
      </c>
      <c r="C107" s="1">
        <v>25818</v>
      </c>
      <c r="D107" t="s">
        <v>6</v>
      </c>
      <c r="E107">
        <f t="shared" si="12"/>
        <v>0</v>
      </c>
      <c r="F107">
        <f t="shared" si="13"/>
        <v>0</v>
      </c>
      <c r="G107">
        <f t="shared" si="14"/>
        <v>0</v>
      </c>
      <c r="H107">
        <f t="shared" si="15"/>
        <v>0</v>
      </c>
      <c r="I107">
        <f t="shared" si="16"/>
        <v>0</v>
      </c>
      <c r="J107">
        <f t="shared" si="17"/>
        <v>0</v>
      </c>
      <c r="K107">
        <f t="shared" si="18"/>
        <v>0</v>
      </c>
      <c r="L107">
        <f t="shared" si="19"/>
        <v>0</v>
      </c>
      <c r="M107">
        <f t="shared" si="20"/>
        <v>1</v>
      </c>
      <c r="N107">
        <f t="shared" si="21"/>
        <v>0</v>
      </c>
      <c r="O107">
        <f t="shared" si="22"/>
        <v>0</v>
      </c>
      <c r="P107">
        <f t="shared" si="23"/>
        <v>0</v>
      </c>
    </row>
    <row r="108" spans="1:16" x14ac:dyDescent="0.25">
      <c r="A108" t="s">
        <v>170</v>
      </c>
      <c r="B108" t="s">
        <v>171</v>
      </c>
      <c r="C108" s="1">
        <v>16529</v>
      </c>
      <c r="D108" t="s">
        <v>40</v>
      </c>
      <c r="E108">
        <f t="shared" si="12"/>
        <v>0</v>
      </c>
      <c r="F108">
        <f t="shared" si="13"/>
        <v>0</v>
      </c>
      <c r="G108">
        <f t="shared" si="14"/>
        <v>0</v>
      </c>
      <c r="H108">
        <f t="shared" si="15"/>
        <v>1</v>
      </c>
      <c r="I108">
        <f t="shared" si="16"/>
        <v>0</v>
      </c>
      <c r="J108">
        <f t="shared" si="17"/>
        <v>0</v>
      </c>
      <c r="K108">
        <f t="shared" si="18"/>
        <v>0</v>
      </c>
      <c r="L108">
        <f t="shared" si="19"/>
        <v>0</v>
      </c>
      <c r="M108">
        <f t="shared" si="20"/>
        <v>0</v>
      </c>
      <c r="N108">
        <f t="shared" si="21"/>
        <v>0</v>
      </c>
      <c r="O108">
        <f t="shared" si="22"/>
        <v>0</v>
      </c>
      <c r="P108">
        <f t="shared" si="23"/>
        <v>0</v>
      </c>
    </row>
    <row r="109" spans="1:16" x14ac:dyDescent="0.25">
      <c r="A109" t="s">
        <v>172</v>
      </c>
      <c r="B109" t="s">
        <v>5</v>
      </c>
      <c r="C109" s="1">
        <v>30530</v>
      </c>
      <c r="D109" t="s">
        <v>40</v>
      </c>
      <c r="E109">
        <f t="shared" si="12"/>
        <v>0</v>
      </c>
      <c r="F109">
        <f t="shared" si="13"/>
        <v>0</v>
      </c>
      <c r="G109">
        <f t="shared" si="14"/>
        <v>0</v>
      </c>
      <c r="H109">
        <f t="shared" si="15"/>
        <v>0</v>
      </c>
      <c r="I109">
        <f t="shared" si="16"/>
        <v>0</v>
      </c>
      <c r="J109">
        <f t="shared" si="17"/>
        <v>0</v>
      </c>
      <c r="K109">
        <f t="shared" si="18"/>
        <v>0</v>
      </c>
      <c r="L109">
        <f t="shared" si="19"/>
        <v>1</v>
      </c>
      <c r="M109">
        <f t="shared" si="20"/>
        <v>0</v>
      </c>
      <c r="N109">
        <f t="shared" si="21"/>
        <v>0</v>
      </c>
      <c r="O109">
        <f t="shared" si="22"/>
        <v>0</v>
      </c>
      <c r="P109">
        <f t="shared" si="23"/>
        <v>0</v>
      </c>
    </row>
    <row r="110" spans="1:16" x14ac:dyDescent="0.25">
      <c r="A110" t="s">
        <v>173</v>
      </c>
      <c r="B110" t="s">
        <v>77</v>
      </c>
      <c r="C110" s="1">
        <v>31601</v>
      </c>
      <c r="D110" t="s">
        <v>12</v>
      </c>
      <c r="E110">
        <f t="shared" si="12"/>
        <v>0</v>
      </c>
      <c r="F110">
        <f t="shared" si="13"/>
        <v>0</v>
      </c>
      <c r="G110">
        <f t="shared" si="14"/>
        <v>0</v>
      </c>
      <c r="H110">
        <f t="shared" si="15"/>
        <v>0</v>
      </c>
      <c r="I110">
        <f t="shared" si="16"/>
        <v>0</v>
      </c>
      <c r="J110">
        <f t="shared" si="17"/>
        <v>0</v>
      </c>
      <c r="K110">
        <f t="shared" si="18"/>
        <v>1</v>
      </c>
      <c r="L110">
        <f t="shared" si="19"/>
        <v>0</v>
      </c>
      <c r="M110">
        <f t="shared" si="20"/>
        <v>0</v>
      </c>
      <c r="N110">
        <f t="shared" si="21"/>
        <v>0</v>
      </c>
      <c r="O110">
        <f t="shared" si="22"/>
        <v>0</v>
      </c>
      <c r="P110">
        <f t="shared" si="23"/>
        <v>0</v>
      </c>
    </row>
    <row r="111" spans="1:16" x14ac:dyDescent="0.25">
      <c r="A111" t="s">
        <v>174</v>
      </c>
      <c r="B111" t="s">
        <v>157</v>
      </c>
      <c r="C111" s="1">
        <v>28427</v>
      </c>
      <c r="D111" t="s">
        <v>12</v>
      </c>
      <c r="E111">
        <f t="shared" si="12"/>
        <v>0</v>
      </c>
      <c r="F111">
        <f t="shared" si="13"/>
        <v>0</v>
      </c>
      <c r="G111">
        <f t="shared" si="14"/>
        <v>0</v>
      </c>
      <c r="H111">
        <f t="shared" si="15"/>
        <v>0</v>
      </c>
      <c r="I111">
        <f t="shared" si="16"/>
        <v>0</v>
      </c>
      <c r="J111">
        <f t="shared" si="17"/>
        <v>0</v>
      </c>
      <c r="K111">
        <f t="shared" si="18"/>
        <v>0</v>
      </c>
      <c r="L111">
        <f t="shared" si="19"/>
        <v>0</v>
      </c>
      <c r="M111">
        <f t="shared" si="20"/>
        <v>0</v>
      </c>
      <c r="N111">
        <f t="shared" si="21"/>
        <v>1</v>
      </c>
      <c r="O111">
        <f t="shared" si="22"/>
        <v>0</v>
      </c>
      <c r="P111">
        <f t="shared" si="23"/>
        <v>0</v>
      </c>
    </row>
    <row r="112" spans="1:16" x14ac:dyDescent="0.25">
      <c r="A112" t="s">
        <v>175</v>
      </c>
      <c r="B112" t="s">
        <v>176</v>
      </c>
      <c r="C112" s="1">
        <v>23139</v>
      </c>
      <c r="D112" t="s">
        <v>12</v>
      </c>
      <c r="E112">
        <f t="shared" si="12"/>
        <v>0</v>
      </c>
      <c r="F112">
        <f t="shared" si="13"/>
        <v>0</v>
      </c>
      <c r="G112">
        <f t="shared" si="14"/>
        <v>0</v>
      </c>
      <c r="H112">
        <f t="shared" si="15"/>
        <v>0</v>
      </c>
      <c r="I112">
        <f t="shared" si="16"/>
        <v>1</v>
      </c>
      <c r="J112">
        <f t="shared" si="17"/>
        <v>0</v>
      </c>
      <c r="K112">
        <f t="shared" si="18"/>
        <v>0</v>
      </c>
      <c r="L112">
        <f t="shared" si="19"/>
        <v>0</v>
      </c>
      <c r="M112">
        <f t="shared" si="20"/>
        <v>0</v>
      </c>
      <c r="N112">
        <f t="shared" si="21"/>
        <v>0</v>
      </c>
      <c r="O112">
        <f t="shared" si="22"/>
        <v>0</v>
      </c>
      <c r="P112">
        <f t="shared" si="23"/>
        <v>0</v>
      </c>
    </row>
    <row r="113" spans="1:16" x14ac:dyDescent="0.25">
      <c r="A113" t="s">
        <v>174</v>
      </c>
      <c r="B113" t="s">
        <v>177</v>
      </c>
      <c r="C113" s="1">
        <v>29861</v>
      </c>
      <c r="D113" t="s">
        <v>12</v>
      </c>
      <c r="E113">
        <f t="shared" si="12"/>
        <v>0</v>
      </c>
      <c r="F113">
        <f t="shared" si="13"/>
        <v>0</v>
      </c>
      <c r="G113">
        <f t="shared" si="14"/>
        <v>0</v>
      </c>
      <c r="H113">
        <f t="shared" si="15"/>
        <v>0</v>
      </c>
      <c r="I113">
        <f t="shared" si="16"/>
        <v>0</v>
      </c>
      <c r="J113">
        <f t="shared" si="17"/>
        <v>0</v>
      </c>
      <c r="K113">
        <f t="shared" si="18"/>
        <v>0</v>
      </c>
      <c r="L113">
        <f t="shared" si="19"/>
        <v>0</v>
      </c>
      <c r="M113">
        <f t="shared" si="20"/>
        <v>0</v>
      </c>
      <c r="N113">
        <f t="shared" si="21"/>
        <v>1</v>
      </c>
      <c r="O113">
        <f t="shared" si="22"/>
        <v>0</v>
      </c>
      <c r="P113">
        <f t="shared" si="23"/>
        <v>0</v>
      </c>
    </row>
    <row r="114" spans="1:16" x14ac:dyDescent="0.25">
      <c r="A114" t="s">
        <v>178</v>
      </c>
      <c r="B114" t="s">
        <v>179</v>
      </c>
      <c r="C114" s="1">
        <v>32545</v>
      </c>
      <c r="D114" t="s">
        <v>40</v>
      </c>
      <c r="E114">
        <f t="shared" si="12"/>
        <v>0</v>
      </c>
      <c r="F114">
        <f t="shared" si="13"/>
        <v>1</v>
      </c>
      <c r="G114">
        <f t="shared" si="14"/>
        <v>0</v>
      </c>
      <c r="H114">
        <f t="shared" si="15"/>
        <v>0</v>
      </c>
      <c r="I114">
        <f t="shared" si="16"/>
        <v>0</v>
      </c>
      <c r="J114">
        <f t="shared" si="17"/>
        <v>0</v>
      </c>
      <c r="K114">
        <f t="shared" si="18"/>
        <v>0</v>
      </c>
      <c r="L114">
        <f t="shared" si="19"/>
        <v>0</v>
      </c>
      <c r="M114">
        <f t="shared" si="20"/>
        <v>0</v>
      </c>
      <c r="N114">
        <f t="shared" si="21"/>
        <v>0</v>
      </c>
      <c r="O114">
        <f t="shared" si="22"/>
        <v>0</v>
      </c>
      <c r="P114">
        <f t="shared" si="23"/>
        <v>0</v>
      </c>
    </row>
    <row r="115" spans="1:16" x14ac:dyDescent="0.25">
      <c r="A115" t="s">
        <v>180</v>
      </c>
      <c r="B115" t="s">
        <v>94</v>
      </c>
      <c r="C115" s="1">
        <v>29361</v>
      </c>
      <c r="D115" t="s">
        <v>12</v>
      </c>
      <c r="E115">
        <f t="shared" si="12"/>
        <v>0</v>
      </c>
      <c r="F115">
        <f t="shared" si="13"/>
        <v>0</v>
      </c>
      <c r="G115">
        <f t="shared" si="14"/>
        <v>0</v>
      </c>
      <c r="H115">
        <f t="shared" si="15"/>
        <v>0</v>
      </c>
      <c r="I115">
        <f t="shared" si="16"/>
        <v>1</v>
      </c>
      <c r="J115">
        <f t="shared" si="17"/>
        <v>0</v>
      </c>
      <c r="K115">
        <f t="shared" si="18"/>
        <v>0</v>
      </c>
      <c r="L115">
        <f t="shared" si="19"/>
        <v>0</v>
      </c>
      <c r="M115">
        <f t="shared" si="20"/>
        <v>0</v>
      </c>
      <c r="N115">
        <f t="shared" si="21"/>
        <v>0</v>
      </c>
      <c r="O115">
        <f t="shared" si="22"/>
        <v>0</v>
      </c>
      <c r="P115">
        <f t="shared" si="23"/>
        <v>0</v>
      </c>
    </row>
    <row r="116" spans="1:16" x14ac:dyDescent="0.25">
      <c r="A116" t="s">
        <v>181</v>
      </c>
      <c r="B116" t="s">
        <v>49</v>
      </c>
      <c r="C116" s="1">
        <v>17772</v>
      </c>
      <c r="D116" t="s">
        <v>40</v>
      </c>
      <c r="E116">
        <f t="shared" si="12"/>
        <v>0</v>
      </c>
      <c r="F116">
        <f t="shared" si="13"/>
        <v>0</v>
      </c>
      <c r="G116">
        <f t="shared" si="14"/>
        <v>0</v>
      </c>
      <c r="H116">
        <f t="shared" si="15"/>
        <v>0</v>
      </c>
      <c r="I116">
        <f t="shared" si="16"/>
        <v>0</v>
      </c>
      <c r="J116">
        <f t="shared" si="17"/>
        <v>0</v>
      </c>
      <c r="K116">
        <f t="shared" si="18"/>
        <v>0</v>
      </c>
      <c r="L116">
        <f t="shared" si="19"/>
        <v>1</v>
      </c>
      <c r="M116">
        <f t="shared" si="20"/>
        <v>0</v>
      </c>
      <c r="N116">
        <f t="shared" si="21"/>
        <v>0</v>
      </c>
      <c r="O116">
        <f t="shared" si="22"/>
        <v>0</v>
      </c>
      <c r="P116">
        <f t="shared" si="23"/>
        <v>0</v>
      </c>
    </row>
    <row r="117" spans="1:16" x14ac:dyDescent="0.25">
      <c r="A117" t="s">
        <v>182</v>
      </c>
      <c r="B117" t="s">
        <v>183</v>
      </c>
      <c r="C117" s="1">
        <v>28580</v>
      </c>
      <c r="D117" t="s">
        <v>6</v>
      </c>
      <c r="E117">
        <f t="shared" si="12"/>
        <v>0</v>
      </c>
      <c r="F117">
        <f t="shared" si="13"/>
        <v>0</v>
      </c>
      <c r="G117">
        <f t="shared" si="14"/>
        <v>1</v>
      </c>
      <c r="H117">
        <f t="shared" si="15"/>
        <v>0</v>
      </c>
      <c r="I117">
        <f t="shared" si="16"/>
        <v>0</v>
      </c>
      <c r="J117">
        <f t="shared" si="17"/>
        <v>0</v>
      </c>
      <c r="K117">
        <f t="shared" si="18"/>
        <v>0</v>
      </c>
      <c r="L117">
        <f t="shared" si="19"/>
        <v>0</v>
      </c>
      <c r="M117">
        <f t="shared" si="20"/>
        <v>0</v>
      </c>
      <c r="N117">
        <f t="shared" si="21"/>
        <v>0</v>
      </c>
      <c r="O117">
        <f t="shared" si="22"/>
        <v>0</v>
      </c>
      <c r="P117">
        <f t="shared" si="23"/>
        <v>0</v>
      </c>
    </row>
    <row r="118" spans="1:16" x14ac:dyDescent="0.25">
      <c r="A118" t="s">
        <v>184</v>
      </c>
      <c r="B118" t="s">
        <v>185</v>
      </c>
      <c r="C118" s="1">
        <v>21154</v>
      </c>
      <c r="D118" t="s">
        <v>40</v>
      </c>
      <c r="E118">
        <f t="shared" si="12"/>
        <v>0</v>
      </c>
      <c r="F118">
        <f t="shared" si="13"/>
        <v>0</v>
      </c>
      <c r="G118">
        <f t="shared" si="14"/>
        <v>0</v>
      </c>
      <c r="H118">
        <f t="shared" si="15"/>
        <v>0</v>
      </c>
      <c r="I118">
        <f t="shared" si="16"/>
        <v>0</v>
      </c>
      <c r="J118">
        <f t="shared" si="17"/>
        <v>0</v>
      </c>
      <c r="K118">
        <f t="shared" si="18"/>
        <v>0</v>
      </c>
      <c r="L118">
        <f t="shared" si="19"/>
        <v>0</v>
      </c>
      <c r="M118">
        <f t="shared" si="20"/>
        <v>0</v>
      </c>
      <c r="N118">
        <f t="shared" si="21"/>
        <v>0</v>
      </c>
      <c r="O118">
        <f t="shared" si="22"/>
        <v>1</v>
      </c>
      <c r="P118">
        <f t="shared" si="23"/>
        <v>0</v>
      </c>
    </row>
    <row r="119" spans="1:16" x14ac:dyDescent="0.25">
      <c r="A119" t="s">
        <v>186</v>
      </c>
      <c r="B119" t="s">
        <v>54</v>
      </c>
      <c r="C119" s="1">
        <v>18183</v>
      </c>
      <c r="D119" t="s">
        <v>12</v>
      </c>
      <c r="E119">
        <f t="shared" si="12"/>
        <v>0</v>
      </c>
      <c r="F119">
        <f t="shared" si="13"/>
        <v>0</v>
      </c>
      <c r="G119">
        <f t="shared" si="14"/>
        <v>0</v>
      </c>
      <c r="H119">
        <f t="shared" si="15"/>
        <v>0</v>
      </c>
      <c r="I119">
        <f t="shared" si="16"/>
        <v>0</v>
      </c>
      <c r="J119">
        <f t="shared" si="17"/>
        <v>0</v>
      </c>
      <c r="K119">
        <f t="shared" si="18"/>
        <v>0</v>
      </c>
      <c r="L119">
        <f t="shared" si="19"/>
        <v>0</v>
      </c>
      <c r="M119">
        <f t="shared" si="20"/>
        <v>0</v>
      </c>
      <c r="N119">
        <f t="shared" si="21"/>
        <v>1</v>
      </c>
      <c r="O119">
        <f t="shared" si="22"/>
        <v>0</v>
      </c>
      <c r="P119">
        <f t="shared" si="23"/>
        <v>0</v>
      </c>
    </row>
    <row r="120" spans="1:16" x14ac:dyDescent="0.25">
      <c r="A120" t="s">
        <v>187</v>
      </c>
      <c r="B120" t="s">
        <v>188</v>
      </c>
      <c r="C120" s="1">
        <v>20630</v>
      </c>
      <c r="D120" t="s">
        <v>6</v>
      </c>
      <c r="E120">
        <f t="shared" si="12"/>
        <v>0</v>
      </c>
      <c r="F120">
        <f t="shared" si="13"/>
        <v>0</v>
      </c>
      <c r="G120">
        <f t="shared" si="14"/>
        <v>0</v>
      </c>
      <c r="H120">
        <f t="shared" si="15"/>
        <v>0</v>
      </c>
      <c r="I120">
        <f t="shared" si="16"/>
        <v>0</v>
      </c>
      <c r="J120">
        <f t="shared" si="17"/>
        <v>1</v>
      </c>
      <c r="K120">
        <f t="shared" si="18"/>
        <v>0</v>
      </c>
      <c r="L120">
        <f t="shared" si="19"/>
        <v>0</v>
      </c>
      <c r="M120">
        <f t="shared" si="20"/>
        <v>0</v>
      </c>
      <c r="N120">
        <f t="shared" si="21"/>
        <v>0</v>
      </c>
      <c r="O120">
        <f t="shared" si="22"/>
        <v>0</v>
      </c>
      <c r="P120">
        <f t="shared" si="23"/>
        <v>0</v>
      </c>
    </row>
    <row r="121" spans="1:16" x14ac:dyDescent="0.25">
      <c r="A121" t="s">
        <v>189</v>
      </c>
      <c r="B121" t="s">
        <v>49</v>
      </c>
      <c r="C121" s="1">
        <v>34364</v>
      </c>
      <c r="D121" t="s">
        <v>12</v>
      </c>
      <c r="E121">
        <f t="shared" si="12"/>
        <v>1</v>
      </c>
      <c r="F121">
        <f t="shared" si="13"/>
        <v>0</v>
      </c>
      <c r="G121">
        <f t="shared" si="14"/>
        <v>0</v>
      </c>
      <c r="H121">
        <f t="shared" si="15"/>
        <v>0</v>
      </c>
      <c r="I121">
        <f t="shared" si="16"/>
        <v>0</v>
      </c>
      <c r="J121">
        <f t="shared" si="17"/>
        <v>0</v>
      </c>
      <c r="K121">
        <f t="shared" si="18"/>
        <v>0</v>
      </c>
      <c r="L121">
        <f t="shared" si="19"/>
        <v>0</v>
      </c>
      <c r="M121">
        <f t="shared" si="20"/>
        <v>0</v>
      </c>
      <c r="N121">
        <f t="shared" si="21"/>
        <v>0</v>
      </c>
      <c r="O121">
        <f t="shared" si="22"/>
        <v>0</v>
      </c>
      <c r="P121">
        <f t="shared" si="23"/>
        <v>0</v>
      </c>
    </row>
    <row r="122" spans="1:16" x14ac:dyDescent="0.25">
      <c r="A122" t="s">
        <v>190</v>
      </c>
      <c r="B122" t="s">
        <v>20</v>
      </c>
      <c r="C122" s="1">
        <v>25582</v>
      </c>
      <c r="D122" t="s">
        <v>6</v>
      </c>
      <c r="E122">
        <f t="shared" si="12"/>
        <v>1</v>
      </c>
      <c r="F122">
        <f t="shared" si="13"/>
        <v>0</v>
      </c>
      <c r="G122">
        <f t="shared" si="14"/>
        <v>0</v>
      </c>
      <c r="H122">
        <f t="shared" si="15"/>
        <v>0</v>
      </c>
      <c r="I122">
        <f t="shared" si="16"/>
        <v>0</v>
      </c>
      <c r="J122">
        <f t="shared" si="17"/>
        <v>0</v>
      </c>
      <c r="K122">
        <f t="shared" si="18"/>
        <v>0</v>
      </c>
      <c r="L122">
        <f t="shared" si="19"/>
        <v>0</v>
      </c>
      <c r="M122">
        <f t="shared" si="20"/>
        <v>0</v>
      </c>
      <c r="N122">
        <f t="shared" si="21"/>
        <v>0</v>
      </c>
      <c r="O122">
        <f t="shared" si="22"/>
        <v>0</v>
      </c>
      <c r="P122">
        <f t="shared" si="23"/>
        <v>0</v>
      </c>
    </row>
    <row r="123" spans="1:16" x14ac:dyDescent="0.25">
      <c r="A123" t="s">
        <v>191</v>
      </c>
      <c r="B123" t="s">
        <v>192</v>
      </c>
      <c r="C123" s="1">
        <v>29350</v>
      </c>
      <c r="D123" t="s">
        <v>12</v>
      </c>
      <c r="E123">
        <f t="shared" si="12"/>
        <v>0</v>
      </c>
      <c r="F123">
        <f t="shared" si="13"/>
        <v>0</v>
      </c>
      <c r="G123">
        <f t="shared" si="14"/>
        <v>0</v>
      </c>
      <c r="H123">
        <f t="shared" si="15"/>
        <v>0</v>
      </c>
      <c r="I123">
        <f t="shared" si="16"/>
        <v>1</v>
      </c>
      <c r="J123">
        <f t="shared" si="17"/>
        <v>0</v>
      </c>
      <c r="K123">
        <f t="shared" si="18"/>
        <v>0</v>
      </c>
      <c r="L123">
        <f t="shared" si="19"/>
        <v>0</v>
      </c>
      <c r="M123">
        <f t="shared" si="20"/>
        <v>0</v>
      </c>
      <c r="N123">
        <f t="shared" si="21"/>
        <v>0</v>
      </c>
      <c r="O123">
        <f t="shared" si="22"/>
        <v>0</v>
      </c>
      <c r="P123">
        <f t="shared" si="23"/>
        <v>0</v>
      </c>
    </row>
    <row r="124" spans="1:16" x14ac:dyDescent="0.25">
      <c r="A124" t="s">
        <v>193</v>
      </c>
      <c r="B124" t="s">
        <v>194</v>
      </c>
      <c r="C124" s="1">
        <v>21704</v>
      </c>
      <c r="D124" t="s">
        <v>6</v>
      </c>
      <c r="E124">
        <f t="shared" si="12"/>
        <v>0</v>
      </c>
      <c r="F124">
        <f t="shared" si="13"/>
        <v>0</v>
      </c>
      <c r="G124">
        <f t="shared" si="14"/>
        <v>0</v>
      </c>
      <c r="H124">
        <f t="shared" si="15"/>
        <v>0</v>
      </c>
      <c r="I124">
        <f t="shared" si="16"/>
        <v>0</v>
      </c>
      <c r="J124">
        <f t="shared" si="17"/>
        <v>1</v>
      </c>
      <c r="K124">
        <f t="shared" si="18"/>
        <v>0</v>
      </c>
      <c r="L124">
        <f t="shared" si="19"/>
        <v>0</v>
      </c>
      <c r="M124">
        <f t="shared" si="20"/>
        <v>0</v>
      </c>
      <c r="N124">
        <f t="shared" si="21"/>
        <v>0</v>
      </c>
      <c r="O124">
        <f t="shared" si="22"/>
        <v>0</v>
      </c>
      <c r="P124">
        <f t="shared" si="23"/>
        <v>0</v>
      </c>
    </row>
    <row r="125" spans="1:16" x14ac:dyDescent="0.25">
      <c r="A125" t="s">
        <v>195</v>
      </c>
      <c r="B125" t="s">
        <v>192</v>
      </c>
      <c r="C125" s="1">
        <v>20436</v>
      </c>
      <c r="D125" t="s">
        <v>12</v>
      </c>
      <c r="E125">
        <f t="shared" si="12"/>
        <v>0</v>
      </c>
      <c r="F125">
        <f t="shared" si="13"/>
        <v>0</v>
      </c>
      <c r="G125">
        <f t="shared" si="14"/>
        <v>0</v>
      </c>
      <c r="H125">
        <f t="shared" si="15"/>
        <v>0</v>
      </c>
      <c r="I125">
        <f t="shared" si="16"/>
        <v>0</v>
      </c>
      <c r="J125">
        <f t="shared" si="17"/>
        <v>0</v>
      </c>
      <c r="K125">
        <f t="shared" si="18"/>
        <v>0</v>
      </c>
      <c r="L125">
        <f t="shared" si="19"/>
        <v>0</v>
      </c>
      <c r="M125">
        <f t="shared" si="20"/>
        <v>0</v>
      </c>
      <c r="N125">
        <f t="shared" si="21"/>
        <v>0</v>
      </c>
      <c r="O125">
        <f t="shared" si="22"/>
        <v>0</v>
      </c>
      <c r="P125">
        <f t="shared" si="23"/>
        <v>1</v>
      </c>
    </row>
    <row r="126" spans="1:16" x14ac:dyDescent="0.25">
      <c r="A126" t="s">
        <v>196</v>
      </c>
      <c r="B126" t="s">
        <v>139</v>
      </c>
      <c r="C126" s="1">
        <v>24475</v>
      </c>
      <c r="D126" t="s">
        <v>12</v>
      </c>
      <c r="E126">
        <f t="shared" si="12"/>
        <v>1</v>
      </c>
      <c r="F126">
        <f t="shared" si="13"/>
        <v>0</v>
      </c>
      <c r="G126">
        <f t="shared" si="14"/>
        <v>0</v>
      </c>
      <c r="H126">
        <f t="shared" si="15"/>
        <v>0</v>
      </c>
      <c r="I126">
        <f t="shared" si="16"/>
        <v>0</v>
      </c>
      <c r="J126">
        <f t="shared" si="17"/>
        <v>0</v>
      </c>
      <c r="K126">
        <f t="shared" si="18"/>
        <v>0</v>
      </c>
      <c r="L126">
        <f t="shared" si="19"/>
        <v>0</v>
      </c>
      <c r="M126">
        <f t="shared" si="20"/>
        <v>0</v>
      </c>
      <c r="N126">
        <f t="shared" si="21"/>
        <v>0</v>
      </c>
      <c r="O126">
        <f t="shared" si="22"/>
        <v>0</v>
      </c>
      <c r="P126">
        <f t="shared" si="23"/>
        <v>0</v>
      </c>
    </row>
    <row r="127" spans="1:16" x14ac:dyDescent="0.25">
      <c r="A127" t="s">
        <v>197</v>
      </c>
      <c r="B127" t="s">
        <v>87</v>
      </c>
      <c r="C127" s="1">
        <v>26773</v>
      </c>
      <c r="D127" t="s">
        <v>6</v>
      </c>
      <c r="E127">
        <f t="shared" si="12"/>
        <v>0</v>
      </c>
      <c r="F127">
        <f t="shared" si="13"/>
        <v>0</v>
      </c>
      <c r="G127">
        <f t="shared" si="14"/>
        <v>0</v>
      </c>
      <c r="H127">
        <f t="shared" si="15"/>
        <v>1</v>
      </c>
      <c r="I127">
        <f t="shared" si="16"/>
        <v>0</v>
      </c>
      <c r="J127">
        <f t="shared" si="17"/>
        <v>0</v>
      </c>
      <c r="K127">
        <f t="shared" si="18"/>
        <v>0</v>
      </c>
      <c r="L127">
        <f t="shared" si="19"/>
        <v>0</v>
      </c>
      <c r="M127">
        <f t="shared" si="20"/>
        <v>0</v>
      </c>
      <c r="N127">
        <f t="shared" si="21"/>
        <v>0</v>
      </c>
      <c r="O127">
        <f t="shared" si="22"/>
        <v>0</v>
      </c>
      <c r="P127">
        <f t="shared" si="23"/>
        <v>0</v>
      </c>
    </row>
    <row r="128" spans="1:16" x14ac:dyDescent="0.25">
      <c r="A128" t="s">
        <v>198</v>
      </c>
      <c r="B128" t="s">
        <v>199</v>
      </c>
      <c r="C128" s="1">
        <v>17668</v>
      </c>
      <c r="D128" t="s">
        <v>12</v>
      </c>
      <c r="E128">
        <f t="shared" si="12"/>
        <v>0</v>
      </c>
      <c r="F128">
        <f t="shared" si="13"/>
        <v>0</v>
      </c>
      <c r="G128">
        <f t="shared" si="14"/>
        <v>0</v>
      </c>
      <c r="H128">
        <f t="shared" si="15"/>
        <v>0</v>
      </c>
      <c r="I128">
        <f t="shared" si="16"/>
        <v>1</v>
      </c>
      <c r="J128">
        <f t="shared" si="17"/>
        <v>0</v>
      </c>
      <c r="K128">
        <f t="shared" si="18"/>
        <v>0</v>
      </c>
      <c r="L128">
        <f t="shared" si="19"/>
        <v>0</v>
      </c>
      <c r="M128">
        <f t="shared" si="20"/>
        <v>0</v>
      </c>
      <c r="N128">
        <f t="shared" si="21"/>
        <v>0</v>
      </c>
      <c r="O128">
        <f t="shared" si="22"/>
        <v>0</v>
      </c>
      <c r="P128">
        <f t="shared" si="23"/>
        <v>0</v>
      </c>
    </row>
    <row r="129" spans="1:16" x14ac:dyDescent="0.25">
      <c r="A129" t="s">
        <v>200</v>
      </c>
      <c r="B129" t="s">
        <v>201</v>
      </c>
      <c r="C129" s="1">
        <v>17382</v>
      </c>
      <c r="D129" t="s">
        <v>12</v>
      </c>
      <c r="E129">
        <f t="shared" si="12"/>
        <v>0</v>
      </c>
      <c r="F129">
        <f t="shared" si="13"/>
        <v>0</v>
      </c>
      <c r="G129">
        <f t="shared" si="14"/>
        <v>0</v>
      </c>
      <c r="H129">
        <f t="shared" si="15"/>
        <v>0</v>
      </c>
      <c r="I129">
        <f t="shared" si="16"/>
        <v>0</v>
      </c>
      <c r="J129">
        <f t="shared" si="17"/>
        <v>0</v>
      </c>
      <c r="K129">
        <f t="shared" si="18"/>
        <v>0</v>
      </c>
      <c r="L129">
        <f t="shared" si="19"/>
        <v>1</v>
      </c>
      <c r="M129">
        <f t="shared" si="20"/>
        <v>0</v>
      </c>
      <c r="N129">
        <f t="shared" si="21"/>
        <v>0</v>
      </c>
      <c r="O129">
        <f t="shared" si="22"/>
        <v>0</v>
      </c>
      <c r="P129">
        <f t="shared" si="23"/>
        <v>0</v>
      </c>
    </row>
    <row r="130" spans="1:16" x14ac:dyDescent="0.25">
      <c r="A130" t="s">
        <v>202</v>
      </c>
      <c r="B130" t="s">
        <v>8</v>
      </c>
      <c r="C130" s="1">
        <v>16976</v>
      </c>
      <c r="D130" t="s">
        <v>6</v>
      </c>
      <c r="E130">
        <f t="shared" si="12"/>
        <v>0</v>
      </c>
      <c r="F130">
        <f t="shared" si="13"/>
        <v>0</v>
      </c>
      <c r="G130">
        <f t="shared" si="14"/>
        <v>0</v>
      </c>
      <c r="H130">
        <f t="shared" si="15"/>
        <v>0</v>
      </c>
      <c r="I130">
        <f t="shared" si="16"/>
        <v>0</v>
      </c>
      <c r="J130">
        <f t="shared" si="17"/>
        <v>1</v>
      </c>
      <c r="K130">
        <f t="shared" si="18"/>
        <v>0</v>
      </c>
      <c r="L130">
        <f t="shared" si="19"/>
        <v>0</v>
      </c>
      <c r="M130">
        <f t="shared" si="20"/>
        <v>0</v>
      </c>
      <c r="N130">
        <f t="shared" si="21"/>
        <v>0</v>
      </c>
      <c r="O130">
        <f t="shared" si="22"/>
        <v>0</v>
      </c>
      <c r="P130">
        <f t="shared" si="23"/>
        <v>0</v>
      </c>
    </row>
    <row r="131" spans="1:16" x14ac:dyDescent="0.25">
      <c r="A131" t="s">
        <v>203</v>
      </c>
      <c r="B131" t="s">
        <v>204</v>
      </c>
      <c r="C131" s="1">
        <v>33779</v>
      </c>
      <c r="D131" t="s">
        <v>40</v>
      </c>
      <c r="E131">
        <f t="shared" ref="E131:E194" si="24">IF(MONTH(C131)=1,1,0)</f>
        <v>0</v>
      </c>
      <c r="F131">
        <f t="shared" ref="F131:F194" si="25">IF(MONTH(C131)=2,1,0)</f>
        <v>0</v>
      </c>
      <c r="G131">
        <f t="shared" ref="G131:G194" si="26">IF(MONTH(C131)=3,1,0)</f>
        <v>0</v>
      </c>
      <c r="H131">
        <f t="shared" ref="H131:H194" si="27">IF(MONTH($C131)=4,1,0)</f>
        <v>0</v>
      </c>
      <c r="I131">
        <f t="shared" ref="I131:I194" si="28">IF(MONTH($C131)=5,1,0)</f>
        <v>0</v>
      </c>
      <c r="J131">
        <f t="shared" ref="J131:J194" si="29">IF(MONTH($C131)=6,1,0)</f>
        <v>1</v>
      </c>
      <c r="K131">
        <f t="shared" ref="K131:K194" si="30">IF(MONTH($C131)=7,1,0)</f>
        <v>0</v>
      </c>
      <c r="L131">
        <f t="shared" ref="L131:L194" si="31">IF(MONTH($C131)=8,1,0)</f>
        <v>0</v>
      </c>
      <c r="M131">
        <f t="shared" ref="M131:M194" si="32">IF(MONTH($C131)=9,1,0)</f>
        <v>0</v>
      </c>
      <c r="N131">
        <f t="shared" ref="N131:N194" si="33">IF(MONTH($C131)=10,1,0)</f>
        <v>0</v>
      </c>
      <c r="O131">
        <f t="shared" ref="O131:O194" si="34">IF(MONTH($C131)=11,1,0)</f>
        <v>0</v>
      </c>
      <c r="P131">
        <f t="shared" ref="P131:P194" si="35">IF(MONTH($C131)=12,1,0)</f>
        <v>0</v>
      </c>
    </row>
    <row r="132" spans="1:16" x14ac:dyDescent="0.25">
      <c r="A132" t="s">
        <v>75</v>
      </c>
      <c r="B132" t="s">
        <v>37</v>
      </c>
      <c r="C132" s="1">
        <v>33885</v>
      </c>
      <c r="D132" t="s">
        <v>6</v>
      </c>
      <c r="E132">
        <f t="shared" si="24"/>
        <v>0</v>
      </c>
      <c r="F132">
        <f t="shared" si="25"/>
        <v>0</v>
      </c>
      <c r="G132">
        <f t="shared" si="26"/>
        <v>0</v>
      </c>
      <c r="H132">
        <f t="shared" si="27"/>
        <v>0</v>
      </c>
      <c r="I132">
        <f t="shared" si="28"/>
        <v>0</v>
      </c>
      <c r="J132">
        <f t="shared" si="29"/>
        <v>0</v>
      </c>
      <c r="K132">
        <f t="shared" si="30"/>
        <v>0</v>
      </c>
      <c r="L132">
        <f t="shared" si="31"/>
        <v>0</v>
      </c>
      <c r="M132">
        <f t="shared" si="32"/>
        <v>0</v>
      </c>
      <c r="N132">
        <f t="shared" si="33"/>
        <v>1</v>
      </c>
      <c r="O132">
        <f t="shared" si="34"/>
        <v>0</v>
      </c>
      <c r="P132">
        <f t="shared" si="35"/>
        <v>0</v>
      </c>
    </row>
    <row r="133" spans="1:16" x14ac:dyDescent="0.25">
      <c r="A133" t="s">
        <v>205</v>
      </c>
      <c r="B133" t="s">
        <v>25</v>
      </c>
      <c r="C133" s="1">
        <v>30498</v>
      </c>
      <c r="D133" t="s">
        <v>9</v>
      </c>
      <c r="E133">
        <f t="shared" si="24"/>
        <v>0</v>
      </c>
      <c r="F133">
        <f t="shared" si="25"/>
        <v>0</v>
      </c>
      <c r="G133">
        <f t="shared" si="26"/>
        <v>0</v>
      </c>
      <c r="H133">
        <f t="shared" si="27"/>
        <v>0</v>
      </c>
      <c r="I133">
        <f t="shared" si="28"/>
        <v>0</v>
      </c>
      <c r="J133">
        <f t="shared" si="29"/>
        <v>0</v>
      </c>
      <c r="K133">
        <f t="shared" si="30"/>
        <v>1</v>
      </c>
      <c r="L133">
        <f t="shared" si="31"/>
        <v>0</v>
      </c>
      <c r="M133">
        <f t="shared" si="32"/>
        <v>0</v>
      </c>
      <c r="N133">
        <f t="shared" si="33"/>
        <v>0</v>
      </c>
      <c r="O133">
        <f t="shared" si="34"/>
        <v>0</v>
      </c>
      <c r="P133">
        <f t="shared" si="35"/>
        <v>0</v>
      </c>
    </row>
    <row r="134" spans="1:16" x14ac:dyDescent="0.25">
      <c r="A134" t="s">
        <v>206</v>
      </c>
      <c r="B134" t="s">
        <v>167</v>
      </c>
      <c r="C134" s="1">
        <v>22090</v>
      </c>
      <c r="D134" t="s">
        <v>9</v>
      </c>
      <c r="E134">
        <f t="shared" si="24"/>
        <v>0</v>
      </c>
      <c r="F134">
        <f t="shared" si="25"/>
        <v>0</v>
      </c>
      <c r="G134">
        <f t="shared" si="26"/>
        <v>0</v>
      </c>
      <c r="H134">
        <f t="shared" si="27"/>
        <v>0</v>
      </c>
      <c r="I134">
        <f t="shared" si="28"/>
        <v>0</v>
      </c>
      <c r="J134">
        <f t="shared" si="29"/>
        <v>1</v>
      </c>
      <c r="K134">
        <f t="shared" si="30"/>
        <v>0</v>
      </c>
      <c r="L134">
        <f t="shared" si="31"/>
        <v>0</v>
      </c>
      <c r="M134">
        <f t="shared" si="32"/>
        <v>0</v>
      </c>
      <c r="N134">
        <f t="shared" si="33"/>
        <v>0</v>
      </c>
      <c r="O134">
        <f t="shared" si="34"/>
        <v>0</v>
      </c>
      <c r="P134">
        <f t="shared" si="35"/>
        <v>0</v>
      </c>
    </row>
    <row r="135" spans="1:16" x14ac:dyDescent="0.25">
      <c r="A135" t="s">
        <v>207</v>
      </c>
      <c r="B135" t="s">
        <v>37</v>
      </c>
      <c r="C135" s="1">
        <v>27938</v>
      </c>
      <c r="D135" t="s">
        <v>6</v>
      </c>
      <c r="E135">
        <f t="shared" si="24"/>
        <v>0</v>
      </c>
      <c r="F135">
        <f t="shared" si="25"/>
        <v>0</v>
      </c>
      <c r="G135">
        <f t="shared" si="26"/>
        <v>0</v>
      </c>
      <c r="H135">
        <f t="shared" si="27"/>
        <v>0</v>
      </c>
      <c r="I135">
        <f t="shared" si="28"/>
        <v>0</v>
      </c>
      <c r="J135">
        <f t="shared" si="29"/>
        <v>1</v>
      </c>
      <c r="K135">
        <f t="shared" si="30"/>
        <v>0</v>
      </c>
      <c r="L135">
        <f t="shared" si="31"/>
        <v>0</v>
      </c>
      <c r="M135">
        <f t="shared" si="32"/>
        <v>0</v>
      </c>
      <c r="N135">
        <f t="shared" si="33"/>
        <v>0</v>
      </c>
      <c r="O135">
        <f t="shared" si="34"/>
        <v>0</v>
      </c>
      <c r="P135">
        <f t="shared" si="35"/>
        <v>0</v>
      </c>
    </row>
    <row r="136" spans="1:16" x14ac:dyDescent="0.25">
      <c r="A136" t="s">
        <v>208</v>
      </c>
      <c r="B136" t="s">
        <v>47</v>
      </c>
      <c r="C136" s="1">
        <v>23762</v>
      </c>
      <c r="D136" t="s">
        <v>12</v>
      </c>
      <c r="E136">
        <f t="shared" si="24"/>
        <v>1</v>
      </c>
      <c r="F136">
        <f t="shared" si="25"/>
        <v>0</v>
      </c>
      <c r="G136">
        <f t="shared" si="26"/>
        <v>0</v>
      </c>
      <c r="H136">
        <f t="shared" si="27"/>
        <v>0</v>
      </c>
      <c r="I136">
        <f t="shared" si="28"/>
        <v>0</v>
      </c>
      <c r="J136">
        <f t="shared" si="29"/>
        <v>0</v>
      </c>
      <c r="K136">
        <f t="shared" si="30"/>
        <v>0</v>
      </c>
      <c r="L136">
        <f t="shared" si="31"/>
        <v>0</v>
      </c>
      <c r="M136">
        <f t="shared" si="32"/>
        <v>0</v>
      </c>
      <c r="N136">
        <f t="shared" si="33"/>
        <v>0</v>
      </c>
      <c r="O136">
        <f t="shared" si="34"/>
        <v>0</v>
      </c>
      <c r="P136">
        <f t="shared" si="35"/>
        <v>0</v>
      </c>
    </row>
    <row r="137" spans="1:16" x14ac:dyDescent="0.25">
      <c r="A137" t="s">
        <v>209</v>
      </c>
      <c r="B137" t="s">
        <v>131</v>
      </c>
      <c r="C137" s="1">
        <v>25158</v>
      </c>
      <c r="D137" t="s">
        <v>6</v>
      </c>
      <c r="E137">
        <f t="shared" si="24"/>
        <v>0</v>
      </c>
      <c r="F137">
        <f t="shared" si="25"/>
        <v>0</v>
      </c>
      <c r="G137">
        <f t="shared" si="26"/>
        <v>0</v>
      </c>
      <c r="H137">
        <f t="shared" si="27"/>
        <v>0</v>
      </c>
      <c r="I137">
        <f t="shared" si="28"/>
        <v>0</v>
      </c>
      <c r="J137">
        <f t="shared" si="29"/>
        <v>0</v>
      </c>
      <c r="K137">
        <f t="shared" si="30"/>
        <v>0</v>
      </c>
      <c r="L137">
        <f t="shared" si="31"/>
        <v>0</v>
      </c>
      <c r="M137">
        <f t="shared" si="32"/>
        <v>0</v>
      </c>
      <c r="N137">
        <f t="shared" si="33"/>
        <v>0</v>
      </c>
      <c r="O137">
        <f t="shared" si="34"/>
        <v>1</v>
      </c>
      <c r="P137">
        <f t="shared" si="35"/>
        <v>0</v>
      </c>
    </row>
    <row r="138" spans="1:16" x14ac:dyDescent="0.25">
      <c r="A138" t="s">
        <v>210</v>
      </c>
      <c r="B138" t="s">
        <v>37</v>
      </c>
      <c r="C138" s="1">
        <v>24824</v>
      </c>
      <c r="D138" t="s">
        <v>12</v>
      </c>
      <c r="E138">
        <f t="shared" si="24"/>
        <v>0</v>
      </c>
      <c r="F138">
        <f t="shared" si="25"/>
        <v>0</v>
      </c>
      <c r="G138">
        <f t="shared" si="26"/>
        <v>0</v>
      </c>
      <c r="H138">
        <f t="shared" si="27"/>
        <v>0</v>
      </c>
      <c r="I138">
        <f t="shared" si="28"/>
        <v>0</v>
      </c>
      <c r="J138">
        <f t="shared" si="29"/>
        <v>0</v>
      </c>
      <c r="K138">
        <f t="shared" si="30"/>
        <v>0</v>
      </c>
      <c r="L138">
        <f t="shared" si="31"/>
        <v>0</v>
      </c>
      <c r="M138">
        <f t="shared" si="32"/>
        <v>0</v>
      </c>
      <c r="N138">
        <f t="shared" si="33"/>
        <v>0</v>
      </c>
      <c r="O138">
        <f t="shared" si="34"/>
        <v>0</v>
      </c>
      <c r="P138">
        <f t="shared" si="35"/>
        <v>1</v>
      </c>
    </row>
    <row r="139" spans="1:16" x14ac:dyDescent="0.25">
      <c r="A139" t="s">
        <v>211</v>
      </c>
      <c r="B139" t="s">
        <v>49</v>
      </c>
      <c r="C139" s="1">
        <v>33398</v>
      </c>
      <c r="D139" t="s">
        <v>9</v>
      </c>
      <c r="E139">
        <f t="shared" si="24"/>
        <v>0</v>
      </c>
      <c r="F139">
        <f t="shared" si="25"/>
        <v>0</v>
      </c>
      <c r="G139">
        <f t="shared" si="26"/>
        <v>0</v>
      </c>
      <c r="H139">
        <f t="shared" si="27"/>
        <v>0</v>
      </c>
      <c r="I139">
        <f t="shared" si="28"/>
        <v>0</v>
      </c>
      <c r="J139">
        <f t="shared" si="29"/>
        <v>1</v>
      </c>
      <c r="K139">
        <f t="shared" si="30"/>
        <v>0</v>
      </c>
      <c r="L139">
        <f t="shared" si="31"/>
        <v>0</v>
      </c>
      <c r="M139">
        <f t="shared" si="32"/>
        <v>0</v>
      </c>
      <c r="N139">
        <f t="shared" si="33"/>
        <v>0</v>
      </c>
      <c r="O139">
        <f t="shared" si="34"/>
        <v>0</v>
      </c>
      <c r="P139">
        <f t="shared" si="35"/>
        <v>0</v>
      </c>
    </row>
    <row r="140" spans="1:16" x14ac:dyDescent="0.25">
      <c r="A140" t="s">
        <v>212</v>
      </c>
      <c r="B140" t="s">
        <v>18</v>
      </c>
      <c r="C140" s="1">
        <v>34795</v>
      </c>
      <c r="D140" t="s">
        <v>9</v>
      </c>
      <c r="E140">
        <f t="shared" si="24"/>
        <v>0</v>
      </c>
      <c r="F140">
        <f t="shared" si="25"/>
        <v>0</v>
      </c>
      <c r="G140">
        <f t="shared" si="26"/>
        <v>0</v>
      </c>
      <c r="H140">
        <f t="shared" si="27"/>
        <v>1</v>
      </c>
      <c r="I140">
        <f t="shared" si="28"/>
        <v>0</v>
      </c>
      <c r="J140">
        <f t="shared" si="29"/>
        <v>0</v>
      </c>
      <c r="K140">
        <f t="shared" si="30"/>
        <v>0</v>
      </c>
      <c r="L140">
        <f t="shared" si="31"/>
        <v>0</v>
      </c>
      <c r="M140">
        <f t="shared" si="32"/>
        <v>0</v>
      </c>
      <c r="N140">
        <f t="shared" si="33"/>
        <v>0</v>
      </c>
      <c r="O140">
        <f t="shared" si="34"/>
        <v>0</v>
      </c>
      <c r="P140">
        <f t="shared" si="35"/>
        <v>0</v>
      </c>
    </row>
    <row r="141" spans="1:16" x14ac:dyDescent="0.25">
      <c r="A141" t="s">
        <v>88</v>
      </c>
      <c r="B141" t="s">
        <v>213</v>
      </c>
      <c r="C141" s="1">
        <v>20374</v>
      </c>
      <c r="D141" t="s">
        <v>12</v>
      </c>
      <c r="E141">
        <f t="shared" si="24"/>
        <v>0</v>
      </c>
      <c r="F141">
        <f t="shared" si="25"/>
        <v>0</v>
      </c>
      <c r="G141">
        <f t="shared" si="26"/>
        <v>0</v>
      </c>
      <c r="H141">
        <f t="shared" si="27"/>
        <v>0</v>
      </c>
      <c r="I141">
        <f t="shared" si="28"/>
        <v>0</v>
      </c>
      <c r="J141">
        <f t="shared" si="29"/>
        <v>0</v>
      </c>
      <c r="K141">
        <f t="shared" si="30"/>
        <v>0</v>
      </c>
      <c r="L141">
        <f t="shared" si="31"/>
        <v>0</v>
      </c>
      <c r="M141">
        <f t="shared" si="32"/>
        <v>0</v>
      </c>
      <c r="N141">
        <f t="shared" si="33"/>
        <v>1</v>
      </c>
      <c r="O141">
        <f t="shared" si="34"/>
        <v>0</v>
      </c>
      <c r="P141">
        <f t="shared" si="35"/>
        <v>0</v>
      </c>
    </row>
    <row r="142" spans="1:16" x14ac:dyDescent="0.25">
      <c r="A142" t="s">
        <v>214</v>
      </c>
      <c r="B142" t="s">
        <v>165</v>
      </c>
      <c r="C142" s="1">
        <v>25416</v>
      </c>
      <c r="D142" t="s">
        <v>12</v>
      </c>
      <c r="E142">
        <f t="shared" si="24"/>
        <v>0</v>
      </c>
      <c r="F142">
        <f t="shared" si="25"/>
        <v>0</v>
      </c>
      <c r="G142">
        <f t="shared" si="26"/>
        <v>0</v>
      </c>
      <c r="H142">
        <f t="shared" si="27"/>
        <v>0</v>
      </c>
      <c r="I142">
        <f t="shared" si="28"/>
        <v>0</v>
      </c>
      <c r="J142">
        <f t="shared" si="29"/>
        <v>0</v>
      </c>
      <c r="K142">
        <f t="shared" si="30"/>
        <v>0</v>
      </c>
      <c r="L142">
        <f t="shared" si="31"/>
        <v>1</v>
      </c>
      <c r="M142">
        <f t="shared" si="32"/>
        <v>0</v>
      </c>
      <c r="N142">
        <f t="shared" si="33"/>
        <v>0</v>
      </c>
      <c r="O142">
        <f t="shared" si="34"/>
        <v>0</v>
      </c>
      <c r="P142">
        <f t="shared" si="35"/>
        <v>0</v>
      </c>
    </row>
    <row r="143" spans="1:16" x14ac:dyDescent="0.25">
      <c r="A143" t="s">
        <v>215</v>
      </c>
      <c r="B143" t="s">
        <v>216</v>
      </c>
      <c r="C143" s="1">
        <v>21548</v>
      </c>
      <c r="D143" t="s">
        <v>12</v>
      </c>
      <c r="E143">
        <f t="shared" si="24"/>
        <v>0</v>
      </c>
      <c r="F143">
        <f t="shared" si="25"/>
        <v>0</v>
      </c>
      <c r="G143">
        <f t="shared" si="26"/>
        <v>0</v>
      </c>
      <c r="H143">
        <f t="shared" si="27"/>
        <v>0</v>
      </c>
      <c r="I143">
        <f t="shared" si="28"/>
        <v>0</v>
      </c>
      <c r="J143">
        <f t="shared" si="29"/>
        <v>0</v>
      </c>
      <c r="K143">
        <f t="shared" si="30"/>
        <v>0</v>
      </c>
      <c r="L143">
        <f t="shared" si="31"/>
        <v>0</v>
      </c>
      <c r="M143">
        <f t="shared" si="32"/>
        <v>0</v>
      </c>
      <c r="N143">
        <f t="shared" si="33"/>
        <v>0</v>
      </c>
      <c r="O143">
        <f t="shared" si="34"/>
        <v>0</v>
      </c>
      <c r="P143">
        <f t="shared" si="35"/>
        <v>1</v>
      </c>
    </row>
    <row r="144" spans="1:16" x14ac:dyDescent="0.25">
      <c r="A144" t="s">
        <v>217</v>
      </c>
      <c r="B144" t="s">
        <v>54</v>
      </c>
      <c r="C144" s="1">
        <v>31232</v>
      </c>
      <c r="D144" t="s">
        <v>9</v>
      </c>
      <c r="E144">
        <f t="shared" si="24"/>
        <v>0</v>
      </c>
      <c r="F144">
        <f t="shared" si="25"/>
        <v>0</v>
      </c>
      <c r="G144">
        <f t="shared" si="26"/>
        <v>0</v>
      </c>
      <c r="H144">
        <f t="shared" si="27"/>
        <v>0</v>
      </c>
      <c r="I144">
        <f t="shared" si="28"/>
        <v>0</v>
      </c>
      <c r="J144">
        <f t="shared" si="29"/>
        <v>0</v>
      </c>
      <c r="K144">
        <f t="shared" si="30"/>
        <v>1</v>
      </c>
      <c r="L144">
        <f t="shared" si="31"/>
        <v>0</v>
      </c>
      <c r="M144">
        <f t="shared" si="32"/>
        <v>0</v>
      </c>
      <c r="N144">
        <f t="shared" si="33"/>
        <v>0</v>
      </c>
      <c r="O144">
        <f t="shared" si="34"/>
        <v>0</v>
      </c>
      <c r="P144">
        <f t="shared" si="35"/>
        <v>0</v>
      </c>
    </row>
    <row r="145" spans="1:16" x14ac:dyDescent="0.25">
      <c r="A145" t="s">
        <v>218</v>
      </c>
      <c r="B145" t="s">
        <v>121</v>
      </c>
      <c r="C145" s="1">
        <v>28472</v>
      </c>
      <c r="D145" t="s">
        <v>12</v>
      </c>
      <c r="E145">
        <f t="shared" si="24"/>
        <v>0</v>
      </c>
      <c r="F145">
        <f t="shared" si="25"/>
        <v>0</v>
      </c>
      <c r="G145">
        <f t="shared" si="26"/>
        <v>0</v>
      </c>
      <c r="H145">
        <f t="shared" si="27"/>
        <v>0</v>
      </c>
      <c r="I145">
        <f t="shared" si="28"/>
        <v>0</v>
      </c>
      <c r="J145">
        <f t="shared" si="29"/>
        <v>0</v>
      </c>
      <c r="K145">
        <f t="shared" si="30"/>
        <v>0</v>
      </c>
      <c r="L145">
        <f t="shared" si="31"/>
        <v>0</v>
      </c>
      <c r="M145">
        <f t="shared" si="32"/>
        <v>0</v>
      </c>
      <c r="N145">
        <f t="shared" si="33"/>
        <v>0</v>
      </c>
      <c r="O145">
        <f t="shared" si="34"/>
        <v>0</v>
      </c>
      <c r="P145">
        <f t="shared" si="35"/>
        <v>1</v>
      </c>
    </row>
    <row r="146" spans="1:16" x14ac:dyDescent="0.25">
      <c r="A146" t="s">
        <v>219</v>
      </c>
      <c r="B146" t="s">
        <v>29</v>
      </c>
      <c r="C146" s="1">
        <v>34287</v>
      </c>
      <c r="D146" t="s">
        <v>12</v>
      </c>
      <c r="E146">
        <f t="shared" si="24"/>
        <v>0</v>
      </c>
      <c r="F146">
        <f t="shared" si="25"/>
        <v>0</v>
      </c>
      <c r="G146">
        <f t="shared" si="26"/>
        <v>0</v>
      </c>
      <c r="H146">
        <f t="shared" si="27"/>
        <v>0</v>
      </c>
      <c r="I146">
        <f t="shared" si="28"/>
        <v>0</v>
      </c>
      <c r="J146">
        <f t="shared" si="29"/>
        <v>0</v>
      </c>
      <c r="K146">
        <f t="shared" si="30"/>
        <v>0</v>
      </c>
      <c r="L146">
        <f t="shared" si="31"/>
        <v>0</v>
      </c>
      <c r="M146">
        <f t="shared" si="32"/>
        <v>0</v>
      </c>
      <c r="N146">
        <f t="shared" si="33"/>
        <v>0</v>
      </c>
      <c r="O146">
        <f t="shared" si="34"/>
        <v>1</v>
      </c>
      <c r="P146">
        <f t="shared" si="35"/>
        <v>0</v>
      </c>
    </row>
    <row r="147" spans="1:16" x14ac:dyDescent="0.25">
      <c r="A147" t="s">
        <v>220</v>
      </c>
      <c r="B147" t="s">
        <v>92</v>
      </c>
      <c r="C147" s="1">
        <v>24972</v>
      </c>
      <c r="D147" t="s">
        <v>6</v>
      </c>
      <c r="E147">
        <f t="shared" si="24"/>
        <v>0</v>
      </c>
      <c r="F147">
        <f t="shared" si="25"/>
        <v>0</v>
      </c>
      <c r="G147">
        <f t="shared" si="26"/>
        <v>0</v>
      </c>
      <c r="H147">
        <f t="shared" si="27"/>
        <v>0</v>
      </c>
      <c r="I147">
        <f t="shared" si="28"/>
        <v>1</v>
      </c>
      <c r="J147">
        <f t="shared" si="29"/>
        <v>0</v>
      </c>
      <c r="K147">
        <f t="shared" si="30"/>
        <v>0</v>
      </c>
      <c r="L147">
        <f t="shared" si="31"/>
        <v>0</v>
      </c>
      <c r="M147">
        <f t="shared" si="32"/>
        <v>0</v>
      </c>
      <c r="N147">
        <f t="shared" si="33"/>
        <v>0</v>
      </c>
      <c r="O147">
        <f t="shared" si="34"/>
        <v>0</v>
      </c>
      <c r="P147">
        <f t="shared" si="35"/>
        <v>0</v>
      </c>
    </row>
    <row r="148" spans="1:16" x14ac:dyDescent="0.25">
      <c r="A148" t="s">
        <v>221</v>
      </c>
      <c r="B148" t="s">
        <v>154</v>
      </c>
      <c r="C148" s="1">
        <v>18787</v>
      </c>
      <c r="D148" t="s">
        <v>9</v>
      </c>
      <c r="E148">
        <f t="shared" si="24"/>
        <v>0</v>
      </c>
      <c r="F148">
        <f t="shared" si="25"/>
        <v>0</v>
      </c>
      <c r="G148">
        <f t="shared" si="26"/>
        <v>0</v>
      </c>
      <c r="H148">
        <f t="shared" si="27"/>
        <v>0</v>
      </c>
      <c r="I148">
        <f t="shared" si="28"/>
        <v>0</v>
      </c>
      <c r="J148">
        <f t="shared" si="29"/>
        <v>1</v>
      </c>
      <c r="K148">
        <f t="shared" si="30"/>
        <v>0</v>
      </c>
      <c r="L148">
        <f t="shared" si="31"/>
        <v>0</v>
      </c>
      <c r="M148">
        <f t="shared" si="32"/>
        <v>0</v>
      </c>
      <c r="N148">
        <f t="shared" si="33"/>
        <v>0</v>
      </c>
      <c r="O148">
        <f t="shared" si="34"/>
        <v>0</v>
      </c>
      <c r="P148">
        <f t="shared" si="35"/>
        <v>0</v>
      </c>
    </row>
    <row r="149" spans="1:16" x14ac:dyDescent="0.25">
      <c r="A149" t="s">
        <v>222</v>
      </c>
      <c r="B149" t="s">
        <v>49</v>
      </c>
      <c r="C149" s="1">
        <v>27611</v>
      </c>
      <c r="D149" t="s">
        <v>9</v>
      </c>
      <c r="E149">
        <f t="shared" si="24"/>
        <v>0</v>
      </c>
      <c r="F149">
        <f t="shared" si="25"/>
        <v>0</v>
      </c>
      <c r="G149">
        <f t="shared" si="26"/>
        <v>0</v>
      </c>
      <c r="H149">
        <f t="shared" si="27"/>
        <v>0</v>
      </c>
      <c r="I149">
        <f t="shared" si="28"/>
        <v>0</v>
      </c>
      <c r="J149">
        <f t="shared" si="29"/>
        <v>0</v>
      </c>
      <c r="K149">
        <f t="shared" si="30"/>
        <v>0</v>
      </c>
      <c r="L149">
        <f t="shared" si="31"/>
        <v>1</v>
      </c>
      <c r="M149">
        <f t="shared" si="32"/>
        <v>0</v>
      </c>
      <c r="N149">
        <f t="shared" si="33"/>
        <v>0</v>
      </c>
      <c r="O149">
        <f t="shared" si="34"/>
        <v>0</v>
      </c>
      <c r="P149">
        <f t="shared" si="35"/>
        <v>0</v>
      </c>
    </row>
    <row r="150" spans="1:16" x14ac:dyDescent="0.25">
      <c r="A150" t="s">
        <v>223</v>
      </c>
      <c r="B150" t="s">
        <v>224</v>
      </c>
      <c r="C150" s="1">
        <v>26071</v>
      </c>
      <c r="D150" t="s">
        <v>12</v>
      </c>
      <c r="E150">
        <f t="shared" si="24"/>
        <v>0</v>
      </c>
      <c r="F150">
        <f t="shared" si="25"/>
        <v>0</v>
      </c>
      <c r="G150">
        <f t="shared" si="26"/>
        <v>0</v>
      </c>
      <c r="H150">
        <f t="shared" si="27"/>
        <v>0</v>
      </c>
      <c r="I150">
        <f t="shared" si="28"/>
        <v>1</v>
      </c>
      <c r="J150">
        <f t="shared" si="29"/>
        <v>0</v>
      </c>
      <c r="K150">
        <f t="shared" si="30"/>
        <v>0</v>
      </c>
      <c r="L150">
        <f t="shared" si="31"/>
        <v>0</v>
      </c>
      <c r="M150">
        <f t="shared" si="32"/>
        <v>0</v>
      </c>
      <c r="N150">
        <f t="shared" si="33"/>
        <v>0</v>
      </c>
      <c r="O150">
        <f t="shared" si="34"/>
        <v>0</v>
      </c>
      <c r="P150">
        <f t="shared" si="35"/>
        <v>0</v>
      </c>
    </row>
    <row r="151" spans="1:16" x14ac:dyDescent="0.25">
      <c r="A151" t="s">
        <v>225</v>
      </c>
      <c r="B151" t="s">
        <v>20</v>
      </c>
      <c r="C151" s="1">
        <v>18285</v>
      </c>
      <c r="D151" t="s">
        <v>6</v>
      </c>
      <c r="E151">
        <f t="shared" si="24"/>
        <v>1</v>
      </c>
      <c r="F151">
        <f t="shared" si="25"/>
        <v>0</v>
      </c>
      <c r="G151">
        <f t="shared" si="26"/>
        <v>0</v>
      </c>
      <c r="H151">
        <f t="shared" si="27"/>
        <v>0</v>
      </c>
      <c r="I151">
        <f t="shared" si="28"/>
        <v>0</v>
      </c>
      <c r="J151">
        <f t="shared" si="29"/>
        <v>0</v>
      </c>
      <c r="K151">
        <f t="shared" si="30"/>
        <v>0</v>
      </c>
      <c r="L151">
        <f t="shared" si="31"/>
        <v>0</v>
      </c>
      <c r="M151">
        <f t="shared" si="32"/>
        <v>0</v>
      </c>
      <c r="N151">
        <f t="shared" si="33"/>
        <v>0</v>
      </c>
      <c r="O151">
        <f t="shared" si="34"/>
        <v>0</v>
      </c>
      <c r="P151">
        <f t="shared" si="35"/>
        <v>0</v>
      </c>
    </row>
    <row r="152" spans="1:16" x14ac:dyDescent="0.25">
      <c r="A152" t="s">
        <v>226</v>
      </c>
      <c r="B152" t="s">
        <v>8</v>
      </c>
      <c r="C152" s="1">
        <v>33696</v>
      </c>
      <c r="D152" t="s">
        <v>12</v>
      </c>
      <c r="E152">
        <f t="shared" si="24"/>
        <v>0</v>
      </c>
      <c r="F152">
        <f t="shared" si="25"/>
        <v>0</v>
      </c>
      <c r="G152">
        <f t="shared" si="26"/>
        <v>0</v>
      </c>
      <c r="H152">
        <f t="shared" si="27"/>
        <v>1</v>
      </c>
      <c r="I152">
        <f t="shared" si="28"/>
        <v>0</v>
      </c>
      <c r="J152">
        <f t="shared" si="29"/>
        <v>0</v>
      </c>
      <c r="K152">
        <f t="shared" si="30"/>
        <v>0</v>
      </c>
      <c r="L152">
        <f t="shared" si="31"/>
        <v>0</v>
      </c>
      <c r="M152">
        <f t="shared" si="32"/>
        <v>0</v>
      </c>
      <c r="N152">
        <f t="shared" si="33"/>
        <v>0</v>
      </c>
      <c r="O152">
        <f t="shared" si="34"/>
        <v>0</v>
      </c>
      <c r="P152">
        <f t="shared" si="35"/>
        <v>0</v>
      </c>
    </row>
    <row r="153" spans="1:16" x14ac:dyDescent="0.25">
      <c r="A153" t="s">
        <v>227</v>
      </c>
      <c r="B153" t="s">
        <v>81</v>
      </c>
      <c r="C153" s="1">
        <v>25404</v>
      </c>
      <c r="D153" t="s">
        <v>12</v>
      </c>
      <c r="E153">
        <f t="shared" si="24"/>
        <v>0</v>
      </c>
      <c r="F153">
        <f t="shared" si="25"/>
        <v>0</v>
      </c>
      <c r="G153">
        <f t="shared" si="26"/>
        <v>0</v>
      </c>
      <c r="H153">
        <f t="shared" si="27"/>
        <v>0</v>
      </c>
      <c r="I153">
        <f t="shared" si="28"/>
        <v>0</v>
      </c>
      <c r="J153">
        <f t="shared" si="29"/>
        <v>0</v>
      </c>
      <c r="K153">
        <f t="shared" si="30"/>
        <v>1</v>
      </c>
      <c r="L153">
        <f t="shared" si="31"/>
        <v>0</v>
      </c>
      <c r="M153">
        <f t="shared" si="32"/>
        <v>0</v>
      </c>
      <c r="N153">
        <f t="shared" si="33"/>
        <v>0</v>
      </c>
      <c r="O153">
        <f t="shared" si="34"/>
        <v>0</v>
      </c>
      <c r="P153">
        <f t="shared" si="35"/>
        <v>0</v>
      </c>
    </row>
    <row r="154" spans="1:16" x14ac:dyDescent="0.25">
      <c r="A154" t="s">
        <v>26</v>
      </c>
      <c r="B154" t="s">
        <v>114</v>
      </c>
      <c r="C154" s="1">
        <v>21769</v>
      </c>
      <c r="D154" t="s">
        <v>6</v>
      </c>
      <c r="E154">
        <f t="shared" si="24"/>
        <v>0</v>
      </c>
      <c r="F154">
        <f t="shared" si="25"/>
        <v>0</v>
      </c>
      <c r="G154">
        <f t="shared" si="26"/>
        <v>0</v>
      </c>
      <c r="H154">
        <f t="shared" si="27"/>
        <v>0</v>
      </c>
      <c r="I154">
        <f t="shared" si="28"/>
        <v>0</v>
      </c>
      <c r="J154">
        <f t="shared" si="29"/>
        <v>0</v>
      </c>
      <c r="K154">
        <f t="shared" si="30"/>
        <v>0</v>
      </c>
      <c r="L154">
        <f t="shared" si="31"/>
        <v>1</v>
      </c>
      <c r="M154">
        <f t="shared" si="32"/>
        <v>0</v>
      </c>
      <c r="N154">
        <f t="shared" si="33"/>
        <v>0</v>
      </c>
      <c r="O154">
        <f t="shared" si="34"/>
        <v>0</v>
      </c>
      <c r="P154">
        <f t="shared" si="35"/>
        <v>0</v>
      </c>
    </row>
    <row r="155" spans="1:16" x14ac:dyDescent="0.25">
      <c r="A155" t="s">
        <v>228</v>
      </c>
      <c r="B155" t="s">
        <v>49</v>
      </c>
      <c r="C155" s="1">
        <v>26490</v>
      </c>
      <c r="D155" t="s">
        <v>6</v>
      </c>
      <c r="E155">
        <f t="shared" si="24"/>
        <v>0</v>
      </c>
      <c r="F155">
        <f t="shared" si="25"/>
        <v>0</v>
      </c>
      <c r="G155">
        <f t="shared" si="26"/>
        <v>0</v>
      </c>
      <c r="H155">
        <f t="shared" si="27"/>
        <v>0</v>
      </c>
      <c r="I155">
        <f t="shared" si="28"/>
        <v>0</v>
      </c>
      <c r="J155">
        <f t="shared" si="29"/>
        <v>0</v>
      </c>
      <c r="K155">
        <f t="shared" si="30"/>
        <v>1</v>
      </c>
      <c r="L155">
        <f t="shared" si="31"/>
        <v>0</v>
      </c>
      <c r="M155">
        <f t="shared" si="32"/>
        <v>0</v>
      </c>
      <c r="N155">
        <f t="shared" si="33"/>
        <v>0</v>
      </c>
      <c r="O155">
        <f t="shared" si="34"/>
        <v>0</v>
      </c>
      <c r="P155">
        <f t="shared" si="35"/>
        <v>0</v>
      </c>
    </row>
    <row r="156" spans="1:16" x14ac:dyDescent="0.25">
      <c r="A156" t="s">
        <v>229</v>
      </c>
      <c r="B156" t="s">
        <v>105</v>
      </c>
      <c r="C156" s="1">
        <v>28897</v>
      </c>
      <c r="D156" t="s">
        <v>9</v>
      </c>
      <c r="E156">
        <f t="shared" si="24"/>
        <v>0</v>
      </c>
      <c r="F156">
        <f t="shared" si="25"/>
        <v>1</v>
      </c>
      <c r="G156">
        <f t="shared" si="26"/>
        <v>0</v>
      </c>
      <c r="H156">
        <f t="shared" si="27"/>
        <v>0</v>
      </c>
      <c r="I156">
        <f t="shared" si="28"/>
        <v>0</v>
      </c>
      <c r="J156">
        <f t="shared" si="29"/>
        <v>0</v>
      </c>
      <c r="K156">
        <f t="shared" si="30"/>
        <v>0</v>
      </c>
      <c r="L156">
        <f t="shared" si="31"/>
        <v>0</v>
      </c>
      <c r="M156">
        <f t="shared" si="32"/>
        <v>0</v>
      </c>
      <c r="N156">
        <f t="shared" si="33"/>
        <v>0</v>
      </c>
      <c r="O156">
        <f t="shared" si="34"/>
        <v>0</v>
      </c>
      <c r="P156">
        <f t="shared" si="35"/>
        <v>0</v>
      </c>
    </row>
    <row r="157" spans="1:16" x14ac:dyDescent="0.25">
      <c r="A157" t="s">
        <v>230</v>
      </c>
      <c r="B157" t="s">
        <v>231</v>
      </c>
      <c r="C157" s="1">
        <v>33454</v>
      </c>
      <c r="D157" t="s">
        <v>12</v>
      </c>
      <c r="E157">
        <f t="shared" si="24"/>
        <v>0</v>
      </c>
      <c r="F157">
        <f t="shared" si="25"/>
        <v>0</v>
      </c>
      <c r="G157">
        <f t="shared" si="26"/>
        <v>0</v>
      </c>
      <c r="H157">
        <f t="shared" si="27"/>
        <v>0</v>
      </c>
      <c r="I157">
        <f t="shared" si="28"/>
        <v>0</v>
      </c>
      <c r="J157">
        <f t="shared" si="29"/>
        <v>0</v>
      </c>
      <c r="K157">
        <f t="shared" si="30"/>
        <v>0</v>
      </c>
      <c r="L157">
        <f t="shared" si="31"/>
        <v>1</v>
      </c>
      <c r="M157">
        <f t="shared" si="32"/>
        <v>0</v>
      </c>
      <c r="N157">
        <f t="shared" si="33"/>
        <v>0</v>
      </c>
      <c r="O157">
        <f t="shared" si="34"/>
        <v>0</v>
      </c>
      <c r="P157">
        <f t="shared" si="35"/>
        <v>0</v>
      </c>
    </row>
    <row r="158" spans="1:16" x14ac:dyDescent="0.25">
      <c r="A158" t="s">
        <v>232</v>
      </c>
      <c r="B158" t="s">
        <v>233</v>
      </c>
      <c r="C158" s="1">
        <v>24539</v>
      </c>
      <c r="D158" t="s">
        <v>12</v>
      </c>
      <c r="E158">
        <f t="shared" si="24"/>
        <v>0</v>
      </c>
      <c r="F158">
        <f t="shared" si="25"/>
        <v>0</v>
      </c>
      <c r="G158">
        <f t="shared" si="26"/>
        <v>1</v>
      </c>
      <c r="H158">
        <f t="shared" si="27"/>
        <v>0</v>
      </c>
      <c r="I158">
        <f t="shared" si="28"/>
        <v>0</v>
      </c>
      <c r="J158">
        <f t="shared" si="29"/>
        <v>0</v>
      </c>
      <c r="K158">
        <f t="shared" si="30"/>
        <v>0</v>
      </c>
      <c r="L158">
        <f t="shared" si="31"/>
        <v>0</v>
      </c>
      <c r="M158">
        <f t="shared" si="32"/>
        <v>0</v>
      </c>
      <c r="N158">
        <f t="shared" si="33"/>
        <v>0</v>
      </c>
      <c r="O158">
        <f t="shared" si="34"/>
        <v>0</v>
      </c>
      <c r="P158">
        <f t="shared" si="35"/>
        <v>0</v>
      </c>
    </row>
    <row r="159" spans="1:16" x14ac:dyDescent="0.25">
      <c r="A159" t="s">
        <v>234</v>
      </c>
      <c r="B159" t="s">
        <v>235</v>
      </c>
      <c r="C159" s="1">
        <v>27992</v>
      </c>
      <c r="D159" t="s">
        <v>6</v>
      </c>
      <c r="E159">
        <f t="shared" si="24"/>
        <v>0</v>
      </c>
      <c r="F159">
        <f t="shared" si="25"/>
        <v>0</v>
      </c>
      <c r="G159">
        <f t="shared" si="26"/>
        <v>0</v>
      </c>
      <c r="H159">
        <f t="shared" si="27"/>
        <v>0</v>
      </c>
      <c r="I159">
        <f t="shared" si="28"/>
        <v>0</v>
      </c>
      <c r="J159">
        <f t="shared" si="29"/>
        <v>0</v>
      </c>
      <c r="K159">
        <f t="shared" si="30"/>
        <v>0</v>
      </c>
      <c r="L159">
        <f t="shared" si="31"/>
        <v>1</v>
      </c>
      <c r="M159">
        <f t="shared" si="32"/>
        <v>0</v>
      </c>
      <c r="N159">
        <f t="shared" si="33"/>
        <v>0</v>
      </c>
      <c r="O159">
        <f t="shared" si="34"/>
        <v>0</v>
      </c>
      <c r="P159">
        <f t="shared" si="35"/>
        <v>0</v>
      </c>
    </row>
    <row r="160" spans="1:16" x14ac:dyDescent="0.25">
      <c r="A160" t="s">
        <v>147</v>
      </c>
      <c r="B160" t="s">
        <v>236</v>
      </c>
      <c r="C160" s="1">
        <v>26335</v>
      </c>
      <c r="D160" t="s">
        <v>40</v>
      </c>
      <c r="E160">
        <f t="shared" si="24"/>
        <v>0</v>
      </c>
      <c r="F160">
        <f t="shared" si="25"/>
        <v>1</v>
      </c>
      <c r="G160">
        <f t="shared" si="26"/>
        <v>0</v>
      </c>
      <c r="H160">
        <f t="shared" si="27"/>
        <v>0</v>
      </c>
      <c r="I160">
        <f t="shared" si="28"/>
        <v>0</v>
      </c>
      <c r="J160">
        <f t="shared" si="29"/>
        <v>0</v>
      </c>
      <c r="K160">
        <f t="shared" si="30"/>
        <v>0</v>
      </c>
      <c r="L160">
        <f t="shared" si="31"/>
        <v>0</v>
      </c>
      <c r="M160">
        <f t="shared" si="32"/>
        <v>0</v>
      </c>
      <c r="N160">
        <f t="shared" si="33"/>
        <v>0</v>
      </c>
      <c r="O160">
        <f t="shared" si="34"/>
        <v>0</v>
      </c>
      <c r="P160">
        <f t="shared" si="35"/>
        <v>0</v>
      </c>
    </row>
    <row r="161" spans="1:16" x14ac:dyDescent="0.25">
      <c r="A161" t="s">
        <v>237</v>
      </c>
      <c r="B161" t="s">
        <v>167</v>
      </c>
      <c r="C161" s="1">
        <v>31095</v>
      </c>
      <c r="D161" t="s">
        <v>12</v>
      </c>
      <c r="E161">
        <f t="shared" si="24"/>
        <v>0</v>
      </c>
      <c r="F161">
        <f t="shared" si="25"/>
        <v>1</v>
      </c>
      <c r="G161">
        <f t="shared" si="26"/>
        <v>0</v>
      </c>
      <c r="H161">
        <f t="shared" si="27"/>
        <v>0</v>
      </c>
      <c r="I161">
        <f t="shared" si="28"/>
        <v>0</v>
      </c>
      <c r="J161">
        <f t="shared" si="29"/>
        <v>0</v>
      </c>
      <c r="K161">
        <f t="shared" si="30"/>
        <v>0</v>
      </c>
      <c r="L161">
        <f t="shared" si="31"/>
        <v>0</v>
      </c>
      <c r="M161">
        <f t="shared" si="32"/>
        <v>0</v>
      </c>
      <c r="N161">
        <f t="shared" si="33"/>
        <v>0</v>
      </c>
      <c r="O161">
        <f t="shared" si="34"/>
        <v>0</v>
      </c>
      <c r="P161">
        <f t="shared" si="35"/>
        <v>0</v>
      </c>
    </row>
    <row r="162" spans="1:16" x14ac:dyDescent="0.25">
      <c r="A162" t="s">
        <v>238</v>
      </c>
      <c r="B162" t="s">
        <v>169</v>
      </c>
      <c r="C162" s="1">
        <v>26112</v>
      </c>
      <c r="D162" t="s">
        <v>40</v>
      </c>
      <c r="E162">
        <f t="shared" si="24"/>
        <v>0</v>
      </c>
      <c r="F162">
        <f t="shared" si="25"/>
        <v>0</v>
      </c>
      <c r="G162">
        <f t="shared" si="26"/>
        <v>0</v>
      </c>
      <c r="H162">
        <f t="shared" si="27"/>
        <v>0</v>
      </c>
      <c r="I162">
        <f t="shared" si="28"/>
        <v>0</v>
      </c>
      <c r="J162">
        <f t="shared" si="29"/>
        <v>1</v>
      </c>
      <c r="K162">
        <f t="shared" si="30"/>
        <v>0</v>
      </c>
      <c r="L162">
        <f t="shared" si="31"/>
        <v>0</v>
      </c>
      <c r="M162">
        <f t="shared" si="32"/>
        <v>0</v>
      </c>
      <c r="N162">
        <f t="shared" si="33"/>
        <v>0</v>
      </c>
      <c r="O162">
        <f t="shared" si="34"/>
        <v>0</v>
      </c>
      <c r="P162">
        <f t="shared" si="35"/>
        <v>0</v>
      </c>
    </row>
    <row r="163" spans="1:16" x14ac:dyDescent="0.25">
      <c r="A163" t="s">
        <v>239</v>
      </c>
      <c r="B163" t="s">
        <v>54</v>
      </c>
      <c r="C163" s="1">
        <v>23272</v>
      </c>
      <c r="D163" t="s">
        <v>6</v>
      </c>
      <c r="E163">
        <f t="shared" si="24"/>
        <v>0</v>
      </c>
      <c r="F163">
        <f t="shared" si="25"/>
        <v>0</v>
      </c>
      <c r="G163">
        <f t="shared" si="26"/>
        <v>0</v>
      </c>
      <c r="H163">
        <f t="shared" si="27"/>
        <v>0</v>
      </c>
      <c r="I163">
        <f t="shared" si="28"/>
        <v>0</v>
      </c>
      <c r="J163">
        <f t="shared" si="29"/>
        <v>0</v>
      </c>
      <c r="K163">
        <f t="shared" si="30"/>
        <v>0</v>
      </c>
      <c r="L163">
        <f t="shared" si="31"/>
        <v>0</v>
      </c>
      <c r="M163">
        <f t="shared" si="32"/>
        <v>1</v>
      </c>
      <c r="N163">
        <f t="shared" si="33"/>
        <v>0</v>
      </c>
      <c r="O163">
        <f t="shared" si="34"/>
        <v>0</v>
      </c>
      <c r="P163">
        <f t="shared" si="35"/>
        <v>0</v>
      </c>
    </row>
    <row r="164" spans="1:16" x14ac:dyDescent="0.25">
      <c r="A164" t="s">
        <v>240</v>
      </c>
      <c r="B164" t="s">
        <v>32</v>
      </c>
      <c r="C164" s="1">
        <v>32952</v>
      </c>
      <c r="D164" t="s">
        <v>40</v>
      </c>
      <c r="E164">
        <f t="shared" si="24"/>
        <v>0</v>
      </c>
      <c r="F164">
        <f t="shared" si="25"/>
        <v>0</v>
      </c>
      <c r="G164">
        <f t="shared" si="26"/>
        <v>1</v>
      </c>
      <c r="H164">
        <f t="shared" si="27"/>
        <v>0</v>
      </c>
      <c r="I164">
        <f t="shared" si="28"/>
        <v>0</v>
      </c>
      <c r="J164">
        <f t="shared" si="29"/>
        <v>0</v>
      </c>
      <c r="K164">
        <f t="shared" si="30"/>
        <v>0</v>
      </c>
      <c r="L164">
        <f t="shared" si="31"/>
        <v>0</v>
      </c>
      <c r="M164">
        <f t="shared" si="32"/>
        <v>0</v>
      </c>
      <c r="N164">
        <f t="shared" si="33"/>
        <v>0</v>
      </c>
      <c r="O164">
        <f t="shared" si="34"/>
        <v>0</v>
      </c>
      <c r="P164">
        <f t="shared" si="35"/>
        <v>0</v>
      </c>
    </row>
    <row r="165" spans="1:16" x14ac:dyDescent="0.25">
      <c r="A165" t="s">
        <v>241</v>
      </c>
      <c r="B165" t="s">
        <v>39</v>
      </c>
      <c r="C165" s="1">
        <v>19759</v>
      </c>
      <c r="D165" t="s">
        <v>9</v>
      </c>
      <c r="E165">
        <f t="shared" si="24"/>
        <v>0</v>
      </c>
      <c r="F165">
        <f t="shared" si="25"/>
        <v>1</v>
      </c>
      <c r="G165">
        <f t="shared" si="26"/>
        <v>0</v>
      </c>
      <c r="H165">
        <f t="shared" si="27"/>
        <v>0</v>
      </c>
      <c r="I165">
        <f t="shared" si="28"/>
        <v>0</v>
      </c>
      <c r="J165">
        <f t="shared" si="29"/>
        <v>0</v>
      </c>
      <c r="K165">
        <f t="shared" si="30"/>
        <v>0</v>
      </c>
      <c r="L165">
        <f t="shared" si="31"/>
        <v>0</v>
      </c>
      <c r="M165">
        <f t="shared" si="32"/>
        <v>0</v>
      </c>
      <c r="N165">
        <f t="shared" si="33"/>
        <v>0</v>
      </c>
      <c r="O165">
        <f t="shared" si="34"/>
        <v>0</v>
      </c>
      <c r="P165">
        <f t="shared" si="35"/>
        <v>0</v>
      </c>
    </row>
    <row r="166" spans="1:16" x14ac:dyDescent="0.25">
      <c r="A166" t="s">
        <v>242</v>
      </c>
      <c r="B166" t="s">
        <v>152</v>
      </c>
      <c r="C166" s="1">
        <v>27324</v>
      </c>
      <c r="D166" t="s">
        <v>9</v>
      </c>
      <c r="E166">
        <f t="shared" si="24"/>
        <v>0</v>
      </c>
      <c r="F166">
        <f t="shared" si="25"/>
        <v>0</v>
      </c>
      <c r="G166">
        <f t="shared" si="26"/>
        <v>0</v>
      </c>
      <c r="H166">
        <f t="shared" si="27"/>
        <v>0</v>
      </c>
      <c r="I166">
        <f t="shared" si="28"/>
        <v>0</v>
      </c>
      <c r="J166">
        <f t="shared" si="29"/>
        <v>0</v>
      </c>
      <c r="K166">
        <f t="shared" si="30"/>
        <v>0</v>
      </c>
      <c r="L166">
        <f t="shared" si="31"/>
        <v>0</v>
      </c>
      <c r="M166">
        <f t="shared" si="32"/>
        <v>0</v>
      </c>
      <c r="N166">
        <f t="shared" si="33"/>
        <v>1</v>
      </c>
      <c r="O166">
        <f t="shared" si="34"/>
        <v>0</v>
      </c>
      <c r="P166">
        <f t="shared" si="35"/>
        <v>0</v>
      </c>
    </row>
    <row r="167" spans="1:16" x14ac:dyDescent="0.25">
      <c r="A167" t="s">
        <v>243</v>
      </c>
      <c r="B167" t="s">
        <v>236</v>
      </c>
      <c r="C167" s="1">
        <v>21838</v>
      </c>
      <c r="D167" t="s">
        <v>6</v>
      </c>
      <c r="E167">
        <f t="shared" si="24"/>
        <v>0</v>
      </c>
      <c r="F167">
        <f t="shared" si="25"/>
        <v>0</v>
      </c>
      <c r="G167">
        <f t="shared" si="26"/>
        <v>0</v>
      </c>
      <c r="H167">
        <f t="shared" si="27"/>
        <v>0</v>
      </c>
      <c r="I167">
        <f t="shared" si="28"/>
        <v>0</v>
      </c>
      <c r="J167">
        <f t="shared" si="29"/>
        <v>0</v>
      </c>
      <c r="K167">
        <f t="shared" si="30"/>
        <v>0</v>
      </c>
      <c r="L167">
        <f t="shared" si="31"/>
        <v>0</v>
      </c>
      <c r="M167">
        <f t="shared" si="32"/>
        <v>0</v>
      </c>
      <c r="N167">
        <f t="shared" si="33"/>
        <v>1</v>
      </c>
      <c r="O167">
        <f t="shared" si="34"/>
        <v>0</v>
      </c>
      <c r="P167">
        <f t="shared" si="35"/>
        <v>0</v>
      </c>
    </row>
    <row r="168" spans="1:16" x14ac:dyDescent="0.25">
      <c r="A168" t="s">
        <v>244</v>
      </c>
      <c r="B168" t="s">
        <v>47</v>
      </c>
      <c r="C168" s="1">
        <v>21051</v>
      </c>
      <c r="D168" t="s">
        <v>40</v>
      </c>
      <c r="E168">
        <f t="shared" si="24"/>
        <v>0</v>
      </c>
      <c r="F168">
        <f t="shared" si="25"/>
        <v>0</v>
      </c>
      <c r="G168">
        <f t="shared" si="26"/>
        <v>0</v>
      </c>
      <c r="H168">
        <f t="shared" si="27"/>
        <v>0</v>
      </c>
      <c r="I168">
        <f t="shared" si="28"/>
        <v>0</v>
      </c>
      <c r="J168">
        <f t="shared" si="29"/>
        <v>0</v>
      </c>
      <c r="K168">
        <f t="shared" si="30"/>
        <v>0</v>
      </c>
      <c r="L168">
        <f t="shared" si="31"/>
        <v>1</v>
      </c>
      <c r="M168">
        <f t="shared" si="32"/>
        <v>0</v>
      </c>
      <c r="N168">
        <f t="shared" si="33"/>
        <v>0</v>
      </c>
      <c r="O168">
        <f t="shared" si="34"/>
        <v>0</v>
      </c>
      <c r="P168">
        <f t="shared" si="35"/>
        <v>0</v>
      </c>
    </row>
    <row r="169" spans="1:16" x14ac:dyDescent="0.25">
      <c r="A169" t="s">
        <v>245</v>
      </c>
      <c r="B169" t="s">
        <v>246</v>
      </c>
      <c r="C169" s="1">
        <v>31292</v>
      </c>
      <c r="D169" t="s">
        <v>40</v>
      </c>
      <c r="E169">
        <f t="shared" si="24"/>
        <v>0</v>
      </c>
      <c r="F169">
        <f t="shared" si="25"/>
        <v>0</v>
      </c>
      <c r="G169">
        <f t="shared" si="26"/>
        <v>0</v>
      </c>
      <c r="H169">
        <f t="shared" si="27"/>
        <v>0</v>
      </c>
      <c r="I169">
        <f t="shared" si="28"/>
        <v>0</v>
      </c>
      <c r="J169">
        <f t="shared" si="29"/>
        <v>0</v>
      </c>
      <c r="K169">
        <f t="shared" si="30"/>
        <v>0</v>
      </c>
      <c r="L169">
        <f t="shared" si="31"/>
        <v>0</v>
      </c>
      <c r="M169">
        <f t="shared" si="32"/>
        <v>1</v>
      </c>
      <c r="N169">
        <f t="shared" si="33"/>
        <v>0</v>
      </c>
      <c r="O169">
        <f t="shared" si="34"/>
        <v>0</v>
      </c>
      <c r="P169">
        <f t="shared" si="35"/>
        <v>0</v>
      </c>
    </row>
    <row r="170" spans="1:16" x14ac:dyDescent="0.25">
      <c r="A170" t="s">
        <v>247</v>
      </c>
      <c r="B170" t="s">
        <v>248</v>
      </c>
      <c r="C170" s="1">
        <v>17179</v>
      </c>
      <c r="D170" t="s">
        <v>12</v>
      </c>
      <c r="E170">
        <f t="shared" si="24"/>
        <v>1</v>
      </c>
      <c r="F170">
        <f t="shared" si="25"/>
        <v>0</v>
      </c>
      <c r="G170">
        <f t="shared" si="26"/>
        <v>0</v>
      </c>
      <c r="H170">
        <f t="shared" si="27"/>
        <v>0</v>
      </c>
      <c r="I170">
        <f t="shared" si="28"/>
        <v>0</v>
      </c>
      <c r="J170">
        <f t="shared" si="29"/>
        <v>0</v>
      </c>
      <c r="K170">
        <f t="shared" si="30"/>
        <v>0</v>
      </c>
      <c r="L170">
        <f t="shared" si="31"/>
        <v>0</v>
      </c>
      <c r="M170">
        <f t="shared" si="32"/>
        <v>0</v>
      </c>
      <c r="N170">
        <f t="shared" si="33"/>
        <v>0</v>
      </c>
      <c r="O170">
        <f t="shared" si="34"/>
        <v>0</v>
      </c>
      <c r="P170">
        <f t="shared" si="35"/>
        <v>0</v>
      </c>
    </row>
    <row r="171" spans="1:16" x14ac:dyDescent="0.25">
      <c r="A171" t="s">
        <v>249</v>
      </c>
      <c r="B171" t="s">
        <v>250</v>
      </c>
      <c r="C171" s="1">
        <v>32305</v>
      </c>
      <c r="D171" t="s">
        <v>6</v>
      </c>
      <c r="E171">
        <f t="shared" si="24"/>
        <v>0</v>
      </c>
      <c r="F171">
        <f t="shared" si="25"/>
        <v>0</v>
      </c>
      <c r="G171">
        <f t="shared" si="26"/>
        <v>0</v>
      </c>
      <c r="H171">
        <f t="shared" si="27"/>
        <v>0</v>
      </c>
      <c r="I171">
        <f t="shared" si="28"/>
        <v>0</v>
      </c>
      <c r="J171">
        <f t="shared" si="29"/>
        <v>1</v>
      </c>
      <c r="K171">
        <f t="shared" si="30"/>
        <v>0</v>
      </c>
      <c r="L171">
        <f t="shared" si="31"/>
        <v>0</v>
      </c>
      <c r="M171">
        <f t="shared" si="32"/>
        <v>0</v>
      </c>
      <c r="N171">
        <f t="shared" si="33"/>
        <v>0</v>
      </c>
      <c r="O171">
        <f t="shared" si="34"/>
        <v>0</v>
      </c>
      <c r="P171">
        <f t="shared" si="35"/>
        <v>0</v>
      </c>
    </row>
    <row r="172" spans="1:16" x14ac:dyDescent="0.25">
      <c r="A172" t="s">
        <v>251</v>
      </c>
      <c r="B172" t="s">
        <v>252</v>
      </c>
      <c r="C172" s="1">
        <v>32081</v>
      </c>
      <c r="D172" t="s">
        <v>12</v>
      </c>
      <c r="E172">
        <f t="shared" si="24"/>
        <v>0</v>
      </c>
      <c r="F172">
        <f t="shared" si="25"/>
        <v>0</v>
      </c>
      <c r="G172">
        <f t="shared" si="26"/>
        <v>0</v>
      </c>
      <c r="H172">
        <f t="shared" si="27"/>
        <v>0</v>
      </c>
      <c r="I172">
        <f t="shared" si="28"/>
        <v>0</v>
      </c>
      <c r="J172">
        <f t="shared" si="29"/>
        <v>0</v>
      </c>
      <c r="K172">
        <f t="shared" si="30"/>
        <v>0</v>
      </c>
      <c r="L172">
        <f t="shared" si="31"/>
        <v>0</v>
      </c>
      <c r="M172">
        <f t="shared" si="32"/>
        <v>0</v>
      </c>
      <c r="N172">
        <f t="shared" si="33"/>
        <v>1</v>
      </c>
      <c r="O172">
        <f t="shared" si="34"/>
        <v>0</v>
      </c>
      <c r="P172">
        <f t="shared" si="35"/>
        <v>0</v>
      </c>
    </row>
    <row r="173" spans="1:16" x14ac:dyDescent="0.25">
      <c r="A173" t="s">
        <v>253</v>
      </c>
      <c r="B173" t="s">
        <v>121</v>
      </c>
      <c r="C173" s="1">
        <v>31749</v>
      </c>
      <c r="D173" t="s">
        <v>6</v>
      </c>
      <c r="E173">
        <f t="shared" si="24"/>
        <v>0</v>
      </c>
      <c r="F173">
        <f t="shared" si="25"/>
        <v>0</v>
      </c>
      <c r="G173">
        <f t="shared" si="26"/>
        <v>0</v>
      </c>
      <c r="H173">
        <f t="shared" si="27"/>
        <v>0</v>
      </c>
      <c r="I173">
        <f t="shared" si="28"/>
        <v>0</v>
      </c>
      <c r="J173">
        <f t="shared" si="29"/>
        <v>0</v>
      </c>
      <c r="K173">
        <f t="shared" si="30"/>
        <v>0</v>
      </c>
      <c r="L173">
        <f t="shared" si="31"/>
        <v>0</v>
      </c>
      <c r="M173">
        <f t="shared" si="32"/>
        <v>0</v>
      </c>
      <c r="N173">
        <f t="shared" si="33"/>
        <v>0</v>
      </c>
      <c r="O173">
        <f t="shared" si="34"/>
        <v>0</v>
      </c>
      <c r="P173">
        <f t="shared" si="35"/>
        <v>1</v>
      </c>
    </row>
    <row r="174" spans="1:16" x14ac:dyDescent="0.25">
      <c r="A174" t="s">
        <v>254</v>
      </c>
      <c r="B174" t="s">
        <v>255</v>
      </c>
      <c r="C174" s="1">
        <v>18648</v>
      </c>
      <c r="D174" t="s">
        <v>40</v>
      </c>
      <c r="E174">
        <f t="shared" si="24"/>
        <v>1</v>
      </c>
      <c r="F174">
        <f t="shared" si="25"/>
        <v>0</v>
      </c>
      <c r="G174">
        <f t="shared" si="26"/>
        <v>0</v>
      </c>
      <c r="H174">
        <f t="shared" si="27"/>
        <v>0</v>
      </c>
      <c r="I174">
        <f t="shared" si="28"/>
        <v>0</v>
      </c>
      <c r="J174">
        <f t="shared" si="29"/>
        <v>0</v>
      </c>
      <c r="K174">
        <f t="shared" si="30"/>
        <v>0</v>
      </c>
      <c r="L174">
        <f t="shared" si="31"/>
        <v>0</v>
      </c>
      <c r="M174">
        <f t="shared" si="32"/>
        <v>0</v>
      </c>
      <c r="N174">
        <f t="shared" si="33"/>
        <v>0</v>
      </c>
      <c r="O174">
        <f t="shared" si="34"/>
        <v>0</v>
      </c>
      <c r="P174">
        <f t="shared" si="35"/>
        <v>0</v>
      </c>
    </row>
    <row r="175" spans="1:16" x14ac:dyDescent="0.25">
      <c r="A175" t="s">
        <v>256</v>
      </c>
      <c r="B175" t="s">
        <v>257</v>
      </c>
      <c r="C175" s="1">
        <v>16734</v>
      </c>
      <c r="D175" t="s">
        <v>6</v>
      </c>
      <c r="E175">
        <f t="shared" si="24"/>
        <v>0</v>
      </c>
      <c r="F175">
        <f t="shared" si="25"/>
        <v>0</v>
      </c>
      <c r="G175">
        <f t="shared" si="26"/>
        <v>0</v>
      </c>
      <c r="H175">
        <f t="shared" si="27"/>
        <v>0</v>
      </c>
      <c r="I175">
        <f t="shared" si="28"/>
        <v>0</v>
      </c>
      <c r="J175">
        <f t="shared" si="29"/>
        <v>0</v>
      </c>
      <c r="K175">
        <f t="shared" si="30"/>
        <v>0</v>
      </c>
      <c r="L175">
        <f t="shared" si="31"/>
        <v>0</v>
      </c>
      <c r="M175">
        <f t="shared" si="32"/>
        <v>0</v>
      </c>
      <c r="N175">
        <f t="shared" si="33"/>
        <v>1</v>
      </c>
      <c r="O175">
        <f t="shared" si="34"/>
        <v>0</v>
      </c>
      <c r="P175">
        <f t="shared" si="35"/>
        <v>0</v>
      </c>
    </row>
    <row r="176" spans="1:16" x14ac:dyDescent="0.25">
      <c r="A176" t="s">
        <v>258</v>
      </c>
      <c r="B176" t="s">
        <v>47</v>
      </c>
      <c r="C176" s="1">
        <v>25036</v>
      </c>
      <c r="D176" t="s">
        <v>12</v>
      </c>
      <c r="E176">
        <f t="shared" si="24"/>
        <v>0</v>
      </c>
      <c r="F176">
        <f t="shared" si="25"/>
        <v>0</v>
      </c>
      <c r="G176">
        <f t="shared" si="26"/>
        <v>0</v>
      </c>
      <c r="H176">
        <f t="shared" si="27"/>
        <v>0</v>
      </c>
      <c r="I176">
        <f t="shared" si="28"/>
        <v>0</v>
      </c>
      <c r="J176">
        <f t="shared" si="29"/>
        <v>0</v>
      </c>
      <c r="K176">
        <f t="shared" si="30"/>
        <v>1</v>
      </c>
      <c r="L176">
        <f t="shared" si="31"/>
        <v>0</v>
      </c>
      <c r="M176">
        <f t="shared" si="32"/>
        <v>0</v>
      </c>
      <c r="N176">
        <f t="shared" si="33"/>
        <v>0</v>
      </c>
      <c r="O176">
        <f t="shared" si="34"/>
        <v>0</v>
      </c>
      <c r="P176">
        <f t="shared" si="35"/>
        <v>0</v>
      </c>
    </row>
    <row r="177" spans="1:16" x14ac:dyDescent="0.25">
      <c r="A177" t="s">
        <v>259</v>
      </c>
      <c r="B177" t="s">
        <v>260</v>
      </c>
      <c r="C177" s="1">
        <v>17342</v>
      </c>
      <c r="D177" t="s">
        <v>6</v>
      </c>
      <c r="E177">
        <f t="shared" si="24"/>
        <v>0</v>
      </c>
      <c r="F177">
        <f t="shared" si="25"/>
        <v>0</v>
      </c>
      <c r="G177">
        <f t="shared" si="26"/>
        <v>0</v>
      </c>
      <c r="H177">
        <f t="shared" si="27"/>
        <v>0</v>
      </c>
      <c r="I177">
        <f t="shared" si="28"/>
        <v>0</v>
      </c>
      <c r="J177">
        <f t="shared" si="29"/>
        <v>1</v>
      </c>
      <c r="K177">
        <f t="shared" si="30"/>
        <v>0</v>
      </c>
      <c r="L177">
        <f t="shared" si="31"/>
        <v>0</v>
      </c>
      <c r="M177">
        <f t="shared" si="32"/>
        <v>0</v>
      </c>
      <c r="N177">
        <f t="shared" si="33"/>
        <v>0</v>
      </c>
      <c r="O177">
        <f t="shared" si="34"/>
        <v>0</v>
      </c>
      <c r="P177">
        <f t="shared" si="35"/>
        <v>0</v>
      </c>
    </row>
    <row r="178" spans="1:16" x14ac:dyDescent="0.25">
      <c r="A178" t="s">
        <v>206</v>
      </c>
      <c r="B178" t="s">
        <v>167</v>
      </c>
      <c r="C178" s="1">
        <v>23157</v>
      </c>
      <c r="D178" t="s">
        <v>9</v>
      </c>
      <c r="E178">
        <f t="shared" si="24"/>
        <v>0</v>
      </c>
      <c r="F178">
        <f t="shared" si="25"/>
        <v>0</v>
      </c>
      <c r="G178">
        <f t="shared" si="26"/>
        <v>0</v>
      </c>
      <c r="H178">
        <f t="shared" si="27"/>
        <v>0</v>
      </c>
      <c r="I178">
        <f t="shared" si="28"/>
        <v>1</v>
      </c>
      <c r="J178">
        <f t="shared" si="29"/>
        <v>0</v>
      </c>
      <c r="K178">
        <f t="shared" si="30"/>
        <v>0</v>
      </c>
      <c r="L178">
        <f t="shared" si="31"/>
        <v>0</v>
      </c>
      <c r="M178">
        <f t="shared" si="32"/>
        <v>0</v>
      </c>
      <c r="N178">
        <f t="shared" si="33"/>
        <v>0</v>
      </c>
      <c r="O178">
        <f t="shared" si="34"/>
        <v>0</v>
      </c>
      <c r="P178">
        <f t="shared" si="35"/>
        <v>0</v>
      </c>
    </row>
    <row r="179" spans="1:16" x14ac:dyDescent="0.25">
      <c r="A179" t="s">
        <v>261</v>
      </c>
      <c r="B179" t="s">
        <v>37</v>
      </c>
      <c r="C179" s="1">
        <v>17166</v>
      </c>
      <c r="D179" t="s">
        <v>12</v>
      </c>
      <c r="E179">
        <f t="shared" si="24"/>
        <v>0</v>
      </c>
      <c r="F179">
        <f t="shared" si="25"/>
        <v>0</v>
      </c>
      <c r="G179">
        <f t="shared" si="26"/>
        <v>0</v>
      </c>
      <c r="H179">
        <f t="shared" si="27"/>
        <v>0</v>
      </c>
      <c r="I179">
        <f t="shared" si="28"/>
        <v>0</v>
      </c>
      <c r="J179">
        <f t="shared" si="29"/>
        <v>0</v>
      </c>
      <c r="K179">
        <f t="shared" si="30"/>
        <v>0</v>
      </c>
      <c r="L179">
        <f t="shared" si="31"/>
        <v>0</v>
      </c>
      <c r="M179">
        <f t="shared" si="32"/>
        <v>0</v>
      </c>
      <c r="N179">
        <f t="shared" si="33"/>
        <v>0</v>
      </c>
      <c r="O179">
        <f t="shared" si="34"/>
        <v>0</v>
      </c>
      <c r="P179">
        <f t="shared" si="35"/>
        <v>1</v>
      </c>
    </row>
    <row r="180" spans="1:16" x14ac:dyDescent="0.25">
      <c r="A180" t="s">
        <v>262</v>
      </c>
      <c r="B180" t="s">
        <v>263</v>
      </c>
      <c r="C180" s="1">
        <v>24471</v>
      </c>
      <c r="D180" t="s">
        <v>12</v>
      </c>
      <c r="E180">
        <f t="shared" si="24"/>
        <v>0</v>
      </c>
      <c r="F180">
        <f t="shared" si="25"/>
        <v>0</v>
      </c>
      <c r="G180">
        <f t="shared" si="26"/>
        <v>0</v>
      </c>
      <c r="H180">
        <f t="shared" si="27"/>
        <v>0</v>
      </c>
      <c r="I180">
        <f t="shared" si="28"/>
        <v>0</v>
      </c>
      <c r="J180">
        <f t="shared" si="29"/>
        <v>0</v>
      </c>
      <c r="K180">
        <f t="shared" si="30"/>
        <v>0</v>
      </c>
      <c r="L180">
        <f t="shared" si="31"/>
        <v>0</v>
      </c>
      <c r="M180">
        <f t="shared" si="32"/>
        <v>0</v>
      </c>
      <c r="N180">
        <f t="shared" si="33"/>
        <v>0</v>
      </c>
      <c r="O180">
        <f t="shared" si="34"/>
        <v>0</v>
      </c>
      <c r="P180">
        <f t="shared" si="35"/>
        <v>1</v>
      </c>
    </row>
    <row r="181" spans="1:16" x14ac:dyDescent="0.25">
      <c r="A181" t="s">
        <v>264</v>
      </c>
      <c r="B181" t="s">
        <v>157</v>
      </c>
      <c r="C181" s="1">
        <v>34523</v>
      </c>
      <c r="D181" t="s">
        <v>6</v>
      </c>
      <c r="E181">
        <f t="shared" si="24"/>
        <v>0</v>
      </c>
      <c r="F181">
        <f t="shared" si="25"/>
        <v>0</v>
      </c>
      <c r="G181">
        <f t="shared" si="26"/>
        <v>0</v>
      </c>
      <c r="H181">
        <f t="shared" si="27"/>
        <v>0</v>
      </c>
      <c r="I181">
        <f t="shared" si="28"/>
        <v>0</v>
      </c>
      <c r="J181">
        <f t="shared" si="29"/>
        <v>0</v>
      </c>
      <c r="K181">
        <f t="shared" si="30"/>
        <v>1</v>
      </c>
      <c r="L181">
        <f t="shared" si="31"/>
        <v>0</v>
      </c>
      <c r="M181">
        <f t="shared" si="32"/>
        <v>0</v>
      </c>
      <c r="N181">
        <f t="shared" si="33"/>
        <v>0</v>
      </c>
      <c r="O181">
        <f t="shared" si="34"/>
        <v>0</v>
      </c>
      <c r="P181">
        <f t="shared" si="35"/>
        <v>0</v>
      </c>
    </row>
    <row r="182" spans="1:16" x14ac:dyDescent="0.25">
      <c r="A182" t="s">
        <v>265</v>
      </c>
      <c r="B182" t="s">
        <v>139</v>
      </c>
      <c r="C182" s="1">
        <v>18354</v>
      </c>
      <c r="D182" t="s">
        <v>6</v>
      </c>
      <c r="E182">
        <f t="shared" si="24"/>
        <v>0</v>
      </c>
      <c r="F182">
        <f t="shared" si="25"/>
        <v>0</v>
      </c>
      <c r="G182">
        <f t="shared" si="26"/>
        <v>0</v>
      </c>
      <c r="H182">
        <f t="shared" si="27"/>
        <v>1</v>
      </c>
      <c r="I182">
        <f t="shared" si="28"/>
        <v>0</v>
      </c>
      <c r="J182">
        <f t="shared" si="29"/>
        <v>0</v>
      </c>
      <c r="K182">
        <f t="shared" si="30"/>
        <v>0</v>
      </c>
      <c r="L182">
        <f t="shared" si="31"/>
        <v>0</v>
      </c>
      <c r="M182">
        <f t="shared" si="32"/>
        <v>0</v>
      </c>
      <c r="N182">
        <f t="shared" si="33"/>
        <v>0</v>
      </c>
      <c r="O182">
        <f t="shared" si="34"/>
        <v>0</v>
      </c>
      <c r="P182">
        <f t="shared" si="35"/>
        <v>0</v>
      </c>
    </row>
    <row r="183" spans="1:16" x14ac:dyDescent="0.25">
      <c r="A183" t="s">
        <v>266</v>
      </c>
      <c r="B183" t="s">
        <v>267</v>
      </c>
      <c r="C183" s="1">
        <v>34069</v>
      </c>
      <c r="D183" t="s">
        <v>12</v>
      </c>
      <c r="E183">
        <f t="shared" si="24"/>
        <v>0</v>
      </c>
      <c r="F183">
        <f t="shared" si="25"/>
        <v>0</v>
      </c>
      <c r="G183">
        <f t="shared" si="26"/>
        <v>0</v>
      </c>
      <c r="H183">
        <f t="shared" si="27"/>
        <v>1</v>
      </c>
      <c r="I183">
        <f t="shared" si="28"/>
        <v>0</v>
      </c>
      <c r="J183">
        <f t="shared" si="29"/>
        <v>0</v>
      </c>
      <c r="K183">
        <f t="shared" si="30"/>
        <v>0</v>
      </c>
      <c r="L183">
        <f t="shared" si="31"/>
        <v>0</v>
      </c>
      <c r="M183">
        <f t="shared" si="32"/>
        <v>0</v>
      </c>
      <c r="N183">
        <f t="shared" si="33"/>
        <v>0</v>
      </c>
      <c r="O183">
        <f t="shared" si="34"/>
        <v>0</v>
      </c>
      <c r="P183">
        <f t="shared" si="35"/>
        <v>0</v>
      </c>
    </row>
    <row r="184" spans="1:16" x14ac:dyDescent="0.25">
      <c r="A184" t="s">
        <v>268</v>
      </c>
      <c r="B184" t="s">
        <v>269</v>
      </c>
      <c r="C184" s="1">
        <v>17331</v>
      </c>
      <c r="D184" t="s">
        <v>12</v>
      </c>
      <c r="E184">
        <f t="shared" si="24"/>
        <v>0</v>
      </c>
      <c r="F184">
        <f t="shared" si="25"/>
        <v>0</v>
      </c>
      <c r="G184">
        <f t="shared" si="26"/>
        <v>0</v>
      </c>
      <c r="H184">
        <f t="shared" si="27"/>
        <v>0</v>
      </c>
      <c r="I184">
        <f t="shared" si="28"/>
        <v>0</v>
      </c>
      <c r="J184">
        <f t="shared" si="29"/>
        <v>1</v>
      </c>
      <c r="K184">
        <f t="shared" si="30"/>
        <v>0</v>
      </c>
      <c r="L184">
        <f t="shared" si="31"/>
        <v>0</v>
      </c>
      <c r="M184">
        <f t="shared" si="32"/>
        <v>0</v>
      </c>
      <c r="N184">
        <f t="shared" si="33"/>
        <v>0</v>
      </c>
      <c r="O184">
        <f t="shared" si="34"/>
        <v>0</v>
      </c>
      <c r="P184">
        <f t="shared" si="35"/>
        <v>0</v>
      </c>
    </row>
    <row r="185" spans="1:16" x14ac:dyDescent="0.25">
      <c r="A185" t="s">
        <v>270</v>
      </c>
      <c r="B185" t="s">
        <v>39</v>
      </c>
      <c r="C185" s="1">
        <v>33550</v>
      </c>
      <c r="D185" t="s">
        <v>40</v>
      </c>
      <c r="E185">
        <f t="shared" si="24"/>
        <v>0</v>
      </c>
      <c r="F185">
        <f t="shared" si="25"/>
        <v>0</v>
      </c>
      <c r="G185">
        <f t="shared" si="26"/>
        <v>0</v>
      </c>
      <c r="H185">
        <f t="shared" si="27"/>
        <v>0</v>
      </c>
      <c r="I185">
        <f t="shared" si="28"/>
        <v>0</v>
      </c>
      <c r="J185">
        <f t="shared" si="29"/>
        <v>0</v>
      </c>
      <c r="K185">
        <f t="shared" si="30"/>
        <v>0</v>
      </c>
      <c r="L185">
        <f t="shared" si="31"/>
        <v>0</v>
      </c>
      <c r="M185">
        <f t="shared" si="32"/>
        <v>0</v>
      </c>
      <c r="N185">
        <f t="shared" si="33"/>
        <v>0</v>
      </c>
      <c r="O185">
        <f t="shared" si="34"/>
        <v>1</v>
      </c>
      <c r="P185">
        <f t="shared" si="35"/>
        <v>0</v>
      </c>
    </row>
    <row r="186" spans="1:16" x14ac:dyDescent="0.25">
      <c r="A186" t="s">
        <v>271</v>
      </c>
      <c r="B186" t="s">
        <v>255</v>
      </c>
      <c r="C186" s="1">
        <v>24426</v>
      </c>
      <c r="D186" t="s">
        <v>6</v>
      </c>
      <c r="E186">
        <f t="shared" si="24"/>
        <v>0</v>
      </c>
      <c r="F186">
        <f t="shared" si="25"/>
        <v>0</v>
      </c>
      <c r="G186">
        <f t="shared" si="26"/>
        <v>0</v>
      </c>
      <c r="H186">
        <f t="shared" si="27"/>
        <v>0</v>
      </c>
      <c r="I186">
        <f t="shared" si="28"/>
        <v>0</v>
      </c>
      <c r="J186">
        <f t="shared" si="29"/>
        <v>0</v>
      </c>
      <c r="K186">
        <f t="shared" si="30"/>
        <v>0</v>
      </c>
      <c r="L186">
        <f t="shared" si="31"/>
        <v>0</v>
      </c>
      <c r="M186">
        <f t="shared" si="32"/>
        <v>0</v>
      </c>
      <c r="N186">
        <f t="shared" si="33"/>
        <v>0</v>
      </c>
      <c r="O186">
        <f t="shared" si="34"/>
        <v>1</v>
      </c>
      <c r="P186">
        <f t="shared" si="35"/>
        <v>0</v>
      </c>
    </row>
    <row r="187" spans="1:16" x14ac:dyDescent="0.25">
      <c r="A187" t="s">
        <v>272</v>
      </c>
      <c r="B187" t="s">
        <v>273</v>
      </c>
      <c r="C187" s="1">
        <v>19307</v>
      </c>
      <c r="D187" t="s">
        <v>40</v>
      </c>
      <c r="E187">
        <f t="shared" si="24"/>
        <v>0</v>
      </c>
      <c r="F187">
        <f t="shared" si="25"/>
        <v>0</v>
      </c>
      <c r="G187">
        <f t="shared" si="26"/>
        <v>0</v>
      </c>
      <c r="H187">
        <f t="shared" si="27"/>
        <v>0</v>
      </c>
      <c r="I187">
        <f t="shared" si="28"/>
        <v>0</v>
      </c>
      <c r="J187">
        <f t="shared" si="29"/>
        <v>0</v>
      </c>
      <c r="K187">
        <f t="shared" si="30"/>
        <v>0</v>
      </c>
      <c r="L187">
        <f t="shared" si="31"/>
        <v>0</v>
      </c>
      <c r="M187">
        <f t="shared" si="32"/>
        <v>0</v>
      </c>
      <c r="N187">
        <f t="shared" si="33"/>
        <v>0</v>
      </c>
      <c r="O187">
        <f t="shared" si="34"/>
        <v>1</v>
      </c>
      <c r="P187">
        <f t="shared" si="35"/>
        <v>0</v>
      </c>
    </row>
    <row r="188" spans="1:16" x14ac:dyDescent="0.25">
      <c r="A188" t="s">
        <v>274</v>
      </c>
      <c r="B188" t="s">
        <v>121</v>
      </c>
      <c r="C188" s="1">
        <v>26626</v>
      </c>
      <c r="D188" t="s">
        <v>12</v>
      </c>
      <c r="E188">
        <f t="shared" si="24"/>
        <v>0</v>
      </c>
      <c r="F188">
        <f t="shared" si="25"/>
        <v>0</v>
      </c>
      <c r="G188">
        <f t="shared" si="26"/>
        <v>0</v>
      </c>
      <c r="H188">
        <f t="shared" si="27"/>
        <v>0</v>
      </c>
      <c r="I188">
        <f t="shared" si="28"/>
        <v>0</v>
      </c>
      <c r="J188">
        <f t="shared" si="29"/>
        <v>0</v>
      </c>
      <c r="K188">
        <f t="shared" si="30"/>
        <v>0</v>
      </c>
      <c r="L188">
        <f t="shared" si="31"/>
        <v>0</v>
      </c>
      <c r="M188">
        <f t="shared" si="32"/>
        <v>0</v>
      </c>
      <c r="N188">
        <f t="shared" si="33"/>
        <v>0</v>
      </c>
      <c r="O188">
        <f t="shared" si="34"/>
        <v>1</v>
      </c>
      <c r="P188">
        <f t="shared" si="35"/>
        <v>0</v>
      </c>
    </row>
    <row r="189" spans="1:16" x14ac:dyDescent="0.25">
      <c r="A189" t="s">
        <v>275</v>
      </c>
      <c r="B189" t="s">
        <v>169</v>
      </c>
      <c r="C189" s="1">
        <v>21897</v>
      </c>
      <c r="D189" t="s">
        <v>12</v>
      </c>
      <c r="E189">
        <f t="shared" si="24"/>
        <v>0</v>
      </c>
      <c r="F189">
        <f t="shared" si="25"/>
        <v>0</v>
      </c>
      <c r="G189">
        <f t="shared" si="26"/>
        <v>0</v>
      </c>
      <c r="H189">
        <f t="shared" si="27"/>
        <v>0</v>
      </c>
      <c r="I189">
        <f t="shared" si="28"/>
        <v>0</v>
      </c>
      <c r="J189">
        <f t="shared" si="29"/>
        <v>0</v>
      </c>
      <c r="K189">
        <f t="shared" si="30"/>
        <v>0</v>
      </c>
      <c r="L189">
        <f t="shared" si="31"/>
        <v>0</v>
      </c>
      <c r="M189">
        <f t="shared" si="32"/>
        <v>0</v>
      </c>
      <c r="N189">
        <f t="shared" si="33"/>
        <v>0</v>
      </c>
      <c r="O189">
        <f t="shared" si="34"/>
        <v>0</v>
      </c>
      <c r="P189">
        <f t="shared" si="35"/>
        <v>1</v>
      </c>
    </row>
    <row r="190" spans="1:16" x14ac:dyDescent="0.25">
      <c r="A190" t="s">
        <v>276</v>
      </c>
      <c r="B190" t="s">
        <v>52</v>
      </c>
      <c r="C190" s="1">
        <v>34865</v>
      </c>
      <c r="D190" t="s">
        <v>12</v>
      </c>
      <c r="E190">
        <f t="shared" si="24"/>
        <v>0</v>
      </c>
      <c r="F190">
        <f t="shared" si="25"/>
        <v>0</v>
      </c>
      <c r="G190">
        <f t="shared" si="26"/>
        <v>0</v>
      </c>
      <c r="H190">
        <f t="shared" si="27"/>
        <v>0</v>
      </c>
      <c r="I190">
        <f t="shared" si="28"/>
        <v>0</v>
      </c>
      <c r="J190">
        <f t="shared" si="29"/>
        <v>1</v>
      </c>
      <c r="K190">
        <f t="shared" si="30"/>
        <v>0</v>
      </c>
      <c r="L190">
        <f t="shared" si="31"/>
        <v>0</v>
      </c>
      <c r="M190">
        <f t="shared" si="32"/>
        <v>0</v>
      </c>
      <c r="N190">
        <f t="shared" si="33"/>
        <v>0</v>
      </c>
      <c r="O190">
        <f t="shared" si="34"/>
        <v>0</v>
      </c>
      <c r="P190">
        <f t="shared" si="35"/>
        <v>0</v>
      </c>
    </row>
    <row r="191" spans="1:16" x14ac:dyDescent="0.25">
      <c r="A191" t="s">
        <v>163</v>
      </c>
      <c r="B191" t="s">
        <v>277</v>
      </c>
      <c r="C191" s="1">
        <v>19712</v>
      </c>
      <c r="D191" t="s">
        <v>12</v>
      </c>
      <c r="E191">
        <f t="shared" si="24"/>
        <v>0</v>
      </c>
      <c r="F191">
        <f t="shared" si="25"/>
        <v>0</v>
      </c>
      <c r="G191">
        <f t="shared" si="26"/>
        <v>0</v>
      </c>
      <c r="H191">
        <f t="shared" si="27"/>
        <v>0</v>
      </c>
      <c r="I191">
        <f t="shared" si="28"/>
        <v>0</v>
      </c>
      <c r="J191">
        <f t="shared" si="29"/>
        <v>0</v>
      </c>
      <c r="K191">
        <f t="shared" si="30"/>
        <v>0</v>
      </c>
      <c r="L191">
        <f t="shared" si="31"/>
        <v>0</v>
      </c>
      <c r="M191">
        <f t="shared" si="32"/>
        <v>0</v>
      </c>
      <c r="N191">
        <f t="shared" si="33"/>
        <v>0</v>
      </c>
      <c r="O191">
        <f t="shared" si="34"/>
        <v>0</v>
      </c>
      <c r="P191">
        <f t="shared" si="35"/>
        <v>1</v>
      </c>
    </row>
    <row r="192" spans="1:16" x14ac:dyDescent="0.25">
      <c r="A192" t="s">
        <v>278</v>
      </c>
      <c r="B192" t="s">
        <v>52</v>
      </c>
      <c r="C192" s="1">
        <v>27893</v>
      </c>
      <c r="D192" t="s">
        <v>6</v>
      </c>
      <c r="E192">
        <f t="shared" si="24"/>
        <v>0</v>
      </c>
      <c r="F192">
        <f t="shared" si="25"/>
        <v>0</v>
      </c>
      <c r="G192">
        <f t="shared" si="26"/>
        <v>0</v>
      </c>
      <c r="H192">
        <f t="shared" si="27"/>
        <v>0</v>
      </c>
      <c r="I192">
        <f t="shared" si="28"/>
        <v>1</v>
      </c>
      <c r="J192">
        <f t="shared" si="29"/>
        <v>0</v>
      </c>
      <c r="K192">
        <f t="shared" si="30"/>
        <v>0</v>
      </c>
      <c r="L192">
        <f t="shared" si="31"/>
        <v>0</v>
      </c>
      <c r="M192">
        <f t="shared" si="32"/>
        <v>0</v>
      </c>
      <c r="N192">
        <f t="shared" si="33"/>
        <v>0</v>
      </c>
      <c r="O192">
        <f t="shared" si="34"/>
        <v>0</v>
      </c>
      <c r="P192">
        <f t="shared" si="35"/>
        <v>0</v>
      </c>
    </row>
    <row r="193" spans="1:16" x14ac:dyDescent="0.25">
      <c r="A193" t="s">
        <v>279</v>
      </c>
      <c r="B193" t="s">
        <v>280</v>
      </c>
      <c r="C193" s="1">
        <v>28226</v>
      </c>
      <c r="D193" t="s">
        <v>12</v>
      </c>
      <c r="E193">
        <f t="shared" si="24"/>
        <v>0</v>
      </c>
      <c r="F193">
        <f t="shared" si="25"/>
        <v>0</v>
      </c>
      <c r="G193">
        <f t="shared" si="26"/>
        <v>0</v>
      </c>
      <c r="H193">
        <f t="shared" si="27"/>
        <v>1</v>
      </c>
      <c r="I193">
        <f t="shared" si="28"/>
        <v>0</v>
      </c>
      <c r="J193">
        <f t="shared" si="29"/>
        <v>0</v>
      </c>
      <c r="K193">
        <f t="shared" si="30"/>
        <v>0</v>
      </c>
      <c r="L193">
        <f t="shared" si="31"/>
        <v>0</v>
      </c>
      <c r="M193">
        <f t="shared" si="32"/>
        <v>0</v>
      </c>
      <c r="N193">
        <f t="shared" si="33"/>
        <v>0</v>
      </c>
      <c r="O193">
        <f t="shared" si="34"/>
        <v>0</v>
      </c>
      <c r="P193">
        <f t="shared" si="35"/>
        <v>0</v>
      </c>
    </row>
    <row r="194" spans="1:16" x14ac:dyDescent="0.25">
      <c r="A194" t="s">
        <v>281</v>
      </c>
      <c r="B194" t="s">
        <v>77</v>
      </c>
      <c r="C194" s="1">
        <v>29954</v>
      </c>
      <c r="D194" t="s">
        <v>9</v>
      </c>
      <c r="E194">
        <f t="shared" si="24"/>
        <v>1</v>
      </c>
      <c r="F194">
        <f t="shared" si="25"/>
        <v>0</v>
      </c>
      <c r="G194">
        <f t="shared" si="26"/>
        <v>0</v>
      </c>
      <c r="H194">
        <f t="shared" si="27"/>
        <v>0</v>
      </c>
      <c r="I194">
        <f t="shared" si="28"/>
        <v>0</v>
      </c>
      <c r="J194">
        <f t="shared" si="29"/>
        <v>0</v>
      </c>
      <c r="K194">
        <f t="shared" si="30"/>
        <v>0</v>
      </c>
      <c r="L194">
        <f t="shared" si="31"/>
        <v>0</v>
      </c>
      <c r="M194">
        <f t="shared" si="32"/>
        <v>0</v>
      </c>
      <c r="N194">
        <f t="shared" si="33"/>
        <v>0</v>
      </c>
      <c r="O194">
        <f t="shared" si="34"/>
        <v>0</v>
      </c>
      <c r="P194">
        <f t="shared" si="35"/>
        <v>0</v>
      </c>
    </row>
    <row r="195" spans="1:16" x14ac:dyDescent="0.25">
      <c r="A195" t="s">
        <v>282</v>
      </c>
      <c r="B195" t="s">
        <v>179</v>
      </c>
      <c r="C195" s="1">
        <v>23111</v>
      </c>
      <c r="D195" t="s">
        <v>12</v>
      </c>
      <c r="E195">
        <f t="shared" ref="E195:E258" si="36">IF(MONTH(C195)=1,1,0)</f>
        <v>0</v>
      </c>
      <c r="F195">
        <f t="shared" ref="F195:F258" si="37">IF(MONTH(C195)=2,1,0)</f>
        <v>0</v>
      </c>
      <c r="G195">
        <f t="shared" ref="G195:G258" si="38">IF(MONTH(C195)=3,1,0)</f>
        <v>0</v>
      </c>
      <c r="H195">
        <f t="shared" ref="H195:H258" si="39">IF(MONTH($C195)=4,1,0)</f>
        <v>1</v>
      </c>
      <c r="I195">
        <f t="shared" ref="I195:I258" si="40">IF(MONTH($C195)=5,1,0)</f>
        <v>0</v>
      </c>
      <c r="J195">
        <f t="shared" ref="J195:J258" si="41">IF(MONTH($C195)=6,1,0)</f>
        <v>0</v>
      </c>
      <c r="K195">
        <f t="shared" ref="K195:K258" si="42">IF(MONTH($C195)=7,1,0)</f>
        <v>0</v>
      </c>
      <c r="L195">
        <f t="shared" ref="L195:L258" si="43">IF(MONTH($C195)=8,1,0)</f>
        <v>0</v>
      </c>
      <c r="M195">
        <f t="shared" ref="M195:M258" si="44">IF(MONTH($C195)=9,1,0)</f>
        <v>0</v>
      </c>
      <c r="N195">
        <f t="shared" ref="N195:N258" si="45">IF(MONTH($C195)=10,1,0)</f>
        <v>0</v>
      </c>
      <c r="O195">
        <f t="shared" ref="O195:O258" si="46">IF(MONTH($C195)=11,1,0)</f>
        <v>0</v>
      </c>
      <c r="P195">
        <f t="shared" ref="P195:P258" si="47">IF(MONTH($C195)=12,1,0)</f>
        <v>0</v>
      </c>
    </row>
    <row r="196" spans="1:16" x14ac:dyDescent="0.25">
      <c r="A196" t="s">
        <v>283</v>
      </c>
      <c r="B196" t="s">
        <v>39</v>
      </c>
      <c r="C196" s="1">
        <v>24808</v>
      </c>
      <c r="D196" t="s">
        <v>12</v>
      </c>
      <c r="E196">
        <f t="shared" si="36"/>
        <v>0</v>
      </c>
      <c r="F196">
        <f t="shared" si="37"/>
        <v>0</v>
      </c>
      <c r="G196">
        <f t="shared" si="38"/>
        <v>0</v>
      </c>
      <c r="H196">
        <f t="shared" si="39"/>
        <v>0</v>
      </c>
      <c r="I196">
        <f t="shared" si="40"/>
        <v>0</v>
      </c>
      <c r="J196">
        <f t="shared" si="41"/>
        <v>0</v>
      </c>
      <c r="K196">
        <f t="shared" si="42"/>
        <v>0</v>
      </c>
      <c r="L196">
        <f t="shared" si="43"/>
        <v>0</v>
      </c>
      <c r="M196">
        <f t="shared" si="44"/>
        <v>0</v>
      </c>
      <c r="N196">
        <f t="shared" si="45"/>
        <v>0</v>
      </c>
      <c r="O196">
        <f t="shared" si="46"/>
        <v>0</v>
      </c>
      <c r="P196">
        <f t="shared" si="47"/>
        <v>1</v>
      </c>
    </row>
    <row r="197" spans="1:16" x14ac:dyDescent="0.25">
      <c r="A197" t="s">
        <v>284</v>
      </c>
      <c r="B197" t="s">
        <v>16</v>
      </c>
      <c r="C197" s="1">
        <v>17601</v>
      </c>
      <c r="D197" t="s">
        <v>40</v>
      </c>
      <c r="E197">
        <f t="shared" si="36"/>
        <v>0</v>
      </c>
      <c r="F197">
        <f t="shared" si="37"/>
        <v>0</v>
      </c>
      <c r="G197">
        <f t="shared" si="38"/>
        <v>1</v>
      </c>
      <c r="H197">
        <f t="shared" si="39"/>
        <v>0</v>
      </c>
      <c r="I197">
        <f t="shared" si="40"/>
        <v>0</v>
      </c>
      <c r="J197">
        <f t="shared" si="41"/>
        <v>0</v>
      </c>
      <c r="K197">
        <f t="shared" si="42"/>
        <v>0</v>
      </c>
      <c r="L197">
        <f t="shared" si="43"/>
        <v>0</v>
      </c>
      <c r="M197">
        <f t="shared" si="44"/>
        <v>0</v>
      </c>
      <c r="N197">
        <f t="shared" si="45"/>
        <v>0</v>
      </c>
      <c r="O197">
        <f t="shared" si="46"/>
        <v>0</v>
      </c>
      <c r="P197">
        <f t="shared" si="47"/>
        <v>0</v>
      </c>
    </row>
    <row r="198" spans="1:16" x14ac:dyDescent="0.25">
      <c r="A198" t="s">
        <v>285</v>
      </c>
      <c r="B198" t="s">
        <v>179</v>
      </c>
      <c r="C198" s="1">
        <v>21199</v>
      </c>
      <c r="D198" t="s">
        <v>9</v>
      </c>
      <c r="E198">
        <f t="shared" si="36"/>
        <v>1</v>
      </c>
      <c r="F198">
        <f t="shared" si="37"/>
        <v>0</v>
      </c>
      <c r="G198">
        <f t="shared" si="38"/>
        <v>0</v>
      </c>
      <c r="H198">
        <f t="shared" si="39"/>
        <v>0</v>
      </c>
      <c r="I198">
        <f t="shared" si="40"/>
        <v>0</v>
      </c>
      <c r="J198">
        <f t="shared" si="41"/>
        <v>0</v>
      </c>
      <c r="K198">
        <f t="shared" si="42"/>
        <v>0</v>
      </c>
      <c r="L198">
        <f t="shared" si="43"/>
        <v>0</v>
      </c>
      <c r="M198">
        <f t="shared" si="44"/>
        <v>0</v>
      </c>
      <c r="N198">
        <f t="shared" si="45"/>
        <v>0</v>
      </c>
      <c r="O198">
        <f t="shared" si="46"/>
        <v>0</v>
      </c>
      <c r="P198">
        <f t="shared" si="47"/>
        <v>0</v>
      </c>
    </row>
    <row r="199" spans="1:16" x14ac:dyDescent="0.25">
      <c r="A199" t="s">
        <v>286</v>
      </c>
      <c r="B199" t="s">
        <v>20</v>
      </c>
      <c r="C199" s="1">
        <v>29879</v>
      </c>
      <c r="D199" t="s">
        <v>12</v>
      </c>
      <c r="E199">
        <f t="shared" si="36"/>
        <v>0</v>
      </c>
      <c r="F199">
        <f t="shared" si="37"/>
        <v>0</v>
      </c>
      <c r="G199">
        <f t="shared" si="38"/>
        <v>0</v>
      </c>
      <c r="H199">
        <f t="shared" si="39"/>
        <v>0</v>
      </c>
      <c r="I199">
        <f t="shared" si="40"/>
        <v>0</v>
      </c>
      <c r="J199">
        <f t="shared" si="41"/>
        <v>0</v>
      </c>
      <c r="K199">
        <f t="shared" si="42"/>
        <v>0</v>
      </c>
      <c r="L199">
        <f t="shared" si="43"/>
        <v>0</v>
      </c>
      <c r="M199">
        <f t="shared" si="44"/>
        <v>0</v>
      </c>
      <c r="N199">
        <f t="shared" si="45"/>
        <v>1</v>
      </c>
      <c r="O199">
        <f t="shared" si="46"/>
        <v>0</v>
      </c>
      <c r="P199">
        <f t="shared" si="47"/>
        <v>0</v>
      </c>
    </row>
    <row r="200" spans="1:16" x14ac:dyDescent="0.25">
      <c r="A200" t="s">
        <v>287</v>
      </c>
      <c r="B200" t="s">
        <v>81</v>
      </c>
      <c r="C200" s="1">
        <v>19659</v>
      </c>
      <c r="D200" t="s">
        <v>6</v>
      </c>
      <c r="E200">
        <f t="shared" si="36"/>
        <v>0</v>
      </c>
      <c r="F200">
        <f t="shared" si="37"/>
        <v>0</v>
      </c>
      <c r="G200">
        <f t="shared" si="38"/>
        <v>0</v>
      </c>
      <c r="H200">
        <f t="shared" si="39"/>
        <v>0</v>
      </c>
      <c r="I200">
        <f t="shared" si="40"/>
        <v>0</v>
      </c>
      <c r="J200">
        <f t="shared" si="41"/>
        <v>0</v>
      </c>
      <c r="K200">
        <f t="shared" si="42"/>
        <v>0</v>
      </c>
      <c r="L200">
        <f t="shared" si="43"/>
        <v>0</v>
      </c>
      <c r="M200">
        <f t="shared" si="44"/>
        <v>0</v>
      </c>
      <c r="N200">
        <f t="shared" si="45"/>
        <v>1</v>
      </c>
      <c r="O200">
        <f t="shared" si="46"/>
        <v>0</v>
      </c>
      <c r="P200">
        <f t="shared" si="47"/>
        <v>0</v>
      </c>
    </row>
    <row r="201" spans="1:16" x14ac:dyDescent="0.25">
      <c r="A201" t="s">
        <v>288</v>
      </c>
      <c r="B201" t="s">
        <v>8</v>
      </c>
      <c r="C201" s="1">
        <v>22514</v>
      </c>
      <c r="D201" t="s">
        <v>12</v>
      </c>
      <c r="E201">
        <f t="shared" si="36"/>
        <v>0</v>
      </c>
      <c r="F201">
        <f t="shared" si="37"/>
        <v>0</v>
      </c>
      <c r="G201">
        <f t="shared" si="38"/>
        <v>0</v>
      </c>
      <c r="H201">
        <f t="shared" si="39"/>
        <v>0</v>
      </c>
      <c r="I201">
        <f t="shared" si="40"/>
        <v>0</v>
      </c>
      <c r="J201">
        <f t="shared" si="41"/>
        <v>0</v>
      </c>
      <c r="K201">
        <f t="shared" si="42"/>
        <v>0</v>
      </c>
      <c r="L201">
        <f t="shared" si="43"/>
        <v>1</v>
      </c>
      <c r="M201">
        <f t="shared" si="44"/>
        <v>0</v>
      </c>
      <c r="N201">
        <f t="shared" si="45"/>
        <v>0</v>
      </c>
      <c r="O201">
        <f t="shared" si="46"/>
        <v>0</v>
      </c>
      <c r="P201">
        <f t="shared" si="47"/>
        <v>0</v>
      </c>
    </row>
    <row r="202" spans="1:16" x14ac:dyDescent="0.25">
      <c r="A202" t="s">
        <v>289</v>
      </c>
      <c r="B202" t="s">
        <v>121</v>
      </c>
      <c r="C202" s="1">
        <v>25332</v>
      </c>
      <c r="D202" t="s">
        <v>12</v>
      </c>
      <c r="E202">
        <f t="shared" si="36"/>
        <v>0</v>
      </c>
      <c r="F202">
        <f t="shared" si="37"/>
        <v>0</v>
      </c>
      <c r="G202">
        <f t="shared" si="38"/>
        <v>0</v>
      </c>
      <c r="H202">
        <f t="shared" si="39"/>
        <v>0</v>
      </c>
      <c r="I202">
        <f t="shared" si="40"/>
        <v>1</v>
      </c>
      <c r="J202">
        <f t="shared" si="41"/>
        <v>0</v>
      </c>
      <c r="K202">
        <f t="shared" si="42"/>
        <v>0</v>
      </c>
      <c r="L202">
        <f t="shared" si="43"/>
        <v>0</v>
      </c>
      <c r="M202">
        <f t="shared" si="44"/>
        <v>0</v>
      </c>
      <c r="N202">
        <f t="shared" si="45"/>
        <v>0</v>
      </c>
      <c r="O202">
        <f t="shared" si="46"/>
        <v>0</v>
      </c>
      <c r="P202">
        <f t="shared" si="47"/>
        <v>0</v>
      </c>
    </row>
    <row r="203" spans="1:16" x14ac:dyDescent="0.25">
      <c r="A203" t="s">
        <v>290</v>
      </c>
      <c r="B203" t="s">
        <v>255</v>
      </c>
      <c r="C203" s="1">
        <v>20181</v>
      </c>
      <c r="D203" t="s">
        <v>40</v>
      </c>
      <c r="E203">
        <f t="shared" si="36"/>
        <v>0</v>
      </c>
      <c r="F203">
        <f t="shared" si="37"/>
        <v>0</v>
      </c>
      <c r="G203">
        <f t="shared" si="38"/>
        <v>0</v>
      </c>
      <c r="H203">
        <f t="shared" si="39"/>
        <v>1</v>
      </c>
      <c r="I203">
        <f t="shared" si="40"/>
        <v>0</v>
      </c>
      <c r="J203">
        <f t="shared" si="41"/>
        <v>0</v>
      </c>
      <c r="K203">
        <f t="shared" si="42"/>
        <v>0</v>
      </c>
      <c r="L203">
        <f t="shared" si="43"/>
        <v>0</v>
      </c>
      <c r="M203">
        <f t="shared" si="44"/>
        <v>0</v>
      </c>
      <c r="N203">
        <f t="shared" si="45"/>
        <v>0</v>
      </c>
      <c r="O203">
        <f t="shared" si="46"/>
        <v>0</v>
      </c>
      <c r="P203">
        <f t="shared" si="47"/>
        <v>0</v>
      </c>
    </row>
    <row r="204" spans="1:16" x14ac:dyDescent="0.25">
      <c r="A204" t="s">
        <v>291</v>
      </c>
      <c r="B204" t="s">
        <v>141</v>
      </c>
      <c r="C204" s="1">
        <v>19141</v>
      </c>
      <c r="D204" t="s">
        <v>12</v>
      </c>
      <c r="E204">
        <f t="shared" si="36"/>
        <v>0</v>
      </c>
      <c r="F204">
        <f t="shared" si="37"/>
        <v>0</v>
      </c>
      <c r="G204">
        <f t="shared" si="38"/>
        <v>0</v>
      </c>
      <c r="H204">
        <f t="shared" si="39"/>
        <v>0</v>
      </c>
      <c r="I204">
        <f t="shared" si="40"/>
        <v>1</v>
      </c>
      <c r="J204">
        <f t="shared" si="41"/>
        <v>0</v>
      </c>
      <c r="K204">
        <f t="shared" si="42"/>
        <v>0</v>
      </c>
      <c r="L204">
        <f t="shared" si="43"/>
        <v>0</v>
      </c>
      <c r="M204">
        <f t="shared" si="44"/>
        <v>0</v>
      </c>
      <c r="N204">
        <f t="shared" si="45"/>
        <v>0</v>
      </c>
      <c r="O204">
        <f t="shared" si="46"/>
        <v>0</v>
      </c>
      <c r="P204">
        <f t="shared" si="47"/>
        <v>0</v>
      </c>
    </row>
    <row r="205" spans="1:16" x14ac:dyDescent="0.25">
      <c r="A205" t="s">
        <v>292</v>
      </c>
      <c r="B205" t="s">
        <v>293</v>
      </c>
      <c r="C205" s="1">
        <v>18147</v>
      </c>
      <c r="D205" t="s">
        <v>12</v>
      </c>
      <c r="E205">
        <f t="shared" si="36"/>
        <v>0</v>
      </c>
      <c r="F205">
        <f t="shared" si="37"/>
        <v>0</v>
      </c>
      <c r="G205">
        <f t="shared" si="38"/>
        <v>0</v>
      </c>
      <c r="H205">
        <f t="shared" si="39"/>
        <v>0</v>
      </c>
      <c r="I205">
        <f t="shared" si="40"/>
        <v>0</v>
      </c>
      <c r="J205">
        <f t="shared" si="41"/>
        <v>0</v>
      </c>
      <c r="K205">
        <f t="shared" si="42"/>
        <v>0</v>
      </c>
      <c r="L205">
        <f t="shared" si="43"/>
        <v>0</v>
      </c>
      <c r="M205">
        <f t="shared" si="44"/>
        <v>1</v>
      </c>
      <c r="N205">
        <f t="shared" si="45"/>
        <v>0</v>
      </c>
      <c r="O205">
        <f t="shared" si="46"/>
        <v>0</v>
      </c>
      <c r="P205">
        <f t="shared" si="47"/>
        <v>0</v>
      </c>
    </row>
    <row r="206" spans="1:16" x14ac:dyDescent="0.25">
      <c r="A206" t="s">
        <v>294</v>
      </c>
      <c r="B206" t="s">
        <v>52</v>
      </c>
      <c r="C206" s="1">
        <v>26146</v>
      </c>
      <c r="D206" t="s">
        <v>6</v>
      </c>
      <c r="E206">
        <f t="shared" si="36"/>
        <v>0</v>
      </c>
      <c r="F206">
        <f t="shared" si="37"/>
        <v>0</v>
      </c>
      <c r="G206">
        <f t="shared" si="38"/>
        <v>0</v>
      </c>
      <c r="H206">
        <f t="shared" si="39"/>
        <v>0</v>
      </c>
      <c r="I206">
        <f t="shared" si="40"/>
        <v>0</v>
      </c>
      <c r="J206">
        <f t="shared" si="41"/>
        <v>0</v>
      </c>
      <c r="K206">
        <f t="shared" si="42"/>
        <v>0</v>
      </c>
      <c r="L206">
        <f t="shared" si="43"/>
        <v>1</v>
      </c>
      <c r="M206">
        <f t="shared" si="44"/>
        <v>0</v>
      </c>
      <c r="N206">
        <f t="shared" si="45"/>
        <v>0</v>
      </c>
      <c r="O206">
        <f t="shared" si="46"/>
        <v>0</v>
      </c>
      <c r="P206">
        <f t="shared" si="47"/>
        <v>0</v>
      </c>
    </row>
    <row r="207" spans="1:16" x14ac:dyDescent="0.25">
      <c r="A207" t="s">
        <v>295</v>
      </c>
      <c r="B207" t="s">
        <v>139</v>
      </c>
      <c r="C207" s="1">
        <v>30798</v>
      </c>
      <c r="D207" t="s">
        <v>40</v>
      </c>
      <c r="E207">
        <f t="shared" si="36"/>
        <v>0</v>
      </c>
      <c r="F207">
        <f t="shared" si="37"/>
        <v>0</v>
      </c>
      <c r="G207">
        <f t="shared" si="38"/>
        <v>0</v>
      </c>
      <c r="H207">
        <f t="shared" si="39"/>
        <v>1</v>
      </c>
      <c r="I207">
        <f t="shared" si="40"/>
        <v>0</v>
      </c>
      <c r="J207">
        <f t="shared" si="41"/>
        <v>0</v>
      </c>
      <c r="K207">
        <f t="shared" si="42"/>
        <v>0</v>
      </c>
      <c r="L207">
        <f t="shared" si="43"/>
        <v>0</v>
      </c>
      <c r="M207">
        <f t="shared" si="44"/>
        <v>0</v>
      </c>
      <c r="N207">
        <f t="shared" si="45"/>
        <v>0</v>
      </c>
      <c r="O207">
        <f t="shared" si="46"/>
        <v>0</v>
      </c>
      <c r="P207">
        <f t="shared" si="47"/>
        <v>0</v>
      </c>
    </row>
    <row r="208" spans="1:16" x14ac:dyDescent="0.25">
      <c r="A208" t="s">
        <v>296</v>
      </c>
      <c r="B208" t="s">
        <v>297</v>
      </c>
      <c r="C208" s="1">
        <v>24623</v>
      </c>
      <c r="D208" t="s">
        <v>12</v>
      </c>
      <c r="E208">
        <f t="shared" si="36"/>
        <v>0</v>
      </c>
      <c r="F208">
        <f t="shared" si="37"/>
        <v>0</v>
      </c>
      <c r="G208">
        <f t="shared" si="38"/>
        <v>0</v>
      </c>
      <c r="H208">
        <f t="shared" si="39"/>
        <v>0</v>
      </c>
      <c r="I208">
        <f t="shared" si="40"/>
        <v>1</v>
      </c>
      <c r="J208">
        <f t="shared" si="41"/>
        <v>0</v>
      </c>
      <c r="K208">
        <f t="shared" si="42"/>
        <v>0</v>
      </c>
      <c r="L208">
        <f t="shared" si="43"/>
        <v>0</v>
      </c>
      <c r="M208">
        <f t="shared" si="44"/>
        <v>0</v>
      </c>
      <c r="N208">
        <f t="shared" si="45"/>
        <v>0</v>
      </c>
      <c r="O208">
        <f t="shared" si="46"/>
        <v>0</v>
      </c>
      <c r="P208">
        <f t="shared" si="47"/>
        <v>0</v>
      </c>
    </row>
    <row r="209" spans="1:16" x14ac:dyDescent="0.25">
      <c r="A209" t="s">
        <v>298</v>
      </c>
      <c r="B209" t="s">
        <v>18</v>
      </c>
      <c r="C209" s="1">
        <v>31818</v>
      </c>
      <c r="D209" t="s">
        <v>6</v>
      </c>
      <c r="E209">
        <f t="shared" si="36"/>
        <v>0</v>
      </c>
      <c r="F209">
        <f t="shared" si="37"/>
        <v>1</v>
      </c>
      <c r="G209">
        <f t="shared" si="38"/>
        <v>0</v>
      </c>
      <c r="H209">
        <f t="shared" si="39"/>
        <v>0</v>
      </c>
      <c r="I209">
        <f t="shared" si="40"/>
        <v>0</v>
      </c>
      <c r="J209">
        <f t="shared" si="41"/>
        <v>0</v>
      </c>
      <c r="K209">
        <f t="shared" si="42"/>
        <v>0</v>
      </c>
      <c r="L209">
        <f t="shared" si="43"/>
        <v>0</v>
      </c>
      <c r="M209">
        <f t="shared" si="44"/>
        <v>0</v>
      </c>
      <c r="N209">
        <f t="shared" si="45"/>
        <v>0</v>
      </c>
      <c r="O209">
        <f t="shared" si="46"/>
        <v>0</v>
      </c>
      <c r="P209">
        <f t="shared" si="47"/>
        <v>0</v>
      </c>
    </row>
    <row r="210" spans="1:16" x14ac:dyDescent="0.25">
      <c r="A210" t="s">
        <v>299</v>
      </c>
      <c r="B210" t="s">
        <v>300</v>
      </c>
      <c r="C210" s="1">
        <v>34201</v>
      </c>
      <c r="D210" t="s">
        <v>12</v>
      </c>
      <c r="E210">
        <f t="shared" si="36"/>
        <v>0</v>
      </c>
      <c r="F210">
        <f t="shared" si="37"/>
        <v>0</v>
      </c>
      <c r="G210">
        <f t="shared" si="38"/>
        <v>0</v>
      </c>
      <c r="H210">
        <f t="shared" si="39"/>
        <v>0</v>
      </c>
      <c r="I210">
        <f t="shared" si="40"/>
        <v>0</v>
      </c>
      <c r="J210">
        <f t="shared" si="41"/>
        <v>0</v>
      </c>
      <c r="K210">
        <f t="shared" si="42"/>
        <v>0</v>
      </c>
      <c r="L210">
        <f t="shared" si="43"/>
        <v>1</v>
      </c>
      <c r="M210">
        <f t="shared" si="44"/>
        <v>0</v>
      </c>
      <c r="N210">
        <f t="shared" si="45"/>
        <v>0</v>
      </c>
      <c r="O210">
        <f t="shared" si="46"/>
        <v>0</v>
      </c>
      <c r="P210">
        <f t="shared" si="47"/>
        <v>0</v>
      </c>
    </row>
    <row r="211" spans="1:16" x14ac:dyDescent="0.25">
      <c r="A211" t="s">
        <v>301</v>
      </c>
      <c r="B211" t="s">
        <v>8</v>
      </c>
      <c r="C211" s="1">
        <v>27079</v>
      </c>
      <c r="D211" t="s">
        <v>9</v>
      </c>
      <c r="E211">
        <f t="shared" si="36"/>
        <v>0</v>
      </c>
      <c r="F211">
        <f t="shared" si="37"/>
        <v>1</v>
      </c>
      <c r="G211">
        <f t="shared" si="38"/>
        <v>0</v>
      </c>
      <c r="H211">
        <f t="shared" si="39"/>
        <v>0</v>
      </c>
      <c r="I211">
        <f t="shared" si="40"/>
        <v>0</v>
      </c>
      <c r="J211">
        <f t="shared" si="41"/>
        <v>0</v>
      </c>
      <c r="K211">
        <f t="shared" si="42"/>
        <v>0</v>
      </c>
      <c r="L211">
        <f t="shared" si="43"/>
        <v>0</v>
      </c>
      <c r="M211">
        <f t="shared" si="44"/>
        <v>0</v>
      </c>
      <c r="N211">
        <f t="shared" si="45"/>
        <v>0</v>
      </c>
      <c r="O211">
        <f t="shared" si="46"/>
        <v>0</v>
      </c>
      <c r="P211">
        <f t="shared" si="47"/>
        <v>0</v>
      </c>
    </row>
    <row r="212" spans="1:16" x14ac:dyDescent="0.25">
      <c r="A212" t="s">
        <v>302</v>
      </c>
      <c r="B212" t="s">
        <v>303</v>
      </c>
      <c r="C212" s="1">
        <v>18053</v>
      </c>
      <c r="D212" t="s">
        <v>9</v>
      </c>
      <c r="E212">
        <f t="shared" si="36"/>
        <v>0</v>
      </c>
      <c r="F212">
        <f t="shared" si="37"/>
        <v>0</v>
      </c>
      <c r="G212">
        <f t="shared" si="38"/>
        <v>0</v>
      </c>
      <c r="H212">
        <f t="shared" si="39"/>
        <v>0</v>
      </c>
      <c r="I212">
        <f t="shared" si="40"/>
        <v>0</v>
      </c>
      <c r="J212">
        <f t="shared" si="41"/>
        <v>1</v>
      </c>
      <c r="K212">
        <f t="shared" si="42"/>
        <v>0</v>
      </c>
      <c r="L212">
        <f t="shared" si="43"/>
        <v>0</v>
      </c>
      <c r="M212">
        <f t="shared" si="44"/>
        <v>0</v>
      </c>
      <c r="N212">
        <f t="shared" si="45"/>
        <v>0</v>
      </c>
      <c r="O212">
        <f t="shared" si="46"/>
        <v>0</v>
      </c>
      <c r="P212">
        <f t="shared" si="47"/>
        <v>0</v>
      </c>
    </row>
    <row r="213" spans="1:16" x14ac:dyDescent="0.25">
      <c r="A213" t="s">
        <v>304</v>
      </c>
      <c r="B213" t="s">
        <v>49</v>
      </c>
      <c r="C213" s="1">
        <v>27059</v>
      </c>
      <c r="D213" t="s">
        <v>12</v>
      </c>
      <c r="E213">
        <f t="shared" si="36"/>
        <v>1</v>
      </c>
      <c r="F213">
        <f t="shared" si="37"/>
        <v>0</v>
      </c>
      <c r="G213">
        <f t="shared" si="38"/>
        <v>0</v>
      </c>
      <c r="H213">
        <f t="shared" si="39"/>
        <v>0</v>
      </c>
      <c r="I213">
        <f t="shared" si="40"/>
        <v>0</v>
      </c>
      <c r="J213">
        <f t="shared" si="41"/>
        <v>0</v>
      </c>
      <c r="K213">
        <f t="shared" si="42"/>
        <v>0</v>
      </c>
      <c r="L213">
        <f t="shared" si="43"/>
        <v>0</v>
      </c>
      <c r="M213">
        <f t="shared" si="44"/>
        <v>0</v>
      </c>
      <c r="N213">
        <f t="shared" si="45"/>
        <v>0</v>
      </c>
      <c r="O213">
        <f t="shared" si="46"/>
        <v>0</v>
      </c>
      <c r="P213">
        <f t="shared" si="47"/>
        <v>0</v>
      </c>
    </row>
    <row r="214" spans="1:16" x14ac:dyDescent="0.25">
      <c r="A214" t="s">
        <v>305</v>
      </c>
      <c r="B214" t="s">
        <v>246</v>
      </c>
      <c r="C214" s="1">
        <v>31039</v>
      </c>
      <c r="D214" t="s">
        <v>6</v>
      </c>
      <c r="E214">
        <f t="shared" si="36"/>
        <v>0</v>
      </c>
      <c r="F214">
        <f t="shared" si="37"/>
        <v>0</v>
      </c>
      <c r="G214">
        <f t="shared" si="38"/>
        <v>0</v>
      </c>
      <c r="H214">
        <f t="shared" si="39"/>
        <v>0</v>
      </c>
      <c r="I214">
        <f t="shared" si="40"/>
        <v>0</v>
      </c>
      <c r="J214">
        <f t="shared" si="41"/>
        <v>0</v>
      </c>
      <c r="K214">
        <f t="shared" si="42"/>
        <v>0</v>
      </c>
      <c r="L214">
        <f t="shared" si="43"/>
        <v>0</v>
      </c>
      <c r="M214">
        <f t="shared" si="44"/>
        <v>0</v>
      </c>
      <c r="N214">
        <f t="shared" si="45"/>
        <v>0</v>
      </c>
      <c r="O214">
        <f t="shared" si="46"/>
        <v>0</v>
      </c>
      <c r="P214">
        <f t="shared" si="47"/>
        <v>1</v>
      </c>
    </row>
    <row r="215" spans="1:16" x14ac:dyDescent="0.25">
      <c r="A215" t="s">
        <v>306</v>
      </c>
      <c r="B215" t="s">
        <v>307</v>
      </c>
      <c r="C215" s="1">
        <v>34893</v>
      </c>
      <c r="D215" t="s">
        <v>12</v>
      </c>
      <c r="E215">
        <f t="shared" si="36"/>
        <v>0</v>
      </c>
      <c r="F215">
        <f t="shared" si="37"/>
        <v>0</v>
      </c>
      <c r="G215">
        <f t="shared" si="38"/>
        <v>0</v>
      </c>
      <c r="H215">
        <f t="shared" si="39"/>
        <v>0</v>
      </c>
      <c r="I215">
        <f t="shared" si="40"/>
        <v>0</v>
      </c>
      <c r="J215">
        <f t="shared" si="41"/>
        <v>0</v>
      </c>
      <c r="K215">
        <f t="shared" si="42"/>
        <v>1</v>
      </c>
      <c r="L215">
        <f t="shared" si="43"/>
        <v>0</v>
      </c>
      <c r="M215">
        <f t="shared" si="44"/>
        <v>0</v>
      </c>
      <c r="N215">
        <f t="shared" si="45"/>
        <v>0</v>
      </c>
      <c r="O215">
        <f t="shared" si="46"/>
        <v>0</v>
      </c>
      <c r="P215">
        <f t="shared" si="47"/>
        <v>0</v>
      </c>
    </row>
    <row r="216" spans="1:16" x14ac:dyDescent="0.25">
      <c r="A216" t="s">
        <v>308</v>
      </c>
      <c r="B216" t="s">
        <v>307</v>
      </c>
      <c r="C216" s="1">
        <v>22101</v>
      </c>
      <c r="D216" t="s">
        <v>6</v>
      </c>
      <c r="E216">
        <f t="shared" si="36"/>
        <v>0</v>
      </c>
      <c r="F216">
        <f t="shared" si="37"/>
        <v>0</v>
      </c>
      <c r="G216">
        <f t="shared" si="38"/>
        <v>0</v>
      </c>
      <c r="H216">
        <f t="shared" si="39"/>
        <v>0</v>
      </c>
      <c r="I216">
        <f t="shared" si="40"/>
        <v>0</v>
      </c>
      <c r="J216">
        <f t="shared" si="41"/>
        <v>0</v>
      </c>
      <c r="K216">
        <f t="shared" si="42"/>
        <v>1</v>
      </c>
      <c r="L216">
        <f t="shared" si="43"/>
        <v>0</v>
      </c>
      <c r="M216">
        <f t="shared" si="44"/>
        <v>0</v>
      </c>
      <c r="N216">
        <f t="shared" si="45"/>
        <v>0</v>
      </c>
      <c r="O216">
        <f t="shared" si="46"/>
        <v>0</v>
      </c>
      <c r="P216">
        <f t="shared" si="47"/>
        <v>0</v>
      </c>
    </row>
    <row r="217" spans="1:16" x14ac:dyDescent="0.25">
      <c r="A217" t="s">
        <v>309</v>
      </c>
      <c r="B217" t="s">
        <v>177</v>
      </c>
      <c r="C217" s="1">
        <v>16267</v>
      </c>
      <c r="D217" t="s">
        <v>12</v>
      </c>
      <c r="E217">
        <f t="shared" si="36"/>
        <v>0</v>
      </c>
      <c r="F217">
        <f t="shared" si="37"/>
        <v>0</v>
      </c>
      <c r="G217">
        <f t="shared" si="38"/>
        <v>0</v>
      </c>
      <c r="H217">
        <f t="shared" si="39"/>
        <v>0</v>
      </c>
      <c r="I217">
        <f t="shared" si="40"/>
        <v>0</v>
      </c>
      <c r="J217">
        <f t="shared" si="41"/>
        <v>0</v>
      </c>
      <c r="K217">
        <f t="shared" si="42"/>
        <v>1</v>
      </c>
      <c r="L217">
        <f t="shared" si="43"/>
        <v>0</v>
      </c>
      <c r="M217">
        <f t="shared" si="44"/>
        <v>0</v>
      </c>
      <c r="N217">
        <f t="shared" si="45"/>
        <v>0</v>
      </c>
      <c r="O217">
        <f t="shared" si="46"/>
        <v>0</v>
      </c>
      <c r="P217">
        <f t="shared" si="47"/>
        <v>0</v>
      </c>
    </row>
    <row r="218" spans="1:16" x14ac:dyDescent="0.25">
      <c r="A218" t="s">
        <v>310</v>
      </c>
      <c r="B218" t="s">
        <v>45</v>
      </c>
      <c r="C218" s="1">
        <v>32103</v>
      </c>
      <c r="D218" t="s">
        <v>12</v>
      </c>
      <c r="E218">
        <f t="shared" si="36"/>
        <v>0</v>
      </c>
      <c r="F218">
        <f t="shared" si="37"/>
        <v>0</v>
      </c>
      <c r="G218">
        <f t="shared" si="38"/>
        <v>0</v>
      </c>
      <c r="H218">
        <f t="shared" si="39"/>
        <v>0</v>
      </c>
      <c r="I218">
        <f t="shared" si="40"/>
        <v>0</v>
      </c>
      <c r="J218">
        <f t="shared" si="41"/>
        <v>0</v>
      </c>
      <c r="K218">
        <f t="shared" si="42"/>
        <v>0</v>
      </c>
      <c r="L218">
        <f t="shared" si="43"/>
        <v>0</v>
      </c>
      <c r="M218">
        <f t="shared" si="44"/>
        <v>0</v>
      </c>
      <c r="N218">
        <f t="shared" si="45"/>
        <v>0</v>
      </c>
      <c r="O218">
        <f t="shared" si="46"/>
        <v>1</v>
      </c>
      <c r="P218">
        <f t="shared" si="47"/>
        <v>0</v>
      </c>
    </row>
    <row r="219" spans="1:16" x14ac:dyDescent="0.25">
      <c r="A219" t="s">
        <v>311</v>
      </c>
      <c r="B219" t="s">
        <v>248</v>
      </c>
      <c r="C219" s="1">
        <v>25996</v>
      </c>
      <c r="D219" t="s">
        <v>9</v>
      </c>
      <c r="E219">
        <f t="shared" si="36"/>
        <v>0</v>
      </c>
      <c r="F219">
        <f t="shared" si="37"/>
        <v>0</v>
      </c>
      <c r="G219">
        <f t="shared" si="38"/>
        <v>1</v>
      </c>
      <c r="H219">
        <f t="shared" si="39"/>
        <v>0</v>
      </c>
      <c r="I219">
        <f t="shared" si="40"/>
        <v>0</v>
      </c>
      <c r="J219">
        <f t="shared" si="41"/>
        <v>0</v>
      </c>
      <c r="K219">
        <f t="shared" si="42"/>
        <v>0</v>
      </c>
      <c r="L219">
        <f t="shared" si="43"/>
        <v>0</v>
      </c>
      <c r="M219">
        <f t="shared" si="44"/>
        <v>0</v>
      </c>
      <c r="N219">
        <f t="shared" si="45"/>
        <v>0</v>
      </c>
      <c r="O219">
        <f t="shared" si="46"/>
        <v>0</v>
      </c>
      <c r="P219">
        <f t="shared" si="47"/>
        <v>0</v>
      </c>
    </row>
    <row r="220" spans="1:16" x14ac:dyDescent="0.25">
      <c r="A220" t="s">
        <v>312</v>
      </c>
      <c r="B220" t="s">
        <v>134</v>
      </c>
      <c r="C220" s="1">
        <v>33040</v>
      </c>
      <c r="D220" t="s">
        <v>12</v>
      </c>
      <c r="E220">
        <f t="shared" si="36"/>
        <v>0</v>
      </c>
      <c r="F220">
        <f t="shared" si="37"/>
        <v>0</v>
      </c>
      <c r="G220">
        <f t="shared" si="38"/>
        <v>0</v>
      </c>
      <c r="H220">
        <f t="shared" si="39"/>
        <v>0</v>
      </c>
      <c r="I220">
        <f t="shared" si="40"/>
        <v>0</v>
      </c>
      <c r="J220">
        <f t="shared" si="41"/>
        <v>1</v>
      </c>
      <c r="K220">
        <f t="shared" si="42"/>
        <v>0</v>
      </c>
      <c r="L220">
        <f t="shared" si="43"/>
        <v>0</v>
      </c>
      <c r="M220">
        <f t="shared" si="44"/>
        <v>0</v>
      </c>
      <c r="N220">
        <f t="shared" si="45"/>
        <v>0</v>
      </c>
      <c r="O220">
        <f t="shared" si="46"/>
        <v>0</v>
      </c>
      <c r="P220">
        <f t="shared" si="47"/>
        <v>0</v>
      </c>
    </row>
    <row r="221" spans="1:16" x14ac:dyDescent="0.25">
      <c r="A221" t="s">
        <v>313</v>
      </c>
      <c r="B221" t="s">
        <v>20</v>
      </c>
      <c r="C221" s="1">
        <v>30671</v>
      </c>
      <c r="D221" t="s">
        <v>9</v>
      </c>
      <c r="E221">
        <f t="shared" si="36"/>
        <v>0</v>
      </c>
      <c r="F221">
        <f t="shared" si="37"/>
        <v>0</v>
      </c>
      <c r="G221">
        <f t="shared" si="38"/>
        <v>0</v>
      </c>
      <c r="H221">
        <f t="shared" si="39"/>
        <v>0</v>
      </c>
      <c r="I221">
        <f t="shared" si="40"/>
        <v>0</v>
      </c>
      <c r="J221">
        <f t="shared" si="41"/>
        <v>0</v>
      </c>
      <c r="K221">
        <f t="shared" si="42"/>
        <v>0</v>
      </c>
      <c r="L221">
        <f t="shared" si="43"/>
        <v>0</v>
      </c>
      <c r="M221">
        <f t="shared" si="44"/>
        <v>0</v>
      </c>
      <c r="N221">
        <f t="shared" si="45"/>
        <v>0</v>
      </c>
      <c r="O221">
        <f t="shared" si="46"/>
        <v>0</v>
      </c>
      <c r="P221">
        <f t="shared" si="47"/>
        <v>1</v>
      </c>
    </row>
    <row r="222" spans="1:16" x14ac:dyDescent="0.25">
      <c r="A222" t="s">
        <v>314</v>
      </c>
      <c r="B222" t="s">
        <v>37</v>
      </c>
      <c r="C222" s="1">
        <v>25243</v>
      </c>
      <c r="D222" t="s">
        <v>12</v>
      </c>
      <c r="E222">
        <f t="shared" si="36"/>
        <v>0</v>
      </c>
      <c r="F222">
        <f t="shared" si="37"/>
        <v>1</v>
      </c>
      <c r="G222">
        <f t="shared" si="38"/>
        <v>0</v>
      </c>
      <c r="H222">
        <f t="shared" si="39"/>
        <v>0</v>
      </c>
      <c r="I222">
        <f t="shared" si="40"/>
        <v>0</v>
      </c>
      <c r="J222">
        <f t="shared" si="41"/>
        <v>0</v>
      </c>
      <c r="K222">
        <f t="shared" si="42"/>
        <v>0</v>
      </c>
      <c r="L222">
        <f t="shared" si="43"/>
        <v>0</v>
      </c>
      <c r="M222">
        <f t="shared" si="44"/>
        <v>0</v>
      </c>
      <c r="N222">
        <f t="shared" si="45"/>
        <v>0</v>
      </c>
      <c r="O222">
        <f t="shared" si="46"/>
        <v>0</v>
      </c>
      <c r="P222">
        <f t="shared" si="47"/>
        <v>0</v>
      </c>
    </row>
    <row r="223" spans="1:16" x14ac:dyDescent="0.25">
      <c r="A223" t="s">
        <v>315</v>
      </c>
      <c r="B223" t="s">
        <v>20</v>
      </c>
      <c r="C223" s="1">
        <v>27639</v>
      </c>
      <c r="D223" t="s">
        <v>12</v>
      </c>
      <c r="E223">
        <f t="shared" si="36"/>
        <v>0</v>
      </c>
      <c r="F223">
        <f t="shared" si="37"/>
        <v>0</v>
      </c>
      <c r="G223">
        <f t="shared" si="38"/>
        <v>0</v>
      </c>
      <c r="H223">
        <f t="shared" si="39"/>
        <v>0</v>
      </c>
      <c r="I223">
        <f t="shared" si="40"/>
        <v>0</v>
      </c>
      <c r="J223">
        <f t="shared" si="41"/>
        <v>0</v>
      </c>
      <c r="K223">
        <f t="shared" si="42"/>
        <v>0</v>
      </c>
      <c r="L223">
        <f t="shared" si="43"/>
        <v>0</v>
      </c>
      <c r="M223">
        <f t="shared" si="44"/>
        <v>1</v>
      </c>
      <c r="N223">
        <f t="shared" si="45"/>
        <v>0</v>
      </c>
      <c r="O223">
        <f t="shared" si="46"/>
        <v>0</v>
      </c>
      <c r="P223">
        <f t="shared" si="47"/>
        <v>0</v>
      </c>
    </row>
    <row r="224" spans="1:16" x14ac:dyDescent="0.25">
      <c r="A224" t="s">
        <v>316</v>
      </c>
      <c r="B224" t="s">
        <v>169</v>
      </c>
      <c r="C224" s="1">
        <v>25644</v>
      </c>
      <c r="D224" t="s">
        <v>12</v>
      </c>
      <c r="E224">
        <f t="shared" si="36"/>
        <v>0</v>
      </c>
      <c r="F224">
        <f t="shared" si="37"/>
        <v>0</v>
      </c>
      <c r="G224">
        <f t="shared" si="38"/>
        <v>1</v>
      </c>
      <c r="H224">
        <f t="shared" si="39"/>
        <v>0</v>
      </c>
      <c r="I224">
        <f t="shared" si="40"/>
        <v>0</v>
      </c>
      <c r="J224">
        <f t="shared" si="41"/>
        <v>0</v>
      </c>
      <c r="K224">
        <f t="shared" si="42"/>
        <v>0</v>
      </c>
      <c r="L224">
        <f t="shared" si="43"/>
        <v>0</v>
      </c>
      <c r="M224">
        <f t="shared" si="44"/>
        <v>0</v>
      </c>
      <c r="N224">
        <f t="shared" si="45"/>
        <v>0</v>
      </c>
      <c r="O224">
        <f t="shared" si="46"/>
        <v>0</v>
      </c>
      <c r="P224">
        <f t="shared" si="47"/>
        <v>0</v>
      </c>
    </row>
    <row r="225" spans="1:16" x14ac:dyDescent="0.25">
      <c r="A225" t="s">
        <v>317</v>
      </c>
      <c r="B225" t="s">
        <v>318</v>
      </c>
      <c r="C225" s="1">
        <v>27683</v>
      </c>
      <c r="D225" t="s">
        <v>6</v>
      </c>
      <c r="E225">
        <f t="shared" si="36"/>
        <v>0</v>
      </c>
      <c r="F225">
        <f t="shared" si="37"/>
        <v>0</v>
      </c>
      <c r="G225">
        <f t="shared" si="38"/>
        <v>0</v>
      </c>
      <c r="H225">
        <f t="shared" si="39"/>
        <v>0</v>
      </c>
      <c r="I225">
        <f t="shared" si="40"/>
        <v>0</v>
      </c>
      <c r="J225">
        <f t="shared" si="41"/>
        <v>0</v>
      </c>
      <c r="K225">
        <f t="shared" si="42"/>
        <v>0</v>
      </c>
      <c r="L225">
        <f t="shared" si="43"/>
        <v>0</v>
      </c>
      <c r="M225">
        <f t="shared" si="44"/>
        <v>0</v>
      </c>
      <c r="N225">
        <f t="shared" si="45"/>
        <v>1</v>
      </c>
      <c r="O225">
        <f t="shared" si="46"/>
        <v>0</v>
      </c>
      <c r="P225">
        <f t="shared" si="47"/>
        <v>0</v>
      </c>
    </row>
    <row r="226" spans="1:16" x14ac:dyDescent="0.25">
      <c r="A226" t="s">
        <v>174</v>
      </c>
      <c r="B226" t="s">
        <v>319</v>
      </c>
      <c r="C226" s="1">
        <v>32765</v>
      </c>
      <c r="D226" t="s">
        <v>9</v>
      </c>
      <c r="E226">
        <f t="shared" si="36"/>
        <v>0</v>
      </c>
      <c r="F226">
        <f t="shared" si="37"/>
        <v>0</v>
      </c>
      <c r="G226">
        <f t="shared" si="38"/>
        <v>0</v>
      </c>
      <c r="H226">
        <f t="shared" si="39"/>
        <v>0</v>
      </c>
      <c r="I226">
        <f t="shared" si="40"/>
        <v>0</v>
      </c>
      <c r="J226">
        <f t="shared" si="41"/>
        <v>0</v>
      </c>
      <c r="K226">
        <f t="shared" si="42"/>
        <v>0</v>
      </c>
      <c r="L226">
        <f t="shared" si="43"/>
        <v>0</v>
      </c>
      <c r="M226">
        <f t="shared" si="44"/>
        <v>1</v>
      </c>
      <c r="N226">
        <f t="shared" si="45"/>
        <v>0</v>
      </c>
      <c r="O226">
        <f t="shared" si="46"/>
        <v>0</v>
      </c>
      <c r="P226">
        <f t="shared" si="47"/>
        <v>0</v>
      </c>
    </row>
    <row r="227" spans="1:16" x14ac:dyDescent="0.25">
      <c r="A227" t="s">
        <v>243</v>
      </c>
      <c r="B227" t="s">
        <v>121</v>
      </c>
      <c r="C227" s="1">
        <v>26380</v>
      </c>
      <c r="D227" t="s">
        <v>9</v>
      </c>
      <c r="E227">
        <f t="shared" si="36"/>
        <v>0</v>
      </c>
      <c r="F227">
        <f t="shared" si="37"/>
        <v>0</v>
      </c>
      <c r="G227">
        <f t="shared" si="38"/>
        <v>1</v>
      </c>
      <c r="H227">
        <f t="shared" si="39"/>
        <v>0</v>
      </c>
      <c r="I227">
        <f t="shared" si="40"/>
        <v>0</v>
      </c>
      <c r="J227">
        <f t="shared" si="41"/>
        <v>0</v>
      </c>
      <c r="K227">
        <f t="shared" si="42"/>
        <v>0</v>
      </c>
      <c r="L227">
        <f t="shared" si="43"/>
        <v>0</v>
      </c>
      <c r="M227">
        <f t="shared" si="44"/>
        <v>0</v>
      </c>
      <c r="N227">
        <f t="shared" si="45"/>
        <v>0</v>
      </c>
      <c r="O227">
        <f t="shared" si="46"/>
        <v>0</v>
      </c>
      <c r="P227">
        <f t="shared" si="47"/>
        <v>0</v>
      </c>
    </row>
    <row r="228" spans="1:16" x14ac:dyDescent="0.25">
      <c r="A228" t="s">
        <v>320</v>
      </c>
      <c r="B228" t="s">
        <v>81</v>
      </c>
      <c r="C228" s="1">
        <v>21508</v>
      </c>
      <c r="D228" t="s">
        <v>6</v>
      </c>
      <c r="E228">
        <f t="shared" si="36"/>
        <v>0</v>
      </c>
      <c r="F228">
        <f t="shared" si="37"/>
        <v>0</v>
      </c>
      <c r="G228">
        <f t="shared" si="38"/>
        <v>0</v>
      </c>
      <c r="H228">
        <f t="shared" si="39"/>
        <v>0</v>
      </c>
      <c r="I228">
        <f t="shared" si="40"/>
        <v>0</v>
      </c>
      <c r="J228">
        <f t="shared" si="41"/>
        <v>0</v>
      </c>
      <c r="K228">
        <f t="shared" si="42"/>
        <v>0</v>
      </c>
      <c r="L228">
        <f t="shared" si="43"/>
        <v>0</v>
      </c>
      <c r="M228">
        <f t="shared" si="44"/>
        <v>0</v>
      </c>
      <c r="N228">
        <f t="shared" si="45"/>
        <v>0</v>
      </c>
      <c r="O228">
        <f t="shared" si="46"/>
        <v>1</v>
      </c>
      <c r="P228">
        <f t="shared" si="47"/>
        <v>0</v>
      </c>
    </row>
    <row r="229" spans="1:16" x14ac:dyDescent="0.25">
      <c r="A229" t="s">
        <v>321</v>
      </c>
      <c r="B229" t="s">
        <v>11</v>
      </c>
      <c r="C229" s="1">
        <v>32790</v>
      </c>
      <c r="D229" t="s">
        <v>6</v>
      </c>
      <c r="E229">
        <f t="shared" si="36"/>
        <v>0</v>
      </c>
      <c r="F229">
        <f t="shared" si="37"/>
        <v>0</v>
      </c>
      <c r="G229">
        <f t="shared" si="38"/>
        <v>0</v>
      </c>
      <c r="H229">
        <f t="shared" si="39"/>
        <v>0</v>
      </c>
      <c r="I229">
        <f t="shared" si="40"/>
        <v>0</v>
      </c>
      <c r="J229">
        <f t="shared" si="41"/>
        <v>0</v>
      </c>
      <c r="K229">
        <f t="shared" si="42"/>
        <v>0</v>
      </c>
      <c r="L229">
        <f t="shared" si="43"/>
        <v>0</v>
      </c>
      <c r="M229">
        <f t="shared" si="44"/>
        <v>0</v>
      </c>
      <c r="N229">
        <f t="shared" si="45"/>
        <v>1</v>
      </c>
      <c r="O229">
        <f t="shared" si="46"/>
        <v>0</v>
      </c>
      <c r="P229">
        <f t="shared" si="47"/>
        <v>0</v>
      </c>
    </row>
    <row r="230" spans="1:16" x14ac:dyDescent="0.25">
      <c r="A230" t="s">
        <v>164</v>
      </c>
      <c r="B230" t="s">
        <v>322</v>
      </c>
      <c r="C230" s="1">
        <v>24303</v>
      </c>
      <c r="D230" t="s">
        <v>6</v>
      </c>
      <c r="E230">
        <f t="shared" si="36"/>
        <v>0</v>
      </c>
      <c r="F230">
        <f t="shared" si="37"/>
        <v>0</v>
      </c>
      <c r="G230">
        <f t="shared" si="38"/>
        <v>0</v>
      </c>
      <c r="H230">
        <f t="shared" si="39"/>
        <v>0</v>
      </c>
      <c r="I230">
        <f t="shared" si="40"/>
        <v>0</v>
      </c>
      <c r="J230">
        <f t="shared" si="41"/>
        <v>0</v>
      </c>
      <c r="K230">
        <f t="shared" si="42"/>
        <v>1</v>
      </c>
      <c r="L230">
        <f t="shared" si="43"/>
        <v>0</v>
      </c>
      <c r="M230">
        <f t="shared" si="44"/>
        <v>0</v>
      </c>
      <c r="N230">
        <f t="shared" si="45"/>
        <v>0</v>
      </c>
      <c r="O230">
        <f t="shared" si="46"/>
        <v>0</v>
      </c>
      <c r="P230">
        <f t="shared" si="47"/>
        <v>0</v>
      </c>
    </row>
    <row r="231" spans="1:16" x14ac:dyDescent="0.25">
      <c r="A231" t="s">
        <v>323</v>
      </c>
      <c r="B231" t="s">
        <v>300</v>
      </c>
      <c r="C231" s="1">
        <v>30747</v>
      </c>
      <c r="D231" t="s">
        <v>9</v>
      </c>
      <c r="E231">
        <f t="shared" si="36"/>
        <v>0</v>
      </c>
      <c r="F231">
        <f t="shared" si="37"/>
        <v>0</v>
      </c>
      <c r="G231">
        <f t="shared" si="38"/>
        <v>1</v>
      </c>
      <c r="H231">
        <f t="shared" si="39"/>
        <v>0</v>
      </c>
      <c r="I231">
        <f t="shared" si="40"/>
        <v>0</v>
      </c>
      <c r="J231">
        <f t="shared" si="41"/>
        <v>0</v>
      </c>
      <c r="K231">
        <f t="shared" si="42"/>
        <v>0</v>
      </c>
      <c r="L231">
        <f t="shared" si="43"/>
        <v>0</v>
      </c>
      <c r="M231">
        <f t="shared" si="44"/>
        <v>0</v>
      </c>
      <c r="N231">
        <f t="shared" si="45"/>
        <v>0</v>
      </c>
      <c r="O231">
        <f t="shared" si="46"/>
        <v>0</v>
      </c>
      <c r="P231">
        <f t="shared" si="47"/>
        <v>0</v>
      </c>
    </row>
    <row r="232" spans="1:16" x14ac:dyDescent="0.25">
      <c r="A232" t="s">
        <v>324</v>
      </c>
      <c r="B232" t="s">
        <v>49</v>
      </c>
      <c r="C232" s="1">
        <v>19853</v>
      </c>
      <c r="D232" t="s">
        <v>12</v>
      </c>
      <c r="E232">
        <f t="shared" si="36"/>
        <v>0</v>
      </c>
      <c r="F232">
        <f t="shared" si="37"/>
        <v>0</v>
      </c>
      <c r="G232">
        <f t="shared" si="38"/>
        <v>0</v>
      </c>
      <c r="H232">
        <f t="shared" si="39"/>
        <v>0</v>
      </c>
      <c r="I232">
        <f t="shared" si="40"/>
        <v>1</v>
      </c>
      <c r="J232">
        <f t="shared" si="41"/>
        <v>0</v>
      </c>
      <c r="K232">
        <f t="shared" si="42"/>
        <v>0</v>
      </c>
      <c r="L232">
        <f t="shared" si="43"/>
        <v>0</v>
      </c>
      <c r="M232">
        <f t="shared" si="44"/>
        <v>0</v>
      </c>
      <c r="N232">
        <f t="shared" si="45"/>
        <v>0</v>
      </c>
      <c r="O232">
        <f t="shared" si="46"/>
        <v>0</v>
      </c>
      <c r="P232">
        <f t="shared" si="47"/>
        <v>0</v>
      </c>
    </row>
    <row r="233" spans="1:16" x14ac:dyDescent="0.25">
      <c r="A233" t="s">
        <v>325</v>
      </c>
      <c r="B233" t="s">
        <v>20</v>
      </c>
      <c r="C233" s="1">
        <v>32147</v>
      </c>
      <c r="D233" t="s">
        <v>12</v>
      </c>
      <c r="E233">
        <f t="shared" si="36"/>
        <v>1</v>
      </c>
      <c r="F233">
        <f t="shared" si="37"/>
        <v>0</v>
      </c>
      <c r="G233">
        <f t="shared" si="38"/>
        <v>0</v>
      </c>
      <c r="H233">
        <f t="shared" si="39"/>
        <v>0</v>
      </c>
      <c r="I233">
        <f t="shared" si="40"/>
        <v>0</v>
      </c>
      <c r="J233">
        <f t="shared" si="41"/>
        <v>0</v>
      </c>
      <c r="K233">
        <f t="shared" si="42"/>
        <v>0</v>
      </c>
      <c r="L233">
        <f t="shared" si="43"/>
        <v>0</v>
      </c>
      <c r="M233">
        <f t="shared" si="44"/>
        <v>0</v>
      </c>
      <c r="N233">
        <f t="shared" si="45"/>
        <v>0</v>
      </c>
      <c r="O233">
        <f t="shared" si="46"/>
        <v>0</v>
      </c>
      <c r="P233">
        <f t="shared" si="47"/>
        <v>0</v>
      </c>
    </row>
    <row r="234" spans="1:16" x14ac:dyDescent="0.25">
      <c r="A234" t="s">
        <v>326</v>
      </c>
      <c r="B234" t="s">
        <v>327</v>
      </c>
      <c r="C234" s="1">
        <v>17904</v>
      </c>
      <c r="D234" t="s">
        <v>12</v>
      </c>
      <c r="E234">
        <f t="shared" si="36"/>
        <v>1</v>
      </c>
      <c r="F234">
        <f t="shared" si="37"/>
        <v>0</v>
      </c>
      <c r="G234">
        <f t="shared" si="38"/>
        <v>0</v>
      </c>
      <c r="H234">
        <f t="shared" si="39"/>
        <v>0</v>
      </c>
      <c r="I234">
        <f t="shared" si="40"/>
        <v>0</v>
      </c>
      <c r="J234">
        <f t="shared" si="41"/>
        <v>0</v>
      </c>
      <c r="K234">
        <f t="shared" si="42"/>
        <v>0</v>
      </c>
      <c r="L234">
        <f t="shared" si="43"/>
        <v>0</v>
      </c>
      <c r="M234">
        <f t="shared" si="44"/>
        <v>0</v>
      </c>
      <c r="N234">
        <f t="shared" si="45"/>
        <v>0</v>
      </c>
      <c r="O234">
        <f t="shared" si="46"/>
        <v>0</v>
      </c>
      <c r="P234">
        <f t="shared" si="47"/>
        <v>0</v>
      </c>
    </row>
    <row r="235" spans="1:16" x14ac:dyDescent="0.25">
      <c r="A235" t="s">
        <v>328</v>
      </c>
      <c r="B235" t="s">
        <v>157</v>
      </c>
      <c r="C235" s="1">
        <v>20057</v>
      </c>
      <c r="D235" t="s">
        <v>12</v>
      </c>
      <c r="E235">
        <f t="shared" si="36"/>
        <v>0</v>
      </c>
      <c r="F235">
        <f t="shared" si="37"/>
        <v>0</v>
      </c>
      <c r="G235">
        <f t="shared" si="38"/>
        <v>0</v>
      </c>
      <c r="H235">
        <f t="shared" si="39"/>
        <v>0</v>
      </c>
      <c r="I235">
        <f t="shared" si="40"/>
        <v>0</v>
      </c>
      <c r="J235">
        <f t="shared" si="41"/>
        <v>0</v>
      </c>
      <c r="K235">
        <f t="shared" si="42"/>
        <v>0</v>
      </c>
      <c r="L235">
        <f t="shared" si="43"/>
        <v>0</v>
      </c>
      <c r="M235">
        <f t="shared" si="44"/>
        <v>0</v>
      </c>
      <c r="N235">
        <f t="shared" si="45"/>
        <v>0</v>
      </c>
      <c r="O235">
        <f t="shared" si="46"/>
        <v>1</v>
      </c>
      <c r="P235">
        <f t="shared" si="47"/>
        <v>0</v>
      </c>
    </row>
    <row r="236" spans="1:16" x14ac:dyDescent="0.25">
      <c r="A236" t="s">
        <v>329</v>
      </c>
      <c r="B236" t="s">
        <v>146</v>
      </c>
      <c r="C236" s="1">
        <v>30863</v>
      </c>
      <c r="D236" t="s">
        <v>9</v>
      </c>
      <c r="E236">
        <f t="shared" si="36"/>
        <v>0</v>
      </c>
      <c r="F236">
        <f t="shared" si="37"/>
        <v>0</v>
      </c>
      <c r="G236">
        <f t="shared" si="38"/>
        <v>0</v>
      </c>
      <c r="H236">
        <f t="shared" si="39"/>
        <v>0</v>
      </c>
      <c r="I236">
        <f t="shared" si="40"/>
        <v>0</v>
      </c>
      <c r="J236">
        <f t="shared" si="41"/>
        <v>1</v>
      </c>
      <c r="K236">
        <f t="shared" si="42"/>
        <v>0</v>
      </c>
      <c r="L236">
        <f t="shared" si="43"/>
        <v>0</v>
      </c>
      <c r="M236">
        <f t="shared" si="44"/>
        <v>0</v>
      </c>
      <c r="N236">
        <f t="shared" si="45"/>
        <v>0</v>
      </c>
      <c r="O236">
        <f t="shared" si="46"/>
        <v>0</v>
      </c>
      <c r="P236">
        <f t="shared" si="47"/>
        <v>0</v>
      </c>
    </row>
    <row r="237" spans="1:16" x14ac:dyDescent="0.25">
      <c r="A237" t="s">
        <v>330</v>
      </c>
      <c r="B237" t="s">
        <v>139</v>
      </c>
      <c r="C237" s="1">
        <v>22435</v>
      </c>
      <c r="D237" t="s">
        <v>6</v>
      </c>
      <c r="E237">
        <f t="shared" si="36"/>
        <v>0</v>
      </c>
      <c r="F237">
        <f t="shared" si="37"/>
        <v>0</v>
      </c>
      <c r="G237">
        <f t="shared" si="38"/>
        <v>0</v>
      </c>
      <c r="H237">
        <f t="shared" si="39"/>
        <v>0</v>
      </c>
      <c r="I237">
        <f t="shared" si="40"/>
        <v>0</v>
      </c>
      <c r="J237">
        <f t="shared" si="41"/>
        <v>1</v>
      </c>
      <c r="K237">
        <f t="shared" si="42"/>
        <v>0</v>
      </c>
      <c r="L237">
        <f t="shared" si="43"/>
        <v>0</v>
      </c>
      <c r="M237">
        <f t="shared" si="44"/>
        <v>0</v>
      </c>
      <c r="N237">
        <f t="shared" si="45"/>
        <v>0</v>
      </c>
      <c r="O237">
        <f t="shared" si="46"/>
        <v>0</v>
      </c>
      <c r="P237">
        <f t="shared" si="47"/>
        <v>0</v>
      </c>
    </row>
    <row r="238" spans="1:16" x14ac:dyDescent="0.25">
      <c r="A238" t="s">
        <v>130</v>
      </c>
      <c r="B238" t="s">
        <v>84</v>
      </c>
      <c r="C238" s="1">
        <v>17048</v>
      </c>
      <c r="D238" t="s">
        <v>12</v>
      </c>
      <c r="E238">
        <f t="shared" si="36"/>
        <v>0</v>
      </c>
      <c r="F238">
        <f t="shared" si="37"/>
        <v>0</v>
      </c>
      <c r="G238">
        <f t="shared" si="38"/>
        <v>0</v>
      </c>
      <c r="H238">
        <f t="shared" si="39"/>
        <v>0</v>
      </c>
      <c r="I238">
        <f t="shared" si="40"/>
        <v>0</v>
      </c>
      <c r="J238">
        <f t="shared" si="41"/>
        <v>0</v>
      </c>
      <c r="K238">
        <f t="shared" si="42"/>
        <v>0</v>
      </c>
      <c r="L238">
        <f t="shared" si="43"/>
        <v>0</v>
      </c>
      <c r="M238">
        <f t="shared" si="44"/>
        <v>1</v>
      </c>
      <c r="N238">
        <f t="shared" si="45"/>
        <v>0</v>
      </c>
      <c r="O238">
        <f t="shared" si="46"/>
        <v>0</v>
      </c>
      <c r="P238">
        <f t="shared" si="47"/>
        <v>0</v>
      </c>
    </row>
    <row r="239" spans="1:16" x14ac:dyDescent="0.25">
      <c r="A239" t="s">
        <v>331</v>
      </c>
      <c r="B239" t="s">
        <v>332</v>
      </c>
      <c r="C239" s="1">
        <v>24732</v>
      </c>
      <c r="D239" t="s">
        <v>6</v>
      </c>
      <c r="E239">
        <f t="shared" si="36"/>
        <v>0</v>
      </c>
      <c r="F239">
        <f t="shared" si="37"/>
        <v>0</v>
      </c>
      <c r="G239">
        <f t="shared" si="38"/>
        <v>0</v>
      </c>
      <c r="H239">
        <f t="shared" si="39"/>
        <v>0</v>
      </c>
      <c r="I239">
        <f t="shared" si="40"/>
        <v>0</v>
      </c>
      <c r="J239">
        <f t="shared" si="41"/>
        <v>0</v>
      </c>
      <c r="K239">
        <f t="shared" si="42"/>
        <v>0</v>
      </c>
      <c r="L239">
        <f t="shared" si="43"/>
        <v>0</v>
      </c>
      <c r="M239">
        <f t="shared" si="44"/>
        <v>1</v>
      </c>
      <c r="N239">
        <f t="shared" si="45"/>
        <v>0</v>
      </c>
      <c r="O239">
        <f t="shared" si="46"/>
        <v>0</v>
      </c>
      <c r="P239">
        <f t="shared" si="47"/>
        <v>0</v>
      </c>
    </row>
    <row r="240" spans="1:16" x14ac:dyDescent="0.25">
      <c r="A240" t="s">
        <v>333</v>
      </c>
      <c r="B240" t="s">
        <v>11</v>
      </c>
      <c r="C240" s="1">
        <v>18589</v>
      </c>
      <c r="D240" t="s">
        <v>6</v>
      </c>
      <c r="E240">
        <f t="shared" si="36"/>
        <v>0</v>
      </c>
      <c r="F240">
        <f t="shared" si="37"/>
        <v>0</v>
      </c>
      <c r="G240">
        <f t="shared" si="38"/>
        <v>0</v>
      </c>
      <c r="H240">
        <f t="shared" si="39"/>
        <v>0</v>
      </c>
      <c r="I240">
        <f t="shared" si="40"/>
        <v>0</v>
      </c>
      <c r="J240">
        <f t="shared" si="41"/>
        <v>0</v>
      </c>
      <c r="K240">
        <f t="shared" si="42"/>
        <v>0</v>
      </c>
      <c r="L240">
        <f t="shared" si="43"/>
        <v>0</v>
      </c>
      <c r="M240">
        <f t="shared" si="44"/>
        <v>0</v>
      </c>
      <c r="N240">
        <f t="shared" si="45"/>
        <v>0</v>
      </c>
      <c r="O240">
        <f t="shared" si="46"/>
        <v>1</v>
      </c>
      <c r="P240">
        <f t="shared" si="47"/>
        <v>0</v>
      </c>
    </row>
    <row r="241" spans="1:16" x14ac:dyDescent="0.25">
      <c r="A241" t="s">
        <v>334</v>
      </c>
      <c r="B241" t="s">
        <v>49</v>
      </c>
      <c r="C241" s="1">
        <v>20727</v>
      </c>
      <c r="D241" t="s">
        <v>12</v>
      </c>
      <c r="E241">
        <f t="shared" si="36"/>
        <v>0</v>
      </c>
      <c r="F241">
        <f t="shared" si="37"/>
        <v>0</v>
      </c>
      <c r="G241">
        <f t="shared" si="38"/>
        <v>0</v>
      </c>
      <c r="H241">
        <f t="shared" si="39"/>
        <v>0</v>
      </c>
      <c r="I241">
        <f t="shared" si="40"/>
        <v>0</v>
      </c>
      <c r="J241">
        <f t="shared" si="41"/>
        <v>0</v>
      </c>
      <c r="K241">
        <f t="shared" si="42"/>
        <v>0</v>
      </c>
      <c r="L241">
        <f t="shared" si="43"/>
        <v>0</v>
      </c>
      <c r="M241">
        <f t="shared" si="44"/>
        <v>1</v>
      </c>
      <c r="N241">
        <f t="shared" si="45"/>
        <v>0</v>
      </c>
      <c r="O241">
        <f t="shared" si="46"/>
        <v>0</v>
      </c>
      <c r="P241">
        <f t="shared" si="47"/>
        <v>0</v>
      </c>
    </row>
    <row r="242" spans="1:16" x14ac:dyDescent="0.25">
      <c r="A242" t="s">
        <v>335</v>
      </c>
      <c r="B242" t="s">
        <v>114</v>
      </c>
      <c r="C242" s="1">
        <v>23401</v>
      </c>
      <c r="D242" t="s">
        <v>6</v>
      </c>
      <c r="E242">
        <f t="shared" si="36"/>
        <v>1</v>
      </c>
      <c r="F242">
        <f t="shared" si="37"/>
        <v>0</v>
      </c>
      <c r="G242">
        <f t="shared" si="38"/>
        <v>0</v>
      </c>
      <c r="H242">
        <f t="shared" si="39"/>
        <v>0</v>
      </c>
      <c r="I242">
        <f t="shared" si="40"/>
        <v>0</v>
      </c>
      <c r="J242">
        <f t="shared" si="41"/>
        <v>0</v>
      </c>
      <c r="K242">
        <f t="shared" si="42"/>
        <v>0</v>
      </c>
      <c r="L242">
        <f t="shared" si="43"/>
        <v>0</v>
      </c>
      <c r="M242">
        <f t="shared" si="44"/>
        <v>0</v>
      </c>
      <c r="N242">
        <f t="shared" si="45"/>
        <v>0</v>
      </c>
      <c r="O242">
        <f t="shared" si="46"/>
        <v>0</v>
      </c>
      <c r="P242">
        <f t="shared" si="47"/>
        <v>0</v>
      </c>
    </row>
    <row r="243" spans="1:16" x14ac:dyDescent="0.25">
      <c r="A243" t="s">
        <v>336</v>
      </c>
      <c r="B243" t="s">
        <v>337</v>
      </c>
      <c r="C243" s="1">
        <v>17084</v>
      </c>
      <c r="D243" t="s">
        <v>6</v>
      </c>
      <c r="E243">
        <f t="shared" si="36"/>
        <v>0</v>
      </c>
      <c r="F243">
        <f t="shared" si="37"/>
        <v>0</v>
      </c>
      <c r="G243">
        <f t="shared" si="38"/>
        <v>0</v>
      </c>
      <c r="H243">
        <f t="shared" si="39"/>
        <v>0</v>
      </c>
      <c r="I243">
        <f t="shared" si="40"/>
        <v>0</v>
      </c>
      <c r="J243">
        <f t="shared" si="41"/>
        <v>0</v>
      </c>
      <c r="K243">
        <f t="shared" si="42"/>
        <v>0</v>
      </c>
      <c r="L243">
        <f t="shared" si="43"/>
        <v>0</v>
      </c>
      <c r="M243">
        <f t="shared" si="44"/>
        <v>0</v>
      </c>
      <c r="N243">
        <f t="shared" si="45"/>
        <v>1</v>
      </c>
      <c r="O243">
        <f t="shared" si="46"/>
        <v>0</v>
      </c>
      <c r="P243">
        <f t="shared" si="47"/>
        <v>0</v>
      </c>
    </row>
    <row r="244" spans="1:16" x14ac:dyDescent="0.25">
      <c r="A244" t="s">
        <v>338</v>
      </c>
      <c r="B244" t="s">
        <v>8</v>
      </c>
      <c r="C244" s="1">
        <v>30481</v>
      </c>
      <c r="D244" t="s">
        <v>12</v>
      </c>
      <c r="E244">
        <f t="shared" si="36"/>
        <v>0</v>
      </c>
      <c r="F244">
        <f t="shared" si="37"/>
        <v>0</v>
      </c>
      <c r="G244">
        <f t="shared" si="38"/>
        <v>0</v>
      </c>
      <c r="H244">
        <f t="shared" si="39"/>
        <v>0</v>
      </c>
      <c r="I244">
        <f t="shared" si="40"/>
        <v>0</v>
      </c>
      <c r="J244">
        <f t="shared" si="41"/>
        <v>1</v>
      </c>
      <c r="K244">
        <f t="shared" si="42"/>
        <v>0</v>
      </c>
      <c r="L244">
        <f t="shared" si="43"/>
        <v>0</v>
      </c>
      <c r="M244">
        <f t="shared" si="44"/>
        <v>0</v>
      </c>
      <c r="N244">
        <f t="shared" si="45"/>
        <v>0</v>
      </c>
      <c r="O244">
        <f t="shared" si="46"/>
        <v>0</v>
      </c>
      <c r="P244">
        <f t="shared" si="47"/>
        <v>0</v>
      </c>
    </row>
    <row r="245" spans="1:16" x14ac:dyDescent="0.25">
      <c r="A245" t="s">
        <v>339</v>
      </c>
      <c r="B245" t="s">
        <v>20</v>
      </c>
      <c r="C245" s="1">
        <v>20651</v>
      </c>
      <c r="D245" t="s">
        <v>12</v>
      </c>
      <c r="E245">
        <f t="shared" si="36"/>
        <v>0</v>
      </c>
      <c r="F245">
        <f t="shared" si="37"/>
        <v>0</v>
      </c>
      <c r="G245">
        <f t="shared" si="38"/>
        <v>0</v>
      </c>
      <c r="H245">
        <f t="shared" si="39"/>
        <v>0</v>
      </c>
      <c r="I245">
        <f t="shared" si="40"/>
        <v>0</v>
      </c>
      <c r="J245">
        <f t="shared" si="41"/>
        <v>0</v>
      </c>
      <c r="K245">
        <f t="shared" si="42"/>
        <v>1</v>
      </c>
      <c r="L245">
        <f t="shared" si="43"/>
        <v>0</v>
      </c>
      <c r="M245">
        <f t="shared" si="44"/>
        <v>0</v>
      </c>
      <c r="N245">
        <f t="shared" si="45"/>
        <v>0</v>
      </c>
      <c r="O245">
        <f t="shared" si="46"/>
        <v>0</v>
      </c>
      <c r="P245">
        <f t="shared" si="47"/>
        <v>0</v>
      </c>
    </row>
    <row r="246" spans="1:16" x14ac:dyDescent="0.25">
      <c r="A246" t="s">
        <v>340</v>
      </c>
      <c r="B246" t="s">
        <v>185</v>
      </c>
      <c r="C246" s="1">
        <v>32580</v>
      </c>
      <c r="D246" t="s">
        <v>12</v>
      </c>
      <c r="E246">
        <f t="shared" si="36"/>
        <v>0</v>
      </c>
      <c r="F246">
        <f t="shared" si="37"/>
        <v>0</v>
      </c>
      <c r="G246">
        <f t="shared" si="38"/>
        <v>1</v>
      </c>
      <c r="H246">
        <f t="shared" si="39"/>
        <v>0</v>
      </c>
      <c r="I246">
        <f t="shared" si="40"/>
        <v>0</v>
      </c>
      <c r="J246">
        <f t="shared" si="41"/>
        <v>0</v>
      </c>
      <c r="K246">
        <f t="shared" si="42"/>
        <v>0</v>
      </c>
      <c r="L246">
        <f t="shared" si="43"/>
        <v>0</v>
      </c>
      <c r="M246">
        <f t="shared" si="44"/>
        <v>0</v>
      </c>
      <c r="N246">
        <f t="shared" si="45"/>
        <v>0</v>
      </c>
      <c r="O246">
        <f t="shared" si="46"/>
        <v>0</v>
      </c>
      <c r="P246">
        <f t="shared" si="47"/>
        <v>0</v>
      </c>
    </row>
    <row r="247" spans="1:16" x14ac:dyDescent="0.25">
      <c r="A247" t="s">
        <v>341</v>
      </c>
      <c r="B247" t="s">
        <v>139</v>
      </c>
      <c r="C247" s="1">
        <v>18233</v>
      </c>
      <c r="D247" t="s">
        <v>12</v>
      </c>
      <c r="E247">
        <f t="shared" si="36"/>
        <v>0</v>
      </c>
      <c r="F247">
        <f t="shared" si="37"/>
        <v>0</v>
      </c>
      <c r="G247">
        <f t="shared" si="38"/>
        <v>0</v>
      </c>
      <c r="H247">
        <f t="shared" si="39"/>
        <v>0</v>
      </c>
      <c r="I247">
        <f t="shared" si="40"/>
        <v>0</v>
      </c>
      <c r="J247">
        <f t="shared" si="41"/>
        <v>0</v>
      </c>
      <c r="K247">
        <f t="shared" si="42"/>
        <v>0</v>
      </c>
      <c r="L247">
        <f t="shared" si="43"/>
        <v>0</v>
      </c>
      <c r="M247">
        <f t="shared" si="44"/>
        <v>0</v>
      </c>
      <c r="N247">
        <f t="shared" si="45"/>
        <v>0</v>
      </c>
      <c r="O247">
        <f t="shared" si="46"/>
        <v>0</v>
      </c>
      <c r="P247">
        <f t="shared" si="47"/>
        <v>1</v>
      </c>
    </row>
    <row r="248" spans="1:16" x14ac:dyDescent="0.25">
      <c r="A248" t="s">
        <v>342</v>
      </c>
      <c r="B248" t="s">
        <v>177</v>
      </c>
      <c r="C248" s="1">
        <v>24225</v>
      </c>
      <c r="D248" t="s">
        <v>6</v>
      </c>
      <c r="E248">
        <f t="shared" si="36"/>
        <v>0</v>
      </c>
      <c r="F248">
        <f t="shared" si="37"/>
        <v>0</v>
      </c>
      <c r="G248">
        <f t="shared" si="38"/>
        <v>0</v>
      </c>
      <c r="H248">
        <f t="shared" si="39"/>
        <v>1</v>
      </c>
      <c r="I248">
        <f t="shared" si="40"/>
        <v>0</v>
      </c>
      <c r="J248">
        <f t="shared" si="41"/>
        <v>0</v>
      </c>
      <c r="K248">
        <f t="shared" si="42"/>
        <v>0</v>
      </c>
      <c r="L248">
        <f t="shared" si="43"/>
        <v>0</v>
      </c>
      <c r="M248">
        <f t="shared" si="44"/>
        <v>0</v>
      </c>
      <c r="N248">
        <f t="shared" si="45"/>
        <v>0</v>
      </c>
      <c r="O248">
        <f t="shared" si="46"/>
        <v>0</v>
      </c>
      <c r="P248">
        <f t="shared" si="47"/>
        <v>0</v>
      </c>
    </row>
    <row r="249" spans="1:16" x14ac:dyDescent="0.25">
      <c r="A249" t="s">
        <v>343</v>
      </c>
      <c r="B249" t="s">
        <v>45</v>
      </c>
      <c r="C249" s="1">
        <v>27299</v>
      </c>
      <c r="D249" t="s">
        <v>6</v>
      </c>
      <c r="E249">
        <f t="shared" si="36"/>
        <v>0</v>
      </c>
      <c r="F249">
        <f t="shared" si="37"/>
        <v>0</v>
      </c>
      <c r="G249">
        <f t="shared" si="38"/>
        <v>0</v>
      </c>
      <c r="H249">
        <f t="shared" si="39"/>
        <v>0</v>
      </c>
      <c r="I249">
        <f t="shared" si="40"/>
        <v>0</v>
      </c>
      <c r="J249">
        <f t="shared" si="41"/>
        <v>0</v>
      </c>
      <c r="K249">
        <f t="shared" si="42"/>
        <v>0</v>
      </c>
      <c r="L249">
        <f t="shared" si="43"/>
        <v>0</v>
      </c>
      <c r="M249">
        <f t="shared" si="44"/>
        <v>1</v>
      </c>
      <c r="N249">
        <f t="shared" si="45"/>
        <v>0</v>
      </c>
      <c r="O249">
        <f t="shared" si="46"/>
        <v>0</v>
      </c>
      <c r="P249">
        <f t="shared" si="47"/>
        <v>0</v>
      </c>
    </row>
    <row r="250" spans="1:16" x14ac:dyDescent="0.25">
      <c r="A250" t="s">
        <v>344</v>
      </c>
      <c r="B250" t="s">
        <v>345</v>
      </c>
      <c r="C250" s="1">
        <v>18398</v>
      </c>
      <c r="D250" t="s">
        <v>12</v>
      </c>
      <c r="E250">
        <f t="shared" si="36"/>
        <v>0</v>
      </c>
      <c r="F250">
        <f t="shared" si="37"/>
        <v>0</v>
      </c>
      <c r="G250">
        <f t="shared" si="38"/>
        <v>0</v>
      </c>
      <c r="H250">
        <f t="shared" si="39"/>
        <v>0</v>
      </c>
      <c r="I250">
        <f t="shared" si="40"/>
        <v>1</v>
      </c>
      <c r="J250">
        <f t="shared" si="41"/>
        <v>0</v>
      </c>
      <c r="K250">
        <f t="shared" si="42"/>
        <v>0</v>
      </c>
      <c r="L250">
        <f t="shared" si="43"/>
        <v>0</v>
      </c>
      <c r="M250">
        <f t="shared" si="44"/>
        <v>0</v>
      </c>
      <c r="N250">
        <f t="shared" si="45"/>
        <v>0</v>
      </c>
      <c r="O250">
        <f t="shared" si="46"/>
        <v>0</v>
      </c>
      <c r="P250">
        <f t="shared" si="47"/>
        <v>0</v>
      </c>
    </row>
    <row r="251" spans="1:16" x14ac:dyDescent="0.25">
      <c r="A251" t="s">
        <v>329</v>
      </c>
      <c r="B251" t="s">
        <v>194</v>
      </c>
      <c r="C251" s="1">
        <v>34400</v>
      </c>
      <c r="D251" t="s">
        <v>12</v>
      </c>
      <c r="E251">
        <f t="shared" si="36"/>
        <v>0</v>
      </c>
      <c r="F251">
        <f t="shared" si="37"/>
        <v>0</v>
      </c>
      <c r="G251">
        <f t="shared" si="38"/>
        <v>1</v>
      </c>
      <c r="H251">
        <f t="shared" si="39"/>
        <v>0</v>
      </c>
      <c r="I251">
        <f t="shared" si="40"/>
        <v>0</v>
      </c>
      <c r="J251">
        <f t="shared" si="41"/>
        <v>0</v>
      </c>
      <c r="K251">
        <f t="shared" si="42"/>
        <v>0</v>
      </c>
      <c r="L251">
        <f t="shared" si="43"/>
        <v>0</v>
      </c>
      <c r="M251">
        <f t="shared" si="44"/>
        <v>0</v>
      </c>
      <c r="N251">
        <f t="shared" si="45"/>
        <v>0</v>
      </c>
      <c r="O251">
        <f t="shared" si="46"/>
        <v>0</v>
      </c>
      <c r="P251">
        <f t="shared" si="47"/>
        <v>0</v>
      </c>
    </row>
    <row r="252" spans="1:16" x14ac:dyDescent="0.25">
      <c r="A252" t="s">
        <v>51</v>
      </c>
      <c r="B252" t="s">
        <v>346</v>
      </c>
      <c r="C252" s="1">
        <v>21513</v>
      </c>
      <c r="D252" t="s">
        <v>12</v>
      </c>
      <c r="E252">
        <f t="shared" si="36"/>
        <v>0</v>
      </c>
      <c r="F252">
        <f t="shared" si="37"/>
        <v>0</v>
      </c>
      <c r="G252">
        <f t="shared" si="38"/>
        <v>0</v>
      </c>
      <c r="H252">
        <f t="shared" si="39"/>
        <v>0</v>
      </c>
      <c r="I252">
        <f t="shared" si="40"/>
        <v>0</v>
      </c>
      <c r="J252">
        <f t="shared" si="41"/>
        <v>0</v>
      </c>
      <c r="K252">
        <f t="shared" si="42"/>
        <v>0</v>
      </c>
      <c r="L252">
        <f t="shared" si="43"/>
        <v>0</v>
      </c>
      <c r="M252">
        <f t="shared" si="44"/>
        <v>0</v>
      </c>
      <c r="N252">
        <f t="shared" si="45"/>
        <v>0</v>
      </c>
      <c r="O252">
        <f t="shared" si="46"/>
        <v>1</v>
      </c>
      <c r="P252">
        <f t="shared" si="47"/>
        <v>0</v>
      </c>
    </row>
    <row r="253" spans="1:16" x14ac:dyDescent="0.25">
      <c r="A253" t="s">
        <v>347</v>
      </c>
      <c r="B253" t="s">
        <v>236</v>
      </c>
      <c r="C253" s="1">
        <v>31749</v>
      </c>
      <c r="D253" t="s">
        <v>6</v>
      </c>
      <c r="E253">
        <f t="shared" si="36"/>
        <v>0</v>
      </c>
      <c r="F253">
        <f t="shared" si="37"/>
        <v>0</v>
      </c>
      <c r="G253">
        <f t="shared" si="38"/>
        <v>0</v>
      </c>
      <c r="H253">
        <f t="shared" si="39"/>
        <v>0</v>
      </c>
      <c r="I253">
        <f t="shared" si="40"/>
        <v>0</v>
      </c>
      <c r="J253">
        <f t="shared" si="41"/>
        <v>0</v>
      </c>
      <c r="K253">
        <f t="shared" si="42"/>
        <v>0</v>
      </c>
      <c r="L253">
        <f t="shared" si="43"/>
        <v>0</v>
      </c>
      <c r="M253">
        <f t="shared" si="44"/>
        <v>0</v>
      </c>
      <c r="N253">
        <f t="shared" si="45"/>
        <v>0</v>
      </c>
      <c r="O253">
        <f t="shared" si="46"/>
        <v>0</v>
      </c>
      <c r="P253">
        <f t="shared" si="47"/>
        <v>1</v>
      </c>
    </row>
    <row r="254" spans="1:16" x14ac:dyDescent="0.25">
      <c r="A254" t="s">
        <v>348</v>
      </c>
      <c r="B254" t="s">
        <v>5</v>
      </c>
      <c r="C254" s="1">
        <v>34235</v>
      </c>
      <c r="D254" t="s">
        <v>6</v>
      </c>
      <c r="E254">
        <f t="shared" si="36"/>
        <v>0</v>
      </c>
      <c r="F254">
        <f t="shared" si="37"/>
        <v>0</v>
      </c>
      <c r="G254">
        <f t="shared" si="38"/>
        <v>0</v>
      </c>
      <c r="H254">
        <f t="shared" si="39"/>
        <v>0</v>
      </c>
      <c r="I254">
        <f t="shared" si="40"/>
        <v>0</v>
      </c>
      <c r="J254">
        <f t="shared" si="41"/>
        <v>0</v>
      </c>
      <c r="K254">
        <f t="shared" si="42"/>
        <v>0</v>
      </c>
      <c r="L254">
        <f t="shared" si="43"/>
        <v>0</v>
      </c>
      <c r="M254">
        <f t="shared" si="44"/>
        <v>1</v>
      </c>
      <c r="N254">
        <f t="shared" si="45"/>
        <v>0</v>
      </c>
      <c r="O254">
        <f t="shared" si="46"/>
        <v>0</v>
      </c>
      <c r="P254">
        <f t="shared" si="47"/>
        <v>0</v>
      </c>
    </row>
    <row r="255" spans="1:16" x14ac:dyDescent="0.25">
      <c r="A255" t="s">
        <v>349</v>
      </c>
      <c r="B255" t="s">
        <v>131</v>
      </c>
      <c r="C255" s="1">
        <v>19183</v>
      </c>
      <c r="D255" t="s">
        <v>9</v>
      </c>
      <c r="E255">
        <f t="shared" si="36"/>
        <v>0</v>
      </c>
      <c r="F255">
        <f t="shared" si="37"/>
        <v>0</v>
      </c>
      <c r="G255">
        <f t="shared" si="38"/>
        <v>0</v>
      </c>
      <c r="H255">
        <f t="shared" si="39"/>
        <v>0</v>
      </c>
      <c r="I255">
        <f t="shared" si="40"/>
        <v>0</v>
      </c>
      <c r="J255">
        <f t="shared" si="41"/>
        <v>0</v>
      </c>
      <c r="K255">
        <f t="shared" si="42"/>
        <v>1</v>
      </c>
      <c r="L255">
        <f t="shared" si="43"/>
        <v>0</v>
      </c>
      <c r="M255">
        <f t="shared" si="44"/>
        <v>0</v>
      </c>
      <c r="N255">
        <f t="shared" si="45"/>
        <v>0</v>
      </c>
      <c r="O255">
        <f t="shared" si="46"/>
        <v>0</v>
      </c>
      <c r="P255">
        <f t="shared" si="47"/>
        <v>0</v>
      </c>
    </row>
    <row r="256" spans="1:16" x14ac:dyDescent="0.25">
      <c r="A256" t="s">
        <v>350</v>
      </c>
      <c r="B256" t="s">
        <v>8</v>
      </c>
      <c r="C256" s="1">
        <v>27424</v>
      </c>
      <c r="D256" t="s">
        <v>12</v>
      </c>
      <c r="E256">
        <f t="shared" si="36"/>
        <v>1</v>
      </c>
      <c r="F256">
        <f t="shared" si="37"/>
        <v>0</v>
      </c>
      <c r="G256">
        <f t="shared" si="38"/>
        <v>0</v>
      </c>
      <c r="H256">
        <f t="shared" si="39"/>
        <v>0</v>
      </c>
      <c r="I256">
        <f t="shared" si="40"/>
        <v>0</v>
      </c>
      <c r="J256">
        <f t="shared" si="41"/>
        <v>0</v>
      </c>
      <c r="K256">
        <f t="shared" si="42"/>
        <v>0</v>
      </c>
      <c r="L256">
        <f t="shared" si="43"/>
        <v>0</v>
      </c>
      <c r="M256">
        <f t="shared" si="44"/>
        <v>0</v>
      </c>
      <c r="N256">
        <f t="shared" si="45"/>
        <v>0</v>
      </c>
      <c r="O256">
        <f t="shared" si="46"/>
        <v>0</v>
      </c>
      <c r="P256">
        <f t="shared" si="47"/>
        <v>0</v>
      </c>
    </row>
    <row r="257" spans="1:16" x14ac:dyDescent="0.25">
      <c r="A257" t="s">
        <v>351</v>
      </c>
      <c r="B257" t="s">
        <v>152</v>
      </c>
      <c r="C257" s="1">
        <v>23665</v>
      </c>
      <c r="D257" t="s">
        <v>12</v>
      </c>
      <c r="E257">
        <f t="shared" si="36"/>
        <v>0</v>
      </c>
      <c r="F257">
        <f t="shared" si="37"/>
        <v>0</v>
      </c>
      <c r="G257">
        <f t="shared" si="38"/>
        <v>0</v>
      </c>
      <c r="H257">
        <f t="shared" si="39"/>
        <v>0</v>
      </c>
      <c r="I257">
        <f t="shared" si="40"/>
        <v>0</v>
      </c>
      <c r="J257">
        <f t="shared" si="41"/>
        <v>0</v>
      </c>
      <c r="K257">
        <f t="shared" si="42"/>
        <v>0</v>
      </c>
      <c r="L257">
        <f t="shared" si="43"/>
        <v>0</v>
      </c>
      <c r="M257">
        <f t="shared" si="44"/>
        <v>0</v>
      </c>
      <c r="N257">
        <f t="shared" si="45"/>
        <v>1</v>
      </c>
      <c r="O257">
        <f t="shared" si="46"/>
        <v>0</v>
      </c>
      <c r="P257">
        <f t="shared" si="47"/>
        <v>0</v>
      </c>
    </row>
    <row r="258" spans="1:16" x14ac:dyDescent="0.25">
      <c r="A258" t="s">
        <v>352</v>
      </c>
      <c r="B258" t="s">
        <v>11</v>
      </c>
      <c r="C258" s="1">
        <v>17649</v>
      </c>
      <c r="D258" t="s">
        <v>6</v>
      </c>
      <c r="E258">
        <f t="shared" si="36"/>
        <v>0</v>
      </c>
      <c r="F258">
        <f t="shared" si="37"/>
        <v>0</v>
      </c>
      <c r="G258">
        <f t="shared" si="38"/>
        <v>0</v>
      </c>
      <c r="H258">
        <f t="shared" si="39"/>
        <v>1</v>
      </c>
      <c r="I258">
        <f t="shared" si="40"/>
        <v>0</v>
      </c>
      <c r="J258">
        <f t="shared" si="41"/>
        <v>0</v>
      </c>
      <c r="K258">
        <f t="shared" si="42"/>
        <v>0</v>
      </c>
      <c r="L258">
        <f t="shared" si="43"/>
        <v>0</v>
      </c>
      <c r="M258">
        <f t="shared" si="44"/>
        <v>0</v>
      </c>
      <c r="N258">
        <f t="shared" si="45"/>
        <v>0</v>
      </c>
      <c r="O258">
        <f t="shared" si="46"/>
        <v>0</v>
      </c>
      <c r="P258">
        <f t="shared" si="47"/>
        <v>0</v>
      </c>
    </row>
    <row r="259" spans="1:16" x14ac:dyDescent="0.25">
      <c r="A259" t="s">
        <v>353</v>
      </c>
      <c r="B259" t="s">
        <v>354</v>
      </c>
      <c r="C259" s="1">
        <v>25530</v>
      </c>
      <c r="D259" t="s">
        <v>6</v>
      </c>
      <c r="E259">
        <f t="shared" ref="E259:E322" si="48">IF(MONTH(C259)=1,1,0)</f>
        <v>0</v>
      </c>
      <c r="F259">
        <f t="shared" ref="F259:F322" si="49">IF(MONTH(C259)=2,1,0)</f>
        <v>0</v>
      </c>
      <c r="G259">
        <f t="shared" ref="G259:G322" si="50">IF(MONTH(C259)=3,1,0)</f>
        <v>0</v>
      </c>
      <c r="H259">
        <f t="shared" ref="H259:H322" si="51">IF(MONTH($C259)=4,1,0)</f>
        <v>0</v>
      </c>
      <c r="I259">
        <f t="shared" ref="I259:I322" si="52">IF(MONTH($C259)=5,1,0)</f>
        <v>0</v>
      </c>
      <c r="J259">
        <f t="shared" ref="J259:J322" si="53">IF(MONTH($C259)=6,1,0)</f>
        <v>0</v>
      </c>
      <c r="K259">
        <f t="shared" ref="K259:K322" si="54">IF(MONTH($C259)=7,1,0)</f>
        <v>0</v>
      </c>
      <c r="L259">
        <f t="shared" ref="L259:L322" si="55">IF(MONTH($C259)=8,1,0)</f>
        <v>0</v>
      </c>
      <c r="M259">
        <f t="shared" ref="M259:M322" si="56">IF(MONTH($C259)=9,1,0)</f>
        <v>0</v>
      </c>
      <c r="N259">
        <f t="shared" ref="N259:N322" si="57">IF(MONTH($C259)=10,1,0)</f>
        <v>0</v>
      </c>
      <c r="O259">
        <f t="shared" ref="O259:O322" si="58">IF(MONTH($C259)=11,1,0)</f>
        <v>1</v>
      </c>
      <c r="P259">
        <f t="shared" ref="P259:P322" si="59">IF(MONTH($C259)=12,1,0)</f>
        <v>0</v>
      </c>
    </row>
    <row r="260" spans="1:16" x14ac:dyDescent="0.25">
      <c r="A260" t="s">
        <v>355</v>
      </c>
      <c r="B260" t="s">
        <v>356</v>
      </c>
      <c r="C260" s="1">
        <v>34758</v>
      </c>
      <c r="D260" t="s">
        <v>9</v>
      </c>
      <c r="E260">
        <f t="shared" si="48"/>
        <v>0</v>
      </c>
      <c r="F260">
        <f t="shared" si="49"/>
        <v>1</v>
      </c>
      <c r="G260">
        <f t="shared" si="50"/>
        <v>0</v>
      </c>
      <c r="H260">
        <f t="shared" si="51"/>
        <v>0</v>
      </c>
      <c r="I260">
        <f t="shared" si="52"/>
        <v>0</v>
      </c>
      <c r="J260">
        <f t="shared" si="53"/>
        <v>0</v>
      </c>
      <c r="K260">
        <f t="shared" si="54"/>
        <v>0</v>
      </c>
      <c r="L260">
        <f t="shared" si="55"/>
        <v>0</v>
      </c>
      <c r="M260">
        <f t="shared" si="56"/>
        <v>0</v>
      </c>
      <c r="N260">
        <f t="shared" si="57"/>
        <v>0</v>
      </c>
      <c r="O260">
        <f t="shared" si="58"/>
        <v>0</v>
      </c>
      <c r="P260">
        <f t="shared" si="59"/>
        <v>0</v>
      </c>
    </row>
    <row r="261" spans="1:16" x14ac:dyDescent="0.25">
      <c r="A261" t="s">
        <v>19</v>
      </c>
      <c r="B261" t="s">
        <v>357</v>
      </c>
      <c r="C261" s="1">
        <v>17531</v>
      </c>
      <c r="D261" t="s">
        <v>12</v>
      </c>
      <c r="E261">
        <f t="shared" si="48"/>
        <v>0</v>
      </c>
      <c r="F261">
        <f t="shared" si="49"/>
        <v>0</v>
      </c>
      <c r="G261">
        <f t="shared" si="50"/>
        <v>0</v>
      </c>
      <c r="H261">
        <f t="shared" si="51"/>
        <v>0</v>
      </c>
      <c r="I261">
        <f t="shared" si="52"/>
        <v>0</v>
      </c>
      <c r="J261">
        <f t="shared" si="53"/>
        <v>0</v>
      </c>
      <c r="K261">
        <f t="shared" si="54"/>
        <v>0</v>
      </c>
      <c r="L261">
        <f t="shared" si="55"/>
        <v>0</v>
      </c>
      <c r="M261">
        <f t="shared" si="56"/>
        <v>0</v>
      </c>
      <c r="N261">
        <f t="shared" si="57"/>
        <v>0</v>
      </c>
      <c r="O261">
        <f t="shared" si="58"/>
        <v>0</v>
      </c>
      <c r="P261">
        <f t="shared" si="59"/>
        <v>1</v>
      </c>
    </row>
    <row r="262" spans="1:16" x14ac:dyDescent="0.25">
      <c r="A262" t="s">
        <v>358</v>
      </c>
      <c r="B262" t="s">
        <v>8</v>
      </c>
      <c r="C262" s="1">
        <v>32482</v>
      </c>
      <c r="D262" t="s">
        <v>6</v>
      </c>
      <c r="E262">
        <f t="shared" si="48"/>
        <v>0</v>
      </c>
      <c r="F262">
        <f t="shared" si="49"/>
        <v>0</v>
      </c>
      <c r="G262">
        <f t="shared" si="50"/>
        <v>0</v>
      </c>
      <c r="H262">
        <f t="shared" si="51"/>
        <v>0</v>
      </c>
      <c r="I262">
        <f t="shared" si="52"/>
        <v>0</v>
      </c>
      <c r="J262">
        <f t="shared" si="53"/>
        <v>0</v>
      </c>
      <c r="K262">
        <f t="shared" si="54"/>
        <v>0</v>
      </c>
      <c r="L262">
        <f t="shared" si="55"/>
        <v>0</v>
      </c>
      <c r="M262">
        <f t="shared" si="56"/>
        <v>0</v>
      </c>
      <c r="N262">
        <f t="shared" si="57"/>
        <v>0</v>
      </c>
      <c r="O262">
        <f t="shared" si="58"/>
        <v>0</v>
      </c>
      <c r="P262">
        <f t="shared" si="59"/>
        <v>1</v>
      </c>
    </row>
    <row r="263" spans="1:16" x14ac:dyDescent="0.25">
      <c r="A263" t="s">
        <v>359</v>
      </c>
      <c r="B263" t="s">
        <v>246</v>
      </c>
      <c r="C263" s="1">
        <v>34533</v>
      </c>
      <c r="D263" t="s">
        <v>12</v>
      </c>
      <c r="E263">
        <f t="shared" si="48"/>
        <v>0</v>
      </c>
      <c r="F263">
        <f t="shared" si="49"/>
        <v>0</v>
      </c>
      <c r="G263">
        <f t="shared" si="50"/>
        <v>0</v>
      </c>
      <c r="H263">
        <f t="shared" si="51"/>
        <v>0</v>
      </c>
      <c r="I263">
        <f t="shared" si="52"/>
        <v>0</v>
      </c>
      <c r="J263">
        <f t="shared" si="53"/>
        <v>0</v>
      </c>
      <c r="K263">
        <f t="shared" si="54"/>
        <v>1</v>
      </c>
      <c r="L263">
        <f t="shared" si="55"/>
        <v>0</v>
      </c>
      <c r="M263">
        <f t="shared" si="56"/>
        <v>0</v>
      </c>
      <c r="N263">
        <f t="shared" si="57"/>
        <v>0</v>
      </c>
      <c r="O263">
        <f t="shared" si="58"/>
        <v>0</v>
      </c>
      <c r="P263">
        <f t="shared" si="59"/>
        <v>0</v>
      </c>
    </row>
    <row r="264" spans="1:16" x14ac:dyDescent="0.25">
      <c r="A264" t="s">
        <v>308</v>
      </c>
      <c r="B264" t="s">
        <v>79</v>
      </c>
      <c r="C264" s="1">
        <v>28491</v>
      </c>
      <c r="D264" t="s">
        <v>12</v>
      </c>
      <c r="E264">
        <f t="shared" si="48"/>
        <v>1</v>
      </c>
      <c r="F264">
        <f t="shared" si="49"/>
        <v>0</v>
      </c>
      <c r="G264">
        <f t="shared" si="50"/>
        <v>0</v>
      </c>
      <c r="H264">
        <f t="shared" si="51"/>
        <v>0</v>
      </c>
      <c r="I264">
        <f t="shared" si="52"/>
        <v>0</v>
      </c>
      <c r="J264">
        <f t="shared" si="53"/>
        <v>0</v>
      </c>
      <c r="K264">
        <f t="shared" si="54"/>
        <v>0</v>
      </c>
      <c r="L264">
        <f t="shared" si="55"/>
        <v>0</v>
      </c>
      <c r="M264">
        <f t="shared" si="56"/>
        <v>0</v>
      </c>
      <c r="N264">
        <f t="shared" si="57"/>
        <v>0</v>
      </c>
      <c r="O264">
        <f t="shared" si="58"/>
        <v>0</v>
      </c>
      <c r="P264">
        <f t="shared" si="59"/>
        <v>0</v>
      </c>
    </row>
    <row r="265" spans="1:16" x14ac:dyDescent="0.25">
      <c r="A265" t="s">
        <v>360</v>
      </c>
      <c r="B265" t="s">
        <v>361</v>
      </c>
      <c r="C265" s="1">
        <v>32689</v>
      </c>
      <c r="D265" t="s">
        <v>9</v>
      </c>
      <c r="E265">
        <f t="shared" si="48"/>
        <v>0</v>
      </c>
      <c r="F265">
        <f t="shared" si="49"/>
        <v>0</v>
      </c>
      <c r="G265">
        <f t="shared" si="50"/>
        <v>0</v>
      </c>
      <c r="H265">
        <f t="shared" si="51"/>
        <v>0</v>
      </c>
      <c r="I265">
        <f t="shared" si="52"/>
        <v>0</v>
      </c>
      <c r="J265">
        <f t="shared" si="53"/>
        <v>1</v>
      </c>
      <c r="K265">
        <f t="shared" si="54"/>
        <v>0</v>
      </c>
      <c r="L265">
        <f t="shared" si="55"/>
        <v>0</v>
      </c>
      <c r="M265">
        <f t="shared" si="56"/>
        <v>0</v>
      </c>
      <c r="N265">
        <f t="shared" si="57"/>
        <v>0</v>
      </c>
      <c r="O265">
        <f t="shared" si="58"/>
        <v>0</v>
      </c>
      <c r="P265">
        <f t="shared" si="59"/>
        <v>0</v>
      </c>
    </row>
    <row r="266" spans="1:16" x14ac:dyDescent="0.25">
      <c r="A266" t="s">
        <v>162</v>
      </c>
      <c r="B266" t="s">
        <v>362</v>
      </c>
      <c r="C266" s="1">
        <v>27112</v>
      </c>
      <c r="D266" t="s">
        <v>6</v>
      </c>
      <c r="E266">
        <f t="shared" si="48"/>
        <v>0</v>
      </c>
      <c r="F266">
        <f t="shared" si="49"/>
        <v>0</v>
      </c>
      <c r="G266">
        <f t="shared" si="50"/>
        <v>1</v>
      </c>
      <c r="H266">
        <f t="shared" si="51"/>
        <v>0</v>
      </c>
      <c r="I266">
        <f t="shared" si="52"/>
        <v>0</v>
      </c>
      <c r="J266">
        <f t="shared" si="53"/>
        <v>0</v>
      </c>
      <c r="K266">
        <f t="shared" si="54"/>
        <v>0</v>
      </c>
      <c r="L266">
        <f t="shared" si="55"/>
        <v>0</v>
      </c>
      <c r="M266">
        <f t="shared" si="56"/>
        <v>0</v>
      </c>
      <c r="N266">
        <f t="shared" si="57"/>
        <v>0</v>
      </c>
      <c r="O266">
        <f t="shared" si="58"/>
        <v>0</v>
      </c>
      <c r="P266">
        <f t="shared" si="59"/>
        <v>0</v>
      </c>
    </row>
    <row r="267" spans="1:16" x14ac:dyDescent="0.25">
      <c r="A267" t="s">
        <v>363</v>
      </c>
      <c r="B267" t="s">
        <v>16</v>
      </c>
      <c r="C267" s="1">
        <v>29259</v>
      </c>
      <c r="D267" t="s">
        <v>12</v>
      </c>
      <c r="E267">
        <f t="shared" si="48"/>
        <v>0</v>
      </c>
      <c r="F267">
        <f t="shared" si="49"/>
        <v>1</v>
      </c>
      <c r="G267">
        <f t="shared" si="50"/>
        <v>0</v>
      </c>
      <c r="H267">
        <f t="shared" si="51"/>
        <v>0</v>
      </c>
      <c r="I267">
        <f t="shared" si="52"/>
        <v>0</v>
      </c>
      <c r="J267">
        <f t="shared" si="53"/>
        <v>0</v>
      </c>
      <c r="K267">
        <f t="shared" si="54"/>
        <v>0</v>
      </c>
      <c r="L267">
        <f t="shared" si="55"/>
        <v>0</v>
      </c>
      <c r="M267">
        <f t="shared" si="56"/>
        <v>0</v>
      </c>
      <c r="N267">
        <f t="shared" si="57"/>
        <v>0</v>
      </c>
      <c r="O267">
        <f t="shared" si="58"/>
        <v>0</v>
      </c>
      <c r="P267">
        <f t="shared" si="59"/>
        <v>0</v>
      </c>
    </row>
    <row r="268" spans="1:16" x14ac:dyDescent="0.25">
      <c r="A268" t="s">
        <v>83</v>
      </c>
      <c r="B268" t="s">
        <v>123</v>
      </c>
      <c r="C268" s="1">
        <v>18437</v>
      </c>
      <c r="D268" t="s">
        <v>6</v>
      </c>
      <c r="E268">
        <f t="shared" si="48"/>
        <v>0</v>
      </c>
      <c r="F268">
        <f t="shared" si="49"/>
        <v>0</v>
      </c>
      <c r="G268">
        <f t="shared" si="50"/>
        <v>0</v>
      </c>
      <c r="H268">
        <f t="shared" si="51"/>
        <v>0</v>
      </c>
      <c r="I268">
        <f t="shared" si="52"/>
        <v>0</v>
      </c>
      <c r="J268">
        <f t="shared" si="53"/>
        <v>1</v>
      </c>
      <c r="K268">
        <f t="shared" si="54"/>
        <v>0</v>
      </c>
      <c r="L268">
        <f t="shared" si="55"/>
        <v>0</v>
      </c>
      <c r="M268">
        <f t="shared" si="56"/>
        <v>0</v>
      </c>
      <c r="N268">
        <f t="shared" si="57"/>
        <v>0</v>
      </c>
      <c r="O268">
        <f t="shared" si="58"/>
        <v>0</v>
      </c>
      <c r="P268">
        <f t="shared" si="59"/>
        <v>0</v>
      </c>
    </row>
    <row r="269" spans="1:16" x14ac:dyDescent="0.25">
      <c r="A269" t="s">
        <v>364</v>
      </c>
      <c r="B269" t="s">
        <v>194</v>
      </c>
      <c r="C269" s="1">
        <v>34406</v>
      </c>
      <c r="D269" t="s">
        <v>12</v>
      </c>
      <c r="E269">
        <f t="shared" si="48"/>
        <v>0</v>
      </c>
      <c r="F269">
        <f t="shared" si="49"/>
        <v>0</v>
      </c>
      <c r="G269">
        <f t="shared" si="50"/>
        <v>1</v>
      </c>
      <c r="H269">
        <f t="shared" si="51"/>
        <v>0</v>
      </c>
      <c r="I269">
        <f t="shared" si="52"/>
        <v>0</v>
      </c>
      <c r="J269">
        <f t="shared" si="53"/>
        <v>0</v>
      </c>
      <c r="K269">
        <f t="shared" si="54"/>
        <v>0</v>
      </c>
      <c r="L269">
        <f t="shared" si="55"/>
        <v>0</v>
      </c>
      <c r="M269">
        <f t="shared" si="56"/>
        <v>0</v>
      </c>
      <c r="N269">
        <f t="shared" si="57"/>
        <v>0</v>
      </c>
      <c r="O269">
        <f t="shared" si="58"/>
        <v>0</v>
      </c>
      <c r="P269">
        <f t="shared" si="59"/>
        <v>0</v>
      </c>
    </row>
    <row r="270" spans="1:16" x14ac:dyDescent="0.25">
      <c r="A270" t="s">
        <v>365</v>
      </c>
      <c r="B270" t="s">
        <v>366</v>
      </c>
      <c r="C270" s="1">
        <v>26689</v>
      </c>
      <c r="D270" t="s">
        <v>12</v>
      </c>
      <c r="E270">
        <f t="shared" si="48"/>
        <v>1</v>
      </c>
      <c r="F270">
        <f t="shared" si="49"/>
        <v>0</v>
      </c>
      <c r="G270">
        <f t="shared" si="50"/>
        <v>0</v>
      </c>
      <c r="H270">
        <f t="shared" si="51"/>
        <v>0</v>
      </c>
      <c r="I270">
        <f t="shared" si="52"/>
        <v>0</v>
      </c>
      <c r="J270">
        <f t="shared" si="53"/>
        <v>0</v>
      </c>
      <c r="K270">
        <f t="shared" si="54"/>
        <v>0</v>
      </c>
      <c r="L270">
        <f t="shared" si="55"/>
        <v>0</v>
      </c>
      <c r="M270">
        <f t="shared" si="56"/>
        <v>0</v>
      </c>
      <c r="N270">
        <f t="shared" si="57"/>
        <v>0</v>
      </c>
      <c r="O270">
        <f t="shared" si="58"/>
        <v>0</v>
      </c>
      <c r="P270">
        <f t="shared" si="59"/>
        <v>0</v>
      </c>
    </row>
    <row r="271" spans="1:16" x14ac:dyDescent="0.25">
      <c r="A271" t="s">
        <v>174</v>
      </c>
      <c r="B271" t="s">
        <v>52</v>
      </c>
      <c r="C271" s="1">
        <v>24391</v>
      </c>
      <c r="D271" t="s">
        <v>6</v>
      </c>
      <c r="E271">
        <f t="shared" si="48"/>
        <v>0</v>
      </c>
      <c r="F271">
        <f t="shared" si="49"/>
        <v>0</v>
      </c>
      <c r="G271">
        <f t="shared" si="50"/>
        <v>0</v>
      </c>
      <c r="H271">
        <f t="shared" si="51"/>
        <v>0</v>
      </c>
      <c r="I271">
        <f t="shared" si="52"/>
        <v>0</v>
      </c>
      <c r="J271">
        <f t="shared" si="53"/>
        <v>0</v>
      </c>
      <c r="K271">
        <f t="shared" si="54"/>
        <v>0</v>
      </c>
      <c r="L271">
        <f t="shared" si="55"/>
        <v>0</v>
      </c>
      <c r="M271">
        <f t="shared" si="56"/>
        <v>0</v>
      </c>
      <c r="N271">
        <f t="shared" si="57"/>
        <v>1</v>
      </c>
      <c r="O271">
        <f t="shared" si="58"/>
        <v>0</v>
      </c>
      <c r="P271">
        <f t="shared" si="59"/>
        <v>0</v>
      </c>
    </row>
    <row r="272" spans="1:16" x14ac:dyDescent="0.25">
      <c r="A272" t="s">
        <v>367</v>
      </c>
      <c r="B272" t="s">
        <v>368</v>
      </c>
      <c r="C272" s="1">
        <v>22010</v>
      </c>
      <c r="D272" t="s">
        <v>12</v>
      </c>
      <c r="E272">
        <f t="shared" si="48"/>
        <v>0</v>
      </c>
      <c r="F272">
        <f t="shared" si="49"/>
        <v>0</v>
      </c>
      <c r="G272">
        <f t="shared" si="50"/>
        <v>0</v>
      </c>
      <c r="H272">
        <f t="shared" si="51"/>
        <v>1</v>
      </c>
      <c r="I272">
        <f t="shared" si="52"/>
        <v>0</v>
      </c>
      <c r="J272">
        <f t="shared" si="53"/>
        <v>0</v>
      </c>
      <c r="K272">
        <f t="shared" si="54"/>
        <v>0</v>
      </c>
      <c r="L272">
        <f t="shared" si="55"/>
        <v>0</v>
      </c>
      <c r="M272">
        <f t="shared" si="56"/>
        <v>0</v>
      </c>
      <c r="N272">
        <f t="shared" si="57"/>
        <v>0</v>
      </c>
      <c r="O272">
        <f t="shared" si="58"/>
        <v>0</v>
      </c>
      <c r="P272">
        <f t="shared" si="59"/>
        <v>0</v>
      </c>
    </row>
    <row r="273" spans="1:16" x14ac:dyDescent="0.25">
      <c r="A273" t="s">
        <v>369</v>
      </c>
      <c r="B273" t="s">
        <v>332</v>
      </c>
      <c r="C273" s="1">
        <v>17207</v>
      </c>
      <c r="D273" t="s">
        <v>9</v>
      </c>
      <c r="E273">
        <f t="shared" si="48"/>
        <v>0</v>
      </c>
      <c r="F273">
        <f t="shared" si="49"/>
        <v>1</v>
      </c>
      <c r="G273">
        <f t="shared" si="50"/>
        <v>0</v>
      </c>
      <c r="H273">
        <f t="shared" si="51"/>
        <v>0</v>
      </c>
      <c r="I273">
        <f t="shared" si="52"/>
        <v>0</v>
      </c>
      <c r="J273">
        <f t="shared" si="53"/>
        <v>0</v>
      </c>
      <c r="K273">
        <f t="shared" si="54"/>
        <v>0</v>
      </c>
      <c r="L273">
        <f t="shared" si="55"/>
        <v>0</v>
      </c>
      <c r="M273">
        <f t="shared" si="56"/>
        <v>0</v>
      </c>
      <c r="N273">
        <f t="shared" si="57"/>
        <v>0</v>
      </c>
      <c r="O273">
        <f t="shared" si="58"/>
        <v>0</v>
      </c>
      <c r="P273">
        <f t="shared" si="59"/>
        <v>0</v>
      </c>
    </row>
    <row r="274" spans="1:16" x14ac:dyDescent="0.25">
      <c r="A274" t="s">
        <v>370</v>
      </c>
      <c r="B274" t="s">
        <v>160</v>
      </c>
      <c r="C274" s="1">
        <v>22547</v>
      </c>
      <c r="D274" t="s">
        <v>6</v>
      </c>
      <c r="E274">
        <f t="shared" si="48"/>
        <v>0</v>
      </c>
      <c r="F274">
        <f t="shared" si="49"/>
        <v>0</v>
      </c>
      <c r="G274">
        <f t="shared" si="50"/>
        <v>0</v>
      </c>
      <c r="H274">
        <f t="shared" si="51"/>
        <v>0</v>
      </c>
      <c r="I274">
        <f t="shared" si="52"/>
        <v>0</v>
      </c>
      <c r="J274">
        <f t="shared" si="53"/>
        <v>0</v>
      </c>
      <c r="K274">
        <f t="shared" si="54"/>
        <v>0</v>
      </c>
      <c r="L274">
        <f t="shared" si="55"/>
        <v>0</v>
      </c>
      <c r="M274">
        <f t="shared" si="56"/>
        <v>1</v>
      </c>
      <c r="N274">
        <f t="shared" si="57"/>
        <v>0</v>
      </c>
      <c r="O274">
        <f t="shared" si="58"/>
        <v>0</v>
      </c>
      <c r="P274">
        <f t="shared" si="59"/>
        <v>0</v>
      </c>
    </row>
    <row r="275" spans="1:16" x14ac:dyDescent="0.25">
      <c r="A275" t="s">
        <v>371</v>
      </c>
      <c r="B275" t="s">
        <v>372</v>
      </c>
      <c r="C275" s="1">
        <v>20722</v>
      </c>
      <c r="D275" t="s">
        <v>12</v>
      </c>
      <c r="E275">
        <f t="shared" si="48"/>
        <v>0</v>
      </c>
      <c r="F275">
        <f t="shared" si="49"/>
        <v>0</v>
      </c>
      <c r="G275">
        <f t="shared" si="50"/>
        <v>0</v>
      </c>
      <c r="H275">
        <f t="shared" si="51"/>
        <v>0</v>
      </c>
      <c r="I275">
        <f t="shared" si="52"/>
        <v>0</v>
      </c>
      <c r="J275">
        <f t="shared" si="53"/>
        <v>0</v>
      </c>
      <c r="K275">
        <f t="shared" si="54"/>
        <v>0</v>
      </c>
      <c r="L275">
        <f t="shared" si="55"/>
        <v>0</v>
      </c>
      <c r="M275">
        <f t="shared" si="56"/>
        <v>1</v>
      </c>
      <c r="N275">
        <f t="shared" si="57"/>
        <v>0</v>
      </c>
      <c r="O275">
        <f t="shared" si="58"/>
        <v>0</v>
      </c>
      <c r="P275">
        <f t="shared" si="59"/>
        <v>0</v>
      </c>
    </row>
    <row r="276" spans="1:16" x14ac:dyDescent="0.25">
      <c r="A276" t="s">
        <v>373</v>
      </c>
      <c r="B276" t="s">
        <v>29</v>
      </c>
      <c r="C276" s="1">
        <v>24900</v>
      </c>
      <c r="D276" t="s">
        <v>12</v>
      </c>
      <c r="E276">
        <f t="shared" si="48"/>
        <v>0</v>
      </c>
      <c r="F276">
        <f t="shared" si="49"/>
        <v>0</v>
      </c>
      <c r="G276">
        <f t="shared" si="50"/>
        <v>1</v>
      </c>
      <c r="H276">
        <f t="shared" si="51"/>
        <v>0</v>
      </c>
      <c r="I276">
        <f t="shared" si="52"/>
        <v>0</v>
      </c>
      <c r="J276">
        <f t="shared" si="53"/>
        <v>0</v>
      </c>
      <c r="K276">
        <f t="shared" si="54"/>
        <v>0</v>
      </c>
      <c r="L276">
        <f t="shared" si="55"/>
        <v>0</v>
      </c>
      <c r="M276">
        <f t="shared" si="56"/>
        <v>0</v>
      </c>
      <c r="N276">
        <f t="shared" si="57"/>
        <v>0</v>
      </c>
      <c r="O276">
        <f t="shared" si="58"/>
        <v>0</v>
      </c>
      <c r="P276">
        <f t="shared" si="59"/>
        <v>0</v>
      </c>
    </row>
    <row r="277" spans="1:16" x14ac:dyDescent="0.25">
      <c r="A277" t="s">
        <v>374</v>
      </c>
      <c r="B277" t="s">
        <v>37</v>
      </c>
      <c r="C277" s="1">
        <v>20808</v>
      </c>
      <c r="D277" t="s">
        <v>12</v>
      </c>
      <c r="E277">
        <f t="shared" si="48"/>
        <v>0</v>
      </c>
      <c r="F277">
        <f t="shared" si="49"/>
        <v>0</v>
      </c>
      <c r="G277">
        <f t="shared" si="50"/>
        <v>0</v>
      </c>
      <c r="H277">
        <f t="shared" si="51"/>
        <v>0</v>
      </c>
      <c r="I277">
        <f t="shared" si="52"/>
        <v>0</v>
      </c>
      <c r="J277">
        <f t="shared" si="53"/>
        <v>0</v>
      </c>
      <c r="K277">
        <f t="shared" si="54"/>
        <v>0</v>
      </c>
      <c r="L277">
        <f t="shared" si="55"/>
        <v>0</v>
      </c>
      <c r="M277">
        <f t="shared" si="56"/>
        <v>0</v>
      </c>
      <c r="N277">
        <f t="shared" si="57"/>
        <v>0</v>
      </c>
      <c r="O277">
        <f t="shared" si="58"/>
        <v>0</v>
      </c>
      <c r="P277">
        <f t="shared" si="59"/>
        <v>1</v>
      </c>
    </row>
    <row r="278" spans="1:16" x14ac:dyDescent="0.25">
      <c r="A278" t="s">
        <v>375</v>
      </c>
      <c r="B278" t="s">
        <v>131</v>
      </c>
      <c r="C278" s="1">
        <v>30235</v>
      </c>
      <c r="D278" t="s">
        <v>12</v>
      </c>
      <c r="E278">
        <f t="shared" si="48"/>
        <v>0</v>
      </c>
      <c r="F278">
        <f t="shared" si="49"/>
        <v>0</v>
      </c>
      <c r="G278">
        <f t="shared" si="50"/>
        <v>0</v>
      </c>
      <c r="H278">
        <f t="shared" si="51"/>
        <v>0</v>
      </c>
      <c r="I278">
        <f t="shared" si="52"/>
        <v>0</v>
      </c>
      <c r="J278">
        <f t="shared" si="53"/>
        <v>0</v>
      </c>
      <c r="K278">
        <f t="shared" si="54"/>
        <v>0</v>
      </c>
      <c r="L278">
        <f t="shared" si="55"/>
        <v>0</v>
      </c>
      <c r="M278">
        <f t="shared" si="56"/>
        <v>0</v>
      </c>
      <c r="N278">
        <f t="shared" si="57"/>
        <v>1</v>
      </c>
      <c r="O278">
        <f t="shared" si="58"/>
        <v>0</v>
      </c>
      <c r="P278">
        <f t="shared" si="59"/>
        <v>0</v>
      </c>
    </row>
    <row r="279" spans="1:16" x14ac:dyDescent="0.25">
      <c r="A279" t="s">
        <v>376</v>
      </c>
      <c r="B279" t="s">
        <v>257</v>
      </c>
      <c r="C279" s="1">
        <v>21221</v>
      </c>
      <c r="D279" t="s">
        <v>9</v>
      </c>
      <c r="E279">
        <f t="shared" si="48"/>
        <v>0</v>
      </c>
      <c r="F279">
        <f t="shared" si="49"/>
        <v>1</v>
      </c>
      <c r="G279">
        <f t="shared" si="50"/>
        <v>0</v>
      </c>
      <c r="H279">
        <f t="shared" si="51"/>
        <v>0</v>
      </c>
      <c r="I279">
        <f t="shared" si="52"/>
        <v>0</v>
      </c>
      <c r="J279">
        <f t="shared" si="53"/>
        <v>0</v>
      </c>
      <c r="K279">
        <f t="shared" si="54"/>
        <v>0</v>
      </c>
      <c r="L279">
        <f t="shared" si="55"/>
        <v>0</v>
      </c>
      <c r="M279">
        <f t="shared" si="56"/>
        <v>0</v>
      </c>
      <c r="N279">
        <f t="shared" si="57"/>
        <v>0</v>
      </c>
      <c r="O279">
        <f t="shared" si="58"/>
        <v>0</v>
      </c>
      <c r="P279">
        <f t="shared" si="59"/>
        <v>0</v>
      </c>
    </row>
    <row r="280" spans="1:16" x14ac:dyDescent="0.25">
      <c r="A280" t="s">
        <v>377</v>
      </c>
      <c r="B280" t="s">
        <v>45</v>
      </c>
      <c r="C280" s="1">
        <v>20193</v>
      </c>
      <c r="D280" t="s">
        <v>6</v>
      </c>
      <c r="E280">
        <f t="shared" si="48"/>
        <v>0</v>
      </c>
      <c r="F280">
        <f t="shared" si="49"/>
        <v>0</v>
      </c>
      <c r="G280">
        <f t="shared" si="50"/>
        <v>0</v>
      </c>
      <c r="H280">
        <f t="shared" si="51"/>
        <v>1</v>
      </c>
      <c r="I280">
        <f t="shared" si="52"/>
        <v>0</v>
      </c>
      <c r="J280">
        <f t="shared" si="53"/>
        <v>0</v>
      </c>
      <c r="K280">
        <f t="shared" si="54"/>
        <v>0</v>
      </c>
      <c r="L280">
        <f t="shared" si="55"/>
        <v>0</v>
      </c>
      <c r="M280">
        <f t="shared" si="56"/>
        <v>0</v>
      </c>
      <c r="N280">
        <f t="shared" si="57"/>
        <v>0</v>
      </c>
      <c r="O280">
        <f t="shared" si="58"/>
        <v>0</v>
      </c>
      <c r="P280">
        <f t="shared" si="59"/>
        <v>0</v>
      </c>
    </row>
    <row r="281" spans="1:16" x14ac:dyDescent="0.25">
      <c r="A281" t="s">
        <v>378</v>
      </c>
      <c r="B281" t="s">
        <v>141</v>
      </c>
      <c r="C281" s="1">
        <v>17137</v>
      </c>
      <c r="D281" t="s">
        <v>6</v>
      </c>
      <c r="E281">
        <f t="shared" si="48"/>
        <v>0</v>
      </c>
      <c r="F281">
        <f t="shared" si="49"/>
        <v>0</v>
      </c>
      <c r="G281">
        <f t="shared" si="50"/>
        <v>0</v>
      </c>
      <c r="H281">
        <f t="shared" si="51"/>
        <v>0</v>
      </c>
      <c r="I281">
        <f t="shared" si="52"/>
        <v>0</v>
      </c>
      <c r="J281">
        <f t="shared" si="53"/>
        <v>0</v>
      </c>
      <c r="K281">
        <f t="shared" si="54"/>
        <v>0</v>
      </c>
      <c r="L281">
        <f t="shared" si="55"/>
        <v>0</v>
      </c>
      <c r="M281">
        <f t="shared" si="56"/>
        <v>0</v>
      </c>
      <c r="N281">
        <f t="shared" si="57"/>
        <v>0</v>
      </c>
      <c r="O281">
        <f t="shared" si="58"/>
        <v>0</v>
      </c>
      <c r="P281">
        <f t="shared" si="59"/>
        <v>1</v>
      </c>
    </row>
    <row r="282" spans="1:16" x14ac:dyDescent="0.25">
      <c r="A282" t="s">
        <v>379</v>
      </c>
      <c r="B282" t="s">
        <v>49</v>
      </c>
      <c r="C282" s="1">
        <v>32802</v>
      </c>
      <c r="D282" t="s">
        <v>6</v>
      </c>
      <c r="E282">
        <f t="shared" si="48"/>
        <v>0</v>
      </c>
      <c r="F282">
        <f t="shared" si="49"/>
        <v>0</v>
      </c>
      <c r="G282">
        <f t="shared" si="50"/>
        <v>0</v>
      </c>
      <c r="H282">
        <f t="shared" si="51"/>
        <v>0</v>
      </c>
      <c r="I282">
        <f t="shared" si="52"/>
        <v>0</v>
      </c>
      <c r="J282">
        <f t="shared" si="53"/>
        <v>0</v>
      </c>
      <c r="K282">
        <f t="shared" si="54"/>
        <v>0</v>
      </c>
      <c r="L282">
        <f t="shared" si="55"/>
        <v>0</v>
      </c>
      <c r="M282">
        <f t="shared" si="56"/>
        <v>0</v>
      </c>
      <c r="N282">
        <f t="shared" si="57"/>
        <v>1</v>
      </c>
      <c r="O282">
        <f t="shared" si="58"/>
        <v>0</v>
      </c>
      <c r="P282">
        <f t="shared" si="59"/>
        <v>0</v>
      </c>
    </row>
    <row r="283" spans="1:16" x14ac:dyDescent="0.25">
      <c r="A283" t="s">
        <v>240</v>
      </c>
      <c r="B283" t="s">
        <v>20</v>
      </c>
      <c r="C283" s="1">
        <v>25839</v>
      </c>
      <c r="D283" t="s">
        <v>12</v>
      </c>
      <c r="E283">
        <f t="shared" si="48"/>
        <v>0</v>
      </c>
      <c r="F283">
        <f t="shared" si="49"/>
        <v>0</v>
      </c>
      <c r="G283">
        <f t="shared" si="50"/>
        <v>0</v>
      </c>
      <c r="H283">
        <f t="shared" si="51"/>
        <v>0</v>
      </c>
      <c r="I283">
        <f t="shared" si="52"/>
        <v>0</v>
      </c>
      <c r="J283">
        <f t="shared" si="53"/>
        <v>0</v>
      </c>
      <c r="K283">
        <f t="shared" si="54"/>
        <v>0</v>
      </c>
      <c r="L283">
        <f t="shared" si="55"/>
        <v>0</v>
      </c>
      <c r="M283">
        <f t="shared" si="56"/>
        <v>1</v>
      </c>
      <c r="N283">
        <f t="shared" si="57"/>
        <v>0</v>
      </c>
      <c r="O283">
        <f t="shared" si="58"/>
        <v>0</v>
      </c>
      <c r="P283">
        <f t="shared" si="59"/>
        <v>0</v>
      </c>
    </row>
    <row r="284" spans="1:16" x14ac:dyDescent="0.25">
      <c r="A284" t="s">
        <v>275</v>
      </c>
      <c r="B284" t="s">
        <v>380</v>
      </c>
      <c r="C284" s="1">
        <v>32028</v>
      </c>
      <c r="D284" t="s">
        <v>12</v>
      </c>
      <c r="E284">
        <f t="shared" si="48"/>
        <v>0</v>
      </c>
      <c r="F284">
        <f t="shared" si="49"/>
        <v>0</v>
      </c>
      <c r="G284">
        <f t="shared" si="50"/>
        <v>0</v>
      </c>
      <c r="H284">
        <f t="shared" si="51"/>
        <v>0</v>
      </c>
      <c r="I284">
        <f t="shared" si="52"/>
        <v>0</v>
      </c>
      <c r="J284">
        <f t="shared" si="53"/>
        <v>0</v>
      </c>
      <c r="K284">
        <f t="shared" si="54"/>
        <v>0</v>
      </c>
      <c r="L284">
        <f t="shared" si="55"/>
        <v>0</v>
      </c>
      <c r="M284">
        <f t="shared" si="56"/>
        <v>1</v>
      </c>
      <c r="N284">
        <f t="shared" si="57"/>
        <v>0</v>
      </c>
      <c r="O284">
        <f t="shared" si="58"/>
        <v>0</v>
      </c>
      <c r="P284">
        <f t="shared" si="59"/>
        <v>0</v>
      </c>
    </row>
    <row r="285" spans="1:16" x14ac:dyDescent="0.25">
      <c r="A285" t="s">
        <v>317</v>
      </c>
      <c r="B285" t="s">
        <v>192</v>
      </c>
      <c r="C285" s="1">
        <v>31556</v>
      </c>
      <c r="D285" t="s">
        <v>6</v>
      </c>
      <c r="E285">
        <f t="shared" si="48"/>
        <v>0</v>
      </c>
      <c r="F285">
        <f t="shared" si="49"/>
        <v>0</v>
      </c>
      <c r="G285">
        <f t="shared" si="50"/>
        <v>0</v>
      </c>
      <c r="H285">
        <f t="shared" si="51"/>
        <v>0</v>
      </c>
      <c r="I285">
        <f t="shared" si="52"/>
        <v>1</v>
      </c>
      <c r="J285">
        <f t="shared" si="53"/>
        <v>0</v>
      </c>
      <c r="K285">
        <f t="shared" si="54"/>
        <v>0</v>
      </c>
      <c r="L285">
        <f t="shared" si="55"/>
        <v>0</v>
      </c>
      <c r="M285">
        <f t="shared" si="56"/>
        <v>0</v>
      </c>
      <c r="N285">
        <f t="shared" si="57"/>
        <v>0</v>
      </c>
      <c r="O285">
        <f t="shared" si="58"/>
        <v>0</v>
      </c>
      <c r="P285">
        <f t="shared" si="59"/>
        <v>0</v>
      </c>
    </row>
    <row r="286" spans="1:16" x14ac:dyDescent="0.25">
      <c r="A286" t="s">
        <v>381</v>
      </c>
      <c r="B286" t="s">
        <v>54</v>
      </c>
      <c r="C286" s="1">
        <v>19153</v>
      </c>
      <c r="D286" t="s">
        <v>6</v>
      </c>
      <c r="E286">
        <f t="shared" si="48"/>
        <v>0</v>
      </c>
      <c r="F286">
        <f t="shared" si="49"/>
        <v>0</v>
      </c>
      <c r="G286">
        <f t="shared" si="50"/>
        <v>0</v>
      </c>
      <c r="H286">
        <f t="shared" si="51"/>
        <v>0</v>
      </c>
      <c r="I286">
        <f t="shared" si="52"/>
        <v>0</v>
      </c>
      <c r="J286">
        <f t="shared" si="53"/>
        <v>1</v>
      </c>
      <c r="K286">
        <f t="shared" si="54"/>
        <v>0</v>
      </c>
      <c r="L286">
        <f t="shared" si="55"/>
        <v>0</v>
      </c>
      <c r="M286">
        <f t="shared" si="56"/>
        <v>0</v>
      </c>
      <c r="N286">
        <f t="shared" si="57"/>
        <v>0</v>
      </c>
      <c r="O286">
        <f t="shared" si="58"/>
        <v>0</v>
      </c>
      <c r="P286">
        <f t="shared" si="59"/>
        <v>0</v>
      </c>
    </row>
    <row r="287" spans="1:16" x14ac:dyDescent="0.25">
      <c r="A287" t="s">
        <v>382</v>
      </c>
      <c r="B287" t="s">
        <v>383</v>
      </c>
      <c r="C287" s="1">
        <v>21934</v>
      </c>
      <c r="D287" t="s">
        <v>6</v>
      </c>
      <c r="E287">
        <f t="shared" si="48"/>
        <v>1</v>
      </c>
      <c r="F287">
        <f t="shared" si="49"/>
        <v>0</v>
      </c>
      <c r="G287">
        <f t="shared" si="50"/>
        <v>0</v>
      </c>
      <c r="H287">
        <f t="shared" si="51"/>
        <v>0</v>
      </c>
      <c r="I287">
        <f t="shared" si="52"/>
        <v>0</v>
      </c>
      <c r="J287">
        <f t="shared" si="53"/>
        <v>0</v>
      </c>
      <c r="K287">
        <f t="shared" si="54"/>
        <v>0</v>
      </c>
      <c r="L287">
        <f t="shared" si="55"/>
        <v>0</v>
      </c>
      <c r="M287">
        <f t="shared" si="56"/>
        <v>0</v>
      </c>
      <c r="N287">
        <f t="shared" si="57"/>
        <v>0</v>
      </c>
      <c r="O287">
        <f t="shared" si="58"/>
        <v>0</v>
      </c>
      <c r="P287">
        <f t="shared" si="59"/>
        <v>0</v>
      </c>
    </row>
    <row r="288" spans="1:16" x14ac:dyDescent="0.25">
      <c r="A288" t="s">
        <v>384</v>
      </c>
      <c r="B288" t="s">
        <v>361</v>
      </c>
      <c r="C288" s="1">
        <v>28187</v>
      </c>
      <c r="D288" t="s">
        <v>12</v>
      </c>
      <c r="E288">
        <f t="shared" si="48"/>
        <v>0</v>
      </c>
      <c r="F288">
        <f t="shared" si="49"/>
        <v>0</v>
      </c>
      <c r="G288">
        <f t="shared" si="50"/>
        <v>1</v>
      </c>
      <c r="H288">
        <f t="shared" si="51"/>
        <v>0</v>
      </c>
      <c r="I288">
        <f t="shared" si="52"/>
        <v>0</v>
      </c>
      <c r="J288">
        <f t="shared" si="53"/>
        <v>0</v>
      </c>
      <c r="K288">
        <f t="shared" si="54"/>
        <v>0</v>
      </c>
      <c r="L288">
        <f t="shared" si="55"/>
        <v>0</v>
      </c>
      <c r="M288">
        <f t="shared" si="56"/>
        <v>0</v>
      </c>
      <c r="N288">
        <f t="shared" si="57"/>
        <v>0</v>
      </c>
      <c r="O288">
        <f t="shared" si="58"/>
        <v>0</v>
      </c>
      <c r="P288">
        <f t="shared" si="59"/>
        <v>0</v>
      </c>
    </row>
    <row r="289" spans="1:16" x14ac:dyDescent="0.25">
      <c r="A289" t="s">
        <v>385</v>
      </c>
      <c r="B289" t="s">
        <v>252</v>
      </c>
      <c r="C289" s="1">
        <v>34291</v>
      </c>
      <c r="D289" t="s">
        <v>12</v>
      </c>
      <c r="E289">
        <f t="shared" si="48"/>
        <v>0</v>
      </c>
      <c r="F289">
        <f t="shared" si="49"/>
        <v>0</v>
      </c>
      <c r="G289">
        <f t="shared" si="50"/>
        <v>0</v>
      </c>
      <c r="H289">
        <f t="shared" si="51"/>
        <v>0</v>
      </c>
      <c r="I289">
        <f t="shared" si="52"/>
        <v>0</v>
      </c>
      <c r="J289">
        <f t="shared" si="53"/>
        <v>0</v>
      </c>
      <c r="K289">
        <f t="shared" si="54"/>
        <v>0</v>
      </c>
      <c r="L289">
        <f t="shared" si="55"/>
        <v>0</v>
      </c>
      <c r="M289">
        <f t="shared" si="56"/>
        <v>0</v>
      </c>
      <c r="N289">
        <f t="shared" si="57"/>
        <v>0</v>
      </c>
      <c r="O289">
        <f t="shared" si="58"/>
        <v>1</v>
      </c>
      <c r="P289">
        <f t="shared" si="59"/>
        <v>0</v>
      </c>
    </row>
    <row r="290" spans="1:16" x14ac:dyDescent="0.25">
      <c r="A290" t="s">
        <v>386</v>
      </c>
      <c r="B290" t="s">
        <v>107</v>
      </c>
      <c r="C290" s="1">
        <v>24652</v>
      </c>
      <c r="D290" t="s">
        <v>6</v>
      </c>
      <c r="E290">
        <f t="shared" si="48"/>
        <v>0</v>
      </c>
      <c r="F290">
        <f t="shared" si="49"/>
        <v>0</v>
      </c>
      <c r="G290">
        <f t="shared" si="50"/>
        <v>0</v>
      </c>
      <c r="H290">
        <f t="shared" si="51"/>
        <v>0</v>
      </c>
      <c r="I290">
        <f t="shared" si="52"/>
        <v>0</v>
      </c>
      <c r="J290">
        <f t="shared" si="53"/>
        <v>1</v>
      </c>
      <c r="K290">
        <f t="shared" si="54"/>
        <v>0</v>
      </c>
      <c r="L290">
        <f t="shared" si="55"/>
        <v>0</v>
      </c>
      <c r="M290">
        <f t="shared" si="56"/>
        <v>0</v>
      </c>
      <c r="N290">
        <f t="shared" si="57"/>
        <v>0</v>
      </c>
      <c r="O290">
        <f t="shared" si="58"/>
        <v>0</v>
      </c>
      <c r="P290">
        <f t="shared" si="59"/>
        <v>0</v>
      </c>
    </row>
    <row r="291" spans="1:16" x14ac:dyDescent="0.25">
      <c r="A291" t="s">
        <v>387</v>
      </c>
      <c r="B291" t="s">
        <v>121</v>
      </c>
      <c r="C291" s="1">
        <v>18010</v>
      </c>
      <c r="D291" t="s">
        <v>6</v>
      </c>
      <c r="E291">
        <f t="shared" si="48"/>
        <v>0</v>
      </c>
      <c r="F291">
        <f t="shared" si="49"/>
        <v>0</v>
      </c>
      <c r="G291">
        <f t="shared" si="50"/>
        <v>0</v>
      </c>
      <c r="H291">
        <f t="shared" si="51"/>
        <v>1</v>
      </c>
      <c r="I291">
        <f t="shared" si="52"/>
        <v>0</v>
      </c>
      <c r="J291">
        <f t="shared" si="53"/>
        <v>0</v>
      </c>
      <c r="K291">
        <f t="shared" si="54"/>
        <v>0</v>
      </c>
      <c r="L291">
        <f t="shared" si="55"/>
        <v>0</v>
      </c>
      <c r="M291">
        <f t="shared" si="56"/>
        <v>0</v>
      </c>
      <c r="N291">
        <f t="shared" si="57"/>
        <v>0</v>
      </c>
      <c r="O291">
        <f t="shared" si="58"/>
        <v>0</v>
      </c>
      <c r="P291">
        <f t="shared" si="59"/>
        <v>0</v>
      </c>
    </row>
    <row r="292" spans="1:16" x14ac:dyDescent="0.25">
      <c r="A292" t="s">
        <v>388</v>
      </c>
      <c r="B292" t="s">
        <v>368</v>
      </c>
      <c r="C292" s="1">
        <v>26506</v>
      </c>
      <c r="D292" t="s">
        <v>40</v>
      </c>
      <c r="E292">
        <f t="shared" si="48"/>
        <v>0</v>
      </c>
      <c r="F292">
        <f t="shared" si="49"/>
        <v>0</v>
      </c>
      <c r="G292">
        <f t="shared" si="50"/>
        <v>0</v>
      </c>
      <c r="H292">
        <f t="shared" si="51"/>
        <v>0</v>
      </c>
      <c r="I292">
        <f t="shared" si="52"/>
        <v>0</v>
      </c>
      <c r="J292">
        <f t="shared" si="53"/>
        <v>0</v>
      </c>
      <c r="K292">
        <f t="shared" si="54"/>
        <v>1</v>
      </c>
      <c r="L292">
        <f t="shared" si="55"/>
        <v>0</v>
      </c>
      <c r="M292">
        <f t="shared" si="56"/>
        <v>0</v>
      </c>
      <c r="N292">
        <f t="shared" si="57"/>
        <v>0</v>
      </c>
      <c r="O292">
        <f t="shared" si="58"/>
        <v>0</v>
      </c>
      <c r="P292">
        <f t="shared" si="59"/>
        <v>0</v>
      </c>
    </row>
    <row r="293" spans="1:16" x14ac:dyDescent="0.25">
      <c r="A293" t="s">
        <v>389</v>
      </c>
      <c r="B293" t="s">
        <v>160</v>
      </c>
      <c r="C293" s="1">
        <v>30368</v>
      </c>
      <c r="D293" t="s">
        <v>40</v>
      </c>
      <c r="E293">
        <f t="shared" si="48"/>
        <v>0</v>
      </c>
      <c r="F293">
        <f t="shared" si="49"/>
        <v>1</v>
      </c>
      <c r="G293">
        <f t="shared" si="50"/>
        <v>0</v>
      </c>
      <c r="H293">
        <f t="shared" si="51"/>
        <v>0</v>
      </c>
      <c r="I293">
        <f t="shared" si="52"/>
        <v>0</v>
      </c>
      <c r="J293">
        <f t="shared" si="53"/>
        <v>0</v>
      </c>
      <c r="K293">
        <f t="shared" si="54"/>
        <v>0</v>
      </c>
      <c r="L293">
        <f t="shared" si="55"/>
        <v>0</v>
      </c>
      <c r="M293">
        <f t="shared" si="56"/>
        <v>0</v>
      </c>
      <c r="N293">
        <f t="shared" si="57"/>
        <v>0</v>
      </c>
      <c r="O293">
        <f t="shared" si="58"/>
        <v>0</v>
      </c>
      <c r="P293">
        <f t="shared" si="59"/>
        <v>0</v>
      </c>
    </row>
    <row r="294" spans="1:16" x14ac:dyDescent="0.25">
      <c r="A294" t="s">
        <v>162</v>
      </c>
      <c r="B294" t="s">
        <v>54</v>
      </c>
      <c r="C294" s="1">
        <v>16991</v>
      </c>
      <c r="D294" t="s">
        <v>12</v>
      </c>
      <c r="E294">
        <f t="shared" si="48"/>
        <v>0</v>
      </c>
      <c r="F294">
        <f t="shared" si="49"/>
        <v>0</v>
      </c>
      <c r="G294">
        <f t="shared" si="50"/>
        <v>0</v>
      </c>
      <c r="H294">
        <f t="shared" si="51"/>
        <v>0</v>
      </c>
      <c r="I294">
        <f t="shared" si="52"/>
        <v>0</v>
      </c>
      <c r="J294">
        <f t="shared" si="53"/>
        <v>0</v>
      </c>
      <c r="K294">
        <f t="shared" si="54"/>
        <v>1</v>
      </c>
      <c r="L294">
        <f t="shared" si="55"/>
        <v>0</v>
      </c>
      <c r="M294">
        <f t="shared" si="56"/>
        <v>0</v>
      </c>
      <c r="N294">
        <f t="shared" si="57"/>
        <v>0</v>
      </c>
      <c r="O294">
        <f t="shared" si="58"/>
        <v>0</v>
      </c>
      <c r="P294">
        <f t="shared" si="59"/>
        <v>0</v>
      </c>
    </row>
    <row r="295" spans="1:16" x14ac:dyDescent="0.25">
      <c r="A295" t="s">
        <v>390</v>
      </c>
      <c r="B295" t="s">
        <v>152</v>
      </c>
      <c r="C295" s="1">
        <v>23950</v>
      </c>
      <c r="D295" t="s">
        <v>12</v>
      </c>
      <c r="E295">
        <f t="shared" si="48"/>
        <v>0</v>
      </c>
      <c r="F295">
        <f t="shared" si="49"/>
        <v>0</v>
      </c>
      <c r="G295">
        <f t="shared" si="50"/>
        <v>0</v>
      </c>
      <c r="H295">
        <f t="shared" si="51"/>
        <v>0</v>
      </c>
      <c r="I295">
        <f t="shared" si="52"/>
        <v>0</v>
      </c>
      <c r="J295">
        <f t="shared" si="53"/>
        <v>0</v>
      </c>
      <c r="K295">
        <f t="shared" si="54"/>
        <v>1</v>
      </c>
      <c r="L295">
        <f t="shared" si="55"/>
        <v>0</v>
      </c>
      <c r="M295">
        <f t="shared" si="56"/>
        <v>0</v>
      </c>
      <c r="N295">
        <f t="shared" si="57"/>
        <v>0</v>
      </c>
      <c r="O295">
        <f t="shared" si="58"/>
        <v>0</v>
      </c>
      <c r="P295">
        <f t="shared" si="59"/>
        <v>0</v>
      </c>
    </row>
    <row r="296" spans="1:16" x14ac:dyDescent="0.25">
      <c r="A296" t="s">
        <v>391</v>
      </c>
      <c r="B296" t="s">
        <v>47</v>
      </c>
      <c r="C296" s="1">
        <v>26871</v>
      </c>
      <c r="D296" t="s">
        <v>12</v>
      </c>
      <c r="E296">
        <f t="shared" si="48"/>
        <v>0</v>
      </c>
      <c r="F296">
        <f t="shared" si="49"/>
        <v>0</v>
      </c>
      <c r="G296">
        <f t="shared" si="50"/>
        <v>0</v>
      </c>
      <c r="H296">
        <f t="shared" si="51"/>
        <v>0</v>
      </c>
      <c r="I296">
        <f t="shared" si="52"/>
        <v>0</v>
      </c>
      <c r="J296">
        <f t="shared" si="53"/>
        <v>0</v>
      </c>
      <c r="K296">
        <f t="shared" si="54"/>
        <v>1</v>
      </c>
      <c r="L296">
        <f t="shared" si="55"/>
        <v>0</v>
      </c>
      <c r="M296">
        <f t="shared" si="56"/>
        <v>0</v>
      </c>
      <c r="N296">
        <f t="shared" si="57"/>
        <v>0</v>
      </c>
      <c r="O296">
        <f t="shared" si="58"/>
        <v>0</v>
      </c>
      <c r="P296">
        <f t="shared" si="59"/>
        <v>0</v>
      </c>
    </row>
    <row r="297" spans="1:16" x14ac:dyDescent="0.25">
      <c r="A297" t="s">
        <v>392</v>
      </c>
      <c r="B297" t="s">
        <v>260</v>
      </c>
      <c r="C297" s="1">
        <v>17268</v>
      </c>
      <c r="D297" t="s">
        <v>40</v>
      </c>
      <c r="E297">
        <f t="shared" si="48"/>
        <v>0</v>
      </c>
      <c r="F297">
        <f t="shared" si="49"/>
        <v>0</v>
      </c>
      <c r="G297">
        <f t="shared" si="50"/>
        <v>0</v>
      </c>
      <c r="H297">
        <f t="shared" si="51"/>
        <v>1</v>
      </c>
      <c r="I297">
        <f t="shared" si="52"/>
        <v>0</v>
      </c>
      <c r="J297">
        <f t="shared" si="53"/>
        <v>0</v>
      </c>
      <c r="K297">
        <f t="shared" si="54"/>
        <v>0</v>
      </c>
      <c r="L297">
        <f t="shared" si="55"/>
        <v>0</v>
      </c>
      <c r="M297">
        <f t="shared" si="56"/>
        <v>0</v>
      </c>
      <c r="N297">
        <f t="shared" si="57"/>
        <v>0</v>
      </c>
      <c r="O297">
        <f t="shared" si="58"/>
        <v>0</v>
      </c>
      <c r="P297">
        <f t="shared" si="59"/>
        <v>0</v>
      </c>
    </row>
    <row r="298" spans="1:16" x14ac:dyDescent="0.25">
      <c r="A298" t="s">
        <v>393</v>
      </c>
      <c r="B298" t="s">
        <v>394</v>
      </c>
      <c r="C298" s="1">
        <v>31612</v>
      </c>
      <c r="D298" t="s">
        <v>6</v>
      </c>
      <c r="E298">
        <f t="shared" si="48"/>
        <v>0</v>
      </c>
      <c r="F298">
        <f t="shared" si="49"/>
        <v>0</v>
      </c>
      <c r="G298">
        <f t="shared" si="50"/>
        <v>0</v>
      </c>
      <c r="H298">
        <f t="shared" si="51"/>
        <v>0</v>
      </c>
      <c r="I298">
        <f t="shared" si="52"/>
        <v>0</v>
      </c>
      <c r="J298">
        <f t="shared" si="53"/>
        <v>0</v>
      </c>
      <c r="K298">
        <f t="shared" si="54"/>
        <v>1</v>
      </c>
      <c r="L298">
        <f t="shared" si="55"/>
        <v>0</v>
      </c>
      <c r="M298">
        <f t="shared" si="56"/>
        <v>0</v>
      </c>
      <c r="N298">
        <f t="shared" si="57"/>
        <v>0</v>
      </c>
      <c r="O298">
        <f t="shared" si="58"/>
        <v>0</v>
      </c>
      <c r="P298">
        <f t="shared" si="59"/>
        <v>0</v>
      </c>
    </row>
    <row r="299" spans="1:16" x14ac:dyDescent="0.25">
      <c r="A299" t="s">
        <v>395</v>
      </c>
      <c r="B299" t="s">
        <v>131</v>
      </c>
      <c r="C299" s="1">
        <v>21264</v>
      </c>
      <c r="D299" t="s">
        <v>12</v>
      </c>
      <c r="E299">
        <f t="shared" si="48"/>
        <v>0</v>
      </c>
      <c r="F299">
        <f t="shared" si="49"/>
        <v>0</v>
      </c>
      <c r="G299">
        <f t="shared" si="50"/>
        <v>1</v>
      </c>
      <c r="H299">
        <f t="shared" si="51"/>
        <v>0</v>
      </c>
      <c r="I299">
        <f t="shared" si="52"/>
        <v>0</v>
      </c>
      <c r="J299">
        <f t="shared" si="53"/>
        <v>0</v>
      </c>
      <c r="K299">
        <f t="shared" si="54"/>
        <v>0</v>
      </c>
      <c r="L299">
        <f t="shared" si="55"/>
        <v>0</v>
      </c>
      <c r="M299">
        <f t="shared" si="56"/>
        <v>0</v>
      </c>
      <c r="N299">
        <f t="shared" si="57"/>
        <v>0</v>
      </c>
      <c r="O299">
        <f t="shared" si="58"/>
        <v>0</v>
      </c>
      <c r="P299">
        <f t="shared" si="59"/>
        <v>0</v>
      </c>
    </row>
    <row r="300" spans="1:16" x14ac:dyDescent="0.25">
      <c r="A300" t="s">
        <v>396</v>
      </c>
      <c r="B300" t="s">
        <v>236</v>
      </c>
      <c r="C300" s="1">
        <v>29622</v>
      </c>
      <c r="D300" t="s">
        <v>40</v>
      </c>
      <c r="E300">
        <f t="shared" si="48"/>
        <v>0</v>
      </c>
      <c r="F300">
        <f t="shared" si="49"/>
        <v>1</v>
      </c>
      <c r="G300">
        <f t="shared" si="50"/>
        <v>0</v>
      </c>
      <c r="H300">
        <f t="shared" si="51"/>
        <v>0</v>
      </c>
      <c r="I300">
        <f t="shared" si="52"/>
        <v>0</v>
      </c>
      <c r="J300">
        <f t="shared" si="53"/>
        <v>0</v>
      </c>
      <c r="K300">
        <f t="shared" si="54"/>
        <v>0</v>
      </c>
      <c r="L300">
        <f t="shared" si="55"/>
        <v>0</v>
      </c>
      <c r="M300">
        <f t="shared" si="56"/>
        <v>0</v>
      </c>
      <c r="N300">
        <f t="shared" si="57"/>
        <v>0</v>
      </c>
      <c r="O300">
        <f t="shared" si="58"/>
        <v>0</v>
      </c>
      <c r="P300">
        <f t="shared" si="59"/>
        <v>0</v>
      </c>
    </row>
    <row r="301" spans="1:16" x14ac:dyDescent="0.25">
      <c r="A301" t="s">
        <v>162</v>
      </c>
      <c r="B301" t="s">
        <v>20</v>
      </c>
      <c r="C301" s="1">
        <v>30875</v>
      </c>
      <c r="D301" t="s">
        <v>6</v>
      </c>
      <c r="E301">
        <f t="shared" si="48"/>
        <v>0</v>
      </c>
      <c r="F301">
        <f t="shared" si="49"/>
        <v>0</v>
      </c>
      <c r="G301">
        <f t="shared" si="50"/>
        <v>0</v>
      </c>
      <c r="H301">
        <f t="shared" si="51"/>
        <v>0</v>
      </c>
      <c r="I301">
        <f t="shared" si="52"/>
        <v>0</v>
      </c>
      <c r="J301">
        <f t="shared" si="53"/>
        <v>0</v>
      </c>
      <c r="K301">
        <f t="shared" si="54"/>
        <v>1</v>
      </c>
      <c r="L301">
        <f t="shared" si="55"/>
        <v>0</v>
      </c>
      <c r="M301">
        <f t="shared" si="56"/>
        <v>0</v>
      </c>
      <c r="N301">
        <f t="shared" si="57"/>
        <v>0</v>
      </c>
      <c r="O301">
        <f t="shared" si="58"/>
        <v>0</v>
      </c>
      <c r="P301">
        <f t="shared" si="59"/>
        <v>0</v>
      </c>
    </row>
    <row r="302" spans="1:16" x14ac:dyDescent="0.25">
      <c r="A302" t="s">
        <v>397</v>
      </c>
      <c r="B302" t="s">
        <v>107</v>
      </c>
      <c r="C302" s="1">
        <v>31924</v>
      </c>
      <c r="D302" t="s">
        <v>12</v>
      </c>
      <c r="E302">
        <f t="shared" si="48"/>
        <v>0</v>
      </c>
      <c r="F302">
        <f t="shared" si="49"/>
        <v>0</v>
      </c>
      <c r="G302">
        <f t="shared" si="50"/>
        <v>0</v>
      </c>
      <c r="H302">
        <f t="shared" si="51"/>
        <v>0</v>
      </c>
      <c r="I302">
        <f t="shared" si="52"/>
        <v>1</v>
      </c>
      <c r="J302">
        <f t="shared" si="53"/>
        <v>0</v>
      </c>
      <c r="K302">
        <f t="shared" si="54"/>
        <v>0</v>
      </c>
      <c r="L302">
        <f t="shared" si="55"/>
        <v>0</v>
      </c>
      <c r="M302">
        <f t="shared" si="56"/>
        <v>0</v>
      </c>
      <c r="N302">
        <f t="shared" si="57"/>
        <v>0</v>
      </c>
      <c r="O302">
        <f t="shared" si="58"/>
        <v>0</v>
      </c>
      <c r="P302">
        <f t="shared" si="59"/>
        <v>0</v>
      </c>
    </row>
    <row r="303" spans="1:16" x14ac:dyDescent="0.25">
      <c r="A303" t="s">
        <v>398</v>
      </c>
      <c r="B303" t="s">
        <v>399</v>
      </c>
      <c r="C303" s="1">
        <v>23384</v>
      </c>
      <c r="D303" t="s">
        <v>12</v>
      </c>
      <c r="E303">
        <f t="shared" si="48"/>
        <v>1</v>
      </c>
      <c r="F303">
        <f t="shared" si="49"/>
        <v>0</v>
      </c>
      <c r="G303">
        <f t="shared" si="50"/>
        <v>0</v>
      </c>
      <c r="H303">
        <f t="shared" si="51"/>
        <v>0</v>
      </c>
      <c r="I303">
        <f t="shared" si="52"/>
        <v>0</v>
      </c>
      <c r="J303">
        <f t="shared" si="53"/>
        <v>0</v>
      </c>
      <c r="K303">
        <f t="shared" si="54"/>
        <v>0</v>
      </c>
      <c r="L303">
        <f t="shared" si="55"/>
        <v>0</v>
      </c>
      <c r="M303">
        <f t="shared" si="56"/>
        <v>0</v>
      </c>
      <c r="N303">
        <f t="shared" si="57"/>
        <v>0</v>
      </c>
      <c r="O303">
        <f t="shared" si="58"/>
        <v>0</v>
      </c>
      <c r="P303">
        <f t="shared" si="59"/>
        <v>0</v>
      </c>
    </row>
    <row r="304" spans="1:16" x14ac:dyDescent="0.25">
      <c r="A304" t="s">
        <v>400</v>
      </c>
      <c r="B304" t="s">
        <v>401</v>
      </c>
      <c r="C304" s="1">
        <v>32097</v>
      </c>
      <c r="D304" t="s">
        <v>6</v>
      </c>
      <c r="E304">
        <f t="shared" si="48"/>
        <v>0</v>
      </c>
      <c r="F304">
        <f t="shared" si="49"/>
        <v>0</v>
      </c>
      <c r="G304">
        <f t="shared" si="50"/>
        <v>0</v>
      </c>
      <c r="H304">
        <f t="shared" si="51"/>
        <v>0</v>
      </c>
      <c r="I304">
        <f t="shared" si="52"/>
        <v>0</v>
      </c>
      <c r="J304">
        <f t="shared" si="53"/>
        <v>0</v>
      </c>
      <c r="K304">
        <f t="shared" si="54"/>
        <v>0</v>
      </c>
      <c r="L304">
        <f t="shared" si="55"/>
        <v>0</v>
      </c>
      <c r="M304">
        <f t="shared" si="56"/>
        <v>0</v>
      </c>
      <c r="N304">
        <f t="shared" si="57"/>
        <v>0</v>
      </c>
      <c r="O304">
        <f t="shared" si="58"/>
        <v>1</v>
      </c>
      <c r="P304">
        <f t="shared" si="59"/>
        <v>0</v>
      </c>
    </row>
    <row r="305" spans="1:16" x14ac:dyDescent="0.25">
      <c r="A305" t="s">
        <v>402</v>
      </c>
      <c r="B305" t="s">
        <v>403</v>
      </c>
      <c r="C305" s="1">
        <v>22555</v>
      </c>
      <c r="D305" t="s">
        <v>40</v>
      </c>
      <c r="E305">
        <f t="shared" si="48"/>
        <v>0</v>
      </c>
      <c r="F305">
        <f t="shared" si="49"/>
        <v>0</v>
      </c>
      <c r="G305">
        <f t="shared" si="50"/>
        <v>0</v>
      </c>
      <c r="H305">
        <f t="shared" si="51"/>
        <v>0</v>
      </c>
      <c r="I305">
        <f t="shared" si="52"/>
        <v>0</v>
      </c>
      <c r="J305">
        <f t="shared" si="53"/>
        <v>0</v>
      </c>
      <c r="K305">
        <f t="shared" si="54"/>
        <v>0</v>
      </c>
      <c r="L305">
        <f t="shared" si="55"/>
        <v>0</v>
      </c>
      <c r="M305">
        <f t="shared" si="56"/>
        <v>0</v>
      </c>
      <c r="N305">
        <f t="shared" si="57"/>
        <v>1</v>
      </c>
      <c r="O305">
        <f t="shared" si="58"/>
        <v>0</v>
      </c>
      <c r="P305">
        <f t="shared" si="59"/>
        <v>0</v>
      </c>
    </row>
    <row r="306" spans="1:16" x14ac:dyDescent="0.25">
      <c r="A306" t="s">
        <v>317</v>
      </c>
      <c r="B306" t="s">
        <v>20</v>
      </c>
      <c r="C306" s="1">
        <v>22508</v>
      </c>
      <c r="D306" t="s">
        <v>12</v>
      </c>
      <c r="E306">
        <f t="shared" si="48"/>
        <v>0</v>
      </c>
      <c r="F306">
        <f t="shared" si="49"/>
        <v>0</v>
      </c>
      <c r="G306">
        <f t="shared" si="50"/>
        <v>0</v>
      </c>
      <c r="H306">
        <f t="shared" si="51"/>
        <v>0</v>
      </c>
      <c r="I306">
        <f t="shared" si="52"/>
        <v>0</v>
      </c>
      <c r="J306">
        <f t="shared" si="53"/>
        <v>0</v>
      </c>
      <c r="K306">
        <f t="shared" si="54"/>
        <v>0</v>
      </c>
      <c r="L306">
        <f t="shared" si="55"/>
        <v>1</v>
      </c>
      <c r="M306">
        <f t="shared" si="56"/>
        <v>0</v>
      </c>
      <c r="N306">
        <f t="shared" si="57"/>
        <v>0</v>
      </c>
      <c r="O306">
        <f t="shared" si="58"/>
        <v>0</v>
      </c>
      <c r="P306">
        <f t="shared" si="59"/>
        <v>0</v>
      </c>
    </row>
    <row r="307" spans="1:16" x14ac:dyDescent="0.25">
      <c r="A307" t="s">
        <v>404</v>
      </c>
      <c r="B307" t="s">
        <v>72</v>
      </c>
      <c r="C307" s="1">
        <v>29510</v>
      </c>
      <c r="D307" t="s">
        <v>6</v>
      </c>
      <c r="E307">
        <f t="shared" si="48"/>
        <v>0</v>
      </c>
      <c r="F307">
        <f t="shared" si="49"/>
        <v>0</v>
      </c>
      <c r="G307">
        <f t="shared" si="50"/>
        <v>0</v>
      </c>
      <c r="H307">
        <f t="shared" si="51"/>
        <v>0</v>
      </c>
      <c r="I307">
        <f t="shared" si="52"/>
        <v>0</v>
      </c>
      <c r="J307">
        <f t="shared" si="53"/>
        <v>0</v>
      </c>
      <c r="K307">
        <f t="shared" si="54"/>
        <v>0</v>
      </c>
      <c r="L307">
        <f t="shared" si="55"/>
        <v>0</v>
      </c>
      <c r="M307">
        <f t="shared" si="56"/>
        <v>0</v>
      </c>
      <c r="N307">
        <f t="shared" si="57"/>
        <v>1</v>
      </c>
      <c r="O307">
        <f t="shared" si="58"/>
        <v>0</v>
      </c>
      <c r="P307">
        <f t="shared" si="59"/>
        <v>0</v>
      </c>
    </row>
    <row r="308" spans="1:16" x14ac:dyDescent="0.25">
      <c r="A308" t="s">
        <v>405</v>
      </c>
      <c r="B308" t="s">
        <v>406</v>
      </c>
      <c r="C308" s="1">
        <v>22398</v>
      </c>
      <c r="D308" t="s">
        <v>12</v>
      </c>
      <c r="E308">
        <f t="shared" si="48"/>
        <v>0</v>
      </c>
      <c r="F308">
        <f t="shared" si="49"/>
        <v>0</v>
      </c>
      <c r="G308">
        <f t="shared" si="50"/>
        <v>0</v>
      </c>
      <c r="H308">
        <f t="shared" si="51"/>
        <v>1</v>
      </c>
      <c r="I308">
        <f t="shared" si="52"/>
        <v>0</v>
      </c>
      <c r="J308">
        <f t="shared" si="53"/>
        <v>0</v>
      </c>
      <c r="K308">
        <f t="shared" si="54"/>
        <v>0</v>
      </c>
      <c r="L308">
        <f t="shared" si="55"/>
        <v>0</v>
      </c>
      <c r="M308">
        <f t="shared" si="56"/>
        <v>0</v>
      </c>
      <c r="N308">
        <f t="shared" si="57"/>
        <v>0</v>
      </c>
      <c r="O308">
        <f t="shared" si="58"/>
        <v>0</v>
      </c>
      <c r="P308">
        <f t="shared" si="59"/>
        <v>0</v>
      </c>
    </row>
    <row r="309" spans="1:16" x14ac:dyDescent="0.25">
      <c r="A309" t="s">
        <v>407</v>
      </c>
      <c r="B309" t="s">
        <v>20</v>
      </c>
      <c r="C309" s="1">
        <v>28394</v>
      </c>
      <c r="D309" t="s">
        <v>9</v>
      </c>
      <c r="E309">
        <f t="shared" si="48"/>
        <v>0</v>
      </c>
      <c r="F309">
        <f t="shared" si="49"/>
        <v>0</v>
      </c>
      <c r="G309">
        <f t="shared" si="50"/>
        <v>0</v>
      </c>
      <c r="H309">
        <f t="shared" si="51"/>
        <v>0</v>
      </c>
      <c r="I309">
        <f t="shared" si="52"/>
        <v>0</v>
      </c>
      <c r="J309">
        <f t="shared" si="53"/>
        <v>0</v>
      </c>
      <c r="K309">
        <f t="shared" si="54"/>
        <v>0</v>
      </c>
      <c r="L309">
        <f t="shared" si="55"/>
        <v>0</v>
      </c>
      <c r="M309">
        <f t="shared" si="56"/>
        <v>1</v>
      </c>
      <c r="N309">
        <f t="shared" si="57"/>
        <v>0</v>
      </c>
      <c r="O309">
        <f t="shared" si="58"/>
        <v>0</v>
      </c>
      <c r="P309">
        <f t="shared" si="59"/>
        <v>0</v>
      </c>
    </row>
    <row r="310" spans="1:16" x14ac:dyDescent="0.25">
      <c r="A310" t="s">
        <v>408</v>
      </c>
      <c r="B310" t="s">
        <v>139</v>
      </c>
      <c r="C310" s="1">
        <v>16244</v>
      </c>
      <c r="D310" t="s">
        <v>6</v>
      </c>
      <c r="E310">
        <f t="shared" si="48"/>
        <v>0</v>
      </c>
      <c r="F310">
        <f t="shared" si="49"/>
        <v>0</v>
      </c>
      <c r="G310">
        <f t="shared" si="50"/>
        <v>0</v>
      </c>
      <c r="H310">
        <f t="shared" si="51"/>
        <v>0</v>
      </c>
      <c r="I310">
        <f t="shared" si="52"/>
        <v>0</v>
      </c>
      <c r="J310">
        <f t="shared" si="53"/>
        <v>1</v>
      </c>
      <c r="K310">
        <f t="shared" si="54"/>
        <v>0</v>
      </c>
      <c r="L310">
        <f t="shared" si="55"/>
        <v>0</v>
      </c>
      <c r="M310">
        <f t="shared" si="56"/>
        <v>0</v>
      </c>
      <c r="N310">
        <f t="shared" si="57"/>
        <v>0</v>
      </c>
      <c r="O310">
        <f t="shared" si="58"/>
        <v>0</v>
      </c>
      <c r="P310">
        <f t="shared" si="59"/>
        <v>0</v>
      </c>
    </row>
    <row r="311" spans="1:16" x14ac:dyDescent="0.25">
      <c r="A311" t="s">
        <v>409</v>
      </c>
      <c r="B311" t="s">
        <v>167</v>
      </c>
      <c r="C311" s="1">
        <v>32836</v>
      </c>
      <c r="D311" t="s">
        <v>12</v>
      </c>
      <c r="E311">
        <f t="shared" si="48"/>
        <v>0</v>
      </c>
      <c r="F311">
        <f t="shared" si="49"/>
        <v>0</v>
      </c>
      <c r="G311">
        <f t="shared" si="50"/>
        <v>0</v>
      </c>
      <c r="H311">
        <f t="shared" si="51"/>
        <v>0</v>
      </c>
      <c r="I311">
        <f t="shared" si="52"/>
        <v>0</v>
      </c>
      <c r="J311">
        <f t="shared" si="53"/>
        <v>0</v>
      </c>
      <c r="K311">
        <f t="shared" si="54"/>
        <v>0</v>
      </c>
      <c r="L311">
        <f t="shared" si="55"/>
        <v>0</v>
      </c>
      <c r="M311">
        <f t="shared" si="56"/>
        <v>0</v>
      </c>
      <c r="N311">
        <f t="shared" si="57"/>
        <v>0</v>
      </c>
      <c r="O311">
        <f t="shared" si="58"/>
        <v>1</v>
      </c>
      <c r="P311">
        <f t="shared" si="59"/>
        <v>0</v>
      </c>
    </row>
    <row r="312" spans="1:16" x14ac:dyDescent="0.25">
      <c r="A312" t="s">
        <v>410</v>
      </c>
      <c r="B312" t="s">
        <v>141</v>
      </c>
      <c r="C312" s="1">
        <v>23528</v>
      </c>
      <c r="D312" t="s">
        <v>6</v>
      </c>
      <c r="E312">
        <f t="shared" si="48"/>
        <v>0</v>
      </c>
      <c r="F312">
        <f t="shared" si="49"/>
        <v>0</v>
      </c>
      <c r="G312">
        <f t="shared" si="50"/>
        <v>0</v>
      </c>
      <c r="H312">
        <f t="shared" si="51"/>
        <v>0</v>
      </c>
      <c r="I312">
        <f t="shared" si="52"/>
        <v>1</v>
      </c>
      <c r="J312">
        <f t="shared" si="53"/>
        <v>0</v>
      </c>
      <c r="K312">
        <f t="shared" si="54"/>
        <v>0</v>
      </c>
      <c r="L312">
        <f t="shared" si="55"/>
        <v>0</v>
      </c>
      <c r="M312">
        <f t="shared" si="56"/>
        <v>0</v>
      </c>
      <c r="N312">
        <f t="shared" si="57"/>
        <v>0</v>
      </c>
      <c r="O312">
        <f t="shared" si="58"/>
        <v>0</v>
      </c>
      <c r="P312">
        <f t="shared" si="59"/>
        <v>0</v>
      </c>
    </row>
    <row r="313" spans="1:16" x14ac:dyDescent="0.25">
      <c r="A313" t="s">
        <v>411</v>
      </c>
      <c r="B313" t="s">
        <v>412</v>
      </c>
      <c r="C313" s="1">
        <v>28489</v>
      </c>
      <c r="D313" t="s">
        <v>12</v>
      </c>
      <c r="E313">
        <f t="shared" si="48"/>
        <v>0</v>
      </c>
      <c r="F313">
        <f t="shared" si="49"/>
        <v>0</v>
      </c>
      <c r="G313">
        <f t="shared" si="50"/>
        <v>0</v>
      </c>
      <c r="H313">
        <f t="shared" si="51"/>
        <v>0</v>
      </c>
      <c r="I313">
        <f t="shared" si="52"/>
        <v>0</v>
      </c>
      <c r="J313">
        <f t="shared" si="53"/>
        <v>0</v>
      </c>
      <c r="K313">
        <f t="shared" si="54"/>
        <v>0</v>
      </c>
      <c r="L313">
        <f t="shared" si="55"/>
        <v>0</v>
      </c>
      <c r="M313">
        <f t="shared" si="56"/>
        <v>0</v>
      </c>
      <c r="N313">
        <f t="shared" si="57"/>
        <v>0</v>
      </c>
      <c r="O313">
        <f t="shared" si="58"/>
        <v>0</v>
      </c>
      <c r="P313">
        <f t="shared" si="59"/>
        <v>1</v>
      </c>
    </row>
    <row r="314" spans="1:16" x14ac:dyDescent="0.25">
      <c r="A314" t="s">
        <v>413</v>
      </c>
      <c r="B314" t="s">
        <v>399</v>
      </c>
      <c r="C314" s="1">
        <v>20920</v>
      </c>
      <c r="D314" t="s">
        <v>12</v>
      </c>
      <c r="E314">
        <f t="shared" si="48"/>
        <v>0</v>
      </c>
      <c r="F314">
        <f t="shared" si="49"/>
        <v>0</v>
      </c>
      <c r="G314">
        <f t="shared" si="50"/>
        <v>0</v>
      </c>
      <c r="H314">
        <f t="shared" si="51"/>
        <v>1</v>
      </c>
      <c r="I314">
        <f t="shared" si="52"/>
        <v>0</v>
      </c>
      <c r="J314">
        <f t="shared" si="53"/>
        <v>0</v>
      </c>
      <c r="K314">
        <f t="shared" si="54"/>
        <v>0</v>
      </c>
      <c r="L314">
        <f t="shared" si="55"/>
        <v>0</v>
      </c>
      <c r="M314">
        <f t="shared" si="56"/>
        <v>0</v>
      </c>
      <c r="N314">
        <f t="shared" si="57"/>
        <v>0</v>
      </c>
      <c r="O314">
        <f t="shared" si="58"/>
        <v>0</v>
      </c>
      <c r="P314">
        <f t="shared" si="59"/>
        <v>0</v>
      </c>
    </row>
    <row r="315" spans="1:16" x14ac:dyDescent="0.25">
      <c r="A315" t="s">
        <v>414</v>
      </c>
      <c r="B315" t="s">
        <v>11</v>
      </c>
      <c r="C315" s="1">
        <v>34164</v>
      </c>
      <c r="D315" t="s">
        <v>6</v>
      </c>
      <c r="E315">
        <f t="shared" si="48"/>
        <v>0</v>
      </c>
      <c r="F315">
        <f t="shared" si="49"/>
        <v>0</v>
      </c>
      <c r="G315">
        <f t="shared" si="50"/>
        <v>0</v>
      </c>
      <c r="H315">
        <f t="shared" si="51"/>
        <v>0</v>
      </c>
      <c r="I315">
        <f t="shared" si="52"/>
        <v>0</v>
      </c>
      <c r="J315">
        <f t="shared" si="53"/>
        <v>0</v>
      </c>
      <c r="K315">
        <f t="shared" si="54"/>
        <v>1</v>
      </c>
      <c r="L315">
        <f t="shared" si="55"/>
        <v>0</v>
      </c>
      <c r="M315">
        <f t="shared" si="56"/>
        <v>0</v>
      </c>
      <c r="N315">
        <f t="shared" si="57"/>
        <v>0</v>
      </c>
      <c r="O315">
        <f t="shared" si="58"/>
        <v>0</v>
      </c>
      <c r="P315">
        <f t="shared" si="59"/>
        <v>0</v>
      </c>
    </row>
    <row r="316" spans="1:16" x14ac:dyDescent="0.25">
      <c r="A316" t="s">
        <v>415</v>
      </c>
      <c r="B316" t="s">
        <v>246</v>
      </c>
      <c r="C316" s="1">
        <v>32341</v>
      </c>
      <c r="D316" t="s">
        <v>6</v>
      </c>
      <c r="E316">
        <f t="shared" si="48"/>
        <v>0</v>
      </c>
      <c r="F316">
        <f t="shared" si="49"/>
        <v>0</v>
      </c>
      <c r="G316">
        <f t="shared" si="50"/>
        <v>0</v>
      </c>
      <c r="H316">
        <f t="shared" si="51"/>
        <v>0</v>
      </c>
      <c r="I316">
        <f t="shared" si="52"/>
        <v>0</v>
      </c>
      <c r="J316">
        <f t="shared" si="53"/>
        <v>0</v>
      </c>
      <c r="K316">
        <f t="shared" si="54"/>
        <v>1</v>
      </c>
      <c r="L316">
        <f t="shared" si="55"/>
        <v>0</v>
      </c>
      <c r="M316">
        <f t="shared" si="56"/>
        <v>0</v>
      </c>
      <c r="N316">
        <f t="shared" si="57"/>
        <v>0</v>
      </c>
      <c r="O316">
        <f t="shared" si="58"/>
        <v>0</v>
      </c>
      <c r="P316">
        <f t="shared" si="59"/>
        <v>0</v>
      </c>
    </row>
    <row r="317" spans="1:16" x14ac:dyDescent="0.25">
      <c r="A317" t="s">
        <v>416</v>
      </c>
      <c r="B317" t="s">
        <v>194</v>
      </c>
      <c r="C317" s="1">
        <v>16640</v>
      </c>
      <c r="D317" t="s">
        <v>12</v>
      </c>
      <c r="E317">
        <f t="shared" si="48"/>
        <v>0</v>
      </c>
      <c r="F317">
        <f t="shared" si="49"/>
        <v>0</v>
      </c>
      <c r="G317">
        <f t="shared" si="50"/>
        <v>0</v>
      </c>
      <c r="H317">
        <f t="shared" si="51"/>
        <v>0</v>
      </c>
      <c r="I317">
        <f t="shared" si="52"/>
        <v>0</v>
      </c>
      <c r="J317">
        <f t="shared" si="53"/>
        <v>0</v>
      </c>
      <c r="K317">
        <f t="shared" si="54"/>
        <v>1</v>
      </c>
      <c r="L317">
        <f t="shared" si="55"/>
        <v>0</v>
      </c>
      <c r="M317">
        <f t="shared" si="56"/>
        <v>0</v>
      </c>
      <c r="N317">
        <f t="shared" si="57"/>
        <v>0</v>
      </c>
      <c r="O317">
        <f t="shared" si="58"/>
        <v>0</v>
      </c>
      <c r="P317">
        <f t="shared" si="59"/>
        <v>0</v>
      </c>
    </row>
    <row r="318" spans="1:16" x14ac:dyDescent="0.25">
      <c r="A318" t="s">
        <v>417</v>
      </c>
      <c r="B318" t="s">
        <v>418</v>
      </c>
      <c r="C318" s="1">
        <v>28217</v>
      </c>
      <c r="D318" t="s">
        <v>12</v>
      </c>
      <c r="E318">
        <f t="shared" si="48"/>
        <v>0</v>
      </c>
      <c r="F318">
        <f t="shared" si="49"/>
        <v>0</v>
      </c>
      <c r="G318">
        <f t="shared" si="50"/>
        <v>0</v>
      </c>
      <c r="H318">
        <f t="shared" si="51"/>
        <v>1</v>
      </c>
      <c r="I318">
        <f t="shared" si="52"/>
        <v>0</v>
      </c>
      <c r="J318">
        <f t="shared" si="53"/>
        <v>0</v>
      </c>
      <c r="K318">
        <f t="shared" si="54"/>
        <v>0</v>
      </c>
      <c r="L318">
        <f t="shared" si="55"/>
        <v>0</v>
      </c>
      <c r="M318">
        <f t="shared" si="56"/>
        <v>0</v>
      </c>
      <c r="N318">
        <f t="shared" si="57"/>
        <v>0</v>
      </c>
      <c r="O318">
        <f t="shared" si="58"/>
        <v>0</v>
      </c>
      <c r="P318">
        <f t="shared" si="59"/>
        <v>0</v>
      </c>
    </row>
    <row r="319" spans="1:16" x14ac:dyDescent="0.25">
      <c r="A319" t="s">
        <v>190</v>
      </c>
      <c r="B319" t="s">
        <v>419</v>
      </c>
      <c r="C319" s="1">
        <v>32646</v>
      </c>
      <c r="D319" t="s">
        <v>40</v>
      </c>
      <c r="E319">
        <f t="shared" si="48"/>
        <v>0</v>
      </c>
      <c r="F319">
        <f t="shared" si="49"/>
        <v>0</v>
      </c>
      <c r="G319">
        <f t="shared" si="50"/>
        <v>0</v>
      </c>
      <c r="H319">
        <f t="shared" si="51"/>
        <v>0</v>
      </c>
      <c r="I319">
        <f t="shared" si="52"/>
        <v>1</v>
      </c>
      <c r="J319">
        <f t="shared" si="53"/>
        <v>0</v>
      </c>
      <c r="K319">
        <f t="shared" si="54"/>
        <v>0</v>
      </c>
      <c r="L319">
        <f t="shared" si="55"/>
        <v>0</v>
      </c>
      <c r="M319">
        <f t="shared" si="56"/>
        <v>0</v>
      </c>
      <c r="N319">
        <f t="shared" si="57"/>
        <v>0</v>
      </c>
      <c r="O319">
        <f t="shared" si="58"/>
        <v>0</v>
      </c>
      <c r="P319">
        <f t="shared" si="59"/>
        <v>0</v>
      </c>
    </row>
    <row r="320" spans="1:16" x14ac:dyDescent="0.25">
      <c r="A320" t="s">
        <v>420</v>
      </c>
      <c r="B320" t="s">
        <v>5</v>
      </c>
      <c r="C320" s="1">
        <v>28636</v>
      </c>
      <c r="D320" t="s">
        <v>40</v>
      </c>
      <c r="E320">
        <f t="shared" si="48"/>
        <v>0</v>
      </c>
      <c r="F320">
        <f t="shared" si="49"/>
        <v>0</v>
      </c>
      <c r="G320">
        <f t="shared" si="50"/>
        <v>0</v>
      </c>
      <c r="H320">
        <f t="shared" si="51"/>
        <v>0</v>
      </c>
      <c r="I320">
        <f t="shared" si="52"/>
        <v>1</v>
      </c>
      <c r="J320">
        <f t="shared" si="53"/>
        <v>0</v>
      </c>
      <c r="K320">
        <f t="shared" si="54"/>
        <v>0</v>
      </c>
      <c r="L320">
        <f t="shared" si="55"/>
        <v>0</v>
      </c>
      <c r="M320">
        <f t="shared" si="56"/>
        <v>0</v>
      </c>
      <c r="N320">
        <f t="shared" si="57"/>
        <v>0</v>
      </c>
      <c r="O320">
        <f t="shared" si="58"/>
        <v>0</v>
      </c>
      <c r="P320">
        <f t="shared" si="59"/>
        <v>0</v>
      </c>
    </row>
    <row r="321" spans="1:16" x14ac:dyDescent="0.25">
      <c r="A321" t="s">
        <v>421</v>
      </c>
      <c r="B321" t="s">
        <v>8</v>
      </c>
      <c r="C321" s="1">
        <v>30418</v>
      </c>
      <c r="D321" t="s">
        <v>12</v>
      </c>
      <c r="E321">
        <f t="shared" si="48"/>
        <v>0</v>
      </c>
      <c r="F321">
        <f t="shared" si="49"/>
        <v>0</v>
      </c>
      <c r="G321">
        <f t="shared" si="50"/>
        <v>0</v>
      </c>
      <c r="H321">
        <f t="shared" si="51"/>
        <v>1</v>
      </c>
      <c r="I321">
        <f t="shared" si="52"/>
        <v>0</v>
      </c>
      <c r="J321">
        <f t="shared" si="53"/>
        <v>0</v>
      </c>
      <c r="K321">
        <f t="shared" si="54"/>
        <v>0</v>
      </c>
      <c r="L321">
        <f t="shared" si="55"/>
        <v>0</v>
      </c>
      <c r="M321">
        <f t="shared" si="56"/>
        <v>0</v>
      </c>
      <c r="N321">
        <f t="shared" si="57"/>
        <v>0</v>
      </c>
      <c r="O321">
        <f t="shared" si="58"/>
        <v>0</v>
      </c>
      <c r="P321">
        <f t="shared" si="59"/>
        <v>0</v>
      </c>
    </row>
    <row r="322" spans="1:16" x14ac:dyDescent="0.25">
      <c r="A322" t="s">
        <v>110</v>
      </c>
      <c r="B322" t="s">
        <v>368</v>
      </c>
      <c r="C322" s="1">
        <v>33971</v>
      </c>
      <c r="D322" t="s">
        <v>12</v>
      </c>
      <c r="E322">
        <f t="shared" si="48"/>
        <v>1</v>
      </c>
      <c r="F322">
        <f t="shared" si="49"/>
        <v>0</v>
      </c>
      <c r="G322">
        <f t="shared" si="50"/>
        <v>0</v>
      </c>
      <c r="H322">
        <f t="shared" si="51"/>
        <v>0</v>
      </c>
      <c r="I322">
        <f t="shared" si="52"/>
        <v>0</v>
      </c>
      <c r="J322">
        <f t="shared" si="53"/>
        <v>0</v>
      </c>
      <c r="K322">
        <f t="shared" si="54"/>
        <v>0</v>
      </c>
      <c r="L322">
        <f t="shared" si="55"/>
        <v>0</v>
      </c>
      <c r="M322">
        <f t="shared" si="56"/>
        <v>0</v>
      </c>
      <c r="N322">
        <f t="shared" si="57"/>
        <v>0</v>
      </c>
      <c r="O322">
        <f t="shared" si="58"/>
        <v>0</v>
      </c>
      <c r="P322">
        <f t="shared" si="59"/>
        <v>0</v>
      </c>
    </row>
    <row r="323" spans="1:16" x14ac:dyDescent="0.25">
      <c r="A323" t="s">
        <v>422</v>
      </c>
      <c r="B323" t="s">
        <v>52</v>
      </c>
      <c r="C323" s="1">
        <v>26974</v>
      </c>
      <c r="D323" t="s">
        <v>12</v>
      </c>
      <c r="E323">
        <f t="shared" ref="E323:E332" si="60">IF(MONTH(C323)=1,1,0)</f>
        <v>0</v>
      </c>
      <c r="F323">
        <f t="shared" ref="F323:F332" si="61">IF(MONTH(C323)=2,1,0)</f>
        <v>0</v>
      </c>
      <c r="G323">
        <f t="shared" ref="G323:G332" si="62">IF(MONTH(C323)=3,1,0)</f>
        <v>0</v>
      </c>
      <c r="H323">
        <f t="shared" ref="H323:H332" si="63">IF(MONTH($C323)=4,1,0)</f>
        <v>0</v>
      </c>
      <c r="I323">
        <f t="shared" ref="I323:I332" si="64">IF(MONTH($C323)=5,1,0)</f>
        <v>0</v>
      </c>
      <c r="J323">
        <f t="shared" ref="J323:J332" si="65">IF(MONTH($C323)=6,1,0)</f>
        <v>0</v>
      </c>
      <c r="K323">
        <f t="shared" ref="K323:K332" si="66">IF(MONTH($C323)=7,1,0)</f>
        <v>0</v>
      </c>
      <c r="L323">
        <f t="shared" ref="L323:L332" si="67">IF(MONTH($C323)=8,1,0)</f>
        <v>0</v>
      </c>
      <c r="M323">
        <f t="shared" ref="M323:M332" si="68">IF(MONTH($C323)=9,1,0)</f>
        <v>0</v>
      </c>
      <c r="N323">
        <f t="shared" ref="N323:N332" si="69">IF(MONTH($C323)=10,1,0)</f>
        <v>0</v>
      </c>
      <c r="O323">
        <f t="shared" ref="O323:O332" si="70">IF(MONTH($C323)=11,1,0)</f>
        <v>1</v>
      </c>
      <c r="P323">
        <f t="shared" ref="P323:P332" si="71">IF(MONTH($C323)=12,1,0)</f>
        <v>0</v>
      </c>
    </row>
    <row r="324" spans="1:16" x14ac:dyDescent="0.25">
      <c r="A324" t="s">
        <v>423</v>
      </c>
      <c r="B324" t="s">
        <v>47</v>
      </c>
      <c r="C324" s="1">
        <v>21339</v>
      </c>
      <c r="D324" t="s">
        <v>12</v>
      </c>
      <c r="E324">
        <f t="shared" si="60"/>
        <v>0</v>
      </c>
      <c r="F324">
        <f t="shared" si="61"/>
        <v>0</v>
      </c>
      <c r="G324">
        <f t="shared" si="62"/>
        <v>0</v>
      </c>
      <c r="H324">
        <f t="shared" si="63"/>
        <v>0</v>
      </c>
      <c r="I324">
        <f t="shared" si="64"/>
        <v>0</v>
      </c>
      <c r="J324">
        <f t="shared" si="65"/>
        <v>1</v>
      </c>
      <c r="K324">
        <f t="shared" si="66"/>
        <v>0</v>
      </c>
      <c r="L324">
        <f t="shared" si="67"/>
        <v>0</v>
      </c>
      <c r="M324">
        <f t="shared" si="68"/>
        <v>0</v>
      </c>
      <c r="N324">
        <f t="shared" si="69"/>
        <v>0</v>
      </c>
      <c r="O324">
        <f t="shared" si="70"/>
        <v>0</v>
      </c>
      <c r="P324">
        <f t="shared" si="71"/>
        <v>0</v>
      </c>
    </row>
    <row r="325" spans="1:16" x14ac:dyDescent="0.25">
      <c r="A325" t="s">
        <v>424</v>
      </c>
      <c r="B325" t="s">
        <v>90</v>
      </c>
      <c r="C325" s="1">
        <v>25150</v>
      </c>
      <c r="D325" t="s">
        <v>6</v>
      </c>
      <c r="E325">
        <f t="shared" si="60"/>
        <v>0</v>
      </c>
      <c r="F325">
        <f t="shared" si="61"/>
        <v>0</v>
      </c>
      <c r="G325">
        <f t="shared" si="62"/>
        <v>0</v>
      </c>
      <c r="H325">
        <f t="shared" si="63"/>
        <v>0</v>
      </c>
      <c r="I325">
        <f t="shared" si="64"/>
        <v>0</v>
      </c>
      <c r="J325">
        <f t="shared" si="65"/>
        <v>0</v>
      </c>
      <c r="K325">
        <f t="shared" si="66"/>
        <v>0</v>
      </c>
      <c r="L325">
        <f t="shared" si="67"/>
        <v>0</v>
      </c>
      <c r="M325">
        <f t="shared" si="68"/>
        <v>0</v>
      </c>
      <c r="N325">
        <f t="shared" si="69"/>
        <v>0</v>
      </c>
      <c r="O325">
        <f t="shared" si="70"/>
        <v>1</v>
      </c>
      <c r="P325">
        <f t="shared" si="71"/>
        <v>0</v>
      </c>
    </row>
    <row r="326" spans="1:16" x14ac:dyDescent="0.25">
      <c r="A326" t="s">
        <v>425</v>
      </c>
      <c r="B326" t="s">
        <v>8</v>
      </c>
      <c r="C326" s="1">
        <v>20340</v>
      </c>
      <c r="D326" t="s">
        <v>12</v>
      </c>
      <c r="E326">
        <f t="shared" si="60"/>
        <v>0</v>
      </c>
      <c r="F326">
        <f t="shared" si="61"/>
        <v>0</v>
      </c>
      <c r="G326">
        <f t="shared" si="62"/>
        <v>0</v>
      </c>
      <c r="H326">
        <f t="shared" si="63"/>
        <v>0</v>
      </c>
      <c r="I326">
        <f t="shared" si="64"/>
        <v>0</v>
      </c>
      <c r="J326">
        <f t="shared" si="65"/>
        <v>0</v>
      </c>
      <c r="K326">
        <f t="shared" si="66"/>
        <v>0</v>
      </c>
      <c r="L326">
        <f t="shared" si="67"/>
        <v>0</v>
      </c>
      <c r="M326">
        <f t="shared" si="68"/>
        <v>1</v>
      </c>
      <c r="N326">
        <f t="shared" si="69"/>
        <v>0</v>
      </c>
      <c r="O326">
        <f t="shared" si="70"/>
        <v>0</v>
      </c>
      <c r="P326">
        <f t="shared" si="71"/>
        <v>0</v>
      </c>
    </row>
    <row r="327" spans="1:16" x14ac:dyDescent="0.25">
      <c r="A327" t="s">
        <v>426</v>
      </c>
      <c r="B327" t="s">
        <v>131</v>
      </c>
      <c r="C327" s="1">
        <v>16045</v>
      </c>
      <c r="D327" t="s">
        <v>6</v>
      </c>
      <c r="E327">
        <f t="shared" si="60"/>
        <v>0</v>
      </c>
      <c r="F327">
        <f t="shared" si="61"/>
        <v>0</v>
      </c>
      <c r="G327">
        <f t="shared" si="62"/>
        <v>0</v>
      </c>
      <c r="H327">
        <f t="shared" si="63"/>
        <v>0</v>
      </c>
      <c r="I327">
        <f t="shared" si="64"/>
        <v>0</v>
      </c>
      <c r="J327">
        <f t="shared" si="65"/>
        <v>0</v>
      </c>
      <c r="K327">
        <f t="shared" si="66"/>
        <v>0</v>
      </c>
      <c r="L327">
        <f t="shared" si="67"/>
        <v>0</v>
      </c>
      <c r="M327">
        <f t="shared" si="68"/>
        <v>0</v>
      </c>
      <c r="N327">
        <f t="shared" si="69"/>
        <v>0</v>
      </c>
      <c r="O327">
        <f t="shared" si="70"/>
        <v>0</v>
      </c>
      <c r="P327">
        <f t="shared" si="71"/>
        <v>1</v>
      </c>
    </row>
    <row r="328" spans="1:16" x14ac:dyDescent="0.25">
      <c r="A328" t="s">
        <v>427</v>
      </c>
      <c r="B328" t="s">
        <v>37</v>
      </c>
      <c r="C328" s="1">
        <v>18568</v>
      </c>
      <c r="D328" t="s">
        <v>12</v>
      </c>
      <c r="E328">
        <f t="shared" si="60"/>
        <v>0</v>
      </c>
      <c r="F328">
        <f t="shared" si="61"/>
        <v>0</v>
      </c>
      <c r="G328">
        <f t="shared" si="62"/>
        <v>0</v>
      </c>
      <c r="H328">
        <f t="shared" si="63"/>
        <v>0</v>
      </c>
      <c r="I328">
        <f t="shared" si="64"/>
        <v>0</v>
      </c>
      <c r="J328">
        <f t="shared" si="65"/>
        <v>0</v>
      </c>
      <c r="K328">
        <f t="shared" si="66"/>
        <v>0</v>
      </c>
      <c r="L328">
        <f t="shared" si="67"/>
        <v>0</v>
      </c>
      <c r="M328">
        <f t="shared" si="68"/>
        <v>0</v>
      </c>
      <c r="N328">
        <f t="shared" si="69"/>
        <v>0</v>
      </c>
      <c r="O328">
        <f t="shared" si="70"/>
        <v>1</v>
      </c>
      <c r="P328">
        <f t="shared" si="71"/>
        <v>0</v>
      </c>
    </row>
    <row r="329" spans="1:16" x14ac:dyDescent="0.25">
      <c r="A329" t="s">
        <v>311</v>
      </c>
      <c r="B329" t="s">
        <v>199</v>
      </c>
      <c r="C329" s="1">
        <v>33976</v>
      </c>
      <c r="D329" t="s">
        <v>12</v>
      </c>
      <c r="E329">
        <f t="shared" si="60"/>
        <v>1</v>
      </c>
      <c r="F329">
        <f t="shared" si="61"/>
        <v>0</v>
      </c>
      <c r="G329">
        <f t="shared" si="62"/>
        <v>0</v>
      </c>
      <c r="H329">
        <f t="shared" si="63"/>
        <v>0</v>
      </c>
      <c r="I329">
        <f t="shared" si="64"/>
        <v>0</v>
      </c>
      <c r="J329">
        <f t="shared" si="65"/>
        <v>0</v>
      </c>
      <c r="K329">
        <f t="shared" si="66"/>
        <v>0</v>
      </c>
      <c r="L329">
        <f t="shared" si="67"/>
        <v>0</v>
      </c>
      <c r="M329">
        <f t="shared" si="68"/>
        <v>0</v>
      </c>
      <c r="N329">
        <f t="shared" si="69"/>
        <v>0</v>
      </c>
      <c r="O329">
        <f t="shared" si="70"/>
        <v>0</v>
      </c>
      <c r="P329">
        <f t="shared" si="71"/>
        <v>0</v>
      </c>
    </row>
    <row r="330" spans="1:16" x14ac:dyDescent="0.25">
      <c r="A330" t="s">
        <v>428</v>
      </c>
      <c r="B330" t="s">
        <v>429</v>
      </c>
      <c r="C330" s="1">
        <v>30720</v>
      </c>
      <c r="D330" t="s">
        <v>12</v>
      </c>
      <c r="E330">
        <f t="shared" si="60"/>
        <v>0</v>
      </c>
      <c r="F330">
        <f t="shared" si="61"/>
        <v>1</v>
      </c>
      <c r="G330">
        <f t="shared" si="62"/>
        <v>0</v>
      </c>
      <c r="H330">
        <f t="shared" si="63"/>
        <v>0</v>
      </c>
      <c r="I330">
        <f t="shared" si="64"/>
        <v>0</v>
      </c>
      <c r="J330">
        <f t="shared" si="65"/>
        <v>0</v>
      </c>
      <c r="K330">
        <f t="shared" si="66"/>
        <v>0</v>
      </c>
      <c r="L330">
        <f t="shared" si="67"/>
        <v>0</v>
      </c>
      <c r="M330">
        <f t="shared" si="68"/>
        <v>0</v>
      </c>
      <c r="N330">
        <f t="shared" si="69"/>
        <v>0</v>
      </c>
      <c r="O330">
        <f t="shared" si="70"/>
        <v>0</v>
      </c>
      <c r="P330">
        <f t="shared" si="71"/>
        <v>0</v>
      </c>
    </row>
    <row r="331" spans="1:16" x14ac:dyDescent="0.25">
      <c r="A331" t="s">
        <v>430</v>
      </c>
      <c r="B331" t="s">
        <v>141</v>
      </c>
      <c r="C331" s="1">
        <v>22604</v>
      </c>
      <c r="D331" t="s">
        <v>9</v>
      </c>
      <c r="E331">
        <f t="shared" si="60"/>
        <v>0</v>
      </c>
      <c r="F331">
        <f t="shared" si="61"/>
        <v>0</v>
      </c>
      <c r="G331">
        <f t="shared" si="62"/>
        <v>0</v>
      </c>
      <c r="H331">
        <f t="shared" si="63"/>
        <v>0</v>
      </c>
      <c r="I331">
        <f t="shared" si="64"/>
        <v>0</v>
      </c>
      <c r="J331">
        <f t="shared" si="65"/>
        <v>0</v>
      </c>
      <c r="K331">
        <f t="shared" si="66"/>
        <v>0</v>
      </c>
      <c r="L331">
        <f t="shared" si="67"/>
        <v>0</v>
      </c>
      <c r="M331">
        <f t="shared" si="68"/>
        <v>0</v>
      </c>
      <c r="N331">
        <f t="shared" si="69"/>
        <v>0</v>
      </c>
      <c r="O331">
        <f t="shared" si="70"/>
        <v>1</v>
      </c>
      <c r="P331">
        <f t="shared" si="71"/>
        <v>0</v>
      </c>
    </row>
    <row r="332" spans="1:16" x14ac:dyDescent="0.25">
      <c r="A332" t="s">
        <v>431</v>
      </c>
      <c r="B332" t="s">
        <v>368</v>
      </c>
      <c r="C332" s="1">
        <v>19123</v>
      </c>
      <c r="D332" t="s">
        <v>12</v>
      </c>
      <c r="E332">
        <f t="shared" si="60"/>
        <v>0</v>
      </c>
      <c r="F332">
        <f t="shared" si="61"/>
        <v>0</v>
      </c>
      <c r="G332">
        <f t="shared" si="62"/>
        <v>0</v>
      </c>
      <c r="H332">
        <f t="shared" si="63"/>
        <v>0</v>
      </c>
      <c r="I332">
        <f t="shared" si="64"/>
        <v>1</v>
      </c>
      <c r="J332">
        <f t="shared" si="65"/>
        <v>0</v>
      </c>
      <c r="K332">
        <f t="shared" si="66"/>
        <v>0</v>
      </c>
      <c r="L332">
        <f t="shared" si="67"/>
        <v>0</v>
      </c>
      <c r="M332">
        <f t="shared" si="68"/>
        <v>0</v>
      </c>
      <c r="N332">
        <f t="shared" si="69"/>
        <v>0</v>
      </c>
      <c r="O332">
        <f t="shared" si="70"/>
        <v>0</v>
      </c>
      <c r="P332">
        <f t="shared" si="71"/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D720D-D5D8-4632-BEFF-0CD6870D9B1C}">
  <dimension ref="A1:I332"/>
  <sheetViews>
    <sheetView topLeftCell="A4" zoomScale="175" zoomScaleNormal="175" workbookViewId="0">
      <selection activeCell="H10" sqref="H10"/>
    </sheetView>
  </sheetViews>
  <sheetFormatPr defaultRowHeight="15" x14ac:dyDescent="0.25"/>
  <cols>
    <col min="3" max="3" width="11" bestFit="1" customWidth="1"/>
    <col min="4" max="4" width="20.85546875" bestFit="1" customWidth="1"/>
    <col min="8" max="8" width="17.7109375" bestFit="1" customWidth="1"/>
    <col min="9" max="9" width="14.4257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446</v>
      </c>
    </row>
    <row r="2" spans="1:9" x14ac:dyDescent="0.25">
      <c r="A2" t="s">
        <v>4</v>
      </c>
      <c r="B2" t="s">
        <v>5</v>
      </c>
      <c r="C2" s="1">
        <v>22190</v>
      </c>
      <c r="D2" t="s">
        <v>6</v>
      </c>
      <c r="E2">
        <f>IF(RIGHT(B2,1)="a",1,0)</f>
        <v>1</v>
      </c>
      <c r="H2" s="3" t="s">
        <v>444</v>
      </c>
      <c r="I2" t="s">
        <v>447</v>
      </c>
    </row>
    <row r="3" spans="1:9" x14ac:dyDescent="0.25">
      <c r="A3" t="s">
        <v>7</v>
      </c>
      <c r="B3" t="s">
        <v>8</v>
      </c>
      <c r="C3" s="1">
        <v>30952</v>
      </c>
      <c r="D3" t="s">
        <v>9</v>
      </c>
      <c r="E3">
        <f t="shared" ref="E3:E66" si="0">IF(RIGHT(B3,1)="a",1,0)</f>
        <v>0</v>
      </c>
      <c r="H3" s="4" t="s">
        <v>12</v>
      </c>
      <c r="I3" s="2">
        <v>97</v>
      </c>
    </row>
    <row r="4" spans="1:9" x14ac:dyDescent="0.25">
      <c r="A4" t="s">
        <v>10</v>
      </c>
      <c r="B4" t="s">
        <v>11</v>
      </c>
      <c r="C4" s="1">
        <v>24753</v>
      </c>
      <c r="D4" t="s">
        <v>12</v>
      </c>
      <c r="E4">
        <f t="shared" si="0"/>
        <v>1</v>
      </c>
      <c r="H4" s="4" t="s">
        <v>40</v>
      </c>
      <c r="I4" s="2">
        <v>20</v>
      </c>
    </row>
    <row r="5" spans="1:9" x14ac:dyDescent="0.25">
      <c r="A5" t="s">
        <v>13</v>
      </c>
      <c r="B5" t="s">
        <v>14</v>
      </c>
      <c r="C5" s="1">
        <v>31544</v>
      </c>
      <c r="D5" t="s">
        <v>9</v>
      </c>
      <c r="E5">
        <f t="shared" si="0"/>
        <v>0</v>
      </c>
      <c r="H5" s="4" t="s">
        <v>6</v>
      </c>
      <c r="I5" s="2">
        <v>59</v>
      </c>
    </row>
    <row r="6" spans="1:9" x14ac:dyDescent="0.25">
      <c r="A6" t="s">
        <v>15</v>
      </c>
      <c r="B6" t="s">
        <v>16</v>
      </c>
      <c r="C6" s="1">
        <v>22780</v>
      </c>
      <c r="D6" t="s">
        <v>9</v>
      </c>
      <c r="E6">
        <f t="shared" si="0"/>
        <v>1</v>
      </c>
      <c r="H6" s="4" t="s">
        <v>9</v>
      </c>
      <c r="I6" s="2">
        <v>24</v>
      </c>
    </row>
    <row r="7" spans="1:9" x14ac:dyDescent="0.25">
      <c r="A7" t="s">
        <v>17</v>
      </c>
      <c r="B7" t="s">
        <v>18</v>
      </c>
      <c r="C7" s="1">
        <v>31694</v>
      </c>
      <c r="D7" t="s">
        <v>12</v>
      </c>
      <c r="E7">
        <f t="shared" si="0"/>
        <v>0</v>
      </c>
      <c r="H7" s="4" t="s">
        <v>445</v>
      </c>
      <c r="I7" s="2">
        <v>200</v>
      </c>
    </row>
    <row r="8" spans="1:9" x14ac:dyDescent="0.25">
      <c r="A8" t="s">
        <v>19</v>
      </c>
      <c r="B8" t="s">
        <v>20</v>
      </c>
      <c r="C8" s="1">
        <v>33569</v>
      </c>
      <c r="D8" t="s">
        <v>6</v>
      </c>
      <c r="E8">
        <f t="shared" si="0"/>
        <v>1</v>
      </c>
    </row>
    <row r="9" spans="1:9" x14ac:dyDescent="0.25">
      <c r="A9" t="s">
        <v>21</v>
      </c>
      <c r="B9" t="s">
        <v>22</v>
      </c>
      <c r="C9" s="1">
        <v>30372</v>
      </c>
      <c r="D9" t="s">
        <v>6</v>
      </c>
      <c r="E9">
        <f t="shared" si="0"/>
        <v>1</v>
      </c>
    </row>
    <row r="10" spans="1:9" x14ac:dyDescent="0.25">
      <c r="A10" t="s">
        <v>23</v>
      </c>
      <c r="B10" t="s">
        <v>8</v>
      </c>
      <c r="C10" s="1">
        <v>33568</v>
      </c>
      <c r="D10" t="s">
        <v>6</v>
      </c>
      <c r="E10">
        <f t="shared" si="0"/>
        <v>0</v>
      </c>
      <c r="H10" s="6" t="s">
        <v>12</v>
      </c>
      <c r="I10" s="7">
        <v>97</v>
      </c>
    </row>
    <row r="11" spans="1:9" x14ac:dyDescent="0.25">
      <c r="A11" t="s">
        <v>24</v>
      </c>
      <c r="B11" t="s">
        <v>25</v>
      </c>
      <c r="C11" s="1">
        <v>31111</v>
      </c>
      <c r="D11" t="s">
        <v>6</v>
      </c>
      <c r="E11">
        <f t="shared" si="0"/>
        <v>1</v>
      </c>
      <c r="H11" s="6" t="s">
        <v>40</v>
      </c>
      <c r="I11" s="7">
        <v>20</v>
      </c>
    </row>
    <row r="12" spans="1:9" x14ac:dyDescent="0.25">
      <c r="A12" t="s">
        <v>26</v>
      </c>
      <c r="B12" t="s">
        <v>27</v>
      </c>
      <c r="C12" s="1">
        <v>17347</v>
      </c>
      <c r="D12" t="s">
        <v>6</v>
      </c>
      <c r="E12">
        <f t="shared" si="0"/>
        <v>0</v>
      </c>
      <c r="H12" s="6" t="s">
        <v>6</v>
      </c>
      <c r="I12" s="7">
        <v>59</v>
      </c>
    </row>
    <row r="13" spans="1:9" x14ac:dyDescent="0.25">
      <c r="A13" t="s">
        <v>28</v>
      </c>
      <c r="B13" t="s">
        <v>29</v>
      </c>
      <c r="C13" s="1">
        <v>33321</v>
      </c>
      <c r="D13" t="s">
        <v>12</v>
      </c>
      <c r="E13">
        <f t="shared" si="0"/>
        <v>0</v>
      </c>
      <c r="H13" s="6" t="s">
        <v>9</v>
      </c>
      <c r="I13" s="7">
        <v>24</v>
      </c>
    </row>
    <row r="14" spans="1:9" x14ac:dyDescent="0.25">
      <c r="A14" t="s">
        <v>30</v>
      </c>
      <c r="B14" t="s">
        <v>8</v>
      </c>
      <c r="C14" s="1">
        <v>26093</v>
      </c>
      <c r="D14" t="s">
        <v>12</v>
      </c>
      <c r="E14">
        <f t="shared" si="0"/>
        <v>0</v>
      </c>
    </row>
    <row r="15" spans="1:9" x14ac:dyDescent="0.25">
      <c r="A15" t="s">
        <v>31</v>
      </c>
      <c r="B15" t="s">
        <v>32</v>
      </c>
      <c r="C15" s="1">
        <v>17144</v>
      </c>
      <c r="D15" t="s">
        <v>12</v>
      </c>
      <c r="E15">
        <f t="shared" si="0"/>
        <v>0</v>
      </c>
    </row>
    <row r="16" spans="1:9" x14ac:dyDescent="0.25">
      <c r="A16" t="s">
        <v>33</v>
      </c>
      <c r="B16" t="s">
        <v>34</v>
      </c>
      <c r="C16" s="1">
        <v>26019</v>
      </c>
      <c r="D16" t="s">
        <v>12</v>
      </c>
      <c r="E16">
        <f t="shared" si="0"/>
        <v>0</v>
      </c>
    </row>
    <row r="17" spans="1:5" x14ac:dyDescent="0.25">
      <c r="A17" t="s">
        <v>35</v>
      </c>
      <c r="B17" t="s">
        <v>27</v>
      </c>
      <c r="C17" s="1">
        <v>30193</v>
      </c>
      <c r="D17" t="s">
        <v>6</v>
      </c>
      <c r="E17">
        <f t="shared" si="0"/>
        <v>0</v>
      </c>
    </row>
    <row r="18" spans="1:5" x14ac:dyDescent="0.25">
      <c r="A18" t="s">
        <v>36</v>
      </c>
      <c r="B18" t="s">
        <v>37</v>
      </c>
      <c r="C18" s="1">
        <v>29668</v>
      </c>
      <c r="D18" t="s">
        <v>9</v>
      </c>
      <c r="E18">
        <f t="shared" si="0"/>
        <v>1</v>
      </c>
    </row>
    <row r="19" spans="1:5" x14ac:dyDescent="0.25">
      <c r="A19" t="s">
        <v>38</v>
      </c>
      <c r="B19" t="s">
        <v>39</v>
      </c>
      <c r="C19" s="1">
        <v>34945</v>
      </c>
      <c r="D19" t="s">
        <v>40</v>
      </c>
      <c r="E19">
        <f t="shared" si="0"/>
        <v>1</v>
      </c>
    </row>
    <row r="20" spans="1:5" x14ac:dyDescent="0.25">
      <c r="A20" t="s">
        <v>41</v>
      </c>
      <c r="B20" t="s">
        <v>42</v>
      </c>
      <c r="C20" s="1">
        <v>23309</v>
      </c>
      <c r="D20" t="s">
        <v>9</v>
      </c>
      <c r="E20">
        <f t="shared" si="0"/>
        <v>1</v>
      </c>
    </row>
    <row r="21" spans="1:5" x14ac:dyDescent="0.25">
      <c r="A21" t="s">
        <v>43</v>
      </c>
      <c r="B21" t="s">
        <v>20</v>
      </c>
      <c r="C21" s="1">
        <v>16498</v>
      </c>
      <c r="D21" t="s">
        <v>6</v>
      </c>
      <c r="E21">
        <f t="shared" si="0"/>
        <v>1</v>
      </c>
    </row>
    <row r="22" spans="1:5" x14ac:dyDescent="0.25">
      <c r="A22" t="s">
        <v>44</v>
      </c>
      <c r="B22" t="s">
        <v>45</v>
      </c>
      <c r="C22" s="1">
        <v>19872</v>
      </c>
      <c r="D22" t="s">
        <v>12</v>
      </c>
      <c r="E22">
        <f t="shared" si="0"/>
        <v>1</v>
      </c>
    </row>
    <row r="23" spans="1:5" x14ac:dyDescent="0.25">
      <c r="A23" t="s">
        <v>46</v>
      </c>
      <c r="B23" t="s">
        <v>47</v>
      </c>
      <c r="C23" s="1">
        <v>26018</v>
      </c>
      <c r="D23" t="s">
        <v>6</v>
      </c>
      <c r="E23">
        <f t="shared" si="0"/>
        <v>1</v>
      </c>
    </row>
    <row r="24" spans="1:5" x14ac:dyDescent="0.25">
      <c r="A24" t="s">
        <v>48</v>
      </c>
      <c r="B24" t="s">
        <v>49</v>
      </c>
      <c r="C24" s="1">
        <v>25110</v>
      </c>
      <c r="D24" t="s">
        <v>40</v>
      </c>
      <c r="E24">
        <f t="shared" si="0"/>
        <v>0</v>
      </c>
    </row>
    <row r="25" spans="1:5" x14ac:dyDescent="0.25">
      <c r="A25" t="s">
        <v>50</v>
      </c>
      <c r="B25" t="s">
        <v>29</v>
      </c>
      <c r="C25" s="1">
        <v>33411</v>
      </c>
      <c r="D25" t="s">
        <v>9</v>
      </c>
      <c r="E25">
        <f t="shared" si="0"/>
        <v>0</v>
      </c>
    </row>
    <row r="26" spans="1:5" x14ac:dyDescent="0.25">
      <c r="A26" t="s">
        <v>51</v>
      </c>
      <c r="B26" t="s">
        <v>52</v>
      </c>
      <c r="C26" s="1">
        <v>30969</v>
      </c>
      <c r="D26" t="s">
        <v>12</v>
      </c>
      <c r="E26">
        <f t="shared" si="0"/>
        <v>1</v>
      </c>
    </row>
    <row r="27" spans="1:5" x14ac:dyDescent="0.25">
      <c r="A27" t="s">
        <v>53</v>
      </c>
      <c r="B27" t="s">
        <v>54</v>
      </c>
      <c r="C27" s="1">
        <v>19368</v>
      </c>
      <c r="D27" t="s">
        <v>12</v>
      </c>
      <c r="E27">
        <f t="shared" si="0"/>
        <v>1</v>
      </c>
    </row>
    <row r="28" spans="1:5" x14ac:dyDescent="0.25">
      <c r="A28" t="s">
        <v>55</v>
      </c>
      <c r="B28" t="s">
        <v>56</v>
      </c>
      <c r="C28" s="1">
        <v>23668</v>
      </c>
      <c r="D28" t="s">
        <v>40</v>
      </c>
      <c r="E28">
        <f t="shared" si="0"/>
        <v>1</v>
      </c>
    </row>
    <row r="29" spans="1:5" x14ac:dyDescent="0.25">
      <c r="A29" t="s">
        <v>57</v>
      </c>
      <c r="B29" t="s">
        <v>58</v>
      </c>
      <c r="C29" s="1">
        <v>19851</v>
      </c>
      <c r="D29" t="s">
        <v>12</v>
      </c>
      <c r="E29">
        <f t="shared" si="0"/>
        <v>0</v>
      </c>
    </row>
    <row r="30" spans="1:5" x14ac:dyDescent="0.25">
      <c r="A30" t="s">
        <v>59</v>
      </c>
      <c r="B30" t="s">
        <v>18</v>
      </c>
      <c r="C30" s="1">
        <v>17896</v>
      </c>
      <c r="D30" t="s">
        <v>9</v>
      </c>
      <c r="E30">
        <f t="shared" si="0"/>
        <v>0</v>
      </c>
    </row>
    <row r="31" spans="1:5" x14ac:dyDescent="0.25">
      <c r="A31" t="s">
        <v>60</v>
      </c>
      <c r="B31" t="s">
        <v>11</v>
      </c>
      <c r="C31" s="1">
        <v>25045</v>
      </c>
      <c r="D31" t="s">
        <v>12</v>
      </c>
      <c r="E31">
        <f t="shared" si="0"/>
        <v>1</v>
      </c>
    </row>
    <row r="32" spans="1:5" x14ac:dyDescent="0.25">
      <c r="A32" t="s">
        <v>61</v>
      </c>
      <c r="B32" t="s">
        <v>20</v>
      </c>
      <c r="C32" s="1">
        <v>18367</v>
      </c>
      <c r="D32" t="s">
        <v>12</v>
      </c>
      <c r="E32">
        <f t="shared" si="0"/>
        <v>1</v>
      </c>
    </row>
    <row r="33" spans="1:5" x14ac:dyDescent="0.25">
      <c r="A33" t="s">
        <v>62</v>
      </c>
      <c r="B33" t="s">
        <v>20</v>
      </c>
      <c r="C33" s="1">
        <v>21630</v>
      </c>
      <c r="D33" t="s">
        <v>6</v>
      </c>
      <c r="E33">
        <f t="shared" si="0"/>
        <v>1</v>
      </c>
    </row>
    <row r="34" spans="1:5" x14ac:dyDescent="0.25">
      <c r="A34" t="s">
        <v>63</v>
      </c>
      <c r="B34" t="s">
        <v>64</v>
      </c>
      <c r="C34" s="1">
        <v>16075</v>
      </c>
      <c r="D34" t="s">
        <v>40</v>
      </c>
      <c r="E34">
        <f t="shared" si="0"/>
        <v>1</v>
      </c>
    </row>
    <row r="35" spans="1:5" x14ac:dyDescent="0.25">
      <c r="A35" t="s">
        <v>65</v>
      </c>
      <c r="B35" t="s">
        <v>20</v>
      </c>
      <c r="C35" s="1">
        <v>30640</v>
      </c>
      <c r="D35" t="s">
        <v>6</v>
      </c>
      <c r="E35">
        <f t="shared" si="0"/>
        <v>1</v>
      </c>
    </row>
    <row r="36" spans="1:5" x14ac:dyDescent="0.25">
      <c r="A36" t="s">
        <v>66</v>
      </c>
      <c r="B36" t="s">
        <v>67</v>
      </c>
      <c r="C36" s="1">
        <v>21633</v>
      </c>
      <c r="D36" t="s">
        <v>12</v>
      </c>
      <c r="E36">
        <f t="shared" si="0"/>
        <v>0</v>
      </c>
    </row>
    <row r="37" spans="1:5" x14ac:dyDescent="0.25">
      <c r="A37" t="s">
        <v>68</v>
      </c>
      <c r="B37" t="s">
        <v>69</v>
      </c>
      <c r="C37" s="1">
        <v>22843</v>
      </c>
      <c r="D37" t="s">
        <v>6</v>
      </c>
      <c r="E37">
        <f t="shared" si="0"/>
        <v>0</v>
      </c>
    </row>
    <row r="38" spans="1:5" x14ac:dyDescent="0.25">
      <c r="A38" t="s">
        <v>70</v>
      </c>
      <c r="B38" t="s">
        <v>39</v>
      </c>
      <c r="C38" s="1">
        <v>22944</v>
      </c>
      <c r="D38" t="s">
        <v>12</v>
      </c>
      <c r="E38">
        <f t="shared" si="0"/>
        <v>1</v>
      </c>
    </row>
    <row r="39" spans="1:5" x14ac:dyDescent="0.25">
      <c r="A39" t="s">
        <v>71</v>
      </c>
      <c r="B39" t="s">
        <v>72</v>
      </c>
      <c r="C39" s="1">
        <v>28856</v>
      </c>
      <c r="D39" t="s">
        <v>6</v>
      </c>
      <c r="E39">
        <f t="shared" si="0"/>
        <v>0</v>
      </c>
    </row>
    <row r="40" spans="1:5" x14ac:dyDescent="0.25">
      <c r="A40" t="s">
        <v>73</v>
      </c>
      <c r="B40" t="s">
        <v>74</v>
      </c>
      <c r="C40" s="1">
        <v>27510</v>
      </c>
      <c r="D40" t="s">
        <v>9</v>
      </c>
      <c r="E40">
        <f t="shared" si="0"/>
        <v>1</v>
      </c>
    </row>
    <row r="41" spans="1:5" x14ac:dyDescent="0.25">
      <c r="A41" t="s">
        <v>75</v>
      </c>
      <c r="B41" t="s">
        <v>52</v>
      </c>
      <c r="C41" s="1">
        <v>24744</v>
      </c>
      <c r="D41" t="s">
        <v>12</v>
      </c>
      <c r="E41">
        <f t="shared" si="0"/>
        <v>1</v>
      </c>
    </row>
    <row r="42" spans="1:5" x14ac:dyDescent="0.25">
      <c r="A42" t="s">
        <v>76</v>
      </c>
      <c r="B42" t="s">
        <v>77</v>
      </c>
      <c r="C42" s="1">
        <v>26703</v>
      </c>
      <c r="D42" t="s">
        <v>40</v>
      </c>
      <c r="E42">
        <f t="shared" si="0"/>
        <v>0</v>
      </c>
    </row>
    <row r="43" spans="1:5" x14ac:dyDescent="0.25">
      <c r="A43" t="s">
        <v>78</v>
      </c>
      <c r="B43" t="s">
        <v>79</v>
      </c>
      <c r="C43" s="1">
        <v>18847</v>
      </c>
      <c r="D43" t="s">
        <v>6</v>
      </c>
      <c r="E43">
        <f t="shared" si="0"/>
        <v>1</v>
      </c>
    </row>
    <row r="44" spans="1:5" x14ac:dyDescent="0.25">
      <c r="A44" t="s">
        <v>80</v>
      </c>
      <c r="B44" t="s">
        <v>81</v>
      </c>
      <c r="C44" s="1">
        <v>33899</v>
      </c>
      <c r="D44" t="s">
        <v>12</v>
      </c>
      <c r="E44">
        <f t="shared" si="0"/>
        <v>1</v>
      </c>
    </row>
    <row r="45" spans="1:5" x14ac:dyDescent="0.25">
      <c r="A45" t="s">
        <v>82</v>
      </c>
      <c r="B45" t="s">
        <v>42</v>
      </c>
      <c r="C45" s="1">
        <v>34773</v>
      </c>
      <c r="D45" t="s">
        <v>12</v>
      </c>
      <c r="E45">
        <f t="shared" si="0"/>
        <v>1</v>
      </c>
    </row>
    <row r="46" spans="1:5" x14ac:dyDescent="0.25">
      <c r="A46" t="s">
        <v>83</v>
      </c>
      <c r="B46" t="s">
        <v>84</v>
      </c>
      <c r="C46" s="1">
        <v>28929</v>
      </c>
      <c r="D46" t="s">
        <v>6</v>
      </c>
      <c r="E46">
        <f t="shared" si="0"/>
        <v>1</v>
      </c>
    </row>
    <row r="47" spans="1:5" x14ac:dyDescent="0.25">
      <c r="A47" t="s">
        <v>85</v>
      </c>
      <c r="B47" t="s">
        <v>42</v>
      </c>
      <c r="C47" s="1">
        <v>17612</v>
      </c>
      <c r="D47" t="s">
        <v>40</v>
      </c>
      <c r="E47">
        <f t="shared" si="0"/>
        <v>1</v>
      </c>
    </row>
    <row r="48" spans="1:5" x14ac:dyDescent="0.25">
      <c r="A48" t="s">
        <v>86</v>
      </c>
      <c r="B48" t="s">
        <v>87</v>
      </c>
      <c r="C48" s="1">
        <v>26002</v>
      </c>
      <c r="D48" t="s">
        <v>12</v>
      </c>
      <c r="E48">
        <f t="shared" si="0"/>
        <v>0</v>
      </c>
    </row>
    <row r="49" spans="1:5" x14ac:dyDescent="0.25">
      <c r="A49" t="s">
        <v>88</v>
      </c>
      <c r="B49" t="s">
        <v>52</v>
      </c>
      <c r="C49" s="1">
        <v>17050</v>
      </c>
      <c r="D49" t="s">
        <v>12</v>
      </c>
      <c r="E49">
        <f t="shared" si="0"/>
        <v>1</v>
      </c>
    </row>
    <row r="50" spans="1:5" x14ac:dyDescent="0.25">
      <c r="A50" t="s">
        <v>89</v>
      </c>
      <c r="B50" t="s">
        <v>90</v>
      </c>
      <c r="C50" s="1">
        <v>17757</v>
      </c>
      <c r="D50" t="s">
        <v>6</v>
      </c>
      <c r="E50">
        <f t="shared" si="0"/>
        <v>0</v>
      </c>
    </row>
    <row r="51" spans="1:5" x14ac:dyDescent="0.25">
      <c r="A51" t="s">
        <v>91</v>
      </c>
      <c r="B51" t="s">
        <v>92</v>
      </c>
      <c r="C51" s="1">
        <v>30155</v>
      </c>
      <c r="D51" t="s">
        <v>6</v>
      </c>
      <c r="E51">
        <f t="shared" si="0"/>
        <v>0</v>
      </c>
    </row>
    <row r="52" spans="1:5" x14ac:dyDescent="0.25">
      <c r="A52" t="s">
        <v>93</v>
      </c>
      <c r="B52" t="s">
        <v>94</v>
      </c>
      <c r="C52" s="1">
        <v>22758</v>
      </c>
      <c r="D52" t="s">
        <v>40</v>
      </c>
      <c r="E52">
        <f t="shared" si="0"/>
        <v>0</v>
      </c>
    </row>
    <row r="53" spans="1:5" x14ac:dyDescent="0.25">
      <c r="A53" t="s">
        <v>95</v>
      </c>
      <c r="B53" t="s">
        <v>52</v>
      </c>
      <c r="C53" s="1">
        <v>17830</v>
      </c>
      <c r="D53" t="s">
        <v>6</v>
      </c>
      <c r="E53">
        <f t="shared" si="0"/>
        <v>1</v>
      </c>
    </row>
    <row r="54" spans="1:5" x14ac:dyDescent="0.25">
      <c r="A54" t="s">
        <v>96</v>
      </c>
      <c r="B54" t="s">
        <v>20</v>
      </c>
      <c r="C54" s="1">
        <v>16168</v>
      </c>
      <c r="D54" t="s">
        <v>6</v>
      </c>
      <c r="E54">
        <f t="shared" si="0"/>
        <v>1</v>
      </c>
    </row>
    <row r="55" spans="1:5" x14ac:dyDescent="0.25">
      <c r="A55" t="s">
        <v>97</v>
      </c>
      <c r="B55" t="s">
        <v>98</v>
      </c>
      <c r="C55" s="1">
        <v>32118</v>
      </c>
      <c r="D55" t="s">
        <v>6</v>
      </c>
      <c r="E55">
        <f t="shared" si="0"/>
        <v>0</v>
      </c>
    </row>
    <row r="56" spans="1:5" x14ac:dyDescent="0.25">
      <c r="A56" t="s">
        <v>99</v>
      </c>
      <c r="B56" t="s">
        <v>18</v>
      </c>
      <c r="C56" s="1">
        <v>20332</v>
      </c>
      <c r="D56" t="s">
        <v>12</v>
      </c>
      <c r="E56">
        <f t="shared" si="0"/>
        <v>0</v>
      </c>
    </row>
    <row r="57" spans="1:5" x14ac:dyDescent="0.25">
      <c r="A57" t="s">
        <v>100</v>
      </c>
      <c r="B57" t="s">
        <v>49</v>
      </c>
      <c r="C57" s="1">
        <v>19375</v>
      </c>
      <c r="D57" t="s">
        <v>6</v>
      </c>
      <c r="E57">
        <f t="shared" si="0"/>
        <v>0</v>
      </c>
    </row>
    <row r="58" spans="1:5" x14ac:dyDescent="0.25">
      <c r="A58" t="s">
        <v>101</v>
      </c>
      <c r="B58" t="s">
        <v>102</v>
      </c>
      <c r="C58" s="1">
        <v>34818</v>
      </c>
      <c r="D58" t="s">
        <v>12</v>
      </c>
      <c r="E58">
        <f t="shared" si="0"/>
        <v>1</v>
      </c>
    </row>
    <row r="59" spans="1:5" x14ac:dyDescent="0.25">
      <c r="A59" t="s">
        <v>103</v>
      </c>
      <c r="B59" t="s">
        <v>16</v>
      </c>
      <c r="C59" s="1">
        <v>23775</v>
      </c>
      <c r="D59" t="s">
        <v>9</v>
      </c>
      <c r="E59">
        <f t="shared" si="0"/>
        <v>1</v>
      </c>
    </row>
    <row r="60" spans="1:5" x14ac:dyDescent="0.25">
      <c r="A60" t="s">
        <v>104</v>
      </c>
      <c r="B60" t="s">
        <v>105</v>
      </c>
      <c r="C60" s="1">
        <v>29371</v>
      </c>
      <c r="D60" t="s">
        <v>12</v>
      </c>
      <c r="E60">
        <f t="shared" si="0"/>
        <v>1</v>
      </c>
    </row>
    <row r="61" spans="1:5" x14ac:dyDescent="0.25">
      <c r="A61" t="s">
        <v>106</v>
      </c>
      <c r="B61" t="s">
        <v>107</v>
      </c>
      <c r="C61" s="1">
        <v>27370</v>
      </c>
      <c r="D61" t="s">
        <v>12</v>
      </c>
      <c r="E61">
        <f t="shared" si="0"/>
        <v>1</v>
      </c>
    </row>
    <row r="62" spans="1:5" x14ac:dyDescent="0.25">
      <c r="A62" t="s">
        <v>108</v>
      </c>
      <c r="B62" t="s">
        <v>109</v>
      </c>
      <c r="C62" s="1">
        <v>19032</v>
      </c>
      <c r="D62" t="s">
        <v>6</v>
      </c>
      <c r="E62">
        <f t="shared" si="0"/>
        <v>0</v>
      </c>
    </row>
    <row r="63" spans="1:5" x14ac:dyDescent="0.25">
      <c r="A63" t="s">
        <v>110</v>
      </c>
      <c r="B63" t="s">
        <v>37</v>
      </c>
      <c r="C63" s="1">
        <v>27475</v>
      </c>
      <c r="D63" t="s">
        <v>12</v>
      </c>
      <c r="E63">
        <f t="shared" si="0"/>
        <v>1</v>
      </c>
    </row>
    <row r="64" spans="1:5" x14ac:dyDescent="0.25">
      <c r="A64" t="s">
        <v>111</v>
      </c>
      <c r="B64" t="s">
        <v>52</v>
      </c>
      <c r="C64" s="1">
        <v>20719</v>
      </c>
      <c r="D64" t="s">
        <v>6</v>
      </c>
      <c r="E64">
        <f t="shared" si="0"/>
        <v>1</v>
      </c>
    </row>
    <row r="65" spans="1:5" x14ac:dyDescent="0.25">
      <c r="A65" t="s">
        <v>112</v>
      </c>
      <c r="B65" t="s">
        <v>8</v>
      </c>
      <c r="C65" s="1">
        <v>22206</v>
      </c>
      <c r="D65" t="s">
        <v>40</v>
      </c>
      <c r="E65">
        <f t="shared" si="0"/>
        <v>0</v>
      </c>
    </row>
    <row r="66" spans="1:5" x14ac:dyDescent="0.25">
      <c r="A66" t="s">
        <v>113</v>
      </c>
      <c r="B66" t="s">
        <v>114</v>
      </c>
      <c r="C66" s="1">
        <v>17376</v>
      </c>
      <c r="D66" t="s">
        <v>12</v>
      </c>
      <c r="E66">
        <f t="shared" si="0"/>
        <v>0</v>
      </c>
    </row>
    <row r="67" spans="1:5" x14ac:dyDescent="0.25">
      <c r="A67" t="s">
        <v>115</v>
      </c>
      <c r="B67" t="s">
        <v>114</v>
      </c>
      <c r="C67" s="1">
        <v>34280</v>
      </c>
      <c r="D67" t="s">
        <v>40</v>
      </c>
      <c r="E67">
        <f t="shared" ref="E67:E130" si="1">IF(RIGHT(B67,1)="a",1,0)</f>
        <v>0</v>
      </c>
    </row>
    <row r="68" spans="1:5" x14ac:dyDescent="0.25">
      <c r="A68" t="s">
        <v>116</v>
      </c>
      <c r="B68" t="s">
        <v>49</v>
      </c>
      <c r="C68" s="1">
        <v>25821</v>
      </c>
      <c r="D68" t="s">
        <v>40</v>
      </c>
      <c r="E68">
        <f t="shared" si="1"/>
        <v>0</v>
      </c>
    </row>
    <row r="69" spans="1:5" x14ac:dyDescent="0.25">
      <c r="A69" t="s">
        <v>117</v>
      </c>
      <c r="B69" t="s">
        <v>47</v>
      </c>
      <c r="C69" s="1">
        <v>20242</v>
      </c>
      <c r="D69" t="s">
        <v>40</v>
      </c>
      <c r="E69">
        <f t="shared" si="1"/>
        <v>1</v>
      </c>
    </row>
    <row r="70" spans="1:5" x14ac:dyDescent="0.25">
      <c r="A70" t="s">
        <v>118</v>
      </c>
      <c r="B70" t="s">
        <v>20</v>
      </c>
      <c r="C70" s="1">
        <v>25415</v>
      </c>
      <c r="D70" t="s">
        <v>12</v>
      </c>
      <c r="E70">
        <f t="shared" si="1"/>
        <v>1</v>
      </c>
    </row>
    <row r="71" spans="1:5" x14ac:dyDescent="0.25">
      <c r="A71" t="s">
        <v>119</v>
      </c>
      <c r="B71" t="s">
        <v>47</v>
      </c>
      <c r="C71" s="1">
        <v>19048</v>
      </c>
      <c r="D71" t="s">
        <v>9</v>
      </c>
      <c r="E71">
        <f t="shared" si="1"/>
        <v>1</v>
      </c>
    </row>
    <row r="72" spans="1:5" x14ac:dyDescent="0.25">
      <c r="A72" t="s">
        <v>120</v>
      </c>
      <c r="B72" t="s">
        <v>121</v>
      </c>
      <c r="C72" s="1">
        <v>18811</v>
      </c>
      <c r="D72" t="s">
        <v>12</v>
      </c>
      <c r="E72">
        <f t="shared" si="1"/>
        <v>1</v>
      </c>
    </row>
    <row r="73" spans="1:5" x14ac:dyDescent="0.25">
      <c r="A73" t="s">
        <v>122</v>
      </c>
      <c r="B73" t="s">
        <v>123</v>
      </c>
      <c r="C73" s="1">
        <v>17072</v>
      </c>
      <c r="D73" t="s">
        <v>40</v>
      </c>
      <c r="E73">
        <f t="shared" si="1"/>
        <v>1</v>
      </c>
    </row>
    <row r="74" spans="1:5" x14ac:dyDescent="0.25">
      <c r="A74" t="s">
        <v>124</v>
      </c>
      <c r="B74" t="s">
        <v>121</v>
      </c>
      <c r="C74" s="1">
        <v>33277</v>
      </c>
      <c r="D74" t="s">
        <v>6</v>
      </c>
      <c r="E74">
        <f t="shared" si="1"/>
        <v>1</v>
      </c>
    </row>
    <row r="75" spans="1:5" x14ac:dyDescent="0.25">
      <c r="A75" t="s">
        <v>125</v>
      </c>
      <c r="B75" t="s">
        <v>79</v>
      </c>
      <c r="C75" s="1">
        <v>16987</v>
      </c>
      <c r="D75" t="s">
        <v>6</v>
      </c>
      <c r="E75">
        <f t="shared" si="1"/>
        <v>1</v>
      </c>
    </row>
    <row r="76" spans="1:5" x14ac:dyDescent="0.25">
      <c r="A76" t="s">
        <v>126</v>
      </c>
      <c r="B76" t="s">
        <v>127</v>
      </c>
      <c r="C76" s="1">
        <v>33408</v>
      </c>
      <c r="D76" t="s">
        <v>40</v>
      </c>
      <c r="E76">
        <f t="shared" si="1"/>
        <v>0</v>
      </c>
    </row>
    <row r="77" spans="1:5" x14ac:dyDescent="0.25">
      <c r="A77" t="s">
        <v>110</v>
      </c>
      <c r="B77" t="s">
        <v>79</v>
      </c>
      <c r="C77" s="1">
        <v>25070</v>
      </c>
      <c r="D77" t="s">
        <v>6</v>
      </c>
      <c r="E77">
        <f t="shared" si="1"/>
        <v>1</v>
      </c>
    </row>
    <row r="78" spans="1:5" x14ac:dyDescent="0.25">
      <c r="A78" t="s">
        <v>128</v>
      </c>
      <c r="B78" t="s">
        <v>129</v>
      </c>
      <c r="C78" s="1">
        <v>34100</v>
      </c>
      <c r="D78" t="s">
        <v>40</v>
      </c>
      <c r="E78">
        <f t="shared" si="1"/>
        <v>0</v>
      </c>
    </row>
    <row r="79" spans="1:5" x14ac:dyDescent="0.25">
      <c r="A79" t="s">
        <v>83</v>
      </c>
      <c r="B79" t="s">
        <v>52</v>
      </c>
      <c r="C79" s="1">
        <v>19522</v>
      </c>
      <c r="D79" t="s">
        <v>9</v>
      </c>
      <c r="E79">
        <f t="shared" si="1"/>
        <v>1</v>
      </c>
    </row>
    <row r="80" spans="1:5" x14ac:dyDescent="0.25">
      <c r="A80" t="s">
        <v>130</v>
      </c>
      <c r="B80" t="s">
        <v>131</v>
      </c>
      <c r="C80" s="1">
        <v>27284</v>
      </c>
      <c r="D80" t="s">
        <v>9</v>
      </c>
      <c r="E80">
        <f t="shared" si="1"/>
        <v>1</v>
      </c>
    </row>
    <row r="81" spans="1:5" x14ac:dyDescent="0.25">
      <c r="A81" t="s">
        <v>132</v>
      </c>
      <c r="B81" t="s">
        <v>8</v>
      </c>
      <c r="C81" s="1">
        <v>27347</v>
      </c>
      <c r="D81" t="s">
        <v>12</v>
      </c>
      <c r="E81">
        <f t="shared" si="1"/>
        <v>0</v>
      </c>
    </row>
    <row r="82" spans="1:5" x14ac:dyDescent="0.25">
      <c r="A82" t="s">
        <v>133</v>
      </c>
      <c r="B82" t="s">
        <v>134</v>
      </c>
      <c r="C82" s="1">
        <v>20618</v>
      </c>
      <c r="D82" t="s">
        <v>12</v>
      </c>
      <c r="E82">
        <f t="shared" si="1"/>
        <v>1</v>
      </c>
    </row>
    <row r="83" spans="1:5" x14ac:dyDescent="0.25">
      <c r="A83" t="s">
        <v>135</v>
      </c>
      <c r="B83" t="s">
        <v>54</v>
      </c>
      <c r="C83" s="1">
        <v>19256</v>
      </c>
      <c r="D83" t="s">
        <v>12</v>
      </c>
      <c r="E83">
        <f t="shared" si="1"/>
        <v>1</v>
      </c>
    </row>
    <row r="84" spans="1:5" x14ac:dyDescent="0.25">
      <c r="A84" t="s">
        <v>136</v>
      </c>
      <c r="B84" t="s">
        <v>137</v>
      </c>
      <c r="C84" s="1">
        <v>21898</v>
      </c>
      <c r="D84" t="s">
        <v>12</v>
      </c>
      <c r="E84">
        <f t="shared" si="1"/>
        <v>1</v>
      </c>
    </row>
    <row r="85" spans="1:5" x14ac:dyDescent="0.25">
      <c r="A85" t="s">
        <v>138</v>
      </c>
      <c r="B85" t="s">
        <v>139</v>
      </c>
      <c r="C85" s="1">
        <v>16873</v>
      </c>
      <c r="D85" t="s">
        <v>12</v>
      </c>
      <c r="E85">
        <f t="shared" si="1"/>
        <v>0</v>
      </c>
    </row>
    <row r="86" spans="1:5" x14ac:dyDescent="0.25">
      <c r="A86" t="s">
        <v>140</v>
      </c>
      <c r="B86" t="s">
        <v>141</v>
      </c>
      <c r="C86" s="1">
        <v>34893</v>
      </c>
      <c r="D86" t="s">
        <v>6</v>
      </c>
      <c r="E86">
        <f t="shared" si="1"/>
        <v>0</v>
      </c>
    </row>
    <row r="87" spans="1:5" x14ac:dyDescent="0.25">
      <c r="A87" t="s">
        <v>142</v>
      </c>
      <c r="B87" t="s">
        <v>143</v>
      </c>
      <c r="C87" s="1">
        <v>16028</v>
      </c>
      <c r="D87" t="s">
        <v>12</v>
      </c>
      <c r="E87">
        <f t="shared" si="1"/>
        <v>1</v>
      </c>
    </row>
    <row r="88" spans="1:5" x14ac:dyDescent="0.25">
      <c r="A88" t="s">
        <v>144</v>
      </c>
      <c r="B88" t="s">
        <v>54</v>
      </c>
      <c r="C88" s="1">
        <v>33446</v>
      </c>
      <c r="D88" t="s">
        <v>6</v>
      </c>
      <c r="E88">
        <f t="shared" si="1"/>
        <v>1</v>
      </c>
    </row>
    <row r="89" spans="1:5" x14ac:dyDescent="0.25">
      <c r="A89" t="s">
        <v>145</v>
      </c>
      <c r="B89" t="s">
        <v>146</v>
      </c>
      <c r="C89" s="1">
        <v>18892</v>
      </c>
      <c r="D89" t="s">
        <v>6</v>
      </c>
      <c r="E89">
        <f t="shared" si="1"/>
        <v>0</v>
      </c>
    </row>
    <row r="90" spans="1:5" x14ac:dyDescent="0.25">
      <c r="A90" t="s">
        <v>147</v>
      </c>
      <c r="B90" t="s">
        <v>102</v>
      </c>
      <c r="C90" s="1">
        <v>32219</v>
      </c>
      <c r="D90" t="s">
        <v>12</v>
      </c>
      <c r="E90">
        <f t="shared" si="1"/>
        <v>1</v>
      </c>
    </row>
    <row r="91" spans="1:5" x14ac:dyDescent="0.25">
      <c r="A91" t="s">
        <v>148</v>
      </c>
      <c r="B91" t="s">
        <v>149</v>
      </c>
      <c r="C91" s="1">
        <v>31771</v>
      </c>
      <c r="D91" t="s">
        <v>9</v>
      </c>
      <c r="E91">
        <f t="shared" si="1"/>
        <v>1</v>
      </c>
    </row>
    <row r="92" spans="1:5" x14ac:dyDescent="0.25">
      <c r="A92" t="s">
        <v>51</v>
      </c>
      <c r="B92" t="s">
        <v>150</v>
      </c>
      <c r="C92" s="1">
        <v>30633</v>
      </c>
      <c r="D92" t="s">
        <v>40</v>
      </c>
      <c r="E92">
        <f t="shared" si="1"/>
        <v>1</v>
      </c>
    </row>
    <row r="93" spans="1:5" x14ac:dyDescent="0.25">
      <c r="A93" t="s">
        <v>151</v>
      </c>
      <c r="B93" t="s">
        <v>152</v>
      </c>
      <c r="C93" s="1">
        <v>34177</v>
      </c>
      <c r="D93" t="s">
        <v>40</v>
      </c>
      <c r="E93">
        <f t="shared" si="1"/>
        <v>0</v>
      </c>
    </row>
    <row r="94" spans="1:5" x14ac:dyDescent="0.25">
      <c r="A94" t="s">
        <v>153</v>
      </c>
      <c r="B94" t="s">
        <v>137</v>
      </c>
      <c r="C94" s="1">
        <v>33281</v>
      </c>
      <c r="D94" t="s">
        <v>12</v>
      </c>
      <c r="E94">
        <f t="shared" si="1"/>
        <v>1</v>
      </c>
    </row>
    <row r="95" spans="1:5" x14ac:dyDescent="0.25">
      <c r="A95" t="s">
        <v>75</v>
      </c>
      <c r="B95" t="s">
        <v>154</v>
      </c>
      <c r="C95" s="1">
        <v>21897</v>
      </c>
      <c r="D95" t="s">
        <v>12</v>
      </c>
      <c r="E95">
        <f t="shared" si="1"/>
        <v>1</v>
      </c>
    </row>
    <row r="96" spans="1:5" x14ac:dyDescent="0.25">
      <c r="A96" t="s">
        <v>155</v>
      </c>
      <c r="B96" t="s">
        <v>37</v>
      </c>
      <c r="C96" s="1">
        <v>18604</v>
      </c>
      <c r="D96" t="s">
        <v>40</v>
      </c>
      <c r="E96">
        <f t="shared" si="1"/>
        <v>1</v>
      </c>
    </row>
    <row r="97" spans="1:5" x14ac:dyDescent="0.25">
      <c r="A97" t="s">
        <v>156</v>
      </c>
      <c r="B97" t="s">
        <v>157</v>
      </c>
      <c r="C97" s="1">
        <v>18910</v>
      </c>
      <c r="D97" t="s">
        <v>12</v>
      </c>
      <c r="E97">
        <f t="shared" si="1"/>
        <v>1</v>
      </c>
    </row>
    <row r="98" spans="1:5" x14ac:dyDescent="0.25">
      <c r="A98" t="s">
        <v>158</v>
      </c>
      <c r="B98" t="s">
        <v>47</v>
      </c>
      <c r="C98" s="1">
        <v>17056</v>
      </c>
      <c r="D98" t="s">
        <v>9</v>
      </c>
      <c r="E98">
        <f t="shared" si="1"/>
        <v>1</v>
      </c>
    </row>
    <row r="99" spans="1:5" x14ac:dyDescent="0.25">
      <c r="A99" t="s">
        <v>159</v>
      </c>
      <c r="B99" t="s">
        <v>160</v>
      </c>
      <c r="C99" s="1">
        <v>22619</v>
      </c>
      <c r="D99" t="s">
        <v>9</v>
      </c>
      <c r="E99">
        <f t="shared" si="1"/>
        <v>0</v>
      </c>
    </row>
    <row r="100" spans="1:5" x14ac:dyDescent="0.25">
      <c r="A100" t="s">
        <v>161</v>
      </c>
      <c r="B100" t="s">
        <v>37</v>
      </c>
      <c r="C100" s="1">
        <v>19740</v>
      </c>
      <c r="D100" t="s">
        <v>12</v>
      </c>
      <c r="E100">
        <f t="shared" si="1"/>
        <v>1</v>
      </c>
    </row>
    <row r="101" spans="1:5" x14ac:dyDescent="0.25">
      <c r="A101" t="s">
        <v>162</v>
      </c>
      <c r="B101" t="s">
        <v>131</v>
      </c>
      <c r="C101" s="1">
        <v>24222</v>
      </c>
      <c r="D101" t="s">
        <v>6</v>
      </c>
      <c r="E101">
        <f t="shared" si="1"/>
        <v>1</v>
      </c>
    </row>
    <row r="102" spans="1:5" x14ac:dyDescent="0.25">
      <c r="A102" t="s">
        <v>163</v>
      </c>
      <c r="B102" t="s">
        <v>37</v>
      </c>
      <c r="C102" s="1">
        <v>17196</v>
      </c>
      <c r="D102" t="s">
        <v>40</v>
      </c>
      <c r="E102">
        <f t="shared" si="1"/>
        <v>1</v>
      </c>
    </row>
    <row r="103" spans="1:5" x14ac:dyDescent="0.25">
      <c r="A103" t="s">
        <v>164</v>
      </c>
      <c r="B103" t="s">
        <v>52</v>
      </c>
      <c r="C103" s="1">
        <v>32013</v>
      </c>
      <c r="D103" t="s">
        <v>12</v>
      </c>
      <c r="E103">
        <f t="shared" si="1"/>
        <v>1</v>
      </c>
    </row>
    <row r="104" spans="1:5" x14ac:dyDescent="0.25">
      <c r="A104" t="s">
        <v>163</v>
      </c>
      <c r="B104" t="s">
        <v>39</v>
      </c>
      <c r="C104" s="1">
        <v>23679</v>
      </c>
      <c r="D104" t="s">
        <v>12</v>
      </c>
      <c r="E104">
        <f t="shared" si="1"/>
        <v>1</v>
      </c>
    </row>
    <row r="105" spans="1:5" x14ac:dyDescent="0.25">
      <c r="A105" t="s">
        <v>75</v>
      </c>
      <c r="B105" t="s">
        <v>165</v>
      </c>
      <c r="C105" s="1">
        <v>26239</v>
      </c>
      <c r="D105" t="s">
        <v>12</v>
      </c>
      <c r="E105">
        <f t="shared" si="1"/>
        <v>1</v>
      </c>
    </row>
    <row r="106" spans="1:5" x14ac:dyDescent="0.25">
      <c r="A106" t="s">
        <v>166</v>
      </c>
      <c r="B106" t="s">
        <v>167</v>
      </c>
      <c r="C106" s="1">
        <v>30774</v>
      </c>
      <c r="D106" t="s">
        <v>6</v>
      </c>
      <c r="E106">
        <f t="shared" si="1"/>
        <v>0</v>
      </c>
    </row>
    <row r="107" spans="1:5" x14ac:dyDescent="0.25">
      <c r="A107" t="s">
        <v>168</v>
      </c>
      <c r="B107" t="s">
        <v>169</v>
      </c>
      <c r="C107" s="1">
        <v>25818</v>
      </c>
      <c r="D107" t="s">
        <v>6</v>
      </c>
      <c r="E107">
        <f t="shared" si="1"/>
        <v>0</v>
      </c>
    </row>
    <row r="108" spans="1:5" x14ac:dyDescent="0.25">
      <c r="A108" t="s">
        <v>170</v>
      </c>
      <c r="B108" t="s">
        <v>171</v>
      </c>
      <c r="C108" s="1">
        <v>16529</v>
      </c>
      <c r="D108" t="s">
        <v>40</v>
      </c>
      <c r="E108">
        <f t="shared" si="1"/>
        <v>1</v>
      </c>
    </row>
    <row r="109" spans="1:5" x14ac:dyDescent="0.25">
      <c r="A109" t="s">
        <v>172</v>
      </c>
      <c r="B109" t="s">
        <v>5</v>
      </c>
      <c r="C109" s="1">
        <v>30530</v>
      </c>
      <c r="D109" t="s">
        <v>40</v>
      </c>
      <c r="E109">
        <f t="shared" si="1"/>
        <v>1</v>
      </c>
    </row>
    <row r="110" spans="1:5" x14ac:dyDescent="0.25">
      <c r="A110" t="s">
        <v>173</v>
      </c>
      <c r="B110" t="s">
        <v>77</v>
      </c>
      <c r="C110" s="1">
        <v>31601</v>
      </c>
      <c r="D110" t="s">
        <v>12</v>
      </c>
      <c r="E110">
        <f t="shared" si="1"/>
        <v>0</v>
      </c>
    </row>
    <row r="111" spans="1:5" x14ac:dyDescent="0.25">
      <c r="A111" t="s">
        <v>174</v>
      </c>
      <c r="B111" t="s">
        <v>157</v>
      </c>
      <c r="C111" s="1">
        <v>28427</v>
      </c>
      <c r="D111" t="s">
        <v>12</v>
      </c>
      <c r="E111">
        <f t="shared" si="1"/>
        <v>1</v>
      </c>
    </row>
    <row r="112" spans="1:5" x14ac:dyDescent="0.25">
      <c r="A112" t="s">
        <v>175</v>
      </c>
      <c r="B112" t="s">
        <v>176</v>
      </c>
      <c r="C112" s="1">
        <v>23139</v>
      </c>
      <c r="D112" t="s">
        <v>12</v>
      </c>
      <c r="E112">
        <f t="shared" si="1"/>
        <v>1</v>
      </c>
    </row>
    <row r="113" spans="1:5" x14ac:dyDescent="0.25">
      <c r="A113" t="s">
        <v>174</v>
      </c>
      <c r="B113" t="s">
        <v>177</v>
      </c>
      <c r="C113" s="1">
        <v>29861</v>
      </c>
      <c r="D113" t="s">
        <v>12</v>
      </c>
      <c r="E113">
        <f t="shared" si="1"/>
        <v>1</v>
      </c>
    </row>
    <row r="114" spans="1:5" x14ac:dyDescent="0.25">
      <c r="A114" t="s">
        <v>178</v>
      </c>
      <c r="B114" t="s">
        <v>179</v>
      </c>
      <c r="C114" s="1">
        <v>32545</v>
      </c>
      <c r="D114" t="s">
        <v>40</v>
      </c>
      <c r="E114">
        <f t="shared" si="1"/>
        <v>0</v>
      </c>
    </row>
    <row r="115" spans="1:5" x14ac:dyDescent="0.25">
      <c r="A115" t="s">
        <v>180</v>
      </c>
      <c r="B115" t="s">
        <v>94</v>
      </c>
      <c r="C115" s="1">
        <v>29361</v>
      </c>
      <c r="D115" t="s">
        <v>12</v>
      </c>
      <c r="E115">
        <f t="shared" si="1"/>
        <v>0</v>
      </c>
    </row>
    <row r="116" spans="1:5" x14ac:dyDescent="0.25">
      <c r="A116" t="s">
        <v>181</v>
      </c>
      <c r="B116" t="s">
        <v>49</v>
      </c>
      <c r="C116" s="1">
        <v>17772</v>
      </c>
      <c r="D116" t="s">
        <v>40</v>
      </c>
      <c r="E116">
        <f t="shared" si="1"/>
        <v>0</v>
      </c>
    </row>
    <row r="117" spans="1:5" x14ac:dyDescent="0.25">
      <c r="A117" t="s">
        <v>182</v>
      </c>
      <c r="B117" t="s">
        <v>183</v>
      </c>
      <c r="C117" s="1">
        <v>28580</v>
      </c>
      <c r="D117" t="s">
        <v>6</v>
      </c>
      <c r="E117">
        <f t="shared" si="1"/>
        <v>1</v>
      </c>
    </row>
    <row r="118" spans="1:5" x14ac:dyDescent="0.25">
      <c r="A118" t="s">
        <v>184</v>
      </c>
      <c r="B118" t="s">
        <v>185</v>
      </c>
      <c r="C118" s="1">
        <v>21154</v>
      </c>
      <c r="D118" t="s">
        <v>40</v>
      </c>
      <c r="E118">
        <f t="shared" si="1"/>
        <v>1</v>
      </c>
    </row>
    <row r="119" spans="1:5" x14ac:dyDescent="0.25">
      <c r="A119" t="s">
        <v>186</v>
      </c>
      <c r="B119" t="s">
        <v>54</v>
      </c>
      <c r="C119" s="1">
        <v>18183</v>
      </c>
      <c r="D119" t="s">
        <v>12</v>
      </c>
      <c r="E119">
        <f t="shared" si="1"/>
        <v>1</v>
      </c>
    </row>
    <row r="120" spans="1:5" x14ac:dyDescent="0.25">
      <c r="A120" t="s">
        <v>187</v>
      </c>
      <c r="B120" t="s">
        <v>188</v>
      </c>
      <c r="C120" s="1">
        <v>20630</v>
      </c>
      <c r="D120" t="s">
        <v>6</v>
      </c>
      <c r="E120">
        <f t="shared" si="1"/>
        <v>1</v>
      </c>
    </row>
    <row r="121" spans="1:5" x14ac:dyDescent="0.25">
      <c r="A121" t="s">
        <v>189</v>
      </c>
      <c r="B121" t="s">
        <v>49</v>
      </c>
      <c r="C121" s="1">
        <v>34364</v>
      </c>
      <c r="D121" t="s">
        <v>12</v>
      </c>
      <c r="E121">
        <f t="shared" si="1"/>
        <v>0</v>
      </c>
    </row>
    <row r="122" spans="1:5" x14ac:dyDescent="0.25">
      <c r="A122" t="s">
        <v>190</v>
      </c>
      <c r="B122" t="s">
        <v>20</v>
      </c>
      <c r="C122" s="1">
        <v>25582</v>
      </c>
      <c r="D122" t="s">
        <v>6</v>
      </c>
      <c r="E122">
        <f t="shared" si="1"/>
        <v>1</v>
      </c>
    </row>
    <row r="123" spans="1:5" x14ac:dyDescent="0.25">
      <c r="A123" t="s">
        <v>191</v>
      </c>
      <c r="B123" t="s">
        <v>192</v>
      </c>
      <c r="C123" s="1">
        <v>29350</v>
      </c>
      <c r="D123" t="s">
        <v>12</v>
      </c>
      <c r="E123">
        <f t="shared" si="1"/>
        <v>1</v>
      </c>
    </row>
    <row r="124" spans="1:5" x14ac:dyDescent="0.25">
      <c r="A124" t="s">
        <v>193</v>
      </c>
      <c r="B124" t="s">
        <v>194</v>
      </c>
      <c r="C124" s="1">
        <v>21704</v>
      </c>
      <c r="D124" t="s">
        <v>6</v>
      </c>
      <c r="E124">
        <f t="shared" si="1"/>
        <v>1</v>
      </c>
    </row>
    <row r="125" spans="1:5" x14ac:dyDescent="0.25">
      <c r="A125" t="s">
        <v>195</v>
      </c>
      <c r="B125" t="s">
        <v>192</v>
      </c>
      <c r="C125" s="1">
        <v>20436</v>
      </c>
      <c r="D125" t="s">
        <v>12</v>
      </c>
      <c r="E125">
        <f t="shared" si="1"/>
        <v>1</v>
      </c>
    </row>
    <row r="126" spans="1:5" x14ac:dyDescent="0.25">
      <c r="A126" t="s">
        <v>196</v>
      </c>
      <c r="B126" t="s">
        <v>139</v>
      </c>
      <c r="C126" s="1">
        <v>24475</v>
      </c>
      <c r="D126" t="s">
        <v>12</v>
      </c>
      <c r="E126">
        <f t="shared" si="1"/>
        <v>0</v>
      </c>
    </row>
    <row r="127" spans="1:5" x14ac:dyDescent="0.25">
      <c r="A127" t="s">
        <v>197</v>
      </c>
      <c r="B127" t="s">
        <v>87</v>
      </c>
      <c r="C127" s="1">
        <v>26773</v>
      </c>
      <c r="D127" t="s">
        <v>6</v>
      </c>
      <c r="E127">
        <f t="shared" si="1"/>
        <v>0</v>
      </c>
    </row>
    <row r="128" spans="1:5" x14ac:dyDescent="0.25">
      <c r="A128" t="s">
        <v>198</v>
      </c>
      <c r="B128" t="s">
        <v>199</v>
      </c>
      <c r="C128" s="1">
        <v>17668</v>
      </c>
      <c r="D128" t="s">
        <v>12</v>
      </c>
      <c r="E128">
        <f t="shared" si="1"/>
        <v>1</v>
      </c>
    </row>
    <row r="129" spans="1:5" x14ac:dyDescent="0.25">
      <c r="A129" t="s">
        <v>200</v>
      </c>
      <c r="B129" t="s">
        <v>201</v>
      </c>
      <c r="C129" s="1">
        <v>17382</v>
      </c>
      <c r="D129" t="s">
        <v>12</v>
      </c>
      <c r="E129">
        <f t="shared" si="1"/>
        <v>1</v>
      </c>
    </row>
    <row r="130" spans="1:5" x14ac:dyDescent="0.25">
      <c r="A130" t="s">
        <v>202</v>
      </c>
      <c r="B130" t="s">
        <v>8</v>
      </c>
      <c r="C130" s="1">
        <v>16976</v>
      </c>
      <c r="D130" t="s">
        <v>6</v>
      </c>
      <c r="E130">
        <f t="shared" si="1"/>
        <v>0</v>
      </c>
    </row>
    <row r="131" spans="1:5" x14ac:dyDescent="0.25">
      <c r="A131" t="s">
        <v>203</v>
      </c>
      <c r="B131" t="s">
        <v>204</v>
      </c>
      <c r="C131" s="1">
        <v>33779</v>
      </c>
      <c r="D131" t="s">
        <v>40</v>
      </c>
      <c r="E131">
        <f t="shared" ref="E131:E194" si="2">IF(RIGHT(B131,1)="a",1,0)</f>
        <v>0</v>
      </c>
    </row>
    <row r="132" spans="1:5" x14ac:dyDescent="0.25">
      <c r="A132" t="s">
        <v>75</v>
      </c>
      <c r="B132" t="s">
        <v>37</v>
      </c>
      <c r="C132" s="1">
        <v>33885</v>
      </c>
      <c r="D132" t="s">
        <v>6</v>
      </c>
      <c r="E132">
        <f t="shared" si="2"/>
        <v>1</v>
      </c>
    </row>
    <row r="133" spans="1:5" x14ac:dyDescent="0.25">
      <c r="A133" t="s">
        <v>205</v>
      </c>
      <c r="B133" t="s">
        <v>25</v>
      </c>
      <c r="C133" s="1">
        <v>30498</v>
      </c>
      <c r="D133" t="s">
        <v>9</v>
      </c>
      <c r="E133">
        <f t="shared" si="2"/>
        <v>1</v>
      </c>
    </row>
    <row r="134" spans="1:5" x14ac:dyDescent="0.25">
      <c r="A134" t="s">
        <v>206</v>
      </c>
      <c r="B134" t="s">
        <v>167</v>
      </c>
      <c r="C134" s="1">
        <v>22090</v>
      </c>
      <c r="D134" t="s">
        <v>9</v>
      </c>
      <c r="E134">
        <f t="shared" si="2"/>
        <v>0</v>
      </c>
    </row>
    <row r="135" spans="1:5" x14ac:dyDescent="0.25">
      <c r="A135" t="s">
        <v>207</v>
      </c>
      <c r="B135" t="s">
        <v>37</v>
      </c>
      <c r="C135" s="1">
        <v>27938</v>
      </c>
      <c r="D135" t="s">
        <v>6</v>
      </c>
      <c r="E135">
        <f t="shared" si="2"/>
        <v>1</v>
      </c>
    </row>
    <row r="136" spans="1:5" x14ac:dyDescent="0.25">
      <c r="A136" t="s">
        <v>208</v>
      </c>
      <c r="B136" t="s">
        <v>47</v>
      </c>
      <c r="C136" s="1">
        <v>23762</v>
      </c>
      <c r="D136" t="s">
        <v>12</v>
      </c>
      <c r="E136">
        <f t="shared" si="2"/>
        <v>1</v>
      </c>
    </row>
    <row r="137" spans="1:5" x14ac:dyDescent="0.25">
      <c r="A137" t="s">
        <v>209</v>
      </c>
      <c r="B137" t="s">
        <v>131</v>
      </c>
      <c r="C137" s="1">
        <v>25158</v>
      </c>
      <c r="D137" t="s">
        <v>6</v>
      </c>
      <c r="E137">
        <f t="shared" si="2"/>
        <v>1</v>
      </c>
    </row>
    <row r="138" spans="1:5" x14ac:dyDescent="0.25">
      <c r="A138" t="s">
        <v>210</v>
      </c>
      <c r="B138" t="s">
        <v>37</v>
      </c>
      <c r="C138" s="1">
        <v>24824</v>
      </c>
      <c r="D138" t="s">
        <v>12</v>
      </c>
      <c r="E138">
        <f t="shared" si="2"/>
        <v>1</v>
      </c>
    </row>
    <row r="139" spans="1:5" x14ac:dyDescent="0.25">
      <c r="A139" t="s">
        <v>211</v>
      </c>
      <c r="B139" t="s">
        <v>49</v>
      </c>
      <c r="C139" s="1">
        <v>33398</v>
      </c>
      <c r="D139" t="s">
        <v>9</v>
      </c>
      <c r="E139">
        <f t="shared" si="2"/>
        <v>0</v>
      </c>
    </row>
    <row r="140" spans="1:5" x14ac:dyDescent="0.25">
      <c r="A140" t="s">
        <v>212</v>
      </c>
      <c r="B140" t="s">
        <v>18</v>
      </c>
      <c r="C140" s="1">
        <v>34795</v>
      </c>
      <c r="D140" t="s">
        <v>9</v>
      </c>
      <c r="E140">
        <f t="shared" si="2"/>
        <v>0</v>
      </c>
    </row>
    <row r="141" spans="1:5" x14ac:dyDescent="0.25">
      <c r="A141" t="s">
        <v>88</v>
      </c>
      <c r="B141" t="s">
        <v>213</v>
      </c>
      <c r="C141" s="1">
        <v>20374</v>
      </c>
      <c r="D141" t="s">
        <v>12</v>
      </c>
      <c r="E141">
        <f t="shared" si="2"/>
        <v>1</v>
      </c>
    </row>
    <row r="142" spans="1:5" x14ac:dyDescent="0.25">
      <c r="A142" t="s">
        <v>214</v>
      </c>
      <c r="B142" t="s">
        <v>165</v>
      </c>
      <c r="C142" s="1">
        <v>25416</v>
      </c>
      <c r="D142" t="s">
        <v>12</v>
      </c>
      <c r="E142">
        <f t="shared" si="2"/>
        <v>1</v>
      </c>
    </row>
    <row r="143" spans="1:5" x14ac:dyDescent="0.25">
      <c r="A143" t="s">
        <v>215</v>
      </c>
      <c r="B143" t="s">
        <v>216</v>
      </c>
      <c r="C143" s="1">
        <v>21548</v>
      </c>
      <c r="D143" t="s">
        <v>12</v>
      </c>
      <c r="E143">
        <f t="shared" si="2"/>
        <v>1</v>
      </c>
    </row>
    <row r="144" spans="1:5" x14ac:dyDescent="0.25">
      <c r="A144" t="s">
        <v>217</v>
      </c>
      <c r="B144" t="s">
        <v>54</v>
      </c>
      <c r="C144" s="1">
        <v>31232</v>
      </c>
      <c r="D144" t="s">
        <v>9</v>
      </c>
      <c r="E144">
        <f t="shared" si="2"/>
        <v>1</v>
      </c>
    </row>
    <row r="145" spans="1:5" x14ac:dyDescent="0.25">
      <c r="A145" t="s">
        <v>218</v>
      </c>
      <c r="B145" t="s">
        <v>121</v>
      </c>
      <c r="C145" s="1">
        <v>28472</v>
      </c>
      <c r="D145" t="s">
        <v>12</v>
      </c>
      <c r="E145">
        <f t="shared" si="2"/>
        <v>1</v>
      </c>
    </row>
    <row r="146" spans="1:5" x14ac:dyDescent="0.25">
      <c r="A146" t="s">
        <v>219</v>
      </c>
      <c r="B146" t="s">
        <v>29</v>
      </c>
      <c r="C146" s="1">
        <v>34287</v>
      </c>
      <c r="D146" t="s">
        <v>12</v>
      </c>
      <c r="E146">
        <f t="shared" si="2"/>
        <v>0</v>
      </c>
    </row>
    <row r="147" spans="1:5" x14ac:dyDescent="0.25">
      <c r="A147" t="s">
        <v>220</v>
      </c>
      <c r="B147" t="s">
        <v>92</v>
      </c>
      <c r="C147" s="1">
        <v>24972</v>
      </c>
      <c r="D147" t="s">
        <v>6</v>
      </c>
      <c r="E147">
        <f t="shared" si="2"/>
        <v>0</v>
      </c>
    </row>
    <row r="148" spans="1:5" x14ac:dyDescent="0.25">
      <c r="A148" t="s">
        <v>221</v>
      </c>
      <c r="B148" t="s">
        <v>154</v>
      </c>
      <c r="C148" s="1">
        <v>18787</v>
      </c>
      <c r="D148" t="s">
        <v>9</v>
      </c>
      <c r="E148">
        <f t="shared" si="2"/>
        <v>1</v>
      </c>
    </row>
    <row r="149" spans="1:5" x14ac:dyDescent="0.25">
      <c r="A149" t="s">
        <v>222</v>
      </c>
      <c r="B149" t="s">
        <v>49</v>
      </c>
      <c r="C149" s="1">
        <v>27611</v>
      </c>
      <c r="D149" t="s">
        <v>9</v>
      </c>
      <c r="E149">
        <f t="shared" si="2"/>
        <v>0</v>
      </c>
    </row>
    <row r="150" spans="1:5" x14ac:dyDescent="0.25">
      <c r="A150" t="s">
        <v>223</v>
      </c>
      <c r="B150" t="s">
        <v>224</v>
      </c>
      <c r="C150" s="1">
        <v>26071</v>
      </c>
      <c r="D150" t="s">
        <v>12</v>
      </c>
      <c r="E150">
        <f t="shared" si="2"/>
        <v>1</v>
      </c>
    </row>
    <row r="151" spans="1:5" x14ac:dyDescent="0.25">
      <c r="A151" t="s">
        <v>225</v>
      </c>
      <c r="B151" t="s">
        <v>20</v>
      </c>
      <c r="C151" s="1">
        <v>18285</v>
      </c>
      <c r="D151" t="s">
        <v>6</v>
      </c>
      <c r="E151">
        <f t="shared" si="2"/>
        <v>1</v>
      </c>
    </row>
    <row r="152" spans="1:5" x14ac:dyDescent="0.25">
      <c r="A152" t="s">
        <v>226</v>
      </c>
      <c r="B152" t="s">
        <v>8</v>
      </c>
      <c r="C152" s="1">
        <v>33696</v>
      </c>
      <c r="D152" t="s">
        <v>12</v>
      </c>
      <c r="E152">
        <f t="shared" si="2"/>
        <v>0</v>
      </c>
    </row>
    <row r="153" spans="1:5" x14ac:dyDescent="0.25">
      <c r="A153" t="s">
        <v>227</v>
      </c>
      <c r="B153" t="s">
        <v>81</v>
      </c>
      <c r="C153" s="1">
        <v>25404</v>
      </c>
      <c r="D153" t="s">
        <v>12</v>
      </c>
      <c r="E153">
        <f t="shared" si="2"/>
        <v>1</v>
      </c>
    </row>
    <row r="154" spans="1:5" x14ac:dyDescent="0.25">
      <c r="A154" t="s">
        <v>26</v>
      </c>
      <c r="B154" t="s">
        <v>114</v>
      </c>
      <c r="C154" s="1">
        <v>21769</v>
      </c>
      <c r="D154" t="s">
        <v>6</v>
      </c>
      <c r="E154">
        <f t="shared" si="2"/>
        <v>0</v>
      </c>
    </row>
    <row r="155" spans="1:5" x14ac:dyDescent="0.25">
      <c r="A155" t="s">
        <v>228</v>
      </c>
      <c r="B155" t="s">
        <v>49</v>
      </c>
      <c r="C155" s="1">
        <v>26490</v>
      </c>
      <c r="D155" t="s">
        <v>6</v>
      </c>
      <c r="E155">
        <f t="shared" si="2"/>
        <v>0</v>
      </c>
    </row>
    <row r="156" spans="1:5" x14ac:dyDescent="0.25">
      <c r="A156" t="s">
        <v>229</v>
      </c>
      <c r="B156" t="s">
        <v>105</v>
      </c>
      <c r="C156" s="1">
        <v>28897</v>
      </c>
      <c r="D156" t="s">
        <v>9</v>
      </c>
      <c r="E156">
        <f t="shared" si="2"/>
        <v>1</v>
      </c>
    </row>
    <row r="157" spans="1:5" x14ac:dyDescent="0.25">
      <c r="A157" t="s">
        <v>230</v>
      </c>
      <c r="B157" t="s">
        <v>231</v>
      </c>
      <c r="C157" s="1">
        <v>33454</v>
      </c>
      <c r="D157" t="s">
        <v>12</v>
      </c>
      <c r="E157">
        <f t="shared" si="2"/>
        <v>1</v>
      </c>
    </row>
    <row r="158" spans="1:5" x14ac:dyDescent="0.25">
      <c r="A158" t="s">
        <v>232</v>
      </c>
      <c r="B158" t="s">
        <v>233</v>
      </c>
      <c r="C158" s="1">
        <v>24539</v>
      </c>
      <c r="D158" t="s">
        <v>12</v>
      </c>
      <c r="E158">
        <f t="shared" si="2"/>
        <v>0</v>
      </c>
    </row>
    <row r="159" spans="1:5" x14ac:dyDescent="0.25">
      <c r="A159" t="s">
        <v>234</v>
      </c>
      <c r="B159" t="s">
        <v>235</v>
      </c>
      <c r="C159" s="1">
        <v>27992</v>
      </c>
      <c r="D159" t="s">
        <v>6</v>
      </c>
      <c r="E159">
        <f t="shared" si="2"/>
        <v>1</v>
      </c>
    </row>
    <row r="160" spans="1:5" x14ac:dyDescent="0.25">
      <c r="A160" t="s">
        <v>147</v>
      </c>
      <c r="B160" t="s">
        <v>236</v>
      </c>
      <c r="C160" s="1">
        <v>26335</v>
      </c>
      <c r="D160" t="s">
        <v>40</v>
      </c>
      <c r="E160">
        <f t="shared" si="2"/>
        <v>1</v>
      </c>
    </row>
    <row r="161" spans="1:5" x14ac:dyDescent="0.25">
      <c r="A161" t="s">
        <v>237</v>
      </c>
      <c r="B161" t="s">
        <v>167</v>
      </c>
      <c r="C161" s="1">
        <v>31095</v>
      </c>
      <c r="D161" t="s">
        <v>12</v>
      </c>
      <c r="E161">
        <f t="shared" si="2"/>
        <v>0</v>
      </c>
    </row>
    <row r="162" spans="1:5" x14ac:dyDescent="0.25">
      <c r="A162" t="s">
        <v>238</v>
      </c>
      <c r="B162" t="s">
        <v>169</v>
      </c>
      <c r="C162" s="1">
        <v>26112</v>
      </c>
      <c r="D162" t="s">
        <v>40</v>
      </c>
      <c r="E162">
        <f t="shared" si="2"/>
        <v>0</v>
      </c>
    </row>
    <row r="163" spans="1:5" x14ac:dyDescent="0.25">
      <c r="A163" t="s">
        <v>239</v>
      </c>
      <c r="B163" t="s">
        <v>54</v>
      </c>
      <c r="C163" s="1">
        <v>23272</v>
      </c>
      <c r="D163" t="s">
        <v>6</v>
      </c>
      <c r="E163">
        <f t="shared" si="2"/>
        <v>1</v>
      </c>
    </row>
    <row r="164" spans="1:5" x14ac:dyDescent="0.25">
      <c r="A164" t="s">
        <v>240</v>
      </c>
      <c r="B164" t="s">
        <v>32</v>
      </c>
      <c r="C164" s="1">
        <v>32952</v>
      </c>
      <c r="D164" t="s">
        <v>40</v>
      </c>
      <c r="E164">
        <f t="shared" si="2"/>
        <v>0</v>
      </c>
    </row>
    <row r="165" spans="1:5" x14ac:dyDescent="0.25">
      <c r="A165" t="s">
        <v>241</v>
      </c>
      <c r="B165" t="s">
        <v>39</v>
      </c>
      <c r="C165" s="1">
        <v>19759</v>
      </c>
      <c r="D165" t="s">
        <v>9</v>
      </c>
      <c r="E165">
        <f t="shared" si="2"/>
        <v>1</v>
      </c>
    </row>
    <row r="166" spans="1:5" x14ac:dyDescent="0.25">
      <c r="A166" t="s">
        <v>242</v>
      </c>
      <c r="B166" t="s">
        <v>152</v>
      </c>
      <c r="C166" s="1">
        <v>27324</v>
      </c>
      <c r="D166" t="s">
        <v>9</v>
      </c>
      <c r="E166">
        <f t="shared" si="2"/>
        <v>0</v>
      </c>
    </row>
    <row r="167" spans="1:5" x14ac:dyDescent="0.25">
      <c r="A167" t="s">
        <v>243</v>
      </c>
      <c r="B167" t="s">
        <v>236</v>
      </c>
      <c r="C167" s="1">
        <v>21838</v>
      </c>
      <c r="D167" t="s">
        <v>6</v>
      </c>
      <c r="E167">
        <f t="shared" si="2"/>
        <v>1</v>
      </c>
    </row>
    <row r="168" spans="1:5" x14ac:dyDescent="0.25">
      <c r="A168" t="s">
        <v>244</v>
      </c>
      <c r="B168" t="s">
        <v>47</v>
      </c>
      <c r="C168" s="1">
        <v>21051</v>
      </c>
      <c r="D168" t="s">
        <v>40</v>
      </c>
      <c r="E168">
        <f t="shared" si="2"/>
        <v>1</v>
      </c>
    </row>
    <row r="169" spans="1:5" x14ac:dyDescent="0.25">
      <c r="A169" t="s">
        <v>245</v>
      </c>
      <c r="B169" t="s">
        <v>246</v>
      </c>
      <c r="C169" s="1">
        <v>31292</v>
      </c>
      <c r="D169" t="s">
        <v>40</v>
      </c>
      <c r="E169">
        <f t="shared" si="2"/>
        <v>0</v>
      </c>
    </row>
    <row r="170" spans="1:5" x14ac:dyDescent="0.25">
      <c r="A170" t="s">
        <v>247</v>
      </c>
      <c r="B170" t="s">
        <v>248</v>
      </c>
      <c r="C170" s="1">
        <v>17179</v>
      </c>
      <c r="D170" t="s">
        <v>12</v>
      </c>
      <c r="E170">
        <f t="shared" si="2"/>
        <v>1</v>
      </c>
    </row>
    <row r="171" spans="1:5" x14ac:dyDescent="0.25">
      <c r="A171" t="s">
        <v>249</v>
      </c>
      <c r="B171" t="s">
        <v>250</v>
      </c>
      <c r="C171" s="1">
        <v>32305</v>
      </c>
      <c r="D171" t="s">
        <v>6</v>
      </c>
      <c r="E171">
        <f t="shared" si="2"/>
        <v>0</v>
      </c>
    </row>
    <row r="172" spans="1:5" x14ac:dyDescent="0.25">
      <c r="A172" t="s">
        <v>251</v>
      </c>
      <c r="B172" t="s">
        <v>252</v>
      </c>
      <c r="C172" s="1">
        <v>32081</v>
      </c>
      <c r="D172" t="s">
        <v>12</v>
      </c>
      <c r="E172">
        <f t="shared" si="2"/>
        <v>0</v>
      </c>
    </row>
    <row r="173" spans="1:5" x14ac:dyDescent="0.25">
      <c r="A173" t="s">
        <v>253</v>
      </c>
      <c r="B173" t="s">
        <v>121</v>
      </c>
      <c r="C173" s="1">
        <v>31749</v>
      </c>
      <c r="D173" t="s">
        <v>6</v>
      </c>
      <c r="E173">
        <f t="shared" si="2"/>
        <v>1</v>
      </c>
    </row>
    <row r="174" spans="1:5" x14ac:dyDescent="0.25">
      <c r="A174" t="s">
        <v>254</v>
      </c>
      <c r="B174" t="s">
        <v>255</v>
      </c>
      <c r="C174" s="1">
        <v>18648</v>
      </c>
      <c r="D174" t="s">
        <v>40</v>
      </c>
      <c r="E174">
        <f t="shared" si="2"/>
        <v>0</v>
      </c>
    </row>
    <row r="175" spans="1:5" x14ac:dyDescent="0.25">
      <c r="A175" t="s">
        <v>256</v>
      </c>
      <c r="B175" t="s">
        <v>257</v>
      </c>
      <c r="C175" s="1">
        <v>16734</v>
      </c>
      <c r="D175" t="s">
        <v>6</v>
      </c>
      <c r="E175">
        <f t="shared" si="2"/>
        <v>0</v>
      </c>
    </row>
    <row r="176" spans="1:5" x14ac:dyDescent="0.25">
      <c r="A176" t="s">
        <v>258</v>
      </c>
      <c r="B176" t="s">
        <v>47</v>
      </c>
      <c r="C176" s="1">
        <v>25036</v>
      </c>
      <c r="D176" t="s">
        <v>12</v>
      </c>
      <c r="E176">
        <f t="shared" si="2"/>
        <v>1</v>
      </c>
    </row>
    <row r="177" spans="1:5" x14ac:dyDescent="0.25">
      <c r="A177" t="s">
        <v>259</v>
      </c>
      <c r="B177" t="s">
        <v>260</v>
      </c>
      <c r="C177" s="1">
        <v>17342</v>
      </c>
      <c r="D177" t="s">
        <v>6</v>
      </c>
      <c r="E177">
        <f t="shared" si="2"/>
        <v>0</v>
      </c>
    </row>
    <row r="178" spans="1:5" x14ac:dyDescent="0.25">
      <c r="A178" t="s">
        <v>206</v>
      </c>
      <c r="B178" t="s">
        <v>167</v>
      </c>
      <c r="C178" s="1">
        <v>23157</v>
      </c>
      <c r="D178" t="s">
        <v>9</v>
      </c>
      <c r="E178">
        <f t="shared" si="2"/>
        <v>0</v>
      </c>
    </row>
    <row r="179" spans="1:5" x14ac:dyDescent="0.25">
      <c r="A179" t="s">
        <v>261</v>
      </c>
      <c r="B179" t="s">
        <v>37</v>
      </c>
      <c r="C179" s="1">
        <v>17166</v>
      </c>
      <c r="D179" t="s">
        <v>12</v>
      </c>
      <c r="E179">
        <f t="shared" si="2"/>
        <v>1</v>
      </c>
    </row>
    <row r="180" spans="1:5" x14ac:dyDescent="0.25">
      <c r="A180" t="s">
        <v>262</v>
      </c>
      <c r="B180" t="s">
        <v>263</v>
      </c>
      <c r="C180" s="1">
        <v>24471</v>
      </c>
      <c r="D180" t="s">
        <v>12</v>
      </c>
      <c r="E180">
        <f t="shared" si="2"/>
        <v>1</v>
      </c>
    </row>
    <row r="181" spans="1:5" x14ac:dyDescent="0.25">
      <c r="A181" t="s">
        <v>264</v>
      </c>
      <c r="B181" t="s">
        <v>157</v>
      </c>
      <c r="C181" s="1">
        <v>34523</v>
      </c>
      <c r="D181" t="s">
        <v>6</v>
      </c>
      <c r="E181">
        <f t="shared" si="2"/>
        <v>1</v>
      </c>
    </row>
    <row r="182" spans="1:5" x14ac:dyDescent="0.25">
      <c r="A182" t="s">
        <v>265</v>
      </c>
      <c r="B182" t="s">
        <v>139</v>
      </c>
      <c r="C182" s="1">
        <v>18354</v>
      </c>
      <c r="D182" t="s">
        <v>6</v>
      </c>
      <c r="E182">
        <f t="shared" si="2"/>
        <v>0</v>
      </c>
    </row>
    <row r="183" spans="1:5" x14ac:dyDescent="0.25">
      <c r="A183" t="s">
        <v>266</v>
      </c>
      <c r="B183" t="s">
        <v>267</v>
      </c>
      <c r="C183" s="1">
        <v>34069</v>
      </c>
      <c r="D183" t="s">
        <v>12</v>
      </c>
      <c r="E183">
        <f t="shared" si="2"/>
        <v>0</v>
      </c>
    </row>
    <row r="184" spans="1:5" x14ac:dyDescent="0.25">
      <c r="A184" t="s">
        <v>268</v>
      </c>
      <c r="B184" t="s">
        <v>269</v>
      </c>
      <c r="C184" s="1">
        <v>17331</v>
      </c>
      <c r="D184" t="s">
        <v>12</v>
      </c>
      <c r="E184">
        <f t="shared" si="2"/>
        <v>1</v>
      </c>
    </row>
    <row r="185" spans="1:5" x14ac:dyDescent="0.25">
      <c r="A185" t="s">
        <v>270</v>
      </c>
      <c r="B185" t="s">
        <v>39</v>
      </c>
      <c r="C185" s="1">
        <v>33550</v>
      </c>
      <c r="D185" t="s">
        <v>40</v>
      </c>
      <c r="E185">
        <f t="shared" si="2"/>
        <v>1</v>
      </c>
    </row>
    <row r="186" spans="1:5" x14ac:dyDescent="0.25">
      <c r="A186" t="s">
        <v>271</v>
      </c>
      <c r="B186" t="s">
        <v>255</v>
      </c>
      <c r="C186" s="1">
        <v>24426</v>
      </c>
      <c r="D186" t="s">
        <v>6</v>
      </c>
      <c r="E186">
        <f t="shared" si="2"/>
        <v>0</v>
      </c>
    </row>
    <row r="187" spans="1:5" x14ac:dyDescent="0.25">
      <c r="A187" t="s">
        <v>272</v>
      </c>
      <c r="B187" t="s">
        <v>273</v>
      </c>
      <c r="C187" s="1">
        <v>19307</v>
      </c>
      <c r="D187" t="s">
        <v>40</v>
      </c>
      <c r="E187">
        <f t="shared" si="2"/>
        <v>0</v>
      </c>
    </row>
    <row r="188" spans="1:5" x14ac:dyDescent="0.25">
      <c r="A188" t="s">
        <v>274</v>
      </c>
      <c r="B188" t="s">
        <v>121</v>
      </c>
      <c r="C188" s="1">
        <v>26626</v>
      </c>
      <c r="D188" t="s">
        <v>12</v>
      </c>
      <c r="E188">
        <f t="shared" si="2"/>
        <v>1</v>
      </c>
    </row>
    <row r="189" spans="1:5" x14ac:dyDescent="0.25">
      <c r="A189" t="s">
        <v>275</v>
      </c>
      <c r="B189" t="s">
        <v>169</v>
      </c>
      <c r="C189" s="1">
        <v>21897</v>
      </c>
      <c r="D189" t="s">
        <v>12</v>
      </c>
      <c r="E189">
        <f t="shared" si="2"/>
        <v>0</v>
      </c>
    </row>
    <row r="190" spans="1:5" x14ac:dyDescent="0.25">
      <c r="A190" t="s">
        <v>276</v>
      </c>
      <c r="B190" t="s">
        <v>52</v>
      </c>
      <c r="C190" s="1">
        <v>34865</v>
      </c>
      <c r="D190" t="s">
        <v>12</v>
      </c>
      <c r="E190">
        <f t="shared" si="2"/>
        <v>1</v>
      </c>
    </row>
    <row r="191" spans="1:5" x14ac:dyDescent="0.25">
      <c r="A191" t="s">
        <v>163</v>
      </c>
      <c r="B191" t="s">
        <v>277</v>
      </c>
      <c r="C191" s="1">
        <v>19712</v>
      </c>
      <c r="D191" t="s">
        <v>12</v>
      </c>
      <c r="E191">
        <f t="shared" si="2"/>
        <v>1</v>
      </c>
    </row>
    <row r="192" spans="1:5" x14ac:dyDescent="0.25">
      <c r="A192" t="s">
        <v>278</v>
      </c>
      <c r="B192" t="s">
        <v>52</v>
      </c>
      <c r="C192" s="1">
        <v>27893</v>
      </c>
      <c r="D192" t="s">
        <v>6</v>
      </c>
      <c r="E192">
        <f t="shared" si="2"/>
        <v>1</v>
      </c>
    </row>
    <row r="193" spans="1:5" x14ac:dyDescent="0.25">
      <c r="A193" t="s">
        <v>279</v>
      </c>
      <c r="B193" t="s">
        <v>280</v>
      </c>
      <c r="C193" s="1">
        <v>28226</v>
      </c>
      <c r="D193" t="s">
        <v>12</v>
      </c>
      <c r="E193">
        <f t="shared" si="2"/>
        <v>1</v>
      </c>
    </row>
    <row r="194" spans="1:5" x14ac:dyDescent="0.25">
      <c r="A194" t="s">
        <v>281</v>
      </c>
      <c r="B194" t="s">
        <v>77</v>
      </c>
      <c r="C194" s="1">
        <v>29954</v>
      </c>
      <c r="D194" t="s">
        <v>9</v>
      </c>
      <c r="E194">
        <f t="shared" si="2"/>
        <v>0</v>
      </c>
    </row>
    <row r="195" spans="1:5" x14ac:dyDescent="0.25">
      <c r="A195" t="s">
        <v>282</v>
      </c>
      <c r="B195" t="s">
        <v>179</v>
      </c>
      <c r="C195" s="1">
        <v>23111</v>
      </c>
      <c r="D195" t="s">
        <v>12</v>
      </c>
      <c r="E195">
        <f t="shared" ref="E195:E258" si="3">IF(RIGHT(B195,1)="a",1,0)</f>
        <v>0</v>
      </c>
    </row>
    <row r="196" spans="1:5" x14ac:dyDescent="0.25">
      <c r="A196" t="s">
        <v>283</v>
      </c>
      <c r="B196" t="s">
        <v>39</v>
      </c>
      <c r="C196" s="1">
        <v>24808</v>
      </c>
      <c r="D196" t="s">
        <v>12</v>
      </c>
      <c r="E196">
        <f t="shared" si="3"/>
        <v>1</v>
      </c>
    </row>
    <row r="197" spans="1:5" x14ac:dyDescent="0.25">
      <c r="A197" t="s">
        <v>284</v>
      </c>
      <c r="B197" t="s">
        <v>16</v>
      </c>
      <c r="C197" s="1">
        <v>17601</v>
      </c>
      <c r="D197" t="s">
        <v>40</v>
      </c>
      <c r="E197">
        <f t="shared" si="3"/>
        <v>1</v>
      </c>
    </row>
    <row r="198" spans="1:5" x14ac:dyDescent="0.25">
      <c r="A198" t="s">
        <v>285</v>
      </c>
      <c r="B198" t="s">
        <v>179</v>
      </c>
      <c r="C198" s="1">
        <v>21199</v>
      </c>
      <c r="D198" t="s">
        <v>9</v>
      </c>
      <c r="E198">
        <f t="shared" si="3"/>
        <v>0</v>
      </c>
    </row>
    <row r="199" spans="1:5" x14ac:dyDescent="0.25">
      <c r="A199" t="s">
        <v>286</v>
      </c>
      <c r="B199" t="s">
        <v>20</v>
      </c>
      <c r="C199" s="1">
        <v>29879</v>
      </c>
      <c r="D199" t="s">
        <v>12</v>
      </c>
      <c r="E199">
        <f t="shared" si="3"/>
        <v>1</v>
      </c>
    </row>
    <row r="200" spans="1:5" x14ac:dyDescent="0.25">
      <c r="A200" t="s">
        <v>287</v>
      </c>
      <c r="B200" t="s">
        <v>81</v>
      </c>
      <c r="C200" s="1">
        <v>19659</v>
      </c>
      <c r="D200" t="s">
        <v>6</v>
      </c>
      <c r="E200">
        <f t="shared" si="3"/>
        <v>1</v>
      </c>
    </row>
    <row r="201" spans="1:5" x14ac:dyDescent="0.25">
      <c r="A201" t="s">
        <v>288</v>
      </c>
      <c r="B201" t="s">
        <v>8</v>
      </c>
      <c r="C201" s="1">
        <v>22514</v>
      </c>
      <c r="D201" t="s">
        <v>12</v>
      </c>
      <c r="E201">
        <f t="shared" si="3"/>
        <v>0</v>
      </c>
    </row>
    <row r="202" spans="1:5" x14ac:dyDescent="0.25">
      <c r="A202" t="s">
        <v>289</v>
      </c>
      <c r="B202" t="s">
        <v>121</v>
      </c>
      <c r="C202" s="1">
        <v>25332</v>
      </c>
      <c r="D202" t="s">
        <v>12</v>
      </c>
      <c r="E202">
        <f t="shared" si="3"/>
        <v>1</v>
      </c>
    </row>
    <row r="203" spans="1:5" x14ac:dyDescent="0.25">
      <c r="A203" t="s">
        <v>290</v>
      </c>
      <c r="B203" t="s">
        <v>255</v>
      </c>
      <c r="C203" s="1">
        <v>20181</v>
      </c>
      <c r="D203" t="s">
        <v>40</v>
      </c>
      <c r="E203">
        <f t="shared" si="3"/>
        <v>0</v>
      </c>
    </row>
    <row r="204" spans="1:5" x14ac:dyDescent="0.25">
      <c r="A204" t="s">
        <v>291</v>
      </c>
      <c r="B204" t="s">
        <v>141</v>
      </c>
      <c r="C204" s="1">
        <v>19141</v>
      </c>
      <c r="D204" t="s">
        <v>12</v>
      </c>
      <c r="E204">
        <f t="shared" si="3"/>
        <v>0</v>
      </c>
    </row>
    <row r="205" spans="1:5" x14ac:dyDescent="0.25">
      <c r="A205" t="s">
        <v>292</v>
      </c>
      <c r="B205" t="s">
        <v>293</v>
      </c>
      <c r="C205" s="1">
        <v>18147</v>
      </c>
      <c r="D205" t="s">
        <v>12</v>
      </c>
      <c r="E205">
        <f t="shared" si="3"/>
        <v>1</v>
      </c>
    </row>
    <row r="206" spans="1:5" x14ac:dyDescent="0.25">
      <c r="A206" t="s">
        <v>294</v>
      </c>
      <c r="B206" t="s">
        <v>52</v>
      </c>
      <c r="C206" s="1">
        <v>26146</v>
      </c>
      <c r="D206" t="s">
        <v>6</v>
      </c>
      <c r="E206">
        <f t="shared" si="3"/>
        <v>1</v>
      </c>
    </row>
    <row r="207" spans="1:5" x14ac:dyDescent="0.25">
      <c r="A207" t="s">
        <v>295</v>
      </c>
      <c r="B207" t="s">
        <v>139</v>
      </c>
      <c r="C207" s="1">
        <v>30798</v>
      </c>
      <c r="D207" t="s">
        <v>40</v>
      </c>
      <c r="E207">
        <f t="shared" si="3"/>
        <v>0</v>
      </c>
    </row>
    <row r="208" spans="1:5" x14ac:dyDescent="0.25">
      <c r="A208" t="s">
        <v>296</v>
      </c>
      <c r="B208" t="s">
        <v>297</v>
      </c>
      <c r="C208" s="1">
        <v>24623</v>
      </c>
      <c r="D208" t="s">
        <v>12</v>
      </c>
      <c r="E208">
        <f t="shared" si="3"/>
        <v>1</v>
      </c>
    </row>
    <row r="209" spans="1:5" x14ac:dyDescent="0.25">
      <c r="A209" t="s">
        <v>298</v>
      </c>
      <c r="B209" t="s">
        <v>18</v>
      </c>
      <c r="C209" s="1">
        <v>31818</v>
      </c>
      <c r="D209" t="s">
        <v>6</v>
      </c>
      <c r="E209">
        <f t="shared" si="3"/>
        <v>0</v>
      </c>
    </row>
    <row r="210" spans="1:5" x14ac:dyDescent="0.25">
      <c r="A210" t="s">
        <v>299</v>
      </c>
      <c r="B210" t="s">
        <v>300</v>
      </c>
      <c r="C210" s="1">
        <v>34201</v>
      </c>
      <c r="D210" t="s">
        <v>12</v>
      </c>
      <c r="E210">
        <f t="shared" si="3"/>
        <v>1</v>
      </c>
    </row>
    <row r="211" spans="1:5" x14ac:dyDescent="0.25">
      <c r="A211" t="s">
        <v>301</v>
      </c>
      <c r="B211" t="s">
        <v>8</v>
      </c>
      <c r="C211" s="1">
        <v>27079</v>
      </c>
      <c r="D211" t="s">
        <v>9</v>
      </c>
      <c r="E211">
        <f t="shared" si="3"/>
        <v>0</v>
      </c>
    </row>
    <row r="212" spans="1:5" x14ac:dyDescent="0.25">
      <c r="A212" t="s">
        <v>302</v>
      </c>
      <c r="B212" t="s">
        <v>303</v>
      </c>
      <c r="C212" s="1">
        <v>18053</v>
      </c>
      <c r="D212" t="s">
        <v>9</v>
      </c>
      <c r="E212">
        <f t="shared" si="3"/>
        <v>0</v>
      </c>
    </row>
    <row r="213" spans="1:5" x14ac:dyDescent="0.25">
      <c r="A213" t="s">
        <v>304</v>
      </c>
      <c r="B213" t="s">
        <v>49</v>
      </c>
      <c r="C213" s="1">
        <v>27059</v>
      </c>
      <c r="D213" t="s">
        <v>12</v>
      </c>
      <c r="E213">
        <f t="shared" si="3"/>
        <v>0</v>
      </c>
    </row>
    <row r="214" spans="1:5" x14ac:dyDescent="0.25">
      <c r="A214" t="s">
        <v>305</v>
      </c>
      <c r="B214" t="s">
        <v>246</v>
      </c>
      <c r="C214" s="1">
        <v>31039</v>
      </c>
      <c r="D214" t="s">
        <v>6</v>
      </c>
      <c r="E214">
        <f t="shared" si="3"/>
        <v>0</v>
      </c>
    </row>
    <row r="215" spans="1:5" x14ac:dyDescent="0.25">
      <c r="A215" t="s">
        <v>306</v>
      </c>
      <c r="B215" t="s">
        <v>307</v>
      </c>
      <c r="C215" s="1">
        <v>34893</v>
      </c>
      <c r="D215" t="s">
        <v>12</v>
      </c>
      <c r="E215">
        <f t="shared" si="3"/>
        <v>0</v>
      </c>
    </row>
    <row r="216" spans="1:5" x14ac:dyDescent="0.25">
      <c r="A216" t="s">
        <v>308</v>
      </c>
      <c r="B216" t="s">
        <v>307</v>
      </c>
      <c r="C216" s="1">
        <v>22101</v>
      </c>
      <c r="D216" t="s">
        <v>6</v>
      </c>
      <c r="E216">
        <f t="shared" si="3"/>
        <v>0</v>
      </c>
    </row>
    <row r="217" spans="1:5" x14ac:dyDescent="0.25">
      <c r="A217" t="s">
        <v>309</v>
      </c>
      <c r="B217" t="s">
        <v>177</v>
      </c>
      <c r="C217" s="1">
        <v>16267</v>
      </c>
      <c r="D217" t="s">
        <v>12</v>
      </c>
      <c r="E217">
        <f t="shared" si="3"/>
        <v>1</v>
      </c>
    </row>
    <row r="218" spans="1:5" x14ac:dyDescent="0.25">
      <c r="A218" t="s">
        <v>310</v>
      </c>
      <c r="B218" t="s">
        <v>45</v>
      </c>
      <c r="C218" s="1">
        <v>32103</v>
      </c>
      <c r="D218" t="s">
        <v>12</v>
      </c>
      <c r="E218">
        <f t="shared" si="3"/>
        <v>1</v>
      </c>
    </row>
    <row r="219" spans="1:5" x14ac:dyDescent="0.25">
      <c r="A219" t="s">
        <v>311</v>
      </c>
      <c r="B219" t="s">
        <v>248</v>
      </c>
      <c r="C219" s="1">
        <v>25996</v>
      </c>
      <c r="D219" t="s">
        <v>9</v>
      </c>
      <c r="E219">
        <f t="shared" si="3"/>
        <v>1</v>
      </c>
    </row>
    <row r="220" spans="1:5" x14ac:dyDescent="0.25">
      <c r="A220" t="s">
        <v>312</v>
      </c>
      <c r="B220" t="s">
        <v>134</v>
      </c>
      <c r="C220" s="1">
        <v>33040</v>
      </c>
      <c r="D220" t="s">
        <v>12</v>
      </c>
      <c r="E220">
        <f t="shared" si="3"/>
        <v>1</v>
      </c>
    </row>
    <row r="221" spans="1:5" x14ac:dyDescent="0.25">
      <c r="A221" t="s">
        <v>313</v>
      </c>
      <c r="B221" t="s">
        <v>20</v>
      </c>
      <c r="C221" s="1">
        <v>30671</v>
      </c>
      <c r="D221" t="s">
        <v>9</v>
      </c>
      <c r="E221">
        <f t="shared" si="3"/>
        <v>1</v>
      </c>
    </row>
    <row r="222" spans="1:5" x14ac:dyDescent="0.25">
      <c r="A222" t="s">
        <v>314</v>
      </c>
      <c r="B222" t="s">
        <v>37</v>
      </c>
      <c r="C222" s="1">
        <v>25243</v>
      </c>
      <c r="D222" t="s">
        <v>12</v>
      </c>
      <c r="E222">
        <f t="shared" si="3"/>
        <v>1</v>
      </c>
    </row>
    <row r="223" spans="1:5" x14ac:dyDescent="0.25">
      <c r="A223" t="s">
        <v>315</v>
      </c>
      <c r="B223" t="s">
        <v>20</v>
      </c>
      <c r="C223" s="1">
        <v>27639</v>
      </c>
      <c r="D223" t="s">
        <v>12</v>
      </c>
      <c r="E223">
        <f t="shared" si="3"/>
        <v>1</v>
      </c>
    </row>
    <row r="224" spans="1:5" x14ac:dyDescent="0.25">
      <c r="A224" t="s">
        <v>316</v>
      </c>
      <c r="B224" t="s">
        <v>169</v>
      </c>
      <c r="C224" s="1">
        <v>25644</v>
      </c>
      <c r="D224" t="s">
        <v>12</v>
      </c>
      <c r="E224">
        <f t="shared" si="3"/>
        <v>0</v>
      </c>
    </row>
    <row r="225" spans="1:5" x14ac:dyDescent="0.25">
      <c r="A225" t="s">
        <v>317</v>
      </c>
      <c r="B225" t="s">
        <v>318</v>
      </c>
      <c r="C225" s="1">
        <v>27683</v>
      </c>
      <c r="D225" t="s">
        <v>6</v>
      </c>
      <c r="E225">
        <f t="shared" si="3"/>
        <v>1</v>
      </c>
    </row>
    <row r="226" spans="1:5" x14ac:dyDescent="0.25">
      <c r="A226" t="s">
        <v>174</v>
      </c>
      <c r="B226" t="s">
        <v>319</v>
      </c>
      <c r="C226" s="1">
        <v>32765</v>
      </c>
      <c r="D226" t="s">
        <v>9</v>
      </c>
      <c r="E226">
        <f t="shared" si="3"/>
        <v>1</v>
      </c>
    </row>
    <row r="227" spans="1:5" x14ac:dyDescent="0.25">
      <c r="A227" t="s">
        <v>243</v>
      </c>
      <c r="B227" t="s">
        <v>121</v>
      </c>
      <c r="C227" s="1">
        <v>26380</v>
      </c>
      <c r="D227" t="s">
        <v>9</v>
      </c>
      <c r="E227">
        <f t="shared" si="3"/>
        <v>1</v>
      </c>
    </row>
    <row r="228" spans="1:5" x14ac:dyDescent="0.25">
      <c r="A228" t="s">
        <v>320</v>
      </c>
      <c r="B228" t="s">
        <v>81</v>
      </c>
      <c r="C228" s="1">
        <v>21508</v>
      </c>
      <c r="D228" t="s">
        <v>6</v>
      </c>
      <c r="E228">
        <f t="shared" si="3"/>
        <v>1</v>
      </c>
    </row>
    <row r="229" spans="1:5" x14ac:dyDescent="0.25">
      <c r="A229" t="s">
        <v>321</v>
      </c>
      <c r="B229" t="s">
        <v>11</v>
      </c>
      <c r="C229" s="1">
        <v>32790</v>
      </c>
      <c r="D229" t="s">
        <v>6</v>
      </c>
      <c r="E229">
        <f t="shared" si="3"/>
        <v>1</v>
      </c>
    </row>
    <row r="230" spans="1:5" x14ac:dyDescent="0.25">
      <c r="A230" t="s">
        <v>164</v>
      </c>
      <c r="B230" t="s">
        <v>322</v>
      </c>
      <c r="C230" s="1">
        <v>24303</v>
      </c>
      <c r="D230" t="s">
        <v>6</v>
      </c>
      <c r="E230">
        <f t="shared" si="3"/>
        <v>1</v>
      </c>
    </row>
    <row r="231" spans="1:5" x14ac:dyDescent="0.25">
      <c r="A231" t="s">
        <v>323</v>
      </c>
      <c r="B231" t="s">
        <v>300</v>
      </c>
      <c r="C231" s="1">
        <v>30747</v>
      </c>
      <c r="D231" t="s">
        <v>9</v>
      </c>
      <c r="E231">
        <f t="shared" si="3"/>
        <v>1</v>
      </c>
    </row>
    <row r="232" spans="1:5" x14ac:dyDescent="0.25">
      <c r="A232" t="s">
        <v>324</v>
      </c>
      <c r="B232" t="s">
        <v>49</v>
      </c>
      <c r="C232" s="1">
        <v>19853</v>
      </c>
      <c r="D232" t="s">
        <v>12</v>
      </c>
      <c r="E232">
        <f t="shared" si="3"/>
        <v>0</v>
      </c>
    </row>
    <row r="233" spans="1:5" x14ac:dyDescent="0.25">
      <c r="A233" t="s">
        <v>325</v>
      </c>
      <c r="B233" t="s">
        <v>20</v>
      </c>
      <c r="C233" s="1">
        <v>32147</v>
      </c>
      <c r="D233" t="s">
        <v>12</v>
      </c>
      <c r="E233">
        <f t="shared" si="3"/>
        <v>1</v>
      </c>
    </row>
    <row r="234" spans="1:5" x14ac:dyDescent="0.25">
      <c r="A234" t="s">
        <v>326</v>
      </c>
      <c r="B234" t="s">
        <v>327</v>
      </c>
      <c r="C234" s="1">
        <v>17904</v>
      </c>
      <c r="D234" t="s">
        <v>12</v>
      </c>
      <c r="E234">
        <f t="shared" si="3"/>
        <v>0</v>
      </c>
    </row>
    <row r="235" spans="1:5" x14ac:dyDescent="0.25">
      <c r="A235" t="s">
        <v>328</v>
      </c>
      <c r="B235" t="s">
        <v>157</v>
      </c>
      <c r="C235" s="1">
        <v>20057</v>
      </c>
      <c r="D235" t="s">
        <v>12</v>
      </c>
      <c r="E235">
        <f t="shared" si="3"/>
        <v>1</v>
      </c>
    </row>
    <row r="236" spans="1:5" x14ac:dyDescent="0.25">
      <c r="A236" t="s">
        <v>329</v>
      </c>
      <c r="B236" t="s">
        <v>146</v>
      </c>
      <c r="C236" s="1">
        <v>30863</v>
      </c>
      <c r="D236" t="s">
        <v>9</v>
      </c>
      <c r="E236">
        <f t="shared" si="3"/>
        <v>0</v>
      </c>
    </row>
    <row r="237" spans="1:5" x14ac:dyDescent="0.25">
      <c r="A237" t="s">
        <v>330</v>
      </c>
      <c r="B237" t="s">
        <v>139</v>
      </c>
      <c r="C237" s="1">
        <v>22435</v>
      </c>
      <c r="D237" t="s">
        <v>6</v>
      </c>
      <c r="E237">
        <f t="shared" si="3"/>
        <v>0</v>
      </c>
    </row>
    <row r="238" spans="1:5" x14ac:dyDescent="0.25">
      <c r="A238" t="s">
        <v>130</v>
      </c>
      <c r="B238" t="s">
        <v>84</v>
      </c>
      <c r="C238" s="1">
        <v>17048</v>
      </c>
      <c r="D238" t="s">
        <v>12</v>
      </c>
      <c r="E238">
        <f t="shared" si="3"/>
        <v>1</v>
      </c>
    </row>
    <row r="239" spans="1:5" x14ac:dyDescent="0.25">
      <c r="A239" t="s">
        <v>331</v>
      </c>
      <c r="B239" t="s">
        <v>332</v>
      </c>
      <c r="C239" s="1">
        <v>24732</v>
      </c>
      <c r="D239" t="s">
        <v>6</v>
      </c>
      <c r="E239">
        <f t="shared" si="3"/>
        <v>0</v>
      </c>
    </row>
    <row r="240" spans="1:5" x14ac:dyDescent="0.25">
      <c r="A240" t="s">
        <v>333</v>
      </c>
      <c r="B240" t="s">
        <v>11</v>
      </c>
      <c r="C240" s="1">
        <v>18589</v>
      </c>
      <c r="D240" t="s">
        <v>6</v>
      </c>
      <c r="E240">
        <f t="shared" si="3"/>
        <v>1</v>
      </c>
    </row>
    <row r="241" spans="1:5" x14ac:dyDescent="0.25">
      <c r="A241" t="s">
        <v>334</v>
      </c>
      <c r="B241" t="s">
        <v>49</v>
      </c>
      <c r="C241" s="1">
        <v>20727</v>
      </c>
      <c r="D241" t="s">
        <v>12</v>
      </c>
      <c r="E241">
        <f t="shared" si="3"/>
        <v>0</v>
      </c>
    </row>
    <row r="242" spans="1:5" x14ac:dyDescent="0.25">
      <c r="A242" t="s">
        <v>335</v>
      </c>
      <c r="B242" t="s">
        <v>114</v>
      </c>
      <c r="C242" s="1">
        <v>23401</v>
      </c>
      <c r="D242" t="s">
        <v>6</v>
      </c>
      <c r="E242">
        <f t="shared" si="3"/>
        <v>0</v>
      </c>
    </row>
    <row r="243" spans="1:5" x14ac:dyDescent="0.25">
      <c r="A243" t="s">
        <v>336</v>
      </c>
      <c r="B243" t="s">
        <v>337</v>
      </c>
      <c r="C243" s="1">
        <v>17084</v>
      </c>
      <c r="D243" t="s">
        <v>6</v>
      </c>
      <c r="E243">
        <f t="shared" si="3"/>
        <v>1</v>
      </c>
    </row>
    <row r="244" spans="1:5" x14ac:dyDescent="0.25">
      <c r="A244" t="s">
        <v>338</v>
      </c>
      <c r="B244" t="s">
        <v>8</v>
      </c>
      <c r="C244" s="1">
        <v>30481</v>
      </c>
      <c r="D244" t="s">
        <v>12</v>
      </c>
      <c r="E244">
        <f t="shared" si="3"/>
        <v>0</v>
      </c>
    </row>
    <row r="245" spans="1:5" x14ac:dyDescent="0.25">
      <c r="A245" t="s">
        <v>339</v>
      </c>
      <c r="B245" t="s">
        <v>20</v>
      </c>
      <c r="C245" s="1">
        <v>20651</v>
      </c>
      <c r="D245" t="s">
        <v>12</v>
      </c>
      <c r="E245">
        <f t="shared" si="3"/>
        <v>1</v>
      </c>
    </row>
    <row r="246" spans="1:5" x14ac:dyDescent="0.25">
      <c r="A246" t="s">
        <v>340</v>
      </c>
      <c r="B246" t="s">
        <v>185</v>
      </c>
      <c r="C246" s="1">
        <v>32580</v>
      </c>
      <c r="D246" t="s">
        <v>12</v>
      </c>
      <c r="E246">
        <f t="shared" si="3"/>
        <v>1</v>
      </c>
    </row>
    <row r="247" spans="1:5" x14ac:dyDescent="0.25">
      <c r="A247" t="s">
        <v>341</v>
      </c>
      <c r="B247" t="s">
        <v>139</v>
      </c>
      <c r="C247" s="1">
        <v>18233</v>
      </c>
      <c r="D247" t="s">
        <v>12</v>
      </c>
      <c r="E247">
        <f t="shared" si="3"/>
        <v>0</v>
      </c>
    </row>
    <row r="248" spans="1:5" x14ac:dyDescent="0.25">
      <c r="A248" t="s">
        <v>342</v>
      </c>
      <c r="B248" t="s">
        <v>177</v>
      </c>
      <c r="C248" s="1">
        <v>24225</v>
      </c>
      <c r="D248" t="s">
        <v>6</v>
      </c>
      <c r="E248">
        <f t="shared" si="3"/>
        <v>1</v>
      </c>
    </row>
    <row r="249" spans="1:5" x14ac:dyDescent="0.25">
      <c r="A249" t="s">
        <v>343</v>
      </c>
      <c r="B249" t="s">
        <v>45</v>
      </c>
      <c r="C249" s="1">
        <v>27299</v>
      </c>
      <c r="D249" t="s">
        <v>6</v>
      </c>
      <c r="E249">
        <f t="shared" si="3"/>
        <v>1</v>
      </c>
    </row>
    <row r="250" spans="1:5" x14ac:dyDescent="0.25">
      <c r="A250" t="s">
        <v>344</v>
      </c>
      <c r="B250" t="s">
        <v>345</v>
      </c>
      <c r="C250" s="1">
        <v>18398</v>
      </c>
      <c r="D250" t="s">
        <v>12</v>
      </c>
      <c r="E250">
        <f t="shared" si="3"/>
        <v>1</v>
      </c>
    </row>
    <row r="251" spans="1:5" x14ac:dyDescent="0.25">
      <c r="A251" t="s">
        <v>329</v>
      </c>
      <c r="B251" t="s">
        <v>194</v>
      </c>
      <c r="C251" s="1">
        <v>34400</v>
      </c>
      <c r="D251" t="s">
        <v>12</v>
      </c>
      <c r="E251">
        <f t="shared" si="3"/>
        <v>1</v>
      </c>
    </row>
    <row r="252" spans="1:5" x14ac:dyDescent="0.25">
      <c r="A252" t="s">
        <v>51</v>
      </c>
      <c r="B252" t="s">
        <v>346</v>
      </c>
      <c r="C252" s="1">
        <v>21513</v>
      </c>
      <c r="D252" t="s">
        <v>12</v>
      </c>
      <c r="E252">
        <f t="shared" si="3"/>
        <v>1</v>
      </c>
    </row>
    <row r="253" spans="1:5" x14ac:dyDescent="0.25">
      <c r="A253" t="s">
        <v>347</v>
      </c>
      <c r="B253" t="s">
        <v>236</v>
      </c>
      <c r="C253" s="1">
        <v>31749</v>
      </c>
      <c r="D253" t="s">
        <v>6</v>
      </c>
      <c r="E253">
        <f t="shared" si="3"/>
        <v>1</v>
      </c>
    </row>
    <row r="254" spans="1:5" x14ac:dyDescent="0.25">
      <c r="A254" t="s">
        <v>348</v>
      </c>
      <c r="B254" t="s">
        <v>5</v>
      </c>
      <c r="C254" s="1">
        <v>34235</v>
      </c>
      <c r="D254" t="s">
        <v>6</v>
      </c>
      <c r="E254">
        <f t="shared" si="3"/>
        <v>1</v>
      </c>
    </row>
    <row r="255" spans="1:5" x14ac:dyDescent="0.25">
      <c r="A255" t="s">
        <v>349</v>
      </c>
      <c r="B255" t="s">
        <v>131</v>
      </c>
      <c r="C255" s="1">
        <v>19183</v>
      </c>
      <c r="D255" t="s">
        <v>9</v>
      </c>
      <c r="E255">
        <f t="shared" si="3"/>
        <v>1</v>
      </c>
    </row>
    <row r="256" spans="1:5" x14ac:dyDescent="0.25">
      <c r="A256" t="s">
        <v>350</v>
      </c>
      <c r="B256" t="s">
        <v>8</v>
      </c>
      <c r="C256" s="1">
        <v>27424</v>
      </c>
      <c r="D256" t="s">
        <v>12</v>
      </c>
      <c r="E256">
        <f t="shared" si="3"/>
        <v>0</v>
      </c>
    </row>
    <row r="257" spans="1:5" x14ac:dyDescent="0.25">
      <c r="A257" t="s">
        <v>351</v>
      </c>
      <c r="B257" t="s">
        <v>152</v>
      </c>
      <c r="C257" s="1">
        <v>23665</v>
      </c>
      <c r="D257" t="s">
        <v>12</v>
      </c>
      <c r="E257">
        <f t="shared" si="3"/>
        <v>0</v>
      </c>
    </row>
    <row r="258" spans="1:5" x14ac:dyDescent="0.25">
      <c r="A258" t="s">
        <v>352</v>
      </c>
      <c r="B258" t="s">
        <v>11</v>
      </c>
      <c r="C258" s="1">
        <v>17649</v>
      </c>
      <c r="D258" t="s">
        <v>6</v>
      </c>
      <c r="E258">
        <f t="shared" si="3"/>
        <v>1</v>
      </c>
    </row>
    <row r="259" spans="1:5" x14ac:dyDescent="0.25">
      <c r="A259" t="s">
        <v>353</v>
      </c>
      <c r="B259" t="s">
        <v>354</v>
      </c>
      <c r="C259" s="1">
        <v>25530</v>
      </c>
      <c r="D259" t="s">
        <v>6</v>
      </c>
      <c r="E259">
        <f t="shared" ref="E259:E322" si="4">IF(RIGHT(B259,1)="a",1,0)</f>
        <v>1</v>
      </c>
    </row>
    <row r="260" spans="1:5" x14ac:dyDescent="0.25">
      <c r="A260" t="s">
        <v>355</v>
      </c>
      <c r="B260" t="s">
        <v>356</v>
      </c>
      <c r="C260" s="1">
        <v>34758</v>
      </c>
      <c r="D260" t="s">
        <v>9</v>
      </c>
      <c r="E260">
        <f t="shared" si="4"/>
        <v>1</v>
      </c>
    </row>
    <row r="261" spans="1:5" x14ac:dyDescent="0.25">
      <c r="A261" t="s">
        <v>19</v>
      </c>
      <c r="B261" t="s">
        <v>357</v>
      </c>
      <c r="C261" s="1">
        <v>17531</v>
      </c>
      <c r="D261" t="s">
        <v>12</v>
      </c>
      <c r="E261">
        <f t="shared" si="4"/>
        <v>0</v>
      </c>
    </row>
    <row r="262" spans="1:5" x14ac:dyDescent="0.25">
      <c r="A262" t="s">
        <v>358</v>
      </c>
      <c r="B262" t="s">
        <v>8</v>
      </c>
      <c r="C262" s="1">
        <v>32482</v>
      </c>
      <c r="D262" t="s">
        <v>6</v>
      </c>
      <c r="E262">
        <f t="shared" si="4"/>
        <v>0</v>
      </c>
    </row>
    <row r="263" spans="1:5" x14ac:dyDescent="0.25">
      <c r="A263" t="s">
        <v>359</v>
      </c>
      <c r="B263" t="s">
        <v>246</v>
      </c>
      <c r="C263" s="1">
        <v>34533</v>
      </c>
      <c r="D263" t="s">
        <v>12</v>
      </c>
      <c r="E263">
        <f t="shared" si="4"/>
        <v>0</v>
      </c>
    </row>
    <row r="264" spans="1:5" x14ac:dyDescent="0.25">
      <c r="A264" t="s">
        <v>308</v>
      </c>
      <c r="B264" t="s">
        <v>79</v>
      </c>
      <c r="C264" s="1">
        <v>28491</v>
      </c>
      <c r="D264" t="s">
        <v>12</v>
      </c>
      <c r="E264">
        <f t="shared" si="4"/>
        <v>1</v>
      </c>
    </row>
    <row r="265" spans="1:5" x14ac:dyDescent="0.25">
      <c r="A265" t="s">
        <v>360</v>
      </c>
      <c r="B265" t="s">
        <v>361</v>
      </c>
      <c r="C265" s="1">
        <v>32689</v>
      </c>
      <c r="D265" t="s">
        <v>9</v>
      </c>
      <c r="E265">
        <f t="shared" si="4"/>
        <v>1</v>
      </c>
    </row>
    <row r="266" spans="1:5" x14ac:dyDescent="0.25">
      <c r="A266" t="s">
        <v>162</v>
      </c>
      <c r="B266" t="s">
        <v>362</v>
      </c>
      <c r="C266" s="1">
        <v>27112</v>
      </c>
      <c r="D266" t="s">
        <v>6</v>
      </c>
      <c r="E266">
        <f t="shared" si="4"/>
        <v>1</v>
      </c>
    </row>
    <row r="267" spans="1:5" x14ac:dyDescent="0.25">
      <c r="A267" t="s">
        <v>363</v>
      </c>
      <c r="B267" t="s">
        <v>16</v>
      </c>
      <c r="C267" s="1">
        <v>29259</v>
      </c>
      <c r="D267" t="s">
        <v>12</v>
      </c>
      <c r="E267">
        <f t="shared" si="4"/>
        <v>1</v>
      </c>
    </row>
    <row r="268" spans="1:5" x14ac:dyDescent="0.25">
      <c r="A268" t="s">
        <v>83</v>
      </c>
      <c r="B268" t="s">
        <v>123</v>
      </c>
      <c r="C268" s="1">
        <v>18437</v>
      </c>
      <c r="D268" t="s">
        <v>6</v>
      </c>
      <c r="E268">
        <f t="shared" si="4"/>
        <v>1</v>
      </c>
    </row>
    <row r="269" spans="1:5" x14ac:dyDescent="0.25">
      <c r="A269" t="s">
        <v>364</v>
      </c>
      <c r="B269" t="s">
        <v>194</v>
      </c>
      <c r="C269" s="1">
        <v>34406</v>
      </c>
      <c r="D269" t="s">
        <v>12</v>
      </c>
      <c r="E269">
        <f t="shared" si="4"/>
        <v>1</v>
      </c>
    </row>
    <row r="270" spans="1:5" x14ac:dyDescent="0.25">
      <c r="A270" t="s">
        <v>365</v>
      </c>
      <c r="B270" t="s">
        <v>366</v>
      </c>
      <c r="C270" s="1">
        <v>26689</v>
      </c>
      <c r="D270" t="s">
        <v>12</v>
      </c>
      <c r="E270">
        <f t="shared" si="4"/>
        <v>0</v>
      </c>
    </row>
    <row r="271" spans="1:5" x14ac:dyDescent="0.25">
      <c r="A271" t="s">
        <v>174</v>
      </c>
      <c r="B271" t="s">
        <v>52</v>
      </c>
      <c r="C271" s="1">
        <v>24391</v>
      </c>
      <c r="D271" t="s">
        <v>6</v>
      </c>
      <c r="E271">
        <f t="shared" si="4"/>
        <v>1</v>
      </c>
    </row>
    <row r="272" spans="1:5" x14ac:dyDescent="0.25">
      <c r="A272" t="s">
        <v>367</v>
      </c>
      <c r="B272" t="s">
        <v>368</v>
      </c>
      <c r="C272" s="1">
        <v>22010</v>
      </c>
      <c r="D272" t="s">
        <v>12</v>
      </c>
      <c r="E272">
        <f t="shared" si="4"/>
        <v>1</v>
      </c>
    </row>
    <row r="273" spans="1:5" x14ac:dyDescent="0.25">
      <c r="A273" t="s">
        <v>369</v>
      </c>
      <c r="B273" t="s">
        <v>332</v>
      </c>
      <c r="C273" s="1">
        <v>17207</v>
      </c>
      <c r="D273" t="s">
        <v>9</v>
      </c>
      <c r="E273">
        <f t="shared" si="4"/>
        <v>0</v>
      </c>
    </row>
    <row r="274" spans="1:5" x14ac:dyDescent="0.25">
      <c r="A274" t="s">
        <v>370</v>
      </c>
      <c r="B274" t="s">
        <v>160</v>
      </c>
      <c r="C274" s="1">
        <v>22547</v>
      </c>
      <c r="D274" t="s">
        <v>6</v>
      </c>
      <c r="E274">
        <f t="shared" si="4"/>
        <v>0</v>
      </c>
    </row>
    <row r="275" spans="1:5" x14ac:dyDescent="0.25">
      <c r="A275" t="s">
        <v>371</v>
      </c>
      <c r="B275" t="s">
        <v>372</v>
      </c>
      <c r="C275" s="1">
        <v>20722</v>
      </c>
      <c r="D275" t="s">
        <v>12</v>
      </c>
      <c r="E275">
        <f t="shared" si="4"/>
        <v>1</v>
      </c>
    </row>
    <row r="276" spans="1:5" x14ac:dyDescent="0.25">
      <c r="A276" t="s">
        <v>373</v>
      </c>
      <c r="B276" t="s">
        <v>29</v>
      </c>
      <c r="C276" s="1">
        <v>24900</v>
      </c>
      <c r="D276" t="s">
        <v>12</v>
      </c>
      <c r="E276">
        <f t="shared" si="4"/>
        <v>0</v>
      </c>
    </row>
    <row r="277" spans="1:5" x14ac:dyDescent="0.25">
      <c r="A277" t="s">
        <v>374</v>
      </c>
      <c r="B277" t="s">
        <v>37</v>
      </c>
      <c r="C277" s="1">
        <v>20808</v>
      </c>
      <c r="D277" t="s">
        <v>12</v>
      </c>
      <c r="E277">
        <f t="shared" si="4"/>
        <v>1</v>
      </c>
    </row>
    <row r="278" spans="1:5" x14ac:dyDescent="0.25">
      <c r="A278" t="s">
        <v>375</v>
      </c>
      <c r="B278" t="s">
        <v>131</v>
      </c>
      <c r="C278" s="1">
        <v>30235</v>
      </c>
      <c r="D278" t="s">
        <v>12</v>
      </c>
      <c r="E278">
        <f t="shared" si="4"/>
        <v>1</v>
      </c>
    </row>
    <row r="279" spans="1:5" x14ac:dyDescent="0.25">
      <c r="A279" t="s">
        <v>376</v>
      </c>
      <c r="B279" t="s">
        <v>257</v>
      </c>
      <c r="C279" s="1">
        <v>21221</v>
      </c>
      <c r="D279" t="s">
        <v>9</v>
      </c>
      <c r="E279">
        <f t="shared" si="4"/>
        <v>0</v>
      </c>
    </row>
    <row r="280" spans="1:5" x14ac:dyDescent="0.25">
      <c r="A280" t="s">
        <v>377</v>
      </c>
      <c r="B280" t="s">
        <v>45</v>
      </c>
      <c r="C280" s="1">
        <v>20193</v>
      </c>
      <c r="D280" t="s">
        <v>6</v>
      </c>
      <c r="E280">
        <f t="shared" si="4"/>
        <v>1</v>
      </c>
    </row>
    <row r="281" spans="1:5" x14ac:dyDescent="0.25">
      <c r="A281" t="s">
        <v>378</v>
      </c>
      <c r="B281" t="s">
        <v>141</v>
      </c>
      <c r="C281" s="1">
        <v>17137</v>
      </c>
      <c r="D281" t="s">
        <v>6</v>
      </c>
      <c r="E281">
        <f t="shared" si="4"/>
        <v>0</v>
      </c>
    </row>
    <row r="282" spans="1:5" x14ac:dyDescent="0.25">
      <c r="A282" t="s">
        <v>379</v>
      </c>
      <c r="B282" t="s">
        <v>49</v>
      </c>
      <c r="C282" s="1">
        <v>32802</v>
      </c>
      <c r="D282" t="s">
        <v>6</v>
      </c>
      <c r="E282">
        <f t="shared" si="4"/>
        <v>0</v>
      </c>
    </row>
    <row r="283" spans="1:5" x14ac:dyDescent="0.25">
      <c r="A283" t="s">
        <v>240</v>
      </c>
      <c r="B283" t="s">
        <v>20</v>
      </c>
      <c r="C283" s="1">
        <v>25839</v>
      </c>
      <c r="D283" t="s">
        <v>12</v>
      </c>
      <c r="E283">
        <f t="shared" si="4"/>
        <v>1</v>
      </c>
    </row>
    <row r="284" spans="1:5" x14ac:dyDescent="0.25">
      <c r="A284" t="s">
        <v>275</v>
      </c>
      <c r="B284" t="s">
        <v>380</v>
      </c>
      <c r="C284" s="1">
        <v>32028</v>
      </c>
      <c r="D284" t="s">
        <v>12</v>
      </c>
      <c r="E284">
        <f t="shared" si="4"/>
        <v>0</v>
      </c>
    </row>
    <row r="285" spans="1:5" x14ac:dyDescent="0.25">
      <c r="A285" t="s">
        <v>317</v>
      </c>
      <c r="B285" t="s">
        <v>192</v>
      </c>
      <c r="C285" s="1">
        <v>31556</v>
      </c>
      <c r="D285" t="s">
        <v>6</v>
      </c>
      <c r="E285">
        <f t="shared" si="4"/>
        <v>1</v>
      </c>
    </row>
    <row r="286" spans="1:5" x14ac:dyDescent="0.25">
      <c r="A286" t="s">
        <v>381</v>
      </c>
      <c r="B286" t="s">
        <v>54</v>
      </c>
      <c r="C286" s="1">
        <v>19153</v>
      </c>
      <c r="D286" t="s">
        <v>6</v>
      </c>
      <c r="E286">
        <f t="shared" si="4"/>
        <v>1</v>
      </c>
    </row>
    <row r="287" spans="1:5" x14ac:dyDescent="0.25">
      <c r="A287" t="s">
        <v>382</v>
      </c>
      <c r="B287" t="s">
        <v>383</v>
      </c>
      <c r="C287" s="1">
        <v>21934</v>
      </c>
      <c r="D287" t="s">
        <v>6</v>
      </c>
      <c r="E287">
        <f t="shared" si="4"/>
        <v>1</v>
      </c>
    </row>
    <row r="288" spans="1:5" x14ac:dyDescent="0.25">
      <c r="A288" t="s">
        <v>384</v>
      </c>
      <c r="B288" t="s">
        <v>361</v>
      </c>
      <c r="C288" s="1">
        <v>28187</v>
      </c>
      <c r="D288" t="s">
        <v>12</v>
      </c>
      <c r="E288">
        <f t="shared" si="4"/>
        <v>1</v>
      </c>
    </row>
    <row r="289" spans="1:5" x14ac:dyDescent="0.25">
      <c r="A289" t="s">
        <v>385</v>
      </c>
      <c r="B289" t="s">
        <v>252</v>
      </c>
      <c r="C289" s="1">
        <v>34291</v>
      </c>
      <c r="D289" t="s">
        <v>12</v>
      </c>
      <c r="E289">
        <f t="shared" si="4"/>
        <v>0</v>
      </c>
    </row>
    <row r="290" spans="1:5" x14ac:dyDescent="0.25">
      <c r="A290" t="s">
        <v>386</v>
      </c>
      <c r="B290" t="s">
        <v>107</v>
      </c>
      <c r="C290" s="1">
        <v>24652</v>
      </c>
      <c r="D290" t="s">
        <v>6</v>
      </c>
      <c r="E290">
        <f t="shared" si="4"/>
        <v>1</v>
      </c>
    </row>
    <row r="291" spans="1:5" x14ac:dyDescent="0.25">
      <c r="A291" t="s">
        <v>387</v>
      </c>
      <c r="B291" t="s">
        <v>121</v>
      </c>
      <c r="C291" s="1">
        <v>18010</v>
      </c>
      <c r="D291" t="s">
        <v>6</v>
      </c>
      <c r="E291">
        <f t="shared" si="4"/>
        <v>1</v>
      </c>
    </row>
    <row r="292" spans="1:5" x14ac:dyDescent="0.25">
      <c r="A292" t="s">
        <v>388</v>
      </c>
      <c r="B292" t="s">
        <v>368</v>
      </c>
      <c r="C292" s="1">
        <v>26506</v>
      </c>
      <c r="D292" t="s">
        <v>40</v>
      </c>
      <c r="E292">
        <f t="shared" si="4"/>
        <v>1</v>
      </c>
    </row>
    <row r="293" spans="1:5" x14ac:dyDescent="0.25">
      <c r="A293" t="s">
        <v>389</v>
      </c>
      <c r="B293" t="s">
        <v>160</v>
      </c>
      <c r="C293" s="1">
        <v>30368</v>
      </c>
      <c r="D293" t="s">
        <v>40</v>
      </c>
      <c r="E293">
        <f t="shared" si="4"/>
        <v>0</v>
      </c>
    </row>
    <row r="294" spans="1:5" x14ac:dyDescent="0.25">
      <c r="A294" t="s">
        <v>162</v>
      </c>
      <c r="B294" t="s">
        <v>54</v>
      </c>
      <c r="C294" s="1">
        <v>16991</v>
      </c>
      <c r="D294" t="s">
        <v>12</v>
      </c>
      <c r="E294">
        <f t="shared" si="4"/>
        <v>1</v>
      </c>
    </row>
    <row r="295" spans="1:5" x14ac:dyDescent="0.25">
      <c r="A295" t="s">
        <v>390</v>
      </c>
      <c r="B295" t="s">
        <v>152</v>
      </c>
      <c r="C295" s="1">
        <v>23950</v>
      </c>
      <c r="D295" t="s">
        <v>12</v>
      </c>
      <c r="E295">
        <f t="shared" si="4"/>
        <v>0</v>
      </c>
    </row>
    <row r="296" spans="1:5" x14ac:dyDescent="0.25">
      <c r="A296" t="s">
        <v>391</v>
      </c>
      <c r="B296" t="s">
        <v>47</v>
      </c>
      <c r="C296" s="1">
        <v>26871</v>
      </c>
      <c r="D296" t="s">
        <v>12</v>
      </c>
      <c r="E296">
        <f t="shared" si="4"/>
        <v>1</v>
      </c>
    </row>
    <row r="297" spans="1:5" x14ac:dyDescent="0.25">
      <c r="A297" t="s">
        <v>392</v>
      </c>
      <c r="B297" t="s">
        <v>260</v>
      </c>
      <c r="C297" s="1">
        <v>17268</v>
      </c>
      <c r="D297" t="s">
        <v>40</v>
      </c>
      <c r="E297">
        <f t="shared" si="4"/>
        <v>0</v>
      </c>
    </row>
    <row r="298" spans="1:5" x14ac:dyDescent="0.25">
      <c r="A298" t="s">
        <v>393</v>
      </c>
      <c r="B298" t="s">
        <v>394</v>
      </c>
      <c r="C298" s="1">
        <v>31612</v>
      </c>
      <c r="D298" t="s">
        <v>6</v>
      </c>
      <c r="E298">
        <f t="shared" si="4"/>
        <v>1</v>
      </c>
    </row>
    <row r="299" spans="1:5" x14ac:dyDescent="0.25">
      <c r="A299" t="s">
        <v>395</v>
      </c>
      <c r="B299" t="s">
        <v>131</v>
      </c>
      <c r="C299" s="1">
        <v>21264</v>
      </c>
      <c r="D299" t="s">
        <v>12</v>
      </c>
      <c r="E299">
        <f t="shared" si="4"/>
        <v>1</v>
      </c>
    </row>
    <row r="300" spans="1:5" x14ac:dyDescent="0.25">
      <c r="A300" t="s">
        <v>396</v>
      </c>
      <c r="B300" t="s">
        <v>236</v>
      </c>
      <c r="C300" s="1">
        <v>29622</v>
      </c>
      <c r="D300" t="s">
        <v>40</v>
      </c>
      <c r="E300">
        <f t="shared" si="4"/>
        <v>1</v>
      </c>
    </row>
    <row r="301" spans="1:5" x14ac:dyDescent="0.25">
      <c r="A301" t="s">
        <v>162</v>
      </c>
      <c r="B301" t="s">
        <v>20</v>
      </c>
      <c r="C301" s="1">
        <v>30875</v>
      </c>
      <c r="D301" t="s">
        <v>6</v>
      </c>
      <c r="E301">
        <f t="shared" si="4"/>
        <v>1</v>
      </c>
    </row>
    <row r="302" spans="1:5" x14ac:dyDescent="0.25">
      <c r="A302" t="s">
        <v>397</v>
      </c>
      <c r="B302" t="s">
        <v>107</v>
      </c>
      <c r="C302" s="1">
        <v>31924</v>
      </c>
      <c r="D302" t="s">
        <v>12</v>
      </c>
      <c r="E302">
        <f t="shared" si="4"/>
        <v>1</v>
      </c>
    </row>
    <row r="303" spans="1:5" x14ac:dyDescent="0.25">
      <c r="A303" t="s">
        <v>398</v>
      </c>
      <c r="B303" t="s">
        <v>399</v>
      </c>
      <c r="C303" s="1">
        <v>23384</v>
      </c>
      <c r="D303" t="s">
        <v>12</v>
      </c>
      <c r="E303">
        <f t="shared" si="4"/>
        <v>0</v>
      </c>
    </row>
    <row r="304" spans="1:5" x14ac:dyDescent="0.25">
      <c r="A304" t="s">
        <v>400</v>
      </c>
      <c r="B304" t="s">
        <v>401</v>
      </c>
      <c r="C304" s="1">
        <v>32097</v>
      </c>
      <c r="D304" t="s">
        <v>6</v>
      </c>
      <c r="E304">
        <f t="shared" si="4"/>
        <v>0</v>
      </c>
    </row>
    <row r="305" spans="1:5" x14ac:dyDescent="0.25">
      <c r="A305" t="s">
        <v>402</v>
      </c>
      <c r="B305" t="s">
        <v>403</v>
      </c>
      <c r="C305" s="1">
        <v>22555</v>
      </c>
      <c r="D305" t="s">
        <v>40</v>
      </c>
      <c r="E305">
        <f t="shared" si="4"/>
        <v>1</v>
      </c>
    </row>
    <row r="306" spans="1:5" x14ac:dyDescent="0.25">
      <c r="A306" t="s">
        <v>317</v>
      </c>
      <c r="B306" t="s">
        <v>20</v>
      </c>
      <c r="C306" s="1">
        <v>22508</v>
      </c>
      <c r="D306" t="s">
        <v>12</v>
      </c>
      <c r="E306">
        <f t="shared" si="4"/>
        <v>1</v>
      </c>
    </row>
    <row r="307" spans="1:5" x14ac:dyDescent="0.25">
      <c r="A307" t="s">
        <v>404</v>
      </c>
      <c r="B307" t="s">
        <v>72</v>
      </c>
      <c r="C307" s="1">
        <v>29510</v>
      </c>
      <c r="D307" t="s">
        <v>6</v>
      </c>
      <c r="E307">
        <f t="shared" si="4"/>
        <v>0</v>
      </c>
    </row>
    <row r="308" spans="1:5" x14ac:dyDescent="0.25">
      <c r="A308" t="s">
        <v>405</v>
      </c>
      <c r="B308" t="s">
        <v>406</v>
      </c>
      <c r="C308" s="1">
        <v>22398</v>
      </c>
      <c r="D308" t="s">
        <v>12</v>
      </c>
      <c r="E308">
        <f t="shared" si="4"/>
        <v>0</v>
      </c>
    </row>
    <row r="309" spans="1:5" x14ac:dyDescent="0.25">
      <c r="A309" t="s">
        <v>407</v>
      </c>
      <c r="B309" t="s">
        <v>20</v>
      </c>
      <c r="C309" s="1">
        <v>28394</v>
      </c>
      <c r="D309" t="s">
        <v>9</v>
      </c>
      <c r="E309">
        <f t="shared" si="4"/>
        <v>1</v>
      </c>
    </row>
    <row r="310" spans="1:5" x14ac:dyDescent="0.25">
      <c r="A310" t="s">
        <v>408</v>
      </c>
      <c r="B310" t="s">
        <v>139</v>
      </c>
      <c r="C310" s="1">
        <v>16244</v>
      </c>
      <c r="D310" t="s">
        <v>6</v>
      </c>
      <c r="E310">
        <f t="shared" si="4"/>
        <v>0</v>
      </c>
    </row>
    <row r="311" spans="1:5" x14ac:dyDescent="0.25">
      <c r="A311" t="s">
        <v>409</v>
      </c>
      <c r="B311" t="s">
        <v>167</v>
      </c>
      <c r="C311" s="1">
        <v>32836</v>
      </c>
      <c r="D311" t="s">
        <v>12</v>
      </c>
      <c r="E311">
        <f t="shared" si="4"/>
        <v>0</v>
      </c>
    </row>
    <row r="312" spans="1:5" x14ac:dyDescent="0.25">
      <c r="A312" t="s">
        <v>410</v>
      </c>
      <c r="B312" t="s">
        <v>141</v>
      </c>
      <c r="C312" s="1">
        <v>23528</v>
      </c>
      <c r="D312" t="s">
        <v>6</v>
      </c>
      <c r="E312">
        <f t="shared" si="4"/>
        <v>0</v>
      </c>
    </row>
    <row r="313" spans="1:5" x14ac:dyDescent="0.25">
      <c r="A313" t="s">
        <v>411</v>
      </c>
      <c r="B313" t="s">
        <v>412</v>
      </c>
      <c r="C313" s="1">
        <v>28489</v>
      </c>
      <c r="D313" t="s">
        <v>12</v>
      </c>
      <c r="E313">
        <f t="shared" si="4"/>
        <v>1</v>
      </c>
    </row>
    <row r="314" spans="1:5" x14ac:dyDescent="0.25">
      <c r="A314" t="s">
        <v>413</v>
      </c>
      <c r="B314" t="s">
        <v>399</v>
      </c>
      <c r="C314" s="1">
        <v>20920</v>
      </c>
      <c r="D314" t="s">
        <v>12</v>
      </c>
      <c r="E314">
        <f t="shared" si="4"/>
        <v>0</v>
      </c>
    </row>
    <row r="315" spans="1:5" x14ac:dyDescent="0.25">
      <c r="A315" t="s">
        <v>414</v>
      </c>
      <c r="B315" t="s">
        <v>11</v>
      </c>
      <c r="C315" s="1">
        <v>34164</v>
      </c>
      <c r="D315" t="s">
        <v>6</v>
      </c>
      <c r="E315">
        <f t="shared" si="4"/>
        <v>1</v>
      </c>
    </row>
    <row r="316" spans="1:5" x14ac:dyDescent="0.25">
      <c r="A316" t="s">
        <v>415</v>
      </c>
      <c r="B316" t="s">
        <v>246</v>
      </c>
      <c r="C316" s="1">
        <v>32341</v>
      </c>
      <c r="D316" t="s">
        <v>6</v>
      </c>
      <c r="E316">
        <f t="shared" si="4"/>
        <v>0</v>
      </c>
    </row>
    <row r="317" spans="1:5" x14ac:dyDescent="0.25">
      <c r="A317" t="s">
        <v>416</v>
      </c>
      <c r="B317" t="s">
        <v>194</v>
      </c>
      <c r="C317" s="1">
        <v>16640</v>
      </c>
      <c r="D317" t="s">
        <v>12</v>
      </c>
      <c r="E317">
        <f t="shared" si="4"/>
        <v>1</v>
      </c>
    </row>
    <row r="318" spans="1:5" x14ac:dyDescent="0.25">
      <c r="A318" t="s">
        <v>417</v>
      </c>
      <c r="B318" t="s">
        <v>418</v>
      </c>
      <c r="C318" s="1">
        <v>28217</v>
      </c>
      <c r="D318" t="s">
        <v>12</v>
      </c>
      <c r="E318">
        <f t="shared" si="4"/>
        <v>0</v>
      </c>
    </row>
    <row r="319" spans="1:5" x14ac:dyDescent="0.25">
      <c r="A319" t="s">
        <v>190</v>
      </c>
      <c r="B319" t="s">
        <v>419</v>
      </c>
      <c r="C319" s="1">
        <v>32646</v>
      </c>
      <c r="D319" t="s">
        <v>40</v>
      </c>
      <c r="E319">
        <f t="shared" si="4"/>
        <v>0</v>
      </c>
    </row>
    <row r="320" spans="1:5" x14ac:dyDescent="0.25">
      <c r="A320" t="s">
        <v>420</v>
      </c>
      <c r="B320" t="s">
        <v>5</v>
      </c>
      <c r="C320" s="1">
        <v>28636</v>
      </c>
      <c r="D320" t="s">
        <v>40</v>
      </c>
      <c r="E320">
        <f t="shared" si="4"/>
        <v>1</v>
      </c>
    </row>
    <row r="321" spans="1:5" x14ac:dyDescent="0.25">
      <c r="A321" t="s">
        <v>421</v>
      </c>
      <c r="B321" t="s">
        <v>8</v>
      </c>
      <c r="C321" s="1">
        <v>30418</v>
      </c>
      <c r="D321" t="s">
        <v>12</v>
      </c>
      <c r="E321">
        <f t="shared" si="4"/>
        <v>0</v>
      </c>
    </row>
    <row r="322" spans="1:5" x14ac:dyDescent="0.25">
      <c r="A322" t="s">
        <v>110</v>
      </c>
      <c r="B322" t="s">
        <v>368</v>
      </c>
      <c r="C322" s="1">
        <v>33971</v>
      </c>
      <c r="D322" t="s">
        <v>12</v>
      </c>
      <c r="E322">
        <f t="shared" si="4"/>
        <v>1</v>
      </c>
    </row>
    <row r="323" spans="1:5" x14ac:dyDescent="0.25">
      <c r="A323" t="s">
        <v>422</v>
      </c>
      <c r="B323" t="s">
        <v>52</v>
      </c>
      <c r="C323" s="1">
        <v>26974</v>
      </c>
      <c r="D323" t="s">
        <v>12</v>
      </c>
      <c r="E323">
        <f t="shared" ref="E323:E332" si="5">IF(RIGHT(B323,1)="a",1,0)</f>
        <v>1</v>
      </c>
    </row>
    <row r="324" spans="1:5" x14ac:dyDescent="0.25">
      <c r="A324" t="s">
        <v>423</v>
      </c>
      <c r="B324" t="s">
        <v>47</v>
      </c>
      <c r="C324" s="1">
        <v>21339</v>
      </c>
      <c r="D324" t="s">
        <v>12</v>
      </c>
      <c r="E324">
        <f t="shared" si="5"/>
        <v>1</v>
      </c>
    </row>
    <row r="325" spans="1:5" x14ac:dyDescent="0.25">
      <c r="A325" t="s">
        <v>424</v>
      </c>
      <c r="B325" t="s">
        <v>90</v>
      </c>
      <c r="C325" s="1">
        <v>25150</v>
      </c>
      <c r="D325" t="s">
        <v>6</v>
      </c>
      <c r="E325">
        <f t="shared" si="5"/>
        <v>0</v>
      </c>
    </row>
    <row r="326" spans="1:5" x14ac:dyDescent="0.25">
      <c r="A326" t="s">
        <v>425</v>
      </c>
      <c r="B326" t="s">
        <v>8</v>
      </c>
      <c r="C326" s="1">
        <v>20340</v>
      </c>
      <c r="D326" t="s">
        <v>12</v>
      </c>
      <c r="E326">
        <f t="shared" si="5"/>
        <v>0</v>
      </c>
    </row>
    <row r="327" spans="1:5" x14ac:dyDescent="0.25">
      <c r="A327" t="s">
        <v>426</v>
      </c>
      <c r="B327" t="s">
        <v>131</v>
      </c>
      <c r="C327" s="1">
        <v>16045</v>
      </c>
      <c r="D327" t="s">
        <v>6</v>
      </c>
      <c r="E327">
        <f t="shared" si="5"/>
        <v>1</v>
      </c>
    </row>
    <row r="328" spans="1:5" x14ac:dyDescent="0.25">
      <c r="A328" t="s">
        <v>427</v>
      </c>
      <c r="B328" t="s">
        <v>37</v>
      </c>
      <c r="C328" s="1">
        <v>18568</v>
      </c>
      <c r="D328" t="s">
        <v>12</v>
      </c>
      <c r="E328">
        <f t="shared" si="5"/>
        <v>1</v>
      </c>
    </row>
    <row r="329" spans="1:5" x14ac:dyDescent="0.25">
      <c r="A329" t="s">
        <v>311</v>
      </c>
      <c r="B329" t="s">
        <v>199</v>
      </c>
      <c r="C329" s="1">
        <v>33976</v>
      </c>
      <c r="D329" t="s">
        <v>12</v>
      </c>
      <c r="E329">
        <f t="shared" si="5"/>
        <v>1</v>
      </c>
    </row>
    <row r="330" spans="1:5" x14ac:dyDescent="0.25">
      <c r="A330" t="s">
        <v>428</v>
      </c>
      <c r="B330" t="s">
        <v>429</v>
      </c>
      <c r="C330" s="1">
        <v>30720</v>
      </c>
      <c r="D330" t="s">
        <v>12</v>
      </c>
      <c r="E330">
        <f t="shared" si="5"/>
        <v>1</v>
      </c>
    </row>
    <row r="331" spans="1:5" x14ac:dyDescent="0.25">
      <c r="A331" t="s">
        <v>430</v>
      </c>
      <c r="B331" t="s">
        <v>141</v>
      </c>
      <c r="C331" s="1">
        <v>22604</v>
      </c>
      <c r="D331" t="s">
        <v>9</v>
      </c>
      <c r="E331">
        <f t="shared" si="5"/>
        <v>0</v>
      </c>
    </row>
    <row r="332" spans="1:5" x14ac:dyDescent="0.25">
      <c r="A332" t="s">
        <v>431</v>
      </c>
      <c r="B332" t="s">
        <v>368</v>
      </c>
      <c r="C332" s="1">
        <v>19123</v>
      </c>
      <c r="D332" t="s">
        <v>12</v>
      </c>
      <c r="E332">
        <f t="shared" si="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B2BE-7968-4141-8965-EDD66B43ADBF}">
  <dimension ref="A1:L332"/>
  <sheetViews>
    <sheetView topLeftCell="A313" zoomScale="175" zoomScaleNormal="175" workbookViewId="0">
      <selection sqref="A1:E332"/>
    </sheetView>
  </sheetViews>
  <sheetFormatPr defaultRowHeight="15" x14ac:dyDescent="0.25"/>
  <cols>
    <col min="3" max="3" width="11" bestFit="1" customWidth="1"/>
    <col min="4" max="4" width="20.85546875" bestFit="1" customWidth="1"/>
    <col min="5" max="5" width="10.5703125" bestFit="1" customWidth="1"/>
    <col min="6" max="6" width="9.28515625" customWidth="1"/>
    <col min="7" max="7" width="14.85546875" bestFit="1" customWidth="1"/>
    <col min="8" max="8" width="9.85546875" bestFit="1" customWidth="1"/>
    <col min="9" max="9" width="17.28515625" bestFit="1" customWidth="1"/>
    <col min="11" max="11" width="15.28515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448</v>
      </c>
      <c r="F1" t="s">
        <v>449</v>
      </c>
      <c r="G1" t="s">
        <v>451</v>
      </c>
      <c r="H1" t="s">
        <v>450</v>
      </c>
      <c r="I1" t="s">
        <v>452</v>
      </c>
    </row>
    <row r="2" spans="1:12" x14ac:dyDescent="0.25">
      <c r="A2" t="s">
        <v>4</v>
      </c>
      <c r="B2" t="s">
        <v>5</v>
      </c>
      <c r="C2" s="2">
        <v>22190</v>
      </c>
      <c r="D2" t="s">
        <v>6</v>
      </c>
      <c r="E2" s="2">
        <f>2016-YEAR(C2)</f>
        <v>56</v>
      </c>
      <c r="F2">
        <f>IF(RIGHT(B2,1)="a",1,0)</f>
        <v>1</v>
      </c>
      <c r="G2">
        <f>IF(F2=1,IF(E2&lt;=30,0.1%*25000,IF(AND(E2&gt;=31,E2&lt;=45),0.15%*25000,IF(AND(E2&gt;=46,E2&lt;=60),25000*0.12%,25000*0.12%+49))),0)</f>
        <v>29.999999999999996</v>
      </c>
      <c r="H2">
        <f>IF(F2=1,0,1)</f>
        <v>0</v>
      </c>
      <c r="I2">
        <f>IF(H2=1,IF(E2&lt;=30,0.1%*30000,IF(AND(E2&gt;=31,E2&lt;=45),0.15%*30000,IF(AND(E2&gt;=46,E2&lt;=60),30000*0.12%,30000*0.12%+49))),0)</f>
        <v>0</v>
      </c>
      <c r="K2" t="s">
        <v>453</v>
      </c>
      <c r="L2" s="8">
        <f>SUM(G2:G332)</f>
        <v>8961.5</v>
      </c>
    </row>
    <row r="3" spans="1:12" x14ac:dyDescent="0.25">
      <c r="A3" t="s">
        <v>7</v>
      </c>
      <c r="B3" t="s">
        <v>8</v>
      </c>
      <c r="C3" s="2">
        <v>30952</v>
      </c>
      <c r="D3" t="s">
        <v>9</v>
      </c>
      <c r="E3" s="2">
        <f t="shared" ref="E3:E66" si="0">2016-YEAR(C3)</f>
        <v>32</v>
      </c>
      <c r="F3">
        <f t="shared" ref="F3:F66" si="1">IF(RIGHT(B3,1)="a",1,0)</f>
        <v>0</v>
      </c>
      <c r="G3">
        <f t="shared" ref="G3:G66" si="2">IF(F3=1,IF(E3&lt;=30,0.1%*25000,IF(AND(E3&gt;=31,E3&lt;=45),0.15%*25000,IF(AND(E3&gt;=46,E3&lt;=60),25000*0.12%,25000*0.12%+49))),0)</f>
        <v>0</v>
      </c>
      <c r="H3">
        <f t="shared" ref="H3:H66" si="3">IF(F3=1,0,1)</f>
        <v>1</v>
      </c>
      <c r="I3">
        <f t="shared" ref="I3:I66" si="4">IF(H3=1,IF(E3&lt;=30,0.1%*30000,IF(AND(E3&gt;=31,E3&lt;=45),0.15%*30000,IF(AND(E3&gt;=46,E3&lt;=60),30000*0.12%,30000*0.12%+49))),0)</f>
        <v>45</v>
      </c>
      <c r="K3" t="s">
        <v>454</v>
      </c>
      <c r="L3" s="8">
        <f>SUM(I2:I332)</f>
        <v>6261</v>
      </c>
    </row>
    <row r="4" spans="1:12" x14ac:dyDescent="0.25">
      <c r="A4" t="s">
        <v>10</v>
      </c>
      <c r="B4" t="s">
        <v>11</v>
      </c>
      <c r="C4" s="2">
        <v>24753</v>
      </c>
      <c r="D4" t="s">
        <v>12</v>
      </c>
      <c r="E4" s="2">
        <f t="shared" si="0"/>
        <v>49</v>
      </c>
      <c r="F4">
        <f t="shared" si="1"/>
        <v>1</v>
      </c>
      <c r="G4">
        <f t="shared" si="2"/>
        <v>29.999999999999996</v>
      </c>
      <c r="H4">
        <f t="shared" si="3"/>
        <v>0</v>
      </c>
      <c r="I4">
        <f t="shared" si="4"/>
        <v>0</v>
      </c>
    </row>
    <row r="5" spans="1:12" x14ac:dyDescent="0.25">
      <c r="A5" t="s">
        <v>13</v>
      </c>
      <c r="B5" t="s">
        <v>14</v>
      </c>
      <c r="C5" s="2">
        <v>31544</v>
      </c>
      <c r="D5" t="s">
        <v>9</v>
      </c>
      <c r="E5" s="2">
        <f t="shared" si="0"/>
        <v>30</v>
      </c>
      <c r="F5">
        <f t="shared" si="1"/>
        <v>0</v>
      </c>
      <c r="G5">
        <f t="shared" si="2"/>
        <v>0</v>
      </c>
      <c r="H5">
        <f t="shared" si="3"/>
        <v>1</v>
      </c>
      <c r="I5">
        <f t="shared" si="4"/>
        <v>30</v>
      </c>
    </row>
    <row r="6" spans="1:12" x14ac:dyDescent="0.25">
      <c r="A6" t="s">
        <v>15</v>
      </c>
      <c r="B6" t="s">
        <v>16</v>
      </c>
      <c r="C6" s="2">
        <v>22780</v>
      </c>
      <c r="D6" t="s">
        <v>9</v>
      </c>
      <c r="E6" s="2">
        <f t="shared" si="0"/>
        <v>54</v>
      </c>
      <c r="F6">
        <f t="shared" si="1"/>
        <v>1</v>
      </c>
      <c r="G6">
        <f t="shared" si="2"/>
        <v>29.999999999999996</v>
      </c>
      <c r="H6">
        <f t="shared" si="3"/>
        <v>0</v>
      </c>
      <c r="I6">
        <f t="shared" si="4"/>
        <v>0</v>
      </c>
    </row>
    <row r="7" spans="1:12" x14ac:dyDescent="0.25">
      <c r="A7" t="s">
        <v>17</v>
      </c>
      <c r="B7" t="s">
        <v>18</v>
      </c>
      <c r="C7" s="2">
        <v>31694</v>
      </c>
      <c r="D7" t="s">
        <v>12</v>
      </c>
      <c r="E7" s="2">
        <f t="shared" si="0"/>
        <v>30</v>
      </c>
      <c r="F7">
        <f t="shared" si="1"/>
        <v>0</v>
      </c>
      <c r="G7">
        <f t="shared" si="2"/>
        <v>0</v>
      </c>
      <c r="H7">
        <f t="shared" si="3"/>
        <v>1</v>
      </c>
      <c r="I7">
        <f t="shared" si="4"/>
        <v>30</v>
      </c>
    </row>
    <row r="8" spans="1:12" x14ac:dyDescent="0.25">
      <c r="A8" t="s">
        <v>19</v>
      </c>
      <c r="B8" t="s">
        <v>20</v>
      </c>
      <c r="C8" s="2">
        <v>33569</v>
      </c>
      <c r="D8" t="s">
        <v>6</v>
      </c>
      <c r="E8" s="2">
        <f t="shared" si="0"/>
        <v>25</v>
      </c>
      <c r="F8">
        <f t="shared" si="1"/>
        <v>1</v>
      </c>
      <c r="G8">
        <f t="shared" si="2"/>
        <v>25</v>
      </c>
      <c r="H8">
        <f t="shared" si="3"/>
        <v>0</v>
      </c>
      <c r="I8">
        <f t="shared" si="4"/>
        <v>0</v>
      </c>
    </row>
    <row r="9" spans="1:12" x14ac:dyDescent="0.25">
      <c r="A9" t="s">
        <v>21</v>
      </c>
      <c r="B9" t="s">
        <v>22</v>
      </c>
      <c r="C9" s="2">
        <v>30372</v>
      </c>
      <c r="D9" t="s">
        <v>6</v>
      </c>
      <c r="E9" s="2">
        <f t="shared" si="0"/>
        <v>33</v>
      </c>
      <c r="F9">
        <f t="shared" si="1"/>
        <v>1</v>
      </c>
      <c r="G9">
        <f t="shared" si="2"/>
        <v>37.5</v>
      </c>
      <c r="H9">
        <f t="shared" si="3"/>
        <v>0</v>
      </c>
      <c r="I9">
        <f t="shared" si="4"/>
        <v>0</v>
      </c>
    </row>
    <row r="10" spans="1:12" x14ac:dyDescent="0.25">
      <c r="A10" t="s">
        <v>23</v>
      </c>
      <c r="B10" t="s">
        <v>8</v>
      </c>
      <c r="C10" s="2">
        <v>33568</v>
      </c>
      <c r="D10" t="s">
        <v>6</v>
      </c>
      <c r="E10" s="2">
        <f t="shared" si="0"/>
        <v>25</v>
      </c>
      <c r="F10">
        <f t="shared" si="1"/>
        <v>0</v>
      </c>
      <c r="G10">
        <f t="shared" si="2"/>
        <v>0</v>
      </c>
      <c r="H10">
        <f t="shared" si="3"/>
        <v>1</v>
      </c>
      <c r="I10">
        <f t="shared" si="4"/>
        <v>30</v>
      </c>
    </row>
    <row r="11" spans="1:12" x14ac:dyDescent="0.25">
      <c r="A11" t="s">
        <v>24</v>
      </c>
      <c r="B11" t="s">
        <v>25</v>
      </c>
      <c r="C11" s="2">
        <v>31111</v>
      </c>
      <c r="D11" t="s">
        <v>6</v>
      </c>
      <c r="E11" s="2">
        <f t="shared" si="0"/>
        <v>31</v>
      </c>
      <c r="F11">
        <f t="shared" si="1"/>
        <v>1</v>
      </c>
      <c r="G11">
        <f t="shared" si="2"/>
        <v>37.5</v>
      </c>
      <c r="H11">
        <f t="shared" si="3"/>
        <v>0</v>
      </c>
      <c r="I11">
        <f t="shared" si="4"/>
        <v>0</v>
      </c>
    </row>
    <row r="12" spans="1:12" x14ac:dyDescent="0.25">
      <c r="A12" t="s">
        <v>26</v>
      </c>
      <c r="B12" t="s">
        <v>27</v>
      </c>
      <c r="C12" s="2">
        <v>17347</v>
      </c>
      <c r="D12" t="s">
        <v>6</v>
      </c>
      <c r="E12" s="2">
        <f t="shared" si="0"/>
        <v>69</v>
      </c>
      <c r="F12">
        <f t="shared" si="1"/>
        <v>0</v>
      </c>
      <c r="G12">
        <f t="shared" si="2"/>
        <v>0</v>
      </c>
      <c r="H12">
        <f t="shared" si="3"/>
        <v>1</v>
      </c>
      <c r="I12">
        <f t="shared" si="4"/>
        <v>85</v>
      </c>
    </row>
    <row r="13" spans="1:12" x14ac:dyDescent="0.25">
      <c r="A13" t="s">
        <v>28</v>
      </c>
      <c r="B13" t="s">
        <v>29</v>
      </c>
      <c r="C13" s="2">
        <v>33321</v>
      </c>
      <c r="D13" t="s">
        <v>12</v>
      </c>
      <c r="E13" s="2">
        <f t="shared" si="0"/>
        <v>25</v>
      </c>
      <c r="F13">
        <f t="shared" si="1"/>
        <v>0</v>
      </c>
      <c r="G13">
        <f t="shared" si="2"/>
        <v>0</v>
      </c>
      <c r="H13">
        <f t="shared" si="3"/>
        <v>1</v>
      </c>
      <c r="I13">
        <f t="shared" si="4"/>
        <v>30</v>
      </c>
    </row>
    <row r="14" spans="1:12" x14ac:dyDescent="0.25">
      <c r="A14" t="s">
        <v>30</v>
      </c>
      <c r="B14" t="s">
        <v>8</v>
      </c>
      <c r="C14" s="2">
        <v>26093</v>
      </c>
      <c r="D14" t="s">
        <v>12</v>
      </c>
      <c r="E14" s="2">
        <f t="shared" si="0"/>
        <v>45</v>
      </c>
      <c r="F14">
        <f t="shared" si="1"/>
        <v>0</v>
      </c>
      <c r="G14">
        <f t="shared" si="2"/>
        <v>0</v>
      </c>
      <c r="H14">
        <f t="shared" si="3"/>
        <v>1</v>
      </c>
      <c r="I14">
        <f t="shared" si="4"/>
        <v>45</v>
      </c>
    </row>
    <row r="15" spans="1:12" x14ac:dyDescent="0.25">
      <c r="A15" t="s">
        <v>31</v>
      </c>
      <c r="B15" t="s">
        <v>32</v>
      </c>
      <c r="C15" s="2">
        <v>17144</v>
      </c>
      <c r="D15" t="s">
        <v>12</v>
      </c>
      <c r="E15" s="2">
        <f t="shared" si="0"/>
        <v>70</v>
      </c>
      <c r="F15">
        <f t="shared" si="1"/>
        <v>0</v>
      </c>
      <c r="G15">
        <f t="shared" si="2"/>
        <v>0</v>
      </c>
      <c r="H15">
        <f t="shared" si="3"/>
        <v>1</v>
      </c>
      <c r="I15">
        <f t="shared" si="4"/>
        <v>85</v>
      </c>
    </row>
    <row r="16" spans="1:12" x14ac:dyDescent="0.25">
      <c r="A16" t="s">
        <v>33</v>
      </c>
      <c r="B16" t="s">
        <v>34</v>
      </c>
      <c r="C16" s="2">
        <v>26019</v>
      </c>
      <c r="D16" t="s">
        <v>12</v>
      </c>
      <c r="E16" s="2">
        <f t="shared" si="0"/>
        <v>45</v>
      </c>
      <c r="F16">
        <f t="shared" si="1"/>
        <v>0</v>
      </c>
      <c r="G16">
        <f t="shared" si="2"/>
        <v>0</v>
      </c>
      <c r="H16">
        <f t="shared" si="3"/>
        <v>1</v>
      </c>
      <c r="I16">
        <f t="shared" si="4"/>
        <v>45</v>
      </c>
    </row>
    <row r="17" spans="1:9" x14ac:dyDescent="0.25">
      <c r="A17" t="s">
        <v>35</v>
      </c>
      <c r="B17" t="s">
        <v>27</v>
      </c>
      <c r="C17" s="2">
        <v>30193</v>
      </c>
      <c r="D17" t="s">
        <v>6</v>
      </c>
      <c r="E17" s="2">
        <f t="shared" si="0"/>
        <v>34</v>
      </c>
      <c r="F17">
        <f t="shared" si="1"/>
        <v>0</v>
      </c>
      <c r="G17">
        <f t="shared" si="2"/>
        <v>0</v>
      </c>
      <c r="H17">
        <f t="shared" si="3"/>
        <v>1</v>
      </c>
      <c r="I17">
        <f t="shared" si="4"/>
        <v>45</v>
      </c>
    </row>
    <row r="18" spans="1:9" x14ac:dyDescent="0.25">
      <c r="A18" t="s">
        <v>36</v>
      </c>
      <c r="B18" t="s">
        <v>37</v>
      </c>
      <c r="C18" s="2">
        <v>29668</v>
      </c>
      <c r="D18" t="s">
        <v>9</v>
      </c>
      <c r="E18" s="2">
        <f t="shared" si="0"/>
        <v>35</v>
      </c>
      <c r="F18">
        <f t="shared" si="1"/>
        <v>1</v>
      </c>
      <c r="G18">
        <f t="shared" si="2"/>
        <v>37.5</v>
      </c>
      <c r="H18">
        <f t="shared" si="3"/>
        <v>0</v>
      </c>
      <c r="I18">
        <f t="shared" si="4"/>
        <v>0</v>
      </c>
    </row>
    <row r="19" spans="1:9" x14ac:dyDescent="0.25">
      <c r="A19" t="s">
        <v>38</v>
      </c>
      <c r="B19" t="s">
        <v>39</v>
      </c>
      <c r="C19" s="2">
        <v>34945</v>
      </c>
      <c r="D19" t="s">
        <v>40</v>
      </c>
      <c r="E19" s="2">
        <f t="shared" si="0"/>
        <v>21</v>
      </c>
      <c r="F19">
        <f t="shared" si="1"/>
        <v>1</v>
      </c>
      <c r="G19">
        <f t="shared" si="2"/>
        <v>25</v>
      </c>
      <c r="H19">
        <f t="shared" si="3"/>
        <v>0</v>
      </c>
      <c r="I19">
        <f t="shared" si="4"/>
        <v>0</v>
      </c>
    </row>
    <row r="20" spans="1:9" x14ac:dyDescent="0.25">
      <c r="A20" t="s">
        <v>41</v>
      </c>
      <c r="B20" t="s">
        <v>42</v>
      </c>
      <c r="C20" s="2">
        <v>23309</v>
      </c>
      <c r="D20" t="s">
        <v>9</v>
      </c>
      <c r="E20" s="2">
        <f t="shared" si="0"/>
        <v>53</v>
      </c>
      <c r="F20">
        <f t="shared" si="1"/>
        <v>1</v>
      </c>
      <c r="G20">
        <f t="shared" si="2"/>
        <v>29.999999999999996</v>
      </c>
      <c r="H20">
        <f t="shared" si="3"/>
        <v>0</v>
      </c>
      <c r="I20">
        <f t="shared" si="4"/>
        <v>0</v>
      </c>
    </row>
    <row r="21" spans="1:9" x14ac:dyDescent="0.25">
      <c r="A21" t="s">
        <v>43</v>
      </c>
      <c r="B21" t="s">
        <v>20</v>
      </c>
      <c r="C21" s="2">
        <v>16498</v>
      </c>
      <c r="D21" t="s">
        <v>6</v>
      </c>
      <c r="E21" s="2">
        <f t="shared" si="0"/>
        <v>71</v>
      </c>
      <c r="F21">
        <f t="shared" si="1"/>
        <v>1</v>
      </c>
      <c r="G21">
        <f t="shared" si="2"/>
        <v>79</v>
      </c>
      <c r="H21">
        <f t="shared" si="3"/>
        <v>0</v>
      </c>
      <c r="I21">
        <f t="shared" si="4"/>
        <v>0</v>
      </c>
    </row>
    <row r="22" spans="1:9" x14ac:dyDescent="0.25">
      <c r="A22" t="s">
        <v>44</v>
      </c>
      <c r="B22" t="s">
        <v>45</v>
      </c>
      <c r="C22" s="2">
        <v>19872</v>
      </c>
      <c r="D22" t="s">
        <v>12</v>
      </c>
      <c r="E22" s="2">
        <f t="shared" si="0"/>
        <v>62</v>
      </c>
      <c r="F22">
        <f t="shared" si="1"/>
        <v>1</v>
      </c>
      <c r="G22">
        <f t="shared" si="2"/>
        <v>79</v>
      </c>
      <c r="H22">
        <f t="shared" si="3"/>
        <v>0</v>
      </c>
      <c r="I22">
        <f t="shared" si="4"/>
        <v>0</v>
      </c>
    </row>
    <row r="23" spans="1:9" x14ac:dyDescent="0.25">
      <c r="A23" t="s">
        <v>46</v>
      </c>
      <c r="B23" t="s">
        <v>47</v>
      </c>
      <c r="C23" s="2">
        <v>26018</v>
      </c>
      <c r="D23" t="s">
        <v>6</v>
      </c>
      <c r="E23" s="2">
        <f t="shared" si="0"/>
        <v>45</v>
      </c>
      <c r="F23">
        <f t="shared" si="1"/>
        <v>1</v>
      </c>
      <c r="G23">
        <f t="shared" si="2"/>
        <v>37.5</v>
      </c>
      <c r="H23">
        <f t="shared" si="3"/>
        <v>0</v>
      </c>
      <c r="I23">
        <f t="shared" si="4"/>
        <v>0</v>
      </c>
    </row>
    <row r="24" spans="1:9" x14ac:dyDescent="0.25">
      <c r="A24" t="s">
        <v>48</v>
      </c>
      <c r="B24" t="s">
        <v>49</v>
      </c>
      <c r="C24" s="2">
        <v>25110</v>
      </c>
      <c r="D24" t="s">
        <v>40</v>
      </c>
      <c r="E24" s="2">
        <f t="shared" si="0"/>
        <v>48</v>
      </c>
      <c r="F24">
        <f t="shared" si="1"/>
        <v>0</v>
      </c>
      <c r="G24">
        <f t="shared" si="2"/>
        <v>0</v>
      </c>
      <c r="H24">
        <f t="shared" si="3"/>
        <v>1</v>
      </c>
      <c r="I24">
        <f t="shared" si="4"/>
        <v>36</v>
      </c>
    </row>
    <row r="25" spans="1:9" x14ac:dyDescent="0.25">
      <c r="A25" t="s">
        <v>50</v>
      </c>
      <c r="B25" t="s">
        <v>29</v>
      </c>
      <c r="C25" s="2">
        <v>33411</v>
      </c>
      <c r="D25" t="s">
        <v>9</v>
      </c>
      <c r="E25" s="2">
        <f t="shared" si="0"/>
        <v>25</v>
      </c>
      <c r="F25">
        <f t="shared" si="1"/>
        <v>0</v>
      </c>
      <c r="G25">
        <f t="shared" si="2"/>
        <v>0</v>
      </c>
      <c r="H25">
        <f t="shared" si="3"/>
        <v>1</v>
      </c>
      <c r="I25">
        <f t="shared" si="4"/>
        <v>30</v>
      </c>
    </row>
    <row r="26" spans="1:9" x14ac:dyDescent="0.25">
      <c r="A26" t="s">
        <v>51</v>
      </c>
      <c r="B26" t="s">
        <v>52</v>
      </c>
      <c r="C26" s="2">
        <v>30969</v>
      </c>
      <c r="D26" t="s">
        <v>12</v>
      </c>
      <c r="E26" s="2">
        <f t="shared" si="0"/>
        <v>32</v>
      </c>
      <c r="F26">
        <f t="shared" si="1"/>
        <v>1</v>
      </c>
      <c r="G26">
        <f t="shared" si="2"/>
        <v>37.5</v>
      </c>
      <c r="H26">
        <f t="shared" si="3"/>
        <v>0</v>
      </c>
      <c r="I26">
        <f t="shared" si="4"/>
        <v>0</v>
      </c>
    </row>
    <row r="27" spans="1:9" x14ac:dyDescent="0.25">
      <c r="A27" t="s">
        <v>53</v>
      </c>
      <c r="B27" t="s">
        <v>54</v>
      </c>
      <c r="C27" s="2">
        <v>19368</v>
      </c>
      <c r="D27" t="s">
        <v>12</v>
      </c>
      <c r="E27" s="2">
        <f t="shared" si="0"/>
        <v>63</v>
      </c>
      <c r="F27">
        <f t="shared" si="1"/>
        <v>1</v>
      </c>
      <c r="G27">
        <f t="shared" si="2"/>
        <v>79</v>
      </c>
      <c r="H27">
        <f t="shared" si="3"/>
        <v>0</v>
      </c>
      <c r="I27">
        <f t="shared" si="4"/>
        <v>0</v>
      </c>
    </row>
    <row r="28" spans="1:9" x14ac:dyDescent="0.25">
      <c r="A28" t="s">
        <v>55</v>
      </c>
      <c r="B28" t="s">
        <v>56</v>
      </c>
      <c r="C28" s="2">
        <v>23668</v>
      </c>
      <c r="D28" t="s">
        <v>40</v>
      </c>
      <c r="E28" s="2">
        <f t="shared" si="0"/>
        <v>52</v>
      </c>
      <c r="F28">
        <f t="shared" si="1"/>
        <v>1</v>
      </c>
      <c r="G28">
        <f t="shared" si="2"/>
        <v>29.999999999999996</v>
      </c>
      <c r="H28">
        <f t="shared" si="3"/>
        <v>0</v>
      </c>
      <c r="I28">
        <f t="shared" si="4"/>
        <v>0</v>
      </c>
    </row>
    <row r="29" spans="1:9" x14ac:dyDescent="0.25">
      <c r="A29" t="s">
        <v>57</v>
      </c>
      <c r="B29" t="s">
        <v>58</v>
      </c>
      <c r="C29" s="2">
        <v>19851</v>
      </c>
      <c r="D29" t="s">
        <v>12</v>
      </c>
      <c r="E29" s="2">
        <f t="shared" si="0"/>
        <v>62</v>
      </c>
      <c r="F29">
        <f t="shared" si="1"/>
        <v>0</v>
      </c>
      <c r="G29">
        <f t="shared" si="2"/>
        <v>0</v>
      </c>
      <c r="H29">
        <f t="shared" si="3"/>
        <v>1</v>
      </c>
      <c r="I29">
        <f t="shared" si="4"/>
        <v>85</v>
      </c>
    </row>
    <row r="30" spans="1:9" x14ac:dyDescent="0.25">
      <c r="A30" t="s">
        <v>59</v>
      </c>
      <c r="B30" t="s">
        <v>18</v>
      </c>
      <c r="C30" s="2">
        <v>17896</v>
      </c>
      <c r="D30" t="s">
        <v>9</v>
      </c>
      <c r="E30" s="2">
        <f t="shared" si="0"/>
        <v>68</v>
      </c>
      <c r="F30">
        <f t="shared" si="1"/>
        <v>0</v>
      </c>
      <c r="G30">
        <f t="shared" si="2"/>
        <v>0</v>
      </c>
      <c r="H30">
        <f t="shared" si="3"/>
        <v>1</v>
      </c>
      <c r="I30">
        <f t="shared" si="4"/>
        <v>85</v>
      </c>
    </row>
    <row r="31" spans="1:9" x14ac:dyDescent="0.25">
      <c r="A31" t="s">
        <v>60</v>
      </c>
      <c r="B31" t="s">
        <v>11</v>
      </c>
      <c r="C31" s="2">
        <v>25045</v>
      </c>
      <c r="D31" t="s">
        <v>12</v>
      </c>
      <c r="E31" s="2">
        <f t="shared" si="0"/>
        <v>48</v>
      </c>
      <c r="F31">
        <f t="shared" si="1"/>
        <v>1</v>
      </c>
      <c r="G31">
        <f t="shared" si="2"/>
        <v>29.999999999999996</v>
      </c>
      <c r="H31">
        <f t="shared" si="3"/>
        <v>0</v>
      </c>
      <c r="I31">
        <f t="shared" si="4"/>
        <v>0</v>
      </c>
    </row>
    <row r="32" spans="1:9" x14ac:dyDescent="0.25">
      <c r="A32" t="s">
        <v>61</v>
      </c>
      <c r="B32" t="s">
        <v>20</v>
      </c>
      <c r="C32" s="2">
        <v>18367</v>
      </c>
      <c r="D32" t="s">
        <v>12</v>
      </c>
      <c r="E32" s="2">
        <f t="shared" si="0"/>
        <v>66</v>
      </c>
      <c r="F32">
        <f t="shared" si="1"/>
        <v>1</v>
      </c>
      <c r="G32">
        <f t="shared" si="2"/>
        <v>79</v>
      </c>
      <c r="H32">
        <f t="shared" si="3"/>
        <v>0</v>
      </c>
      <c r="I32">
        <f t="shared" si="4"/>
        <v>0</v>
      </c>
    </row>
    <row r="33" spans="1:9" x14ac:dyDescent="0.25">
      <c r="A33" t="s">
        <v>62</v>
      </c>
      <c r="B33" t="s">
        <v>20</v>
      </c>
      <c r="C33" s="2">
        <v>21630</v>
      </c>
      <c r="D33" t="s">
        <v>6</v>
      </c>
      <c r="E33" s="2">
        <f t="shared" si="0"/>
        <v>57</v>
      </c>
      <c r="F33">
        <f t="shared" si="1"/>
        <v>1</v>
      </c>
      <c r="G33">
        <f t="shared" si="2"/>
        <v>29.999999999999996</v>
      </c>
      <c r="H33">
        <f t="shared" si="3"/>
        <v>0</v>
      </c>
      <c r="I33">
        <f t="shared" si="4"/>
        <v>0</v>
      </c>
    </row>
    <row r="34" spans="1:9" x14ac:dyDescent="0.25">
      <c r="A34" t="s">
        <v>63</v>
      </c>
      <c r="B34" t="s">
        <v>64</v>
      </c>
      <c r="C34" s="2">
        <v>16075</v>
      </c>
      <c r="D34" t="s">
        <v>40</v>
      </c>
      <c r="E34" s="2">
        <f t="shared" si="0"/>
        <v>72</v>
      </c>
      <c r="F34">
        <f t="shared" si="1"/>
        <v>1</v>
      </c>
      <c r="G34">
        <f t="shared" si="2"/>
        <v>79</v>
      </c>
      <c r="H34">
        <f t="shared" si="3"/>
        <v>0</v>
      </c>
      <c r="I34">
        <f t="shared" si="4"/>
        <v>0</v>
      </c>
    </row>
    <row r="35" spans="1:9" x14ac:dyDescent="0.25">
      <c r="A35" t="s">
        <v>65</v>
      </c>
      <c r="B35" t="s">
        <v>20</v>
      </c>
      <c r="C35" s="2">
        <v>30640</v>
      </c>
      <c r="D35" t="s">
        <v>6</v>
      </c>
      <c r="E35" s="2">
        <f t="shared" si="0"/>
        <v>33</v>
      </c>
      <c r="F35">
        <f t="shared" si="1"/>
        <v>1</v>
      </c>
      <c r="G35">
        <f t="shared" si="2"/>
        <v>37.5</v>
      </c>
      <c r="H35">
        <f t="shared" si="3"/>
        <v>0</v>
      </c>
      <c r="I35">
        <f t="shared" si="4"/>
        <v>0</v>
      </c>
    </row>
    <row r="36" spans="1:9" x14ac:dyDescent="0.25">
      <c r="A36" t="s">
        <v>66</v>
      </c>
      <c r="B36" t="s">
        <v>67</v>
      </c>
      <c r="C36" s="2">
        <v>21633</v>
      </c>
      <c r="D36" t="s">
        <v>12</v>
      </c>
      <c r="E36" s="2">
        <f t="shared" si="0"/>
        <v>57</v>
      </c>
      <c r="F36">
        <f t="shared" si="1"/>
        <v>0</v>
      </c>
      <c r="G36">
        <f t="shared" si="2"/>
        <v>0</v>
      </c>
      <c r="H36">
        <f t="shared" si="3"/>
        <v>1</v>
      </c>
      <c r="I36">
        <f t="shared" si="4"/>
        <v>36</v>
      </c>
    </row>
    <row r="37" spans="1:9" x14ac:dyDescent="0.25">
      <c r="A37" t="s">
        <v>68</v>
      </c>
      <c r="B37" t="s">
        <v>69</v>
      </c>
      <c r="C37" s="2">
        <v>22843</v>
      </c>
      <c r="D37" t="s">
        <v>6</v>
      </c>
      <c r="E37" s="2">
        <f t="shared" si="0"/>
        <v>54</v>
      </c>
      <c r="F37">
        <f t="shared" si="1"/>
        <v>0</v>
      </c>
      <c r="G37">
        <f t="shared" si="2"/>
        <v>0</v>
      </c>
      <c r="H37">
        <f t="shared" si="3"/>
        <v>1</v>
      </c>
      <c r="I37">
        <f t="shared" si="4"/>
        <v>36</v>
      </c>
    </row>
    <row r="38" spans="1:9" x14ac:dyDescent="0.25">
      <c r="A38" t="s">
        <v>70</v>
      </c>
      <c r="B38" t="s">
        <v>39</v>
      </c>
      <c r="C38" s="2">
        <v>22944</v>
      </c>
      <c r="D38" t="s">
        <v>12</v>
      </c>
      <c r="E38" s="2">
        <f t="shared" si="0"/>
        <v>54</v>
      </c>
      <c r="F38">
        <f t="shared" si="1"/>
        <v>1</v>
      </c>
      <c r="G38">
        <f t="shared" si="2"/>
        <v>29.999999999999996</v>
      </c>
      <c r="H38">
        <f t="shared" si="3"/>
        <v>0</v>
      </c>
      <c r="I38">
        <f t="shared" si="4"/>
        <v>0</v>
      </c>
    </row>
    <row r="39" spans="1:9" x14ac:dyDescent="0.25">
      <c r="A39" t="s">
        <v>71</v>
      </c>
      <c r="B39" t="s">
        <v>72</v>
      </c>
      <c r="C39" s="2">
        <v>28856</v>
      </c>
      <c r="D39" t="s">
        <v>6</v>
      </c>
      <c r="E39" s="2">
        <f t="shared" si="0"/>
        <v>37</v>
      </c>
      <c r="F39">
        <f t="shared" si="1"/>
        <v>0</v>
      </c>
      <c r="G39">
        <f t="shared" si="2"/>
        <v>0</v>
      </c>
      <c r="H39">
        <f t="shared" si="3"/>
        <v>1</v>
      </c>
      <c r="I39">
        <f t="shared" si="4"/>
        <v>45</v>
      </c>
    </row>
    <row r="40" spans="1:9" x14ac:dyDescent="0.25">
      <c r="A40" t="s">
        <v>73</v>
      </c>
      <c r="B40" t="s">
        <v>74</v>
      </c>
      <c r="C40" s="2">
        <v>27510</v>
      </c>
      <c r="D40" t="s">
        <v>9</v>
      </c>
      <c r="E40" s="2">
        <f t="shared" si="0"/>
        <v>41</v>
      </c>
      <c r="F40">
        <f t="shared" si="1"/>
        <v>1</v>
      </c>
      <c r="G40">
        <f t="shared" si="2"/>
        <v>37.5</v>
      </c>
      <c r="H40">
        <f t="shared" si="3"/>
        <v>0</v>
      </c>
      <c r="I40">
        <f t="shared" si="4"/>
        <v>0</v>
      </c>
    </row>
    <row r="41" spans="1:9" x14ac:dyDescent="0.25">
      <c r="A41" t="s">
        <v>75</v>
      </c>
      <c r="B41" t="s">
        <v>52</v>
      </c>
      <c r="C41" s="2">
        <v>24744</v>
      </c>
      <c r="D41" t="s">
        <v>12</v>
      </c>
      <c r="E41" s="2">
        <f t="shared" si="0"/>
        <v>49</v>
      </c>
      <c r="F41">
        <f t="shared" si="1"/>
        <v>1</v>
      </c>
      <c r="G41">
        <f t="shared" si="2"/>
        <v>29.999999999999996</v>
      </c>
      <c r="H41">
        <f t="shared" si="3"/>
        <v>0</v>
      </c>
      <c r="I41">
        <f t="shared" si="4"/>
        <v>0</v>
      </c>
    </row>
    <row r="42" spans="1:9" x14ac:dyDescent="0.25">
      <c r="A42" t="s">
        <v>76</v>
      </c>
      <c r="B42" t="s">
        <v>77</v>
      </c>
      <c r="C42" s="2">
        <v>26703</v>
      </c>
      <c r="D42" t="s">
        <v>40</v>
      </c>
      <c r="E42" s="2">
        <f t="shared" si="0"/>
        <v>43</v>
      </c>
      <c r="F42">
        <f t="shared" si="1"/>
        <v>0</v>
      </c>
      <c r="G42">
        <f t="shared" si="2"/>
        <v>0</v>
      </c>
      <c r="H42">
        <f t="shared" si="3"/>
        <v>1</v>
      </c>
      <c r="I42">
        <f t="shared" si="4"/>
        <v>45</v>
      </c>
    </row>
    <row r="43" spans="1:9" x14ac:dyDescent="0.25">
      <c r="A43" t="s">
        <v>78</v>
      </c>
      <c r="B43" t="s">
        <v>79</v>
      </c>
      <c r="C43" s="2">
        <v>18847</v>
      </c>
      <c r="D43" t="s">
        <v>6</v>
      </c>
      <c r="E43" s="2">
        <f t="shared" si="0"/>
        <v>65</v>
      </c>
      <c r="F43">
        <f t="shared" si="1"/>
        <v>1</v>
      </c>
      <c r="G43">
        <f t="shared" si="2"/>
        <v>79</v>
      </c>
      <c r="H43">
        <f t="shared" si="3"/>
        <v>0</v>
      </c>
      <c r="I43">
        <f t="shared" si="4"/>
        <v>0</v>
      </c>
    </row>
    <row r="44" spans="1:9" x14ac:dyDescent="0.25">
      <c r="A44" t="s">
        <v>80</v>
      </c>
      <c r="B44" t="s">
        <v>81</v>
      </c>
      <c r="C44" s="2">
        <v>33899</v>
      </c>
      <c r="D44" t="s">
        <v>12</v>
      </c>
      <c r="E44" s="2">
        <f t="shared" si="0"/>
        <v>24</v>
      </c>
      <c r="F44">
        <f t="shared" si="1"/>
        <v>1</v>
      </c>
      <c r="G44">
        <f t="shared" si="2"/>
        <v>25</v>
      </c>
      <c r="H44">
        <f t="shared" si="3"/>
        <v>0</v>
      </c>
      <c r="I44">
        <f t="shared" si="4"/>
        <v>0</v>
      </c>
    </row>
    <row r="45" spans="1:9" x14ac:dyDescent="0.25">
      <c r="A45" t="s">
        <v>82</v>
      </c>
      <c r="B45" t="s">
        <v>42</v>
      </c>
      <c r="C45" s="2">
        <v>34773</v>
      </c>
      <c r="D45" t="s">
        <v>12</v>
      </c>
      <c r="E45" s="2">
        <f t="shared" si="0"/>
        <v>21</v>
      </c>
      <c r="F45">
        <f t="shared" si="1"/>
        <v>1</v>
      </c>
      <c r="G45">
        <f t="shared" si="2"/>
        <v>25</v>
      </c>
      <c r="H45">
        <f t="shared" si="3"/>
        <v>0</v>
      </c>
      <c r="I45">
        <f t="shared" si="4"/>
        <v>0</v>
      </c>
    </row>
    <row r="46" spans="1:9" x14ac:dyDescent="0.25">
      <c r="A46" t="s">
        <v>83</v>
      </c>
      <c r="B46" t="s">
        <v>84</v>
      </c>
      <c r="C46" s="2">
        <v>28929</v>
      </c>
      <c r="D46" t="s">
        <v>6</v>
      </c>
      <c r="E46" s="2">
        <f t="shared" si="0"/>
        <v>37</v>
      </c>
      <c r="F46">
        <f t="shared" si="1"/>
        <v>1</v>
      </c>
      <c r="G46">
        <f t="shared" si="2"/>
        <v>37.5</v>
      </c>
      <c r="H46">
        <f t="shared" si="3"/>
        <v>0</v>
      </c>
      <c r="I46">
        <f t="shared" si="4"/>
        <v>0</v>
      </c>
    </row>
    <row r="47" spans="1:9" x14ac:dyDescent="0.25">
      <c r="A47" t="s">
        <v>85</v>
      </c>
      <c r="B47" t="s">
        <v>42</v>
      </c>
      <c r="C47" s="2">
        <v>17612</v>
      </c>
      <c r="D47" t="s">
        <v>40</v>
      </c>
      <c r="E47" s="2">
        <f t="shared" si="0"/>
        <v>68</v>
      </c>
      <c r="F47">
        <f t="shared" si="1"/>
        <v>1</v>
      </c>
      <c r="G47">
        <f t="shared" si="2"/>
        <v>79</v>
      </c>
      <c r="H47">
        <f t="shared" si="3"/>
        <v>0</v>
      </c>
      <c r="I47">
        <f t="shared" si="4"/>
        <v>0</v>
      </c>
    </row>
    <row r="48" spans="1:9" x14ac:dyDescent="0.25">
      <c r="A48" t="s">
        <v>86</v>
      </c>
      <c r="B48" t="s">
        <v>87</v>
      </c>
      <c r="C48" s="2">
        <v>26002</v>
      </c>
      <c r="D48" t="s">
        <v>12</v>
      </c>
      <c r="E48" s="2">
        <f t="shared" si="0"/>
        <v>45</v>
      </c>
      <c r="F48">
        <f t="shared" si="1"/>
        <v>0</v>
      </c>
      <c r="G48">
        <f t="shared" si="2"/>
        <v>0</v>
      </c>
      <c r="H48">
        <f t="shared" si="3"/>
        <v>1</v>
      </c>
      <c r="I48">
        <f t="shared" si="4"/>
        <v>45</v>
      </c>
    </row>
    <row r="49" spans="1:9" x14ac:dyDescent="0.25">
      <c r="A49" t="s">
        <v>88</v>
      </c>
      <c r="B49" t="s">
        <v>52</v>
      </c>
      <c r="C49" s="2">
        <v>17050</v>
      </c>
      <c r="D49" t="s">
        <v>12</v>
      </c>
      <c r="E49" s="2">
        <f t="shared" si="0"/>
        <v>70</v>
      </c>
      <c r="F49">
        <f t="shared" si="1"/>
        <v>1</v>
      </c>
      <c r="G49">
        <f t="shared" si="2"/>
        <v>79</v>
      </c>
      <c r="H49">
        <f t="shared" si="3"/>
        <v>0</v>
      </c>
      <c r="I49">
        <f t="shared" si="4"/>
        <v>0</v>
      </c>
    </row>
    <row r="50" spans="1:9" x14ac:dyDescent="0.25">
      <c r="A50" t="s">
        <v>89</v>
      </c>
      <c r="B50" t="s">
        <v>90</v>
      </c>
      <c r="C50" s="2">
        <v>17757</v>
      </c>
      <c r="D50" t="s">
        <v>6</v>
      </c>
      <c r="E50" s="2">
        <f t="shared" si="0"/>
        <v>68</v>
      </c>
      <c r="F50">
        <f t="shared" si="1"/>
        <v>0</v>
      </c>
      <c r="G50">
        <f t="shared" si="2"/>
        <v>0</v>
      </c>
      <c r="H50">
        <f t="shared" si="3"/>
        <v>1</v>
      </c>
      <c r="I50">
        <f t="shared" si="4"/>
        <v>85</v>
      </c>
    </row>
    <row r="51" spans="1:9" x14ac:dyDescent="0.25">
      <c r="A51" t="s">
        <v>91</v>
      </c>
      <c r="B51" t="s">
        <v>92</v>
      </c>
      <c r="C51" s="2">
        <v>30155</v>
      </c>
      <c r="D51" t="s">
        <v>6</v>
      </c>
      <c r="E51" s="2">
        <f t="shared" si="0"/>
        <v>34</v>
      </c>
      <c r="F51">
        <f t="shared" si="1"/>
        <v>0</v>
      </c>
      <c r="G51">
        <f t="shared" si="2"/>
        <v>0</v>
      </c>
      <c r="H51">
        <f t="shared" si="3"/>
        <v>1</v>
      </c>
      <c r="I51">
        <f t="shared" si="4"/>
        <v>45</v>
      </c>
    </row>
    <row r="52" spans="1:9" x14ac:dyDescent="0.25">
      <c r="A52" t="s">
        <v>93</v>
      </c>
      <c r="B52" t="s">
        <v>94</v>
      </c>
      <c r="C52" s="2">
        <v>22758</v>
      </c>
      <c r="D52" t="s">
        <v>40</v>
      </c>
      <c r="E52" s="2">
        <f t="shared" si="0"/>
        <v>54</v>
      </c>
      <c r="F52">
        <f t="shared" si="1"/>
        <v>0</v>
      </c>
      <c r="G52">
        <f t="shared" si="2"/>
        <v>0</v>
      </c>
      <c r="H52">
        <f t="shared" si="3"/>
        <v>1</v>
      </c>
      <c r="I52">
        <f t="shared" si="4"/>
        <v>36</v>
      </c>
    </row>
    <row r="53" spans="1:9" x14ac:dyDescent="0.25">
      <c r="A53" t="s">
        <v>95</v>
      </c>
      <c r="B53" t="s">
        <v>52</v>
      </c>
      <c r="C53" s="2">
        <v>17830</v>
      </c>
      <c r="D53" t="s">
        <v>6</v>
      </c>
      <c r="E53" s="2">
        <f t="shared" si="0"/>
        <v>68</v>
      </c>
      <c r="F53">
        <f t="shared" si="1"/>
        <v>1</v>
      </c>
      <c r="G53">
        <f t="shared" si="2"/>
        <v>79</v>
      </c>
      <c r="H53">
        <f t="shared" si="3"/>
        <v>0</v>
      </c>
      <c r="I53">
        <f t="shared" si="4"/>
        <v>0</v>
      </c>
    </row>
    <row r="54" spans="1:9" x14ac:dyDescent="0.25">
      <c r="A54" t="s">
        <v>96</v>
      </c>
      <c r="B54" t="s">
        <v>20</v>
      </c>
      <c r="C54" s="2">
        <v>16168</v>
      </c>
      <c r="D54" t="s">
        <v>6</v>
      </c>
      <c r="E54" s="2">
        <f t="shared" si="0"/>
        <v>72</v>
      </c>
      <c r="F54">
        <f t="shared" si="1"/>
        <v>1</v>
      </c>
      <c r="G54">
        <f t="shared" si="2"/>
        <v>79</v>
      </c>
      <c r="H54">
        <f t="shared" si="3"/>
        <v>0</v>
      </c>
      <c r="I54">
        <f t="shared" si="4"/>
        <v>0</v>
      </c>
    </row>
    <row r="55" spans="1:9" x14ac:dyDescent="0.25">
      <c r="A55" t="s">
        <v>97</v>
      </c>
      <c r="B55" t="s">
        <v>98</v>
      </c>
      <c r="C55" s="2">
        <v>32118</v>
      </c>
      <c r="D55" t="s">
        <v>6</v>
      </c>
      <c r="E55" s="2">
        <f t="shared" si="0"/>
        <v>29</v>
      </c>
      <c r="F55">
        <f t="shared" si="1"/>
        <v>0</v>
      </c>
      <c r="G55">
        <f t="shared" si="2"/>
        <v>0</v>
      </c>
      <c r="H55">
        <f t="shared" si="3"/>
        <v>1</v>
      </c>
      <c r="I55">
        <f t="shared" si="4"/>
        <v>30</v>
      </c>
    </row>
    <row r="56" spans="1:9" x14ac:dyDescent="0.25">
      <c r="A56" t="s">
        <v>99</v>
      </c>
      <c r="B56" t="s">
        <v>18</v>
      </c>
      <c r="C56" s="2">
        <v>20332</v>
      </c>
      <c r="D56" t="s">
        <v>12</v>
      </c>
      <c r="E56" s="2">
        <f t="shared" si="0"/>
        <v>61</v>
      </c>
      <c r="F56">
        <f t="shared" si="1"/>
        <v>0</v>
      </c>
      <c r="G56">
        <f t="shared" si="2"/>
        <v>0</v>
      </c>
      <c r="H56">
        <f t="shared" si="3"/>
        <v>1</v>
      </c>
      <c r="I56">
        <f t="shared" si="4"/>
        <v>85</v>
      </c>
    </row>
    <row r="57" spans="1:9" x14ac:dyDescent="0.25">
      <c r="A57" t="s">
        <v>100</v>
      </c>
      <c r="B57" t="s">
        <v>49</v>
      </c>
      <c r="C57" s="2">
        <v>19375</v>
      </c>
      <c r="D57" t="s">
        <v>6</v>
      </c>
      <c r="E57" s="2">
        <f t="shared" si="0"/>
        <v>63</v>
      </c>
      <c r="F57">
        <f t="shared" si="1"/>
        <v>0</v>
      </c>
      <c r="G57">
        <f t="shared" si="2"/>
        <v>0</v>
      </c>
      <c r="H57">
        <f t="shared" si="3"/>
        <v>1</v>
      </c>
      <c r="I57">
        <f t="shared" si="4"/>
        <v>85</v>
      </c>
    </row>
    <row r="58" spans="1:9" x14ac:dyDescent="0.25">
      <c r="A58" t="s">
        <v>101</v>
      </c>
      <c r="B58" t="s">
        <v>102</v>
      </c>
      <c r="C58" s="2">
        <v>34818</v>
      </c>
      <c r="D58" t="s">
        <v>12</v>
      </c>
      <c r="E58" s="2">
        <f t="shared" si="0"/>
        <v>21</v>
      </c>
      <c r="F58">
        <f t="shared" si="1"/>
        <v>1</v>
      </c>
      <c r="G58">
        <f t="shared" si="2"/>
        <v>25</v>
      </c>
      <c r="H58">
        <f t="shared" si="3"/>
        <v>0</v>
      </c>
      <c r="I58">
        <f t="shared" si="4"/>
        <v>0</v>
      </c>
    </row>
    <row r="59" spans="1:9" x14ac:dyDescent="0.25">
      <c r="A59" t="s">
        <v>103</v>
      </c>
      <c r="B59" t="s">
        <v>16</v>
      </c>
      <c r="C59" s="2">
        <v>23775</v>
      </c>
      <c r="D59" t="s">
        <v>9</v>
      </c>
      <c r="E59" s="2">
        <f t="shared" si="0"/>
        <v>51</v>
      </c>
      <c r="F59">
        <f t="shared" si="1"/>
        <v>1</v>
      </c>
      <c r="G59">
        <f t="shared" si="2"/>
        <v>29.999999999999996</v>
      </c>
      <c r="H59">
        <f t="shared" si="3"/>
        <v>0</v>
      </c>
      <c r="I59">
        <f t="shared" si="4"/>
        <v>0</v>
      </c>
    </row>
    <row r="60" spans="1:9" x14ac:dyDescent="0.25">
      <c r="A60" t="s">
        <v>104</v>
      </c>
      <c r="B60" t="s">
        <v>105</v>
      </c>
      <c r="C60" s="2">
        <v>29371</v>
      </c>
      <c r="D60" t="s">
        <v>12</v>
      </c>
      <c r="E60" s="2">
        <f t="shared" si="0"/>
        <v>36</v>
      </c>
      <c r="F60">
        <f t="shared" si="1"/>
        <v>1</v>
      </c>
      <c r="G60">
        <f t="shared" si="2"/>
        <v>37.5</v>
      </c>
      <c r="H60">
        <f t="shared" si="3"/>
        <v>0</v>
      </c>
      <c r="I60">
        <f t="shared" si="4"/>
        <v>0</v>
      </c>
    </row>
    <row r="61" spans="1:9" x14ac:dyDescent="0.25">
      <c r="A61" t="s">
        <v>106</v>
      </c>
      <c r="B61" t="s">
        <v>107</v>
      </c>
      <c r="C61" s="2">
        <v>27370</v>
      </c>
      <c r="D61" t="s">
        <v>12</v>
      </c>
      <c r="E61" s="2">
        <f t="shared" si="0"/>
        <v>42</v>
      </c>
      <c r="F61">
        <f t="shared" si="1"/>
        <v>1</v>
      </c>
      <c r="G61">
        <f t="shared" si="2"/>
        <v>37.5</v>
      </c>
      <c r="H61">
        <f t="shared" si="3"/>
        <v>0</v>
      </c>
      <c r="I61">
        <f t="shared" si="4"/>
        <v>0</v>
      </c>
    </row>
    <row r="62" spans="1:9" x14ac:dyDescent="0.25">
      <c r="A62" t="s">
        <v>108</v>
      </c>
      <c r="B62" t="s">
        <v>109</v>
      </c>
      <c r="C62" s="2">
        <v>19032</v>
      </c>
      <c r="D62" t="s">
        <v>6</v>
      </c>
      <c r="E62" s="2">
        <f t="shared" si="0"/>
        <v>64</v>
      </c>
      <c r="F62">
        <f t="shared" si="1"/>
        <v>0</v>
      </c>
      <c r="G62">
        <f t="shared" si="2"/>
        <v>0</v>
      </c>
      <c r="H62">
        <f t="shared" si="3"/>
        <v>1</v>
      </c>
      <c r="I62">
        <f t="shared" si="4"/>
        <v>85</v>
      </c>
    </row>
    <row r="63" spans="1:9" x14ac:dyDescent="0.25">
      <c r="A63" t="s">
        <v>110</v>
      </c>
      <c r="B63" t="s">
        <v>37</v>
      </c>
      <c r="C63" s="2">
        <v>27475</v>
      </c>
      <c r="D63" t="s">
        <v>12</v>
      </c>
      <c r="E63" s="2">
        <f t="shared" si="0"/>
        <v>41</v>
      </c>
      <c r="F63">
        <f t="shared" si="1"/>
        <v>1</v>
      </c>
      <c r="G63">
        <f t="shared" si="2"/>
        <v>37.5</v>
      </c>
      <c r="H63">
        <f t="shared" si="3"/>
        <v>0</v>
      </c>
      <c r="I63">
        <f t="shared" si="4"/>
        <v>0</v>
      </c>
    </row>
    <row r="64" spans="1:9" x14ac:dyDescent="0.25">
      <c r="A64" t="s">
        <v>111</v>
      </c>
      <c r="B64" t="s">
        <v>52</v>
      </c>
      <c r="C64" s="2">
        <v>20719</v>
      </c>
      <c r="D64" t="s">
        <v>6</v>
      </c>
      <c r="E64" s="2">
        <f t="shared" si="0"/>
        <v>60</v>
      </c>
      <c r="F64">
        <f t="shared" si="1"/>
        <v>1</v>
      </c>
      <c r="G64">
        <f t="shared" si="2"/>
        <v>29.999999999999996</v>
      </c>
      <c r="H64">
        <f t="shared" si="3"/>
        <v>0</v>
      </c>
      <c r="I64">
        <f t="shared" si="4"/>
        <v>0</v>
      </c>
    </row>
    <row r="65" spans="1:9" x14ac:dyDescent="0.25">
      <c r="A65" t="s">
        <v>112</v>
      </c>
      <c r="B65" t="s">
        <v>8</v>
      </c>
      <c r="C65" s="2">
        <v>22206</v>
      </c>
      <c r="D65" t="s">
        <v>40</v>
      </c>
      <c r="E65" s="2">
        <f t="shared" si="0"/>
        <v>56</v>
      </c>
      <c r="F65">
        <f t="shared" si="1"/>
        <v>0</v>
      </c>
      <c r="G65">
        <f t="shared" si="2"/>
        <v>0</v>
      </c>
      <c r="H65">
        <f t="shared" si="3"/>
        <v>1</v>
      </c>
      <c r="I65">
        <f t="shared" si="4"/>
        <v>36</v>
      </c>
    </row>
    <row r="66" spans="1:9" x14ac:dyDescent="0.25">
      <c r="A66" t="s">
        <v>113</v>
      </c>
      <c r="B66" t="s">
        <v>114</v>
      </c>
      <c r="C66" s="2">
        <v>17376</v>
      </c>
      <c r="D66" t="s">
        <v>12</v>
      </c>
      <c r="E66" s="2">
        <f t="shared" si="0"/>
        <v>69</v>
      </c>
      <c r="F66">
        <f t="shared" si="1"/>
        <v>0</v>
      </c>
      <c r="G66">
        <f t="shared" si="2"/>
        <v>0</v>
      </c>
      <c r="H66">
        <f t="shared" si="3"/>
        <v>1</v>
      </c>
      <c r="I66">
        <f t="shared" si="4"/>
        <v>85</v>
      </c>
    </row>
    <row r="67" spans="1:9" x14ac:dyDescent="0.25">
      <c r="A67" t="s">
        <v>115</v>
      </c>
      <c r="B67" t="s">
        <v>114</v>
      </c>
      <c r="C67" s="2">
        <v>34280</v>
      </c>
      <c r="D67" t="s">
        <v>40</v>
      </c>
      <c r="E67" s="2">
        <f t="shared" ref="E67:E130" si="5">2016-YEAR(C67)</f>
        <v>23</v>
      </c>
      <c r="F67">
        <f t="shared" ref="F67:F130" si="6">IF(RIGHT(B67,1)="a",1,0)</f>
        <v>0</v>
      </c>
      <c r="G67">
        <f t="shared" ref="G67:G130" si="7">IF(F67=1,IF(E67&lt;=30,0.1%*25000,IF(AND(E67&gt;=31,E67&lt;=45),0.15%*25000,IF(AND(E67&gt;=46,E67&lt;=60),25000*0.12%,25000*0.12%+49))),0)</f>
        <v>0</v>
      </c>
      <c r="H67">
        <f t="shared" ref="H67:H130" si="8">IF(F67=1,0,1)</f>
        <v>1</v>
      </c>
      <c r="I67">
        <f t="shared" ref="I67:I130" si="9">IF(H67=1,IF(E67&lt;=30,0.1%*30000,IF(AND(E67&gt;=31,E67&lt;=45),0.15%*30000,IF(AND(E67&gt;=46,E67&lt;=60),30000*0.12%,30000*0.12%+49))),0)</f>
        <v>30</v>
      </c>
    </row>
    <row r="68" spans="1:9" x14ac:dyDescent="0.25">
      <c r="A68" t="s">
        <v>116</v>
      </c>
      <c r="B68" t="s">
        <v>49</v>
      </c>
      <c r="C68" s="2">
        <v>25821</v>
      </c>
      <c r="D68" t="s">
        <v>40</v>
      </c>
      <c r="E68" s="2">
        <f t="shared" si="5"/>
        <v>46</v>
      </c>
      <c r="F68">
        <f t="shared" si="6"/>
        <v>0</v>
      </c>
      <c r="G68">
        <f t="shared" si="7"/>
        <v>0</v>
      </c>
      <c r="H68">
        <f t="shared" si="8"/>
        <v>1</v>
      </c>
      <c r="I68">
        <f t="shared" si="9"/>
        <v>36</v>
      </c>
    </row>
    <row r="69" spans="1:9" x14ac:dyDescent="0.25">
      <c r="A69" t="s">
        <v>117</v>
      </c>
      <c r="B69" t="s">
        <v>47</v>
      </c>
      <c r="C69" s="2">
        <v>20242</v>
      </c>
      <c r="D69" t="s">
        <v>40</v>
      </c>
      <c r="E69" s="2">
        <f t="shared" si="5"/>
        <v>61</v>
      </c>
      <c r="F69">
        <f t="shared" si="6"/>
        <v>1</v>
      </c>
      <c r="G69">
        <f t="shared" si="7"/>
        <v>79</v>
      </c>
      <c r="H69">
        <f t="shared" si="8"/>
        <v>0</v>
      </c>
      <c r="I69">
        <f t="shared" si="9"/>
        <v>0</v>
      </c>
    </row>
    <row r="70" spans="1:9" x14ac:dyDescent="0.25">
      <c r="A70" t="s">
        <v>118</v>
      </c>
      <c r="B70" t="s">
        <v>20</v>
      </c>
      <c r="C70" s="2">
        <v>25415</v>
      </c>
      <c r="D70" t="s">
        <v>12</v>
      </c>
      <c r="E70" s="2">
        <f t="shared" si="5"/>
        <v>47</v>
      </c>
      <c r="F70">
        <f t="shared" si="6"/>
        <v>1</v>
      </c>
      <c r="G70">
        <f t="shared" si="7"/>
        <v>29.999999999999996</v>
      </c>
      <c r="H70">
        <f t="shared" si="8"/>
        <v>0</v>
      </c>
      <c r="I70">
        <f t="shared" si="9"/>
        <v>0</v>
      </c>
    </row>
    <row r="71" spans="1:9" x14ac:dyDescent="0.25">
      <c r="A71" t="s">
        <v>119</v>
      </c>
      <c r="B71" t="s">
        <v>47</v>
      </c>
      <c r="C71" s="2">
        <v>19048</v>
      </c>
      <c r="D71" t="s">
        <v>9</v>
      </c>
      <c r="E71" s="2">
        <f t="shared" si="5"/>
        <v>64</v>
      </c>
      <c r="F71">
        <f t="shared" si="6"/>
        <v>1</v>
      </c>
      <c r="G71">
        <f t="shared" si="7"/>
        <v>79</v>
      </c>
      <c r="H71">
        <f t="shared" si="8"/>
        <v>0</v>
      </c>
      <c r="I71">
        <f t="shared" si="9"/>
        <v>0</v>
      </c>
    </row>
    <row r="72" spans="1:9" x14ac:dyDescent="0.25">
      <c r="A72" t="s">
        <v>120</v>
      </c>
      <c r="B72" t="s">
        <v>121</v>
      </c>
      <c r="C72" s="2">
        <v>18811</v>
      </c>
      <c r="D72" t="s">
        <v>12</v>
      </c>
      <c r="E72" s="2">
        <f t="shared" si="5"/>
        <v>65</v>
      </c>
      <c r="F72">
        <f t="shared" si="6"/>
        <v>1</v>
      </c>
      <c r="G72">
        <f t="shared" si="7"/>
        <v>79</v>
      </c>
      <c r="H72">
        <f t="shared" si="8"/>
        <v>0</v>
      </c>
      <c r="I72">
        <f t="shared" si="9"/>
        <v>0</v>
      </c>
    </row>
    <row r="73" spans="1:9" x14ac:dyDescent="0.25">
      <c r="A73" t="s">
        <v>122</v>
      </c>
      <c r="B73" t="s">
        <v>123</v>
      </c>
      <c r="C73" s="2">
        <v>17072</v>
      </c>
      <c r="D73" t="s">
        <v>40</v>
      </c>
      <c r="E73" s="2">
        <f t="shared" si="5"/>
        <v>70</v>
      </c>
      <c r="F73">
        <f t="shared" si="6"/>
        <v>1</v>
      </c>
      <c r="G73">
        <f t="shared" si="7"/>
        <v>79</v>
      </c>
      <c r="H73">
        <f t="shared" si="8"/>
        <v>0</v>
      </c>
      <c r="I73">
        <f t="shared" si="9"/>
        <v>0</v>
      </c>
    </row>
    <row r="74" spans="1:9" x14ac:dyDescent="0.25">
      <c r="A74" t="s">
        <v>124</v>
      </c>
      <c r="B74" t="s">
        <v>121</v>
      </c>
      <c r="C74" s="2">
        <v>33277</v>
      </c>
      <c r="D74" t="s">
        <v>6</v>
      </c>
      <c r="E74" s="2">
        <f t="shared" si="5"/>
        <v>25</v>
      </c>
      <c r="F74">
        <f t="shared" si="6"/>
        <v>1</v>
      </c>
      <c r="G74">
        <f t="shared" si="7"/>
        <v>25</v>
      </c>
      <c r="H74">
        <f t="shared" si="8"/>
        <v>0</v>
      </c>
      <c r="I74">
        <f t="shared" si="9"/>
        <v>0</v>
      </c>
    </row>
    <row r="75" spans="1:9" x14ac:dyDescent="0.25">
      <c r="A75" t="s">
        <v>125</v>
      </c>
      <c r="B75" t="s">
        <v>79</v>
      </c>
      <c r="C75" s="2">
        <v>16987</v>
      </c>
      <c r="D75" t="s">
        <v>6</v>
      </c>
      <c r="E75" s="2">
        <f t="shared" si="5"/>
        <v>70</v>
      </c>
      <c r="F75">
        <f t="shared" si="6"/>
        <v>1</v>
      </c>
      <c r="G75">
        <f t="shared" si="7"/>
        <v>79</v>
      </c>
      <c r="H75">
        <f t="shared" si="8"/>
        <v>0</v>
      </c>
      <c r="I75">
        <f t="shared" si="9"/>
        <v>0</v>
      </c>
    </row>
    <row r="76" spans="1:9" x14ac:dyDescent="0.25">
      <c r="A76" t="s">
        <v>126</v>
      </c>
      <c r="B76" t="s">
        <v>127</v>
      </c>
      <c r="C76" s="2">
        <v>33408</v>
      </c>
      <c r="D76" t="s">
        <v>40</v>
      </c>
      <c r="E76" s="2">
        <f t="shared" si="5"/>
        <v>25</v>
      </c>
      <c r="F76">
        <f t="shared" si="6"/>
        <v>0</v>
      </c>
      <c r="G76">
        <f t="shared" si="7"/>
        <v>0</v>
      </c>
      <c r="H76">
        <f t="shared" si="8"/>
        <v>1</v>
      </c>
      <c r="I76">
        <f t="shared" si="9"/>
        <v>30</v>
      </c>
    </row>
    <row r="77" spans="1:9" x14ac:dyDescent="0.25">
      <c r="A77" t="s">
        <v>110</v>
      </c>
      <c r="B77" t="s">
        <v>79</v>
      </c>
      <c r="C77" s="2">
        <v>25070</v>
      </c>
      <c r="D77" t="s">
        <v>6</v>
      </c>
      <c r="E77" s="2">
        <f t="shared" si="5"/>
        <v>48</v>
      </c>
      <c r="F77">
        <f t="shared" si="6"/>
        <v>1</v>
      </c>
      <c r="G77">
        <f t="shared" si="7"/>
        <v>29.999999999999996</v>
      </c>
      <c r="H77">
        <f t="shared" si="8"/>
        <v>0</v>
      </c>
      <c r="I77">
        <f t="shared" si="9"/>
        <v>0</v>
      </c>
    </row>
    <row r="78" spans="1:9" x14ac:dyDescent="0.25">
      <c r="A78" t="s">
        <v>128</v>
      </c>
      <c r="B78" t="s">
        <v>129</v>
      </c>
      <c r="C78" s="2">
        <v>34100</v>
      </c>
      <c r="D78" t="s">
        <v>40</v>
      </c>
      <c r="E78" s="2">
        <f t="shared" si="5"/>
        <v>23</v>
      </c>
      <c r="F78">
        <f t="shared" si="6"/>
        <v>0</v>
      </c>
      <c r="G78">
        <f t="shared" si="7"/>
        <v>0</v>
      </c>
      <c r="H78">
        <f t="shared" si="8"/>
        <v>1</v>
      </c>
      <c r="I78">
        <f t="shared" si="9"/>
        <v>30</v>
      </c>
    </row>
    <row r="79" spans="1:9" x14ac:dyDescent="0.25">
      <c r="A79" t="s">
        <v>83</v>
      </c>
      <c r="B79" t="s">
        <v>52</v>
      </c>
      <c r="C79" s="2">
        <v>19522</v>
      </c>
      <c r="D79" t="s">
        <v>9</v>
      </c>
      <c r="E79" s="2">
        <f t="shared" si="5"/>
        <v>63</v>
      </c>
      <c r="F79">
        <f t="shared" si="6"/>
        <v>1</v>
      </c>
      <c r="G79">
        <f t="shared" si="7"/>
        <v>79</v>
      </c>
      <c r="H79">
        <f t="shared" si="8"/>
        <v>0</v>
      </c>
      <c r="I79">
        <f t="shared" si="9"/>
        <v>0</v>
      </c>
    </row>
    <row r="80" spans="1:9" x14ac:dyDescent="0.25">
      <c r="A80" t="s">
        <v>130</v>
      </c>
      <c r="B80" t="s">
        <v>131</v>
      </c>
      <c r="C80" s="2">
        <v>27284</v>
      </c>
      <c r="D80" t="s">
        <v>9</v>
      </c>
      <c r="E80" s="2">
        <f t="shared" si="5"/>
        <v>42</v>
      </c>
      <c r="F80">
        <f t="shared" si="6"/>
        <v>1</v>
      </c>
      <c r="G80">
        <f t="shared" si="7"/>
        <v>37.5</v>
      </c>
      <c r="H80">
        <f t="shared" si="8"/>
        <v>0</v>
      </c>
      <c r="I80">
        <f t="shared" si="9"/>
        <v>0</v>
      </c>
    </row>
    <row r="81" spans="1:9" x14ac:dyDescent="0.25">
      <c r="A81" t="s">
        <v>132</v>
      </c>
      <c r="B81" t="s">
        <v>8</v>
      </c>
      <c r="C81" s="2">
        <v>27347</v>
      </c>
      <c r="D81" t="s">
        <v>12</v>
      </c>
      <c r="E81" s="2">
        <f t="shared" si="5"/>
        <v>42</v>
      </c>
      <c r="F81">
        <f t="shared" si="6"/>
        <v>0</v>
      </c>
      <c r="G81">
        <f t="shared" si="7"/>
        <v>0</v>
      </c>
      <c r="H81">
        <f t="shared" si="8"/>
        <v>1</v>
      </c>
      <c r="I81">
        <f t="shared" si="9"/>
        <v>45</v>
      </c>
    </row>
    <row r="82" spans="1:9" x14ac:dyDescent="0.25">
      <c r="A82" t="s">
        <v>133</v>
      </c>
      <c r="B82" t="s">
        <v>134</v>
      </c>
      <c r="C82" s="2">
        <v>20618</v>
      </c>
      <c r="D82" t="s">
        <v>12</v>
      </c>
      <c r="E82" s="2">
        <f t="shared" si="5"/>
        <v>60</v>
      </c>
      <c r="F82">
        <f t="shared" si="6"/>
        <v>1</v>
      </c>
      <c r="G82">
        <f t="shared" si="7"/>
        <v>29.999999999999996</v>
      </c>
      <c r="H82">
        <f t="shared" si="8"/>
        <v>0</v>
      </c>
      <c r="I82">
        <f t="shared" si="9"/>
        <v>0</v>
      </c>
    </row>
    <row r="83" spans="1:9" x14ac:dyDescent="0.25">
      <c r="A83" t="s">
        <v>135</v>
      </c>
      <c r="B83" t="s">
        <v>54</v>
      </c>
      <c r="C83" s="2">
        <v>19256</v>
      </c>
      <c r="D83" t="s">
        <v>12</v>
      </c>
      <c r="E83" s="2">
        <f t="shared" si="5"/>
        <v>64</v>
      </c>
      <c r="F83">
        <f t="shared" si="6"/>
        <v>1</v>
      </c>
      <c r="G83">
        <f t="shared" si="7"/>
        <v>79</v>
      </c>
      <c r="H83">
        <f t="shared" si="8"/>
        <v>0</v>
      </c>
      <c r="I83">
        <f t="shared" si="9"/>
        <v>0</v>
      </c>
    </row>
    <row r="84" spans="1:9" x14ac:dyDescent="0.25">
      <c r="A84" t="s">
        <v>136</v>
      </c>
      <c r="B84" t="s">
        <v>137</v>
      </c>
      <c r="C84" s="2">
        <v>21898</v>
      </c>
      <c r="D84" t="s">
        <v>12</v>
      </c>
      <c r="E84" s="2">
        <f t="shared" si="5"/>
        <v>57</v>
      </c>
      <c r="F84">
        <f t="shared" si="6"/>
        <v>1</v>
      </c>
      <c r="G84">
        <f t="shared" si="7"/>
        <v>29.999999999999996</v>
      </c>
      <c r="H84">
        <f t="shared" si="8"/>
        <v>0</v>
      </c>
      <c r="I84">
        <f t="shared" si="9"/>
        <v>0</v>
      </c>
    </row>
    <row r="85" spans="1:9" x14ac:dyDescent="0.25">
      <c r="A85" t="s">
        <v>138</v>
      </c>
      <c r="B85" t="s">
        <v>139</v>
      </c>
      <c r="C85" s="2">
        <v>16873</v>
      </c>
      <c r="D85" t="s">
        <v>12</v>
      </c>
      <c r="E85" s="2">
        <f t="shared" si="5"/>
        <v>70</v>
      </c>
      <c r="F85">
        <f t="shared" si="6"/>
        <v>0</v>
      </c>
      <c r="G85">
        <f t="shared" si="7"/>
        <v>0</v>
      </c>
      <c r="H85">
        <f t="shared" si="8"/>
        <v>1</v>
      </c>
      <c r="I85">
        <f t="shared" si="9"/>
        <v>85</v>
      </c>
    </row>
    <row r="86" spans="1:9" x14ac:dyDescent="0.25">
      <c r="A86" t="s">
        <v>140</v>
      </c>
      <c r="B86" t="s">
        <v>141</v>
      </c>
      <c r="C86" s="2">
        <v>34893</v>
      </c>
      <c r="D86" t="s">
        <v>6</v>
      </c>
      <c r="E86" s="2">
        <f t="shared" si="5"/>
        <v>21</v>
      </c>
      <c r="F86">
        <f t="shared" si="6"/>
        <v>0</v>
      </c>
      <c r="G86">
        <f t="shared" si="7"/>
        <v>0</v>
      </c>
      <c r="H86">
        <f t="shared" si="8"/>
        <v>1</v>
      </c>
      <c r="I86">
        <f t="shared" si="9"/>
        <v>30</v>
      </c>
    </row>
    <row r="87" spans="1:9" x14ac:dyDescent="0.25">
      <c r="A87" t="s">
        <v>142</v>
      </c>
      <c r="B87" t="s">
        <v>143</v>
      </c>
      <c r="C87" s="2">
        <v>16028</v>
      </c>
      <c r="D87" t="s">
        <v>12</v>
      </c>
      <c r="E87" s="2">
        <f t="shared" si="5"/>
        <v>73</v>
      </c>
      <c r="F87">
        <f t="shared" si="6"/>
        <v>1</v>
      </c>
      <c r="G87">
        <f t="shared" si="7"/>
        <v>79</v>
      </c>
      <c r="H87">
        <f t="shared" si="8"/>
        <v>0</v>
      </c>
      <c r="I87">
        <f t="shared" si="9"/>
        <v>0</v>
      </c>
    </row>
    <row r="88" spans="1:9" x14ac:dyDescent="0.25">
      <c r="A88" t="s">
        <v>144</v>
      </c>
      <c r="B88" t="s">
        <v>54</v>
      </c>
      <c r="C88" s="2">
        <v>33446</v>
      </c>
      <c r="D88" t="s">
        <v>6</v>
      </c>
      <c r="E88" s="2">
        <f t="shared" si="5"/>
        <v>25</v>
      </c>
      <c r="F88">
        <f t="shared" si="6"/>
        <v>1</v>
      </c>
      <c r="G88">
        <f t="shared" si="7"/>
        <v>25</v>
      </c>
      <c r="H88">
        <f t="shared" si="8"/>
        <v>0</v>
      </c>
      <c r="I88">
        <f t="shared" si="9"/>
        <v>0</v>
      </c>
    </row>
    <row r="89" spans="1:9" x14ac:dyDescent="0.25">
      <c r="A89" t="s">
        <v>145</v>
      </c>
      <c r="B89" t="s">
        <v>146</v>
      </c>
      <c r="C89" s="2">
        <v>18892</v>
      </c>
      <c r="D89" t="s">
        <v>6</v>
      </c>
      <c r="E89" s="2">
        <f t="shared" si="5"/>
        <v>65</v>
      </c>
      <c r="F89">
        <f t="shared" si="6"/>
        <v>0</v>
      </c>
      <c r="G89">
        <f t="shared" si="7"/>
        <v>0</v>
      </c>
      <c r="H89">
        <f t="shared" si="8"/>
        <v>1</v>
      </c>
      <c r="I89">
        <f t="shared" si="9"/>
        <v>85</v>
      </c>
    </row>
    <row r="90" spans="1:9" x14ac:dyDescent="0.25">
      <c r="A90" t="s">
        <v>147</v>
      </c>
      <c r="B90" t="s">
        <v>102</v>
      </c>
      <c r="C90" s="2">
        <v>32219</v>
      </c>
      <c r="D90" t="s">
        <v>12</v>
      </c>
      <c r="E90" s="2">
        <f t="shared" si="5"/>
        <v>28</v>
      </c>
      <c r="F90">
        <f t="shared" si="6"/>
        <v>1</v>
      </c>
      <c r="G90">
        <f t="shared" si="7"/>
        <v>25</v>
      </c>
      <c r="H90">
        <f t="shared" si="8"/>
        <v>0</v>
      </c>
      <c r="I90">
        <f t="shared" si="9"/>
        <v>0</v>
      </c>
    </row>
    <row r="91" spans="1:9" x14ac:dyDescent="0.25">
      <c r="A91" t="s">
        <v>148</v>
      </c>
      <c r="B91" t="s">
        <v>149</v>
      </c>
      <c r="C91" s="2">
        <v>31771</v>
      </c>
      <c r="D91" t="s">
        <v>9</v>
      </c>
      <c r="E91" s="2">
        <f t="shared" si="5"/>
        <v>30</v>
      </c>
      <c r="F91">
        <f t="shared" si="6"/>
        <v>1</v>
      </c>
      <c r="G91">
        <f t="shared" si="7"/>
        <v>25</v>
      </c>
      <c r="H91">
        <f t="shared" si="8"/>
        <v>0</v>
      </c>
      <c r="I91">
        <f t="shared" si="9"/>
        <v>0</v>
      </c>
    </row>
    <row r="92" spans="1:9" x14ac:dyDescent="0.25">
      <c r="A92" t="s">
        <v>51</v>
      </c>
      <c r="B92" t="s">
        <v>150</v>
      </c>
      <c r="C92" s="2">
        <v>30633</v>
      </c>
      <c r="D92" t="s">
        <v>40</v>
      </c>
      <c r="E92" s="2">
        <f t="shared" si="5"/>
        <v>33</v>
      </c>
      <c r="F92">
        <f t="shared" si="6"/>
        <v>1</v>
      </c>
      <c r="G92">
        <f t="shared" si="7"/>
        <v>37.5</v>
      </c>
      <c r="H92">
        <f t="shared" si="8"/>
        <v>0</v>
      </c>
      <c r="I92">
        <f t="shared" si="9"/>
        <v>0</v>
      </c>
    </row>
    <row r="93" spans="1:9" x14ac:dyDescent="0.25">
      <c r="A93" t="s">
        <v>151</v>
      </c>
      <c r="B93" t="s">
        <v>152</v>
      </c>
      <c r="C93" s="2">
        <v>34177</v>
      </c>
      <c r="D93" t="s">
        <v>40</v>
      </c>
      <c r="E93" s="2">
        <f t="shared" si="5"/>
        <v>23</v>
      </c>
      <c r="F93">
        <f t="shared" si="6"/>
        <v>0</v>
      </c>
      <c r="G93">
        <f t="shared" si="7"/>
        <v>0</v>
      </c>
      <c r="H93">
        <f t="shared" si="8"/>
        <v>1</v>
      </c>
      <c r="I93">
        <f t="shared" si="9"/>
        <v>30</v>
      </c>
    </row>
    <row r="94" spans="1:9" x14ac:dyDescent="0.25">
      <c r="A94" t="s">
        <v>153</v>
      </c>
      <c r="B94" t="s">
        <v>137</v>
      </c>
      <c r="C94" s="2">
        <v>33281</v>
      </c>
      <c r="D94" t="s">
        <v>12</v>
      </c>
      <c r="E94" s="2">
        <f t="shared" si="5"/>
        <v>25</v>
      </c>
      <c r="F94">
        <f t="shared" si="6"/>
        <v>1</v>
      </c>
      <c r="G94">
        <f t="shared" si="7"/>
        <v>25</v>
      </c>
      <c r="H94">
        <f t="shared" si="8"/>
        <v>0</v>
      </c>
      <c r="I94">
        <f t="shared" si="9"/>
        <v>0</v>
      </c>
    </row>
    <row r="95" spans="1:9" x14ac:dyDescent="0.25">
      <c r="A95" t="s">
        <v>75</v>
      </c>
      <c r="B95" t="s">
        <v>154</v>
      </c>
      <c r="C95" s="2">
        <v>21897</v>
      </c>
      <c r="D95" t="s">
        <v>12</v>
      </c>
      <c r="E95" s="2">
        <f t="shared" si="5"/>
        <v>57</v>
      </c>
      <c r="F95">
        <f t="shared" si="6"/>
        <v>1</v>
      </c>
      <c r="G95">
        <f t="shared" si="7"/>
        <v>29.999999999999996</v>
      </c>
      <c r="H95">
        <f t="shared" si="8"/>
        <v>0</v>
      </c>
      <c r="I95">
        <f t="shared" si="9"/>
        <v>0</v>
      </c>
    </row>
    <row r="96" spans="1:9" x14ac:dyDescent="0.25">
      <c r="A96" t="s">
        <v>155</v>
      </c>
      <c r="B96" t="s">
        <v>37</v>
      </c>
      <c r="C96" s="2">
        <v>18604</v>
      </c>
      <c r="D96" t="s">
        <v>40</v>
      </c>
      <c r="E96" s="2">
        <f t="shared" si="5"/>
        <v>66</v>
      </c>
      <c r="F96">
        <f t="shared" si="6"/>
        <v>1</v>
      </c>
      <c r="G96">
        <f t="shared" si="7"/>
        <v>79</v>
      </c>
      <c r="H96">
        <f t="shared" si="8"/>
        <v>0</v>
      </c>
      <c r="I96">
        <f t="shared" si="9"/>
        <v>0</v>
      </c>
    </row>
    <row r="97" spans="1:9" x14ac:dyDescent="0.25">
      <c r="A97" t="s">
        <v>156</v>
      </c>
      <c r="B97" t="s">
        <v>157</v>
      </c>
      <c r="C97" s="2">
        <v>18910</v>
      </c>
      <c r="D97" t="s">
        <v>12</v>
      </c>
      <c r="E97" s="2">
        <f t="shared" si="5"/>
        <v>65</v>
      </c>
      <c r="F97">
        <f t="shared" si="6"/>
        <v>1</v>
      </c>
      <c r="G97">
        <f t="shared" si="7"/>
        <v>79</v>
      </c>
      <c r="H97">
        <f t="shared" si="8"/>
        <v>0</v>
      </c>
      <c r="I97">
        <f t="shared" si="9"/>
        <v>0</v>
      </c>
    </row>
    <row r="98" spans="1:9" x14ac:dyDescent="0.25">
      <c r="A98" t="s">
        <v>158</v>
      </c>
      <c r="B98" t="s">
        <v>47</v>
      </c>
      <c r="C98" s="2">
        <v>17056</v>
      </c>
      <c r="D98" t="s">
        <v>9</v>
      </c>
      <c r="E98" s="2">
        <f t="shared" si="5"/>
        <v>70</v>
      </c>
      <c r="F98">
        <f t="shared" si="6"/>
        <v>1</v>
      </c>
      <c r="G98">
        <f t="shared" si="7"/>
        <v>79</v>
      </c>
      <c r="H98">
        <f t="shared" si="8"/>
        <v>0</v>
      </c>
      <c r="I98">
        <f t="shared" si="9"/>
        <v>0</v>
      </c>
    </row>
    <row r="99" spans="1:9" x14ac:dyDescent="0.25">
      <c r="A99" t="s">
        <v>159</v>
      </c>
      <c r="B99" t="s">
        <v>160</v>
      </c>
      <c r="C99" s="2">
        <v>22619</v>
      </c>
      <c r="D99" t="s">
        <v>9</v>
      </c>
      <c r="E99" s="2">
        <f t="shared" si="5"/>
        <v>55</v>
      </c>
      <c r="F99">
        <f t="shared" si="6"/>
        <v>0</v>
      </c>
      <c r="G99">
        <f t="shared" si="7"/>
        <v>0</v>
      </c>
      <c r="H99">
        <f t="shared" si="8"/>
        <v>1</v>
      </c>
      <c r="I99">
        <f t="shared" si="9"/>
        <v>36</v>
      </c>
    </row>
    <row r="100" spans="1:9" x14ac:dyDescent="0.25">
      <c r="A100" t="s">
        <v>161</v>
      </c>
      <c r="B100" t="s">
        <v>37</v>
      </c>
      <c r="C100" s="2">
        <v>19740</v>
      </c>
      <c r="D100" t="s">
        <v>12</v>
      </c>
      <c r="E100" s="2">
        <f t="shared" si="5"/>
        <v>62</v>
      </c>
      <c r="F100">
        <f t="shared" si="6"/>
        <v>1</v>
      </c>
      <c r="G100">
        <f t="shared" si="7"/>
        <v>79</v>
      </c>
      <c r="H100">
        <f t="shared" si="8"/>
        <v>0</v>
      </c>
      <c r="I100">
        <f t="shared" si="9"/>
        <v>0</v>
      </c>
    </row>
    <row r="101" spans="1:9" x14ac:dyDescent="0.25">
      <c r="A101" t="s">
        <v>162</v>
      </c>
      <c r="B101" t="s">
        <v>131</v>
      </c>
      <c r="C101" s="2">
        <v>24222</v>
      </c>
      <c r="D101" t="s">
        <v>6</v>
      </c>
      <c r="E101" s="2">
        <f t="shared" si="5"/>
        <v>50</v>
      </c>
      <c r="F101">
        <f t="shared" si="6"/>
        <v>1</v>
      </c>
      <c r="G101">
        <f t="shared" si="7"/>
        <v>29.999999999999996</v>
      </c>
      <c r="H101">
        <f t="shared" si="8"/>
        <v>0</v>
      </c>
      <c r="I101">
        <f t="shared" si="9"/>
        <v>0</v>
      </c>
    </row>
    <row r="102" spans="1:9" x14ac:dyDescent="0.25">
      <c r="A102" t="s">
        <v>163</v>
      </c>
      <c r="B102" t="s">
        <v>37</v>
      </c>
      <c r="C102" s="2">
        <v>17196</v>
      </c>
      <c r="D102" t="s">
        <v>40</v>
      </c>
      <c r="E102" s="2">
        <f t="shared" si="5"/>
        <v>69</v>
      </c>
      <c r="F102">
        <f t="shared" si="6"/>
        <v>1</v>
      </c>
      <c r="G102">
        <f t="shared" si="7"/>
        <v>79</v>
      </c>
      <c r="H102">
        <f t="shared" si="8"/>
        <v>0</v>
      </c>
      <c r="I102">
        <f t="shared" si="9"/>
        <v>0</v>
      </c>
    </row>
    <row r="103" spans="1:9" x14ac:dyDescent="0.25">
      <c r="A103" t="s">
        <v>164</v>
      </c>
      <c r="B103" t="s">
        <v>52</v>
      </c>
      <c r="C103" s="2">
        <v>32013</v>
      </c>
      <c r="D103" t="s">
        <v>12</v>
      </c>
      <c r="E103" s="2">
        <f t="shared" si="5"/>
        <v>29</v>
      </c>
      <c r="F103">
        <f t="shared" si="6"/>
        <v>1</v>
      </c>
      <c r="G103">
        <f t="shared" si="7"/>
        <v>25</v>
      </c>
      <c r="H103">
        <f t="shared" si="8"/>
        <v>0</v>
      </c>
      <c r="I103">
        <f t="shared" si="9"/>
        <v>0</v>
      </c>
    </row>
    <row r="104" spans="1:9" x14ac:dyDescent="0.25">
      <c r="A104" t="s">
        <v>163</v>
      </c>
      <c r="B104" t="s">
        <v>39</v>
      </c>
      <c r="C104" s="2">
        <v>23679</v>
      </c>
      <c r="D104" t="s">
        <v>12</v>
      </c>
      <c r="E104" s="2">
        <f t="shared" si="5"/>
        <v>52</v>
      </c>
      <c r="F104">
        <f t="shared" si="6"/>
        <v>1</v>
      </c>
      <c r="G104">
        <f t="shared" si="7"/>
        <v>29.999999999999996</v>
      </c>
      <c r="H104">
        <f t="shared" si="8"/>
        <v>0</v>
      </c>
      <c r="I104">
        <f t="shared" si="9"/>
        <v>0</v>
      </c>
    </row>
    <row r="105" spans="1:9" x14ac:dyDescent="0.25">
      <c r="A105" t="s">
        <v>75</v>
      </c>
      <c r="B105" t="s">
        <v>165</v>
      </c>
      <c r="C105" s="2">
        <v>26239</v>
      </c>
      <c r="D105" t="s">
        <v>12</v>
      </c>
      <c r="E105" s="2">
        <f t="shared" si="5"/>
        <v>45</v>
      </c>
      <c r="F105">
        <f t="shared" si="6"/>
        <v>1</v>
      </c>
      <c r="G105">
        <f t="shared" si="7"/>
        <v>37.5</v>
      </c>
      <c r="H105">
        <f t="shared" si="8"/>
        <v>0</v>
      </c>
      <c r="I105">
        <f t="shared" si="9"/>
        <v>0</v>
      </c>
    </row>
    <row r="106" spans="1:9" x14ac:dyDescent="0.25">
      <c r="A106" t="s">
        <v>166</v>
      </c>
      <c r="B106" t="s">
        <v>167</v>
      </c>
      <c r="C106" s="2">
        <v>30774</v>
      </c>
      <c r="D106" t="s">
        <v>6</v>
      </c>
      <c r="E106" s="2">
        <f t="shared" si="5"/>
        <v>32</v>
      </c>
      <c r="F106">
        <f t="shared" si="6"/>
        <v>0</v>
      </c>
      <c r="G106">
        <f t="shared" si="7"/>
        <v>0</v>
      </c>
      <c r="H106">
        <f t="shared" si="8"/>
        <v>1</v>
      </c>
      <c r="I106">
        <f t="shared" si="9"/>
        <v>45</v>
      </c>
    </row>
    <row r="107" spans="1:9" x14ac:dyDescent="0.25">
      <c r="A107" t="s">
        <v>168</v>
      </c>
      <c r="B107" t="s">
        <v>169</v>
      </c>
      <c r="C107" s="2">
        <v>25818</v>
      </c>
      <c r="D107" t="s">
        <v>6</v>
      </c>
      <c r="E107" s="2">
        <f t="shared" si="5"/>
        <v>46</v>
      </c>
      <c r="F107">
        <f t="shared" si="6"/>
        <v>0</v>
      </c>
      <c r="G107">
        <f t="shared" si="7"/>
        <v>0</v>
      </c>
      <c r="H107">
        <f t="shared" si="8"/>
        <v>1</v>
      </c>
      <c r="I107">
        <f t="shared" si="9"/>
        <v>36</v>
      </c>
    </row>
    <row r="108" spans="1:9" x14ac:dyDescent="0.25">
      <c r="A108" t="s">
        <v>170</v>
      </c>
      <c r="B108" t="s">
        <v>171</v>
      </c>
      <c r="C108" s="2">
        <v>16529</v>
      </c>
      <c r="D108" t="s">
        <v>40</v>
      </c>
      <c r="E108" s="2">
        <f t="shared" si="5"/>
        <v>71</v>
      </c>
      <c r="F108">
        <f t="shared" si="6"/>
        <v>1</v>
      </c>
      <c r="G108">
        <f t="shared" si="7"/>
        <v>79</v>
      </c>
      <c r="H108">
        <f t="shared" si="8"/>
        <v>0</v>
      </c>
      <c r="I108">
        <f t="shared" si="9"/>
        <v>0</v>
      </c>
    </row>
    <row r="109" spans="1:9" x14ac:dyDescent="0.25">
      <c r="A109" t="s">
        <v>172</v>
      </c>
      <c r="B109" t="s">
        <v>5</v>
      </c>
      <c r="C109" s="2">
        <v>30530</v>
      </c>
      <c r="D109" t="s">
        <v>40</v>
      </c>
      <c r="E109" s="2">
        <f t="shared" si="5"/>
        <v>33</v>
      </c>
      <c r="F109">
        <f t="shared" si="6"/>
        <v>1</v>
      </c>
      <c r="G109">
        <f t="shared" si="7"/>
        <v>37.5</v>
      </c>
      <c r="H109">
        <f t="shared" si="8"/>
        <v>0</v>
      </c>
      <c r="I109">
        <f t="shared" si="9"/>
        <v>0</v>
      </c>
    </row>
    <row r="110" spans="1:9" x14ac:dyDescent="0.25">
      <c r="A110" t="s">
        <v>173</v>
      </c>
      <c r="B110" t="s">
        <v>77</v>
      </c>
      <c r="C110" s="2">
        <v>31601</v>
      </c>
      <c r="D110" t="s">
        <v>12</v>
      </c>
      <c r="E110" s="2">
        <f t="shared" si="5"/>
        <v>30</v>
      </c>
      <c r="F110">
        <f t="shared" si="6"/>
        <v>0</v>
      </c>
      <c r="G110">
        <f t="shared" si="7"/>
        <v>0</v>
      </c>
      <c r="H110">
        <f t="shared" si="8"/>
        <v>1</v>
      </c>
      <c r="I110">
        <f t="shared" si="9"/>
        <v>30</v>
      </c>
    </row>
    <row r="111" spans="1:9" x14ac:dyDescent="0.25">
      <c r="A111" t="s">
        <v>174</v>
      </c>
      <c r="B111" t="s">
        <v>157</v>
      </c>
      <c r="C111" s="2">
        <v>28427</v>
      </c>
      <c r="D111" t="s">
        <v>12</v>
      </c>
      <c r="E111" s="2">
        <f t="shared" si="5"/>
        <v>39</v>
      </c>
      <c r="F111">
        <f t="shared" si="6"/>
        <v>1</v>
      </c>
      <c r="G111">
        <f t="shared" si="7"/>
        <v>37.5</v>
      </c>
      <c r="H111">
        <f t="shared" si="8"/>
        <v>0</v>
      </c>
      <c r="I111">
        <f t="shared" si="9"/>
        <v>0</v>
      </c>
    </row>
    <row r="112" spans="1:9" x14ac:dyDescent="0.25">
      <c r="A112" t="s">
        <v>175</v>
      </c>
      <c r="B112" t="s">
        <v>176</v>
      </c>
      <c r="C112" s="2">
        <v>23139</v>
      </c>
      <c r="D112" t="s">
        <v>12</v>
      </c>
      <c r="E112" s="2">
        <f t="shared" si="5"/>
        <v>53</v>
      </c>
      <c r="F112">
        <f t="shared" si="6"/>
        <v>1</v>
      </c>
      <c r="G112">
        <f t="shared" si="7"/>
        <v>29.999999999999996</v>
      </c>
      <c r="H112">
        <f t="shared" si="8"/>
        <v>0</v>
      </c>
      <c r="I112">
        <f t="shared" si="9"/>
        <v>0</v>
      </c>
    </row>
    <row r="113" spans="1:9" x14ac:dyDescent="0.25">
      <c r="A113" t="s">
        <v>174</v>
      </c>
      <c r="B113" t="s">
        <v>177</v>
      </c>
      <c r="C113" s="2">
        <v>29861</v>
      </c>
      <c r="D113" t="s">
        <v>12</v>
      </c>
      <c r="E113" s="2">
        <f t="shared" si="5"/>
        <v>35</v>
      </c>
      <c r="F113">
        <f t="shared" si="6"/>
        <v>1</v>
      </c>
      <c r="G113">
        <f t="shared" si="7"/>
        <v>37.5</v>
      </c>
      <c r="H113">
        <f t="shared" si="8"/>
        <v>0</v>
      </c>
      <c r="I113">
        <f t="shared" si="9"/>
        <v>0</v>
      </c>
    </row>
    <row r="114" spans="1:9" x14ac:dyDescent="0.25">
      <c r="A114" t="s">
        <v>178</v>
      </c>
      <c r="B114" t="s">
        <v>179</v>
      </c>
      <c r="C114" s="2">
        <v>32545</v>
      </c>
      <c r="D114" t="s">
        <v>40</v>
      </c>
      <c r="E114" s="2">
        <f t="shared" si="5"/>
        <v>27</v>
      </c>
      <c r="F114">
        <f t="shared" si="6"/>
        <v>0</v>
      </c>
      <c r="G114">
        <f t="shared" si="7"/>
        <v>0</v>
      </c>
      <c r="H114">
        <f t="shared" si="8"/>
        <v>1</v>
      </c>
      <c r="I114">
        <f t="shared" si="9"/>
        <v>30</v>
      </c>
    </row>
    <row r="115" spans="1:9" x14ac:dyDescent="0.25">
      <c r="A115" t="s">
        <v>180</v>
      </c>
      <c r="B115" t="s">
        <v>94</v>
      </c>
      <c r="C115" s="2">
        <v>29361</v>
      </c>
      <c r="D115" t="s">
        <v>12</v>
      </c>
      <c r="E115" s="2">
        <f t="shared" si="5"/>
        <v>36</v>
      </c>
      <c r="F115">
        <f t="shared" si="6"/>
        <v>0</v>
      </c>
      <c r="G115">
        <f t="shared" si="7"/>
        <v>0</v>
      </c>
      <c r="H115">
        <f t="shared" si="8"/>
        <v>1</v>
      </c>
      <c r="I115">
        <f t="shared" si="9"/>
        <v>45</v>
      </c>
    </row>
    <row r="116" spans="1:9" x14ac:dyDescent="0.25">
      <c r="A116" t="s">
        <v>181</v>
      </c>
      <c r="B116" t="s">
        <v>49</v>
      </c>
      <c r="C116" s="2">
        <v>17772</v>
      </c>
      <c r="D116" t="s">
        <v>40</v>
      </c>
      <c r="E116" s="2">
        <f t="shared" si="5"/>
        <v>68</v>
      </c>
      <c r="F116">
        <f t="shared" si="6"/>
        <v>0</v>
      </c>
      <c r="G116">
        <f t="shared" si="7"/>
        <v>0</v>
      </c>
      <c r="H116">
        <f t="shared" si="8"/>
        <v>1</v>
      </c>
      <c r="I116">
        <f t="shared" si="9"/>
        <v>85</v>
      </c>
    </row>
    <row r="117" spans="1:9" x14ac:dyDescent="0.25">
      <c r="A117" t="s">
        <v>182</v>
      </c>
      <c r="B117" t="s">
        <v>183</v>
      </c>
      <c r="C117" s="2">
        <v>28580</v>
      </c>
      <c r="D117" t="s">
        <v>6</v>
      </c>
      <c r="E117" s="2">
        <f t="shared" si="5"/>
        <v>38</v>
      </c>
      <c r="F117">
        <f t="shared" si="6"/>
        <v>1</v>
      </c>
      <c r="G117">
        <f t="shared" si="7"/>
        <v>37.5</v>
      </c>
      <c r="H117">
        <f t="shared" si="8"/>
        <v>0</v>
      </c>
      <c r="I117">
        <f t="shared" si="9"/>
        <v>0</v>
      </c>
    </row>
    <row r="118" spans="1:9" x14ac:dyDescent="0.25">
      <c r="A118" t="s">
        <v>184</v>
      </c>
      <c r="B118" t="s">
        <v>185</v>
      </c>
      <c r="C118" s="2">
        <v>21154</v>
      </c>
      <c r="D118" t="s">
        <v>40</v>
      </c>
      <c r="E118" s="2">
        <f t="shared" si="5"/>
        <v>59</v>
      </c>
      <c r="F118">
        <f t="shared" si="6"/>
        <v>1</v>
      </c>
      <c r="G118">
        <f t="shared" si="7"/>
        <v>29.999999999999996</v>
      </c>
      <c r="H118">
        <f t="shared" si="8"/>
        <v>0</v>
      </c>
      <c r="I118">
        <f t="shared" si="9"/>
        <v>0</v>
      </c>
    </row>
    <row r="119" spans="1:9" x14ac:dyDescent="0.25">
      <c r="A119" t="s">
        <v>186</v>
      </c>
      <c r="B119" t="s">
        <v>54</v>
      </c>
      <c r="C119" s="2">
        <v>18183</v>
      </c>
      <c r="D119" t="s">
        <v>12</v>
      </c>
      <c r="E119" s="2">
        <f t="shared" si="5"/>
        <v>67</v>
      </c>
      <c r="F119">
        <f t="shared" si="6"/>
        <v>1</v>
      </c>
      <c r="G119">
        <f t="shared" si="7"/>
        <v>79</v>
      </c>
      <c r="H119">
        <f t="shared" si="8"/>
        <v>0</v>
      </c>
      <c r="I119">
        <f t="shared" si="9"/>
        <v>0</v>
      </c>
    </row>
    <row r="120" spans="1:9" x14ac:dyDescent="0.25">
      <c r="A120" t="s">
        <v>187</v>
      </c>
      <c r="B120" t="s">
        <v>188</v>
      </c>
      <c r="C120" s="2">
        <v>20630</v>
      </c>
      <c r="D120" t="s">
        <v>6</v>
      </c>
      <c r="E120" s="2">
        <f t="shared" si="5"/>
        <v>60</v>
      </c>
      <c r="F120">
        <f t="shared" si="6"/>
        <v>1</v>
      </c>
      <c r="G120">
        <f t="shared" si="7"/>
        <v>29.999999999999996</v>
      </c>
      <c r="H120">
        <f t="shared" si="8"/>
        <v>0</v>
      </c>
      <c r="I120">
        <f t="shared" si="9"/>
        <v>0</v>
      </c>
    </row>
    <row r="121" spans="1:9" x14ac:dyDescent="0.25">
      <c r="A121" t="s">
        <v>189</v>
      </c>
      <c r="B121" t="s">
        <v>49</v>
      </c>
      <c r="C121" s="2">
        <v>34364</v>
      </c>
      <c r="D121" t="s">
        <v>12</v>
      </c>
      <c r="E121" s="2">
        <f t="shared" si="5"/>
        <v>22</v>
      </c>
      <c r="F121">
        <f t="shared" si="6"/>
        <v>0</v>
      </c>
      <c r="G121">
        <f t="shared" si="7"/>
        <v>0</v>
      </c>
      <c r="H121">
        <f t="shared" si="8"/>
        <v>1</v>
      </c>
      <c r="I121">
        <f t="shared" si="9"/>
        <v>30</v>
      </c>
    </row>
    <row r="122" spans="1:9" x14ac:dyDescent="0.25">
      <c r="A122" t="s">
        <v>190</v>
      </c>
      <c r="B122" t="s">
        <v>20</v>
      </c>
      <c r="C122" s="2">
        <v>25582</v>
      </c>
      <c r="D122" t="s">
        <v>6</v>
      </c>
      <c r="E122" s="2">
        <f t="shared" si="5"/>
        <v>46</v>
      </c>
      <c r="F122">
        <f t="shared" si="6"/>
        <v>1</v>
      </c>
      <c r="G122">
        <f t="shared" si="7"/>
        <v>29.999999999999996</v>
      </c>
      <c r="H122">
        <f t="shared" si="8"/>
        <v>0</v>
      </c>
      <c r="I122">
        <f t="shared" si="9"/>
        <v>0</v>
      </c>
    </row>
    <row r="123" spans="1:9" x14ac:dyDescent="0.25">
      <c r="A123" t="s">
        <v>191</v>
      </c>
      <c r="B123" t="s">
        <v>192</v>
      </c>
      <c r="C123" s="2">
        <v>29350</v>
      </c>
      <c r="D123" t="s">
        <v>12</v>
      </c>
      <c r="E123" s="2">
        <f t="shared" si="5"/>
        <v>36</v>
      </c>
      <c r="F123">
        <f t="shared" si="6"/>
        <v>1</v>
      </c>
      <c r="G123">
        <f t="shared" si="7"/>
        <v>37.5</v>
      </c>
      <c r="H123">
        <f t="shared" si="8"/>
        <v>0</v>
      </c>
      <c r="I123">
        <f t="shared" si="9"/>
        <v>0</v>
      </c>
    </row>
    <row r="124" spans="1:9" x14ac:dyDescent="0.25">
      <c r="A124" t="s">
        <v>193</v>
      </c>
      <c r="B124" t="s">
        <v>194</v>
      </c>
      <c r="C124" s="2">
        <v>21704</v>
      </c>
      <c r="D124" t="s">
        <v>6</v>
      </c>
      <c r="E124" s="2">
        <f t="shared" si="5"/>
        <v>57</v>
      </c>
      <c r="F124">
        <f t="shared" si="6"/>
        <v>1</v>
      </c>
      <c r="G124">
        <f t="shared" si="7"/>
        <v>29.999999999999996</v>
      </c>
      <c r="H124">
        <f t="shared" si="8"/>
        <v>0</v>
      </c>
      <c r="I124">
        <f t="shared" si="9"/>
        <v>0</v>
      </c>
    </row>
    <row r="125" spans="1:9" x14ac:dyDescent="0.25">
      <c r="A125" t="s">
        <v>195</v>
      </c>
      <c r="B125" t="s">
        <v>192</v>
      </c>
      <c r="C125" s="2">
        <v>20436</v>
      </c>
      <c r="D125" t="s">
        <v>12</v>
      </c>
      <c r="E125" s="2">
        <f t="shared" si="5"/>
        <v>61</v>
      </c>
      <c r="F125">
        <f t="shared" si="6"/>
        <v>1</v>
      </c>
      <c r="G125">
        <f t="shared" si="7"/>
        <v>79</v>
      </c>
      <c r="H125">
        <f t="shared" si="8"/>
        <v>0</v>
      </c>
      <c r="I125">
        <f t="shared" si="9"/>
        <v>0</v>
      </c>
    </row>
    <row r="126" spans="1:9" x14ac:dyDescent="0.25">
      <c r="A126" t="s">
        <v>196</v>
      </c>
      <c r="B126" t="s">
        <v>139</v>
      </c>
      <c r="C126" s="2">
        <v>24475</v>
      </c>
      <c r="D126" t="s">
        <v>12</v>
      </c>
      <c r="E126" s="2">
        <f t="shared" si="5"/>
        <v>49</v>
      </c>
      <c r="F126">
        <f t="shared" si="6"/>
        <v>0</v>
      </c>
      <c r="G126">
        <f t="shared" si="7"/>
        <v>0</v>
      </c>
      <c r="H126">
        <f t="shared" si="8"/>
        <v>1</v>
      </c>
      <c r="I126">
        <f t="shared" si="9"/>
        <v>36</v>
      </c>
    </row>
    <row r="127" spans="1:9" x14ac:dyDescent="0.25">
      <c r="A127" t="s">
        <v>197</v>
      </c>
      <c r="B127" t="s">
        <v>87</v>
      </c>
      <c r="C127" s="2">
        <v>26773</v>
      </c>
      <c r="D127" t="s">
        <v>6</v>
      </c>
      <c r="E127" s="2">
        <f t="shared" si="5"/>
        <v>43</v>
      </c>
      <c r="F127">
        <f t="shared" si="6"/>
        <v>0</v>
      </c>
      <c r="G127">
        <f t="shared" si="7"/>
        <v>0</v>
      </c>
      <c r="H127">
        <f t="shared" si="8"/>
        <v>1</v>
      </c>
      <c r="I127">
        <f t="shared" si="9"/>
        <v>45</v>
      </c>
    </row>
    <row r="128" spans="1:9" x14ac:dyDescent="0.25">
      <c r="A128" t="s">
        <v>198</v>
      </c>
      <c r="B128" t="s">
        <v>199</v>
      </c>
      <c r="C128" s="2">
        <v>17668</v>
      </c>
      <c r="D128" t="s">
        <v>12</v>
      </c>
      <c r="E128" s="2">
        <f t="shared" si="5"/>
        <v>68</v>
      </c>
      <c r="F128">
        <f t="shared" si="6"/>
        <v>1</v>
      </c>
      <c r="G128">
        <f t="shared" si="7"/>
        <v>79</v>
      </c>
      <c r="H128">
        <f t="shared" si="8"/>
        <v>0</v>
      </c>
      <c r="I128">
        <f t="shared" si="9"/>
        <v>0</v>
      </c>
    </row>
    <row r="129" spans="1:9" x14ac:dyDescent="0.25">
      <c r="A129" t="s">
        <v>200</v>
      </c>
      <c r="B129" t="s">
        <v>201</v>
      </c>
      <c r="C129" s="2">
        <v>17382</v>
      </c>
      <c r="D129" t="s">
        <v>12</v>
      </c>
      <c r="E129" s="2">
        <f t="shared" si="5"/>
        <v>69</v>
      </c>
      <c r="F129">
        <f t="shared" si="6"/>
        <v>1</v>
      </c>
      <c r="G129">
        <f t="shared" si="7"/>
        <v>79</v>
      </c>
      <c r="H129">
        <f t="shared" si="8"/>
        <v>0</v>
      </c>
      <c r="I129">
        <f t="shared" si="9"/>
        <v>0</v>
      </c>
    </row>
    <row r="130" spans="1:9" x14ac:dyDescent="0.25">
      <c r="A130" t="s">
        <v>202</v>
      </c>
      <c r="B130" t="s">
        <v>8</v>
      </c>
      <c r="C130" s="2">
        <v>16976</v>
      </c>
      <c r="D130" t="s">
        <v>6</v>
      </c>
      <c r="E130" s="2">
        <f t="shared" si="5"/>
        <v>70</v>
      </c>
      <c r="F130">
        <f t="shared" si="6"/>
        <v>0</v>
      </c>
      <c r="G130">
        <f t="shared" si="7"/>
        <v>0</v>
      </c>
      <c r="H130">
        <f t="shared" si="8"/>
        <v>1</v>
      </c>
      <c r="I130">
        <f t="shared" si="9"/>
        <v>85</v>
      </c>
    </row>
    <row r="131" spans="1:9" x14ac:dyDescent="0.25">
      <c r="A131" t="s">
        <v>203</v>
      </c>
      <c r="B131" t="s">
        <v>204</v>
      </c>
      <c r="C131" s="2">
        <v>33779</v>
      </c>
      <c r="D131" t="s">
        <v>40</v>
      </c>
      <c r="E131" s="2">
        <f t="shared" ref="E131:E194" si="10">2016-YEAR(C131)</f>
        <v>24</v>
      </c>
      <c r="F131">
        <f t="shared" ref="F131:F194" si="11">IF(RIGHT(B131,1)="a",1,0)</f>
        <v>0</v>
      </c>
      <c r="G131">
        <f t="shared" ref="G131:G194" si="12">IF(F131=1,IF(E131&lt;=30,0.1%*25000,IF(AND(E131&gt;=31,E131&lt;=45),0.15%*25000,IF(AND(E131&gt;=46,E131&lt;=60),25000*0.12%,25000*0.12%+49))),0)</f>
        <v>0</v>
      </c>
      <c r="H131">
        <f t="shared" ref="H131:H194" si="13">IF(F131=1,0,1)</f>
        <v>1</v>
      </c>
      <c r="I131">
        <f t="shared" ref="I131:I194" si="14">IF(H131=1,IF(E131&lt;=30,0.1%*30000,IF(AND(E131&gt;=31,E131&lt;=45),0.15%*30000,IF(AND(E131&gt;=46,E131&lt;=60),30000*0.12%,30000*0.12%+49))),0)</f>
        <v>30</v>
      </c>
    </row>
    <row r="132" spans="1:9" x14ac:dyDescent="0.25">
      <c r="A132" t="s">
        <v>75</v>
      </c>
      <c r="B132" t="s">
        <v>37</v>
      </c>
      <c r="C132" s="2">
        <v>33885</v>
      </c>
      <c r="D132" t="s">
        <v>6</v>
      </c>
      <c r="E132" s="2">
        <f t="shared" si="10"/>
        <v>24</v>
      </c>
      <c r="F132">
        <f t="shared" si="11"/>
        <v>1</v>
      </c>
      <c r="G132">
        <f t="shared" si="12"/>
        <v>25</v>
      </c>
      <c r="H132">
        <f t="shared" si="13"/>
        <v>0</v>
      </c>
      <c r="I132">
        <f t="shared" si="14"/>
        <v>0</v>
      </c>
    </row>
    <row r="133" spans="1:9" x14ac:dyDescent="0.25">
      <c r="A133" t="s">
        <v>205</v>
      </c>
      <c r="B133" t="s">
        <v>25</v>
      </c>
      <c r="C133" s="2">
        <v>30498</v>
      </c>
      <c r="D133" t="s">
        <v>9</v>
      </c>
      <c r="E133" s="2">
        <f t="shared" si="10"/>
        <v>33</v>
      </c>
      <c r="F133">
        <f t="shared" si="11"/>
        <v>1</v>
      </c>
      <c r="G133">
        <f t="shared" si="12"/>
        <v>37.5</v>
      </c>
      <c r="H133">
        <f t="shared" si="13"/>
        <v>0</v>
      </c>
      <c r="I133">
        <f t="shared" si="14"/>
        <v>0</v>
      </c>
    </row>
    <row r="134" spans="1:9" x14ac:dyDescent="0.25">
      <c r="A134" t="s">
        <v>206</v>
      </c>
      <c r="B134" t="s">
        <v>167</v>
      </c>
      <c r="C134" s="2">
        <v>22090</v>
      </c>
      <c r="D134" t="s">
        <v>9</v>
      </c>
      <c r="E134" s="2">
        <f t="shared" si="10"/>
        <v>56</v>
      </c>
      <c r="F134">
        <f t="shared" si="11"/>
        <v>0</v>
      </c>
      <c r="G134">
        <f t="shared" si="12"/>
        <v>0</v>
      </c>
      <c r="H134">
        <f t="shared" si="13"/>
        <v>1</v>
      </c>
      <c r="I134">
        <f t="shared" si="14"/>
        <v>36</v>
      </c>
    </row>
    <row r="135" spans="1:9" x14ac:dyDescent="0.25">
      <c r="A135" t="s">
        <v>207</v>
      </c>
      <c r="B135" t="s">
        <v>37</v>
      </c>
      <c r="C135" s="2">
        <v>27938</v>
      </c>
      <c r="D135" t="s">
        <v>6</v>
      </c>
      <c r="E135" s="2">
        <f t="shared" si="10"/>
        <v>40</v>
      </c>
      <c r="F135">
        <f t="shared" si="11"/>
        <v>1</v>
      </c>
      <c r="G135">
        <f t="shared" si="12"/>
        <v>37.5</v>
      </c>
      <c r="H135">
        <f t="shared" si="13"/>
        <v>0</v>
      </c>
      <c r="I135">
        <f t="shared" si="14"/>
        <v>0</v>
      </c>
    </row>
    <row r="136" spans="1:9" x14ac:dyDescent="0.25">
      <c r="A136" t="s">
        <v>208</v>
      </c>
      <c r="B136" t="s">
        <v>47</v>
      </c>
      <c r="C136" s="2">
        <v>23762</v>
      </c>
      <c r="D136" t="s">
        <v>12</v>
      </c>
      <c r="E136" s="2">
        <f t="shared" si="10"/>
        <v>51</v>
      </c>
      <c r="F136">
        <f t="shared" si="11"/>
        <v>1</v>
      </c>
      <c r="G136">
        <f t="shared" si="12"/>
        <v>29.999999999999996</v>
      </c>
      <c r="H136">
        <f t="shared" si="13"/>
        <v>0</v>
      </c>
      <c r="I136">
        <f t="shared" si="14"/>
        <v>0</v>
      </c>
    </row>
    <row r="137" spans="1:9" x14ac:dyDescent="0.25">
      <c r="A137" t="s">
        <v>209</v>
      </c>
      <c r="B137" t="s">
        <v>131</v>
      </c>
      <c r="C137" s="2">
        <v>25158</v>
      </c>
      <c r="D137" t="s">
        <v>6</v>
      </c>
      <c r="E137" s="2">
        <f t="shared" si="10"/>
        <v>48</v>
      </c>
      <c r="F137">
        <f t="shared" si="11"/>
        <v>1</v>
      </c>
      <c r="G137">
        <f t="shared" si="12"/>
        <v>29.999999999999996</v>
      </c>
      <c r="H137">
        <f t="shared" si="13"/>
        <v>0</v>
      </c>
      <c r="I137">
        <f t="shared" si="14"/>
        <v>0</v>
      </c>
    </row>
    <row r="138" spans="1:9" x14ac:dyDescent="0.25">
      <c r="A138" t="s">
        <v>210</v>
      </c>
      <c r="B138" t="s">
        <v>37</v>
      </c>
      <c r="C138" s="2">
        <v>24824</v>
      </c>
      <c r="D138" t="s">
        <v>12</v>
      </c>
      <c r="E138" s="2">
        <f t="shared" si="10"/>
        <v>49</v>
      </c>
      <c r="F138">
        <f t="shared" si="11"/>
        <v>1</v>
      </c>
      <c r="G138">
        <f t="shared" si="12"/>
        <v>29.999999999999996</v>
      </c>
      <c r="H138">
        <f t="shared" si="13"/>
        <v>0</v>
      </c>
      <c r="I138">
        <f t="shared" si="14"/>
        <v>0</v>
      </c>
    </row>
    <row r="139" spans="1:9" x14ac:dyDescent="0.25">
      <c r="A139" t="s">
        <v>211</v>
      </c>
      <c r="B139" t="s">
        <v>49</v>
      </c>
      <c r="C139" s="2">
        <v>33398</v>
      </c>
      <c r="D139" t="s">
        <v>9</v>
      </c>
      <c r="E139" s="2">
        <f t="shared" si="10"/>
        <v>25</v>
      </c>
      <c r="F139">
        <f t="shared" si="11"/>
        <v>0</v>
      </c>
      <c r="G139">
        <f t="shared" si="12"/>
        <v>0</v>
      </c>
      <c r="H139">
        <f t="shared" si="13"/>
        <v>1</v>
      </c>
      <c r="I139">
        <f t="shared" si="14"/>
        <v>30</v>
      </c>
    </row>
    <row r="140" spans="1:9" x14ac:dyDescent="0.25">
      <c r="A140" t="s">
        <v>212</v>
      </c>
      <c r="B140" t="s">
        <v>18</v>
      </c>
      <c r="C140" s="2">
        <v>34795</v>
      </c>
      <c r="D140" t="s">
        <v>9</v>
      </c>
      <c r="E140" s="2">
        <f t="shared" si="10"/>
        <v>21</v>
      </c>
      <c r="F140">
        <f t="shared" si="11"/>
        <v>0</v>
      </c>
      <c r="G140">
        <f t="shared" si="12"/>
        <v>0</v>
      </c>
      <c r="H140">
        <f t="shared" si="13"/>
        <v>1</v>
      </c>
      <c r="I140">
        <f t="shared" si="14"/>
        <v>30</v>
      </c>
    </row>
    <row r="141" spans="1:9" x14ac:dyDescent="0.25">
      <c r="A141" t="s">
        <v>88</v>
      </c>
      <c r="B141" t="s">
        <v>213</v>
      </c>
      <c r="C141" s="2">
        <v>20374</v>
      </c>
      <c r="D141" t="s">
        <v>12</v>
      </c>
      <c r="E141" s="2">
        <f t="shared" si="10"/>
        <v>61</v>
      </c>
      <c r="F141">
        <f t="shared" si="11"/>
        <v>1</v>
      </c>
      <c r="G141">
        <f t="shared" si="12"/>
        <v>79</v>
      </c>
      <c r="H141">
        <f t="shared" si="13"/>
        <v>0</v>
      </c>
      <c r="I141">
        <f t="shared" si="14"/>
        <v>0</v>
      </c>
    </row>
    <row r="142" spans="1:9" x14ac:dyDescent="0.25">
      <c r="A142" t="s">
        <v>214</v>
      </c>
      <c r="B142" t="s">
        <v>165</v>
      </c>
      <c r="C142" s="2">
        <v>25416</v>
      </c>
      <c r="D142" t="s">
        <v>12</v>
      </c>
      <c r="E142" s="2">
        <f t="shared" si="10"/>
        <v>47</v>
      </c>
      <c r="F142">
        <f t="shared" si="11"/>
        <v>1</v>
      </c>
      <c r="G142">
        <f t="shared" si="12"/>
        <v>29.999999999999996</v>
      </c>
      <c r="H142">
        <f t="shared" si="13"/>
        <v>0</v>
      </c>
      <c r="I142">
        <f t="shared" si="14"/>
        <v>0</v>
      </c>
    </row>
    <row r="143" spans="1:9" x14ac:dyDescent="0.25">
      <c r="A143" t="s">
        <v>215</v>
      </c>
      <c r="B143" t="s">
        <v>216</v>
      </c>
      <c r="C143" s="2">
        <v>21548</v>
      </c>
      <c r="D143" t="s">
        <v>12</v>
      </c>
      <c r="E143" s="2">
        <f t="shared" si="10"/>
        <v>58</v>
      </c>
      <c r="F143">
        <f t="shared" si="11"/>
        <v>1</v>
      </c>
      <c r="G143">
        <f t="shared" si="12"/>
        <v>29.999999999999996</v>
      </c>
      <c r="H143">
        <f t="shared" si="13"/>
        <v>0</v>
      </c>
      <c r="I143">
        <f t="shared" si="14"/>
        <v>0</v>
      </c>
    </row>
    <row r="144" spans="1:9" x14ac:dyDescent="0.25">
      <c r="A144" t="s">
        <v>217</v>
      </c>
      <c r="B144" t="s">
        <v>54</v>
      </c>
      <c r="C144" s="2">
        <v>31232</v>
      </c>
      <c r="D144" t="s">
        <v>9</v>
      </c>
      <c r="E144" s="2">
        <f t="shared" si="10"/>
        <v>31</v>
      </c>
      <c r="F144">
        <f t="shared" si="11"/>
        <v>1</v>
      </c>
      <c r="G144">
        <f t="shared" si="12"/>
        <v>37.5</v>
      </c>
      <c r="H144">
        <f t="shared" si="13"/>
        <v>0</v>
      </c>
      <c r="I144">
        <f t="shared" si="14"/>
        <v>0</v>
      </c>
    </row>
    <row r="145" spans="1:9" x14ac:dyDescent="0.25">
      <c r="A145" t="s">
        <v>218</v>
      </c>
      <c r="B145" t="s">
        <v>121</v>
      </c>
      <c r="C145" s="2">
        <v>28472</v>
      </c>
      <c r="D145" t="s">
        <v>12</v>
      </c>
      <c r="E145" s="2">
        <f t="shared" si="10"/>
        <v>39</v>
      </c>
      <c r="F145">
        <f t="shared" si="11"/>
        <v>1</v>
      </c>
      <c r="G145">
        <f t="shared" si="12"/>
        <v>37.5</v>
      </c>
      <c r="H145">
        <f t="shared" si="13"/>
        <v>0</v>
      </c>
      <c r="I145">
        <f t="shared" si="14"/>
        <v>0</v>
      </c>
    </row>
    <row r="146" spans="1:9" x14ac:dyDescent="0.25">
      <c r="A146" t="s">
        <v>219</v>
      </c>
      <c r="B146" t="s">
        <v>29</v>
      </c>
      <c r="C146" s="2">
        <v>34287</v>
      </c>
      <c r="D146" t="s">
        <v>12</v>
      </c>
      <c r="E146" s="2">
        <f t="shared" si="10"/>
        <v>23</v>
      </c>
      <c r="F146">
        <f t="shared" si="11"/>
        <v>0</v>
      </c>
      <c r="G146">
        <f t="shared" si="12"/>
        <v>0</v>
      </c>
      <c r="H146">
        <f t="shared" si="13"/>
        <v>1</v>
      </c>
      <c r="I146">
        <f t="shared" si="14"/>
        <v>30</v>
      </c>
    </row>
    <row r="147" spans="1:9" x14ac:dyDescent="0.25">
      <c r="A147" t="s">
        <v>220</v>
      </c>
      <c r="B147" t="s">
        <v>92</v>
      </c>
      <c r="C147" s="2">
        <v>24972</v>
      </c>
      <c r="D147" t="s">
        <v>6</v>
      </c>
      <c r="E147" s="2">
        <f t="shared" si="10"/>
        <v>48</v>
      </c>
      <c r="F147">
        <f t="shared" si="11"/>
        <v>0</v>
      </c>
      <c r="G147">
        <f t="shared" si="12"/>
        <v>0</v>
      </c>
      <c r="H147">
        <f t="shared" si="13"/>
        <v>1</v>
      </c>
      <c r="I147">
        <f t="shared" si="14"/>
        <v>36</v>
      </c>
    </row>
    <row r="148" spans="1:9" x14ac:dyDescent="0.25">
      <c r="A148" t="s">
        <v>221</v>
      </c>
      <c r="B148" t="s">
        <v>154</v>
      </c>
      <c r="C148" s="2">
        <v>18787</v>
      </c>
      <c r="D148" t="s">
        <v>9</v>
      </c>
      <c r="E148" s="2">
        <f t="shared" si="10"/>
        <v>65</v>
      </c>
      <c r="F148">
        <f t="shared" si="11"/>
        <v>1</v>
      </c>
      <c r="G148">
        <f t="shared" si="12"/>
        <v>79</v>
      </c>
      <c r="H148">
        <f t="shared" si="13"/>
        <v>0</v>
      </c>
      <c r="I148">
        <f t="shared" si="14"/>
        <v>0</v>
      </c>
    </row>
    <row r="149" spans="1:9" x14ac:dyDescent="0.25">
      <c r="A149" t="s">
        <v>222</v>
      </c>
      <c r="B149" t="s">
        <v>49</v>
      </c>
      <c r="C149" s="2">
        <v>27611</v>
      </c>
      <c r="D149" t="s">
        <v>9</v>
      </c>
      <c r="E149" s="2">
        <f t="shared" si="10"/>
        <v>41</v>
      </c>
      <c r="F149">
        <f t="shared" si="11"/>
        <v>0</v>
      </c>
      <c r="G149">
        <f t="shared" si="12"/>
        <v>0</v>
      </c>
      <c r="H149">
        <f t="shared" si="13"/>
        <v>1</v>
      </c>
      <c r="I149">
        <f t="shared" si="14"/>
        <v>45</v>
      </c>
    </row>
    <row r="150" spans="1:9" x14ac:dyDescent="0.25">
      <c r="A150" t="s">
        <v>223</v>
      </c>
      <c r="B150" t="s">
        <v>224</v>
      </c>
      <c r="C150" s="2">
        <v>26071</v>
      </c>
      <c r="D150" t="s">
        <v>12</v>
      </c>
      <c r="E150" s="2">
        <f t="shared" si="10"/>
        <v>45</v>
      </c>
      <c r="F150">
        <f t="shared" si="11"/>
        <v>1</v>
      </c>
      <c r="G150">
        <f t="shared" si="12"/>
        <v>37.5</v>
      </c>
      <c r="H150">
        <f t="shared" si="13"/>
        <v>0</v>
      </c>
      <c r="I150">
        <f t="shared" si="14"/>
        <v>0</v>
      </c>
    </row>
    <row r="151" spans="1:9" x14ac:dyDescent="0.25">
      <c r="A151" t="s">
        <v>225</v>
      </c>
      <c r="B151" t="s">
        <v>20</v>
      </c>
      <c r="C151" s="2">
        <v>18285</v>
      </c>
      <c r="D151" t="s">
        <v>6</v>
      </c>
      <c r="E151" s="2">
        <f t="shared" si="10"/>
        <v>66</v>
      </c>
      <c r="F151">
        <f t="shared" si="11"/>
        <v>1</v>
      </c>
      <c r="G151">
        <f t="shared" si="12"/>
        <v>79</v>
      </c>
      <c r="H151">
        <f t="shared" si="13"/>
        <v>0</v>
      </c>
      <c r="I151">
        <f t="shared" si="14"/>
        <v>0</v>
      </c>
    </row>
    <row r="152" spans="1:9" x14ac:dyDescent="0.25">
      <c r="A152" t="s">
        <v>226</v>
      </c>
      <c r="B152" t="s">
        <v>8</v>
      </c>
      <c r="C152" s="2">
        <v>33696</v>
      </c>
      <c r="D152" t="s">
        <v>12</v>
      </c>
      <c r="E152" s="2">
        <f t="shared" si="10"/>
        <v>24</v>
      </c>
      <c r="F152">
        <f t="shared" si="11"/>
        <v>0</v>
      </c>
      <c r="G152">
        <f t="shared" si="12"/>
        <v>0</v>
      </c>
      <c r="H152">
        <f t="shared" si="13"/>
        <v>1</v>
      </c>
      <c r="I152">
        <f t="shared" si="14"/>
        <v>30</v>
      </c>
    </row>
    <row r="153" spans="1:9" x14ac:dyDescent="0.25">
      <c r="A153" t="s">
        <v>227</v>
      </c>
      <c r="B153" t="s">
        <v>81</v>
      </c>
      <c r="C153" s="2">
        <v>25404</v>
      </c>
      <c r="D153" t="s">
        <v>12</v>
      </c>
      <c r="E153" s="2">
        <f t="shared" si="10"/>
        <v>47</v>
      </c>
      <c r="F153">
        <f t="shared" si="11"/>
        <v>1</v>
      </c>
      <c r="G153">
        <f t="shared" si="12"/>
        <v>29.999999999999996</v>
      </c>
      <c r="H153">
        <f t="shared" si="13"/>
        <v>0</v>
      </c>
      <c r="I153">
        <f t="shared" si="14"/>
        <v>0</v>
      </c>
    </row>
    <row r="154" spans="1:9" x14ac:dyDescent="0.25">
      <c r="A154" t="s">
        <v>26</v>
      </c>
      <c r="B154" t="s">
        <v>114</v>
      </c>
      <c r="C154" s="2">
        <v>21769</v>
      </c>
      <c r="D154" t="s">
        <v>6</v>
      </c>
      <c r="E154" s="2">
        <f t="shared" si="10"/>
        <v>57</v>
      </c>
      <c r="F154">
        <f t="shared" si="11"/>
        <v>0</v>
      </c>
      <c r="G154">
        <f t="shared" si="12"/>
        <v>0</v>
      </c>
      <c r="H154">
        <f t="shared" si="13"/>
        <v>1</v>
      </c>
      <c r="I154">
        <f t="shared" si="14"/>
        <v>36</v>
      </c>
    </row>
    <row r="155" spans="1:9" x14ac:dyDescent="0.25">
      <c r="A155" t="s">
        <v>228</v>
      </c>
      <c r="B155" t="s">
        <v>49</v>
      </c>
      <c r="C155" s="2">
        <v>26490</v>
      </c>
      <c r="D155" t="s">
        <v>6</v>
      </c>
      <c r="E155" s="2">
        <f t="shared" si="10"/>
        <v>44</v>
      </c>
      <c r="F155">
        <f t="shared" si="11"/>
        <v>0</v>
      </c>
      <c r="G155">
        <f t="shared" si="12"/>
        <v>0</v>
      </c>
      <c r="H155">
        <f t="shared" si="13"/>
        <v>1</v>
      </c>
      <c r="I155">
        <f t="shared" si="14"/>
        <v>45</v>
      </c>
    </row>
    <row r="156" spans="1:9" x14ac:dyDescent="0.25">
      <c r="A156" t="s">
        <v>229</v>
      </c>
      <c r="B156" t="s">
        <v>105</v>
      </c>
      <c r="C156" s="2">
        <v>28897</v>
      </c>
      <c r="D156" t="s">
        <v>9</v>
      </c>
      <c r="E156" s="2">
        <f t="shared" si="10"/>
        <v>37</v>
      </c>
      <c r="F156">
        <f t="shared" si="11"/>
        <v>1</v>
      </c>
      <c r="G156">
        <f t="shared" si="12"/>
        <v>37.5</v>
      </c>
      <c r="H156">
        <f t="shared" si="13"/>
        <v>0</v>
      </c>
      <c r="I156">
        <f t="shared" si="14"/>
        <v>0</v>
      </c>
    </row>
    <row r="157" spans="1:9" x14ac:dyDescent="0.25">
      <c r="A157" t="s">
        <v>230</v>
      </c>
      <c r="B157" t="s">
        <v>231</v>
      </c>
      <c r="C157" s="2">
        <v>33454</v>
      </c>
      <c r="D157" t="s">
        <v>12</v>
      </c>
      <c r="E157" s="2">
        <f t="shared" si="10"/>
        <v>25</v>
      </c>
      <c r="F157">
        <f t="shared" si="11"/>
        <v>1</v>
      </c>
      <c r="G157">
        <f t="shared" si="12"/>
        <v>25</v>
      </c>
      <c r="H157">
        <f t="shared" si="13"/>
        <v>0</v>
      </c>
      <c r="I157">
        <f t="shared" si="14"/>
        <v>0</v>
      </c>
    </row>
    <row r="158" spans="1:9" x14ac:dyDescent="0.25">
      <c r="A158" t="s">
        <v>232</v>
      </c>
      <c r="B158" t="s">
        <v>233</v>
      </c>
      <c r="C158" s="2">
        <v>24539</v>
      </c>
      <c r="D158" t="s">
        <v>12</v>
      </c>
      <c r="E158" s="2">
        <f t="shared" si="10"/>
        <v>49</v>
      </c>
      <c r="F158">
        <f t="shared" si="11"/>
        <v>0</v>
      </c>
      <c r="G158">
        <f t="shared" si="12"/>
        <v>0</v>
      </c>
      <c r="H158">
        <f t="shared" si="13"/>
        <v>1</v>
      </c>
      <c r="I158">
        <f t="shared" si="14"/>
        <v>36</v>
      </c>
    </row>
    <row r="159" spans="1:9" x14ac:dyDescent="0.25">
      <c r="A159" t="s">
        <v>234</v>
      </c>
      <c r="B159" t="s">
        <v>235</v>
      </c>
      <c r="C159" s="2">
        <v>27992</v>
      </c>
      <c r="D159" t="s">
        <v>6</v>
      </c>
      <c r="E159" s="2">
        <f t="shared" si="10"/>
        <v>40</v>
      </c>
      <c r="F159">
        <f t="shared" si="11"/>
        <v>1</v>
      </c>
      <c r="G159">
        <f t="shared" si="12"/>
        <v>37.5</v>
      </c>
      <c r="H159">
        <f t="shared" si="13"/>
        <v>0</v>
      </c>
      <c r="I159">
        <f t="shared" si="14"/>
        <v>0</v>
      </c>
    </row>
    <row r="160" spans="1:9" x14ac:dyDescent="0.25">
      <c r="A160" t="s">
        <v>147</v>
      </c>
      <c r="B160" t="s">
        <v>236</v>
      </c>
      <c r="C160" s="2">
        <v>26335</v>
      </c>
      <c r="D160" t="s">
        <v>40</v>
      </c>
      <c r="E160" s="2">
        <f t="shared" si="10"/>
        <v>44</v>
      </c>
      <c r="F160">
        <f t="shared" si="11"/>
        <v>1</v>
      </c>
      <c r="G160">
        <f t="shared" si="12"/>
        <v>37.5</v>
      </c>
      <c r="H160">
        <f t="shared" si="13"/>
        <v>0</v>
      </c>
      <c r="I160">
        <f t="shared" si="14"/>
        <v>0</v>
      </c>
    </row>
    <row r="161" spans="1:9" x14ac:dyDescent="0.25">
      <c r="A161" t="s">
        <v>237</v>
      </c>
      <c r="B161" t="s">
        <v>167</v>
      </c>
      <c r="C161" s="2">
        <v>31095</v>
      </c>
      <c r="D161" t="s">
        <v>12</v>
      </c>
      <c r="E161" s="2">
        <f t="shared" si="10"/>
        <v>31</v>
      </c>
      <c r="F161">
        <f t="shared" si="11"/>
        <v>0</v>
      </c>
      <c r="G161">
        <f t="shared" si="12"/>
        <v>0</v>
      </c>
      <c r="H161">
        <f t="shared" si="13"/>
        <v>1</v>
      </c>
      <c r="I161">
        <f t="shared" si="14"/>
        <v>45</v>
      </c>
    </row>
    <row r="162" spans="1:9" x14ac:dyDescent="0.25">
      <c r="A162" t="s">
        <v>238</v>
      </c>
      <c r="B162" t="s">
        <v>169</v>
      </c>
      <c r="C162" s="2">
        <v>26112</v>
      </c>
      <c r="D162" t="s">
        <v>40</v>
      </c>
      <c r="E162" s="2">
        <f t="shared" si="10"/>
        <v>45</v>
      </c>
      <c r="F162">
        <f t="shared" si="11"/>
        <v>0</v>
      </c>
      <c r="G162">
        <f t="shared" si="12"/>
        <v>0</v>
      </c>
      <c r="H162">
        <f t="shared" si="13"/>
        <v>1</v>
      </c>
      <c r="I162">
        <f t="shared" si="14"/>
        <v>45</v>
      </c>
    </row>
    <row r="163" spans="1:9" x14ac:dyDescent="0.25">
      <c r="A163" t="s">
        <v>239</v>
      </c>
      <c r="B163" t="s">
        <v>54</v>
      </c>
      <c r="C163" s="2">
        <v>23272</v>
      </c>
      <c r="D163" t="s">
        <v>6</v>
      </c>
      <c r="E163" s="2">
        <f t="shared" si="10"/>
        <v>53</v>
      </c>
      <c r="F163">
        <f t="shared" si="11"/>
        <v>1</v>
      </c>
      <c r="G163">
        <f t="shared" si="12"/>
        <v>29.999999999999996</v>
      </c>
      <c r="H163">
        <f t="shared" si="13"/>
        <v>0</v>
      </c>
      <c r="I163">
        <f t="shared" si="14"/>
        <v>0</v>
      </c>
    </row>
    <row r="164" spans="1:9" x14ac:dyDescent="0.25">
      <c r="A164" t="s">
        <v>240</v>
      </c>
      <c r="B164" t="s">
        <v>32</v>
      </c>
      <c r="C164" s="2">
        <v>32952</v>
      </c>
      <c r="D164" t="s">
        <v>40</v>
      </c>
      <c r="E164" s="2">
        <f t="shared" si="10"/>
        <v>26</v>
      </c>
      <c r="F164">
        <f t="shared" si="11"/>
        <v>0</v>
      </c>
      <c r="G164">
        <f t="shared" si="12"/>
        <v>0</v>
      </c>
      <c r="H164">
        <f t="shared" si="13"/>
        <v>1</v>
      </c>
      <c r="I164">
        <f t="shared" si="14"/>
        <v>30</v>
      </c>
    </row>
    <row r="165" spans="1:9" x14ac:dyDescent="0.25">
      <c r="A165" t="s">
        <v>241</v>
      </c>
      <c r="B165" t="s">
        <v>39</v>
      </c>
      <c r="C165" s="2">
        <v>19759</v>
      </c>
      <c r="D165" t="s">
        <v>9</v>
      </c>
      <c r="E165" s="2">
        <f t="shared" si="10"/>
        <v>62</v>
      </c>
      <c r="F165">
        <f t="shared" si="11"/>
        <v>1</v>
      </c>
      <c r="G165">
        <f t="shared" si="12"/>
        <v>79</v>
      </c>
      <c r="H165">
        <f t="shared" si="13"/>
        <v>0</v>
      </c>
      <c r="I165">
        <f t="shared" si="14"/>
        <v>0</v>
      </c>
    </row>
    <row r="166" spans="1:9" x14ac:dyDescent="0.25">
      <c r="A166" t="s">
        <v>242</v>
      </c>
      <c r="B166" t="s">
        <v>152</v>
      </c>
      <c r="C166" s="2">
        <v>27324</v>
      </c>
      <c r="D166" t="s">
        <v>9</v>
      </c>
      <c r="E166" s="2">
        <f t="shared" si="10"/>
        <v>42</v>
      </c>
      <c r="F166">
        <f t="shared" si="11"/>
        <v>0</v>
      </c>
      <c r="G166">
        <f t="shared" si="12"/>
        <v>0</v>
      </c>
      <c r="H166">
        <f t="shared" si="13"/>
        <v>1</v>
      </c>
      <c r="I166">
        <f t="shared" si="14"/>
        <v>45</v>
      </c>
    </row>
    <row r="167" spans="1:9" x14ac:dyDescent="0.25">
      <c r="A167" t="s">
        <v>243</v>
      </c>
      <c r="B167" t="s">
        <v>236</v>
      </c>
      <c r="C167" s="2">
        <v>21838</v>
      </c>
      <c r="D167" t="s">
        <v>6</v>
      </c>
      <c r="E167" s="2">
        <f t="shared" si="10"/>
        <v>57</v>
      </c>
      <c r="F167">
        <f t="shared" si="11"/>
        <v>1</v>
      </c>
      <c r="G167">
        <f t="shared" si="12"/>
        <v>29.999999999999996</v>
      </c>
      <c r="H167">
        <f t="shared" si="13"/>
        <v>0</v>
      </c>
      <c r="I167">
        <f t="shared" si="14"/>
        <v>0</v>
      </c>
    </row>
    <row r="168" spans="1:9" x14ac:dyDescent="0.25">
      <c r="A168" t="s">
        <v>244</v>
      </c>
      <c r="B168" t="s">
        <v>47</v>
      </c>
      <c r="C168" s="2">
        <v>21051</v>
      </c>
      <c r="D168" t="s">
        <v>40</v>
      </c>
      <c r="E168" s="2">
        <f t="shared" si="10"/>
        <v>59</v>
      </c>
      <c r="F168">
        <f t="shared" si="11"/>
        <v>1</v>
      </c>
      <c r="G168">
        <f t="shared" si="12"/>
        <v>29.999999999999996</v>
      </c>
      <c r="H168">
        <f t="shared" si="13"/>
        <v>0</v>
      </c>
      <c r="I168">
        <f t="shared" si="14"/>
        <v>0</v>
      </c>
    </row>
    <row r="169" spans="1:9" x14ac:dyDescent="0.25">
      <c r="A169" t="s">
        <v>245</v>
      </c>
      <c r="B169" t="s">
        <v>246</v>
      </c>
      <c r="C169" s="2">
        <v>31292</v>
      </c>
      <c r="D169" t="s">
        <v>40</v>
      </c>
      <c r="E169" s="2">
        <f t="shared" si="10"/>
        <v>31</v>
      </c>
      <c r="F169">
        <f t="shared" si="11"/>
        <v>0</v>
      </c>
      <c r="G169">
        <f t="shared" si="12"/>
        <v>0</v>
      </c>
      <c r="H169">
        <f t="shared" si="13"/>
        <v>1</v>
      </c>
      <c r="I169">
        <f t="shared" si="14"/>
        <v>45</v>
      </c>
    </row>
    <row r="170" spans="1:9" x14ac:dyDescent="0.25">
      <c r="A170" t="s">
        <v>247</v>
      </c>
      <c r="B170" t="s">
        <v>248</v>
      </c>
      <c r="C170" s="2">
        <v>17179</v>
      </c>
      <c r="D170" t="s">
        <v>12</v>
      </c>
      <c r="E170" s="2">
        <f t="shared" si="10"/>
        <v>69</v>
      </c>
      <c r="F170">
        <f t="shared" si="11"/>
        <v>1</v>
      </c>
      <c r="G170">
        <f t="shared" si="12"/>
        <v>79</v>
      </c>
      <c r="H170">
        <f t="shared" si="13"/>
        <v>0</v>
      </c>
      <c r="I170">
        <f t="shared" si="14"/>
        <v>0</v>
      </c>
    </row>
    <row r="171" spans="1:9" x14ac:dyDescent="0.25">
      <c r="A171" t="s">
        <v>249</v>
      </c>
      <c r="B171" t="s">
        <v>250</v>
      </c>
      <c r="C171" s="2">
        <v>32305</v>
      </c>
      <c r="D171" t="s">
        <v>6</v>
      </c>
      <c r="E171" s="2">
        <f t="shared" si="10"/>
        <v>28</v>
      </c>
      <c r="F171">
        <f t="shared" si="11"/>
        <v>0</v>
      </c>
      <c r="G171">
        <f t="shared" si="12"/>
        <v>0</v>
      </c>
      <c r="H171">
        <f t="shared" si="13"/>
        <v>1</v>
      </c>
      <c r="I171">
        <f t="shared" si="14"/>
        <v>30</v>
      </c>
    </row>
    <row r="172" spans="1:9" x14ac:dyDescent="0.25">
      <c r="A172" t="s">
        <v>251</v>
      </c>
      <c r="B172" t="s">
        <v>252</v>
      </c>
      <c r="C172" s="2">
        <v>32081</v>
      </c>
      <c r="D172" t="s">
        <v>12</v>
      </c>
      <c r="E172" s="2">
        <f t="shared" si="10"/>
        <v>29</v>
      </c>
      <c r="F172">
        <f t="shared" si="11"/>
        <v>0</v>
      </c>
      <c r="G172">
        <f t="shared" si="12"/>
        <v>0</v>
      </c>
      <c r="H172">
        <f t="shared" si="13"/>
        <v>1</v>
      </c>
      <c r="I172">
        <f t="shared" si="14"/>
        <v>30</v>
      </c>
    </row>
    <row r="173" spans="1:9" x14ac:dyDescent="0.25">
      <c r="A173" t="s">
        <v>253</v>
      </c>
      <c r="B173" t="s">
        <v>121</v>
      </c>
      <c r="C173" s="2">
        <v>31749</v>
      </c>
      <c r="D173" t="s">
        <v>6</v>
      </c>
      <c r="E173" s="2">
        <f t="shared" si="10"/>
        <v>30</v>
      </c>
      <c r="F173">
        <f t="shared" si="11"/>
        <v>1</v>
      </c>
      <c r="G173">
        <f t="shared" si="12"/>
        <v>25</v>
      </c>
      <c r="H173">
        <f t="shared" si="13"/>
        <v>0</v>
      </c>
      <c r="I173">
        <f t="shared" si="14"/>
        <v>0</v>
      </c>
    </row>
    <row r="174" spans="1:9" x14ac:dyDescent="0.25">
      <c r="A174" t="s">
        <v>254</v>
      </c>
      <c r="B174" t="s">
        <v>255</v>
      </c>
      <c r="C174" s="2">
        <v>18648</v>
      </c>
      <c r="D174" t="s">
        <v>40</v>
      </c>
      <c r="E174" s="2">
        <f t="shared" si="10"/>
        <v>65</v>
      </c>
      <c r="F174">
        <f t="shared" si="11"/>
        <v>0</v>
      </c>
      <c r="G174">
        <f t="shared" si="12"/>
        <v>0</v>
      </c>
      <c r="H174">
        <f t="shared" si="13"/>
        <v>1</v>
      </c>
      <c r="I174">
        <f t="shared" si="14"/>
        <v>85</v>
      </c>
    </row>
    <row r="175" spans="1:9" x14ac:dyDescent="0.25">
      <c r="A175" t="s">
        <v>256</v>
      </c>
      <c r="B175" t="s">
        <v>257</v>
      </c>
      <c r="C175" s="2">
        <v>16734</v>
      </c>
      <c r="D175" t="s">
        <v>6</v>
      </c>
      <c r="E175" s="2">
        <f t="shared" si="10"/>
        <v>71</v>
      </c>
      <c r="F175">
        <f t="shared" si="11"/>
        <v>0</v>
      </c>
      <c r="G175">
        <f t="shared" si="12"/>
        <v>0</v>
      </c>
      <c r="H175">
        <f t="shared" si="13"/>
        <v>1</v>
      </c>
      <c r="I175">
        <f t="shared" si="14"/>
        <v>85</v>
      </c>
    </row>
    <row r="176" spans="1:9" x14ac:dyDescent="0.25">
      <c r="A176" t="s">
        <v>258</v>
      </c>
      <c r="B176" t="s">
        <v>47</v>
      </c>
      <c r="C176" s="2">
        <v>25036</v>
      </c>
      <c r="D176" t="s">
        <v>12</v>
      </c>
      <c r="E176" s="2">
        <f t="shared" si="10"/>
        <v>48</v>
      </c>
      <c r="F176">
        <f t="shared" si="11"/>
        <v>1</v>
      </c>
      <c r="G176">
        <f t="shared" si="12"/>
        <v>29.999999999999996</v>
      </c>
      <c r="H176">
        <f t="shared" si="13"/>
        <v>0</v>
      </c>
      <c r="I176">
        <f t="shared" si="14"/>
        <v>0</v>
      </c>
    </row>
    <row r="177" spans="1:9" x14ac:dyDescent="0.25">
      <c r="A177" t="s">
        <v>259</v>
      </c>
      <c r="B177" t="s">
        <v>260</v>
      </c>
      <c r="C177" s="2">
        <v>17342</v>
      </c>
      <c r="D177" t="s">
        <v>6</v>
      </c>
      <c r="E177" s="2">
        <f t="shared" si="10"/>
        <v>69</v>
      </c>
      <c r="F177">
        <f t="shared" si="11"/>
        <v>0</v>
      </c>
      <c r="G177">
        <f t="shared" si="12"/>
        <v>0</v>
      </c>
      <c r="H177">
        <f t="shared" si="13"/>
        <v>1</v>
      </c>
      <c r="I177">
        <f t="shared" si="14"/>
        <v>85</v>
      </c>
    </row>
    <row r="178" spans="1:9" x14ac:dyDescent="0.25">
      <c r="A178" t="s">
        <v>206</v>
      </c>
      <c r="B178" t="s">
        <v>167</v>
      </c>
      <c r="C178" s="2">
        <v>23157</v>
      </c>
      <c r="D178" t="s">
        <v>9</v>
      </c>
      <c r="E178" s="2">
        <f t="shared" si="10"/>
        <v>53</v>
      </c>
      <c r="F178">
        <f t="shared" si="11"/>
        <v>0</v>
      </c>
      <c r="G178">
        <f t="shared" si="12"/>
        <v>0</v>
      </c>
      <c r="H178">
        <f t="shared" si="13"/>
        <v>1</v>
      </c>
      <c r="I178">
        <f t="shared" si="14"/>
        <v>36</v>
      </c>
    </row>
    <row r="179" spans="1:9" x14ac:dyDescent="0.25">
      <c r="A179" t="s">
        <v>261</v>
      </c>
      <c r="B179" t="s">
        <v>37</v>
      </c>
      <c r="C179" s="2">
        <v>17166</v>
      </c>
      <c r="D179" t="s">
        <v>12</v>
      </c>
      <c r="E179" s="2">
        <f t="shared" si="10"/>
        <v>70</v>
      </c>
      <c r="F179">
        <f t="shared" si="11"/>
        <v>1</v>
      </c>
      <c r="G179">
        <f t="shared" si="12"/>
        <v>79</v>
      </c>
      <c r="H179">
        <f t="shared" si="13"/>
        <v>0</v>
      </c>
      <c r="I179">
        <f t="shared" si="14"/>
        <v>0</v>
      </c>
    </row>
    <row r="180" spans="1:9" x14ac:dyDescent="0.25">
      <c r="A180" t="s">
        <v>262</v>
      </c>
      <c r="B180" t="s">
        <v>263</v>
      </c>
      <c r="C180" s="2">
        <v>24471</v>
      </c>
      <c r="D180" t="s">
        <v>12</v>
      </c>
      <c r="E180" s="2">
        <f t="shared" si="10"/>
        <v>50</v>
      </c>
      <c r="F180">
        <f t="shared" si="11"/>
        <v>1</v>
      </c>
      <c r="G180">
        <f t="shared" si="12"/>
        <v>29.999999999999996</v>
      </c>
      <c r="H180">
        <f t="shared" si="13"/>
        <v>0</v>
      </c>
      <c r="I180">
        <f t="shared" si="14"/>
        <v>0</v>
      </c>
    </row>
    <row r="181" spans="1:9" x14ac:dyDescent="0.25">
      <c r="A181" t="s">
        <v>264</v>
      </c>
      <c r="B181" t="s">
        <v>157</v>
      </c>
      <c r="C181" s="2">
        <v>34523</v>
      </c>
      <c r="D181" t="s">
        <v>6</v>
      </c>
      <c r="E181" s="2">
        <f t="shared" si="10"/>
        <v>22</v>
      </c>
      <c r="F181">
        <f t="shared" si="11"/>
        <v>1</v>
      </c>
      <c r="G181">
        <f t="shared" si="12"/>
        <v>25</v>
      </c>
      <c r="H181">
        <f t="shared" si="13"/>
        <v>0</v>
      </c>
      <c r="I181">
        <f t="shared" si="14"/>
        <v>0</v>
      </c>
    </row>
    <row r="182" spans="1:9" x14ac:dyDescent="0.25">
      <c r="A182" t="s">
        <v>265</v>
      </c>
      <c r="B182" t="s">
        <v>139</v>
      </c>
      <c r="C182" s="2">
        <v>18354</v>
      </c>
      <c r="D182" t="s">
        <v>6</v>
      </c>
      <c r="E182" s="2">
        <f t="shared" si="10"/>
        <v>66</v>
      </c>
      <c r="F182">
        <f t="shared" si="11"/>
        <v>0</v>
      </c>
      <c r="G182">
        <f t="shared" si="12"/>
        <v>0</v>
      </c>
      <c r="H182">
        <f t="shared" si="13"/>
        <v>1</v>
      </c>
      <c r="I182">
        <f t="shared" si="14"/>
        <v>85</v>
      </c>
    </row>
    <row r="183" spans="1:9" x14ac:dyDescent="0.25">
      <c r="A183" t="s">
        <v>266</v>
      </c>
      <c r="B183" t="s">
        <v>267</v>
      </c>
      <c r="C183" s="2">
        <v>34069</v>
      </c>
      <c r="D183" t="s">
        <v>12</v>
      </c>
      <c r="E183" s="2">
        <f t="shared" si="10"/>
        <v>23</v>
      </c>
      <c r="F183">
        <f t="shared" si="11"/>
        <v>0</v>
      </c>
      <c r="G183">
        <f t="shared" si="12"/>
        <v>0</v>
      </c>
      <c r="H183">
        <f t="shared" si="13"/>
        <v>1</v>
      </c>
      <c r="I183">
        <f t="shared" si="14"/>
        <v>30</v>
      </c>
    </row>
    <row r="184" spans="1:9" x14ac:dyDescent="0.25">
      <c r="A184" t="s">
        <v>268</v>
      </c>
      <c r="B184" t="s">
        <v>269</v>
      </c>
      <c r="C184" s="2">
        <v>17331</v>
      </c>
      <c r="D184" t="s">
        <v>12</v>
      </c>
      <c r="E184" s="2">
        <f t="shared" si="10"/>
        <v>69</v>
      </c>
      <c r="F184">
        <f t="shared" si="11"/>
        <v>1</v>
      </c>
      <c r="G184">
        <f t="shared" si="12"/>
        <v>79</v>
      </c>
      <c r="H184">
        <f t="shared" si="13"/>
        <v>0</v>
      </c>
      <c r="I184">
        <f t="shared" si="14"/>
        <v>0</v>
      </c>
    </row>
    <row r="185" spans="1:9" x14ac:dyDescent="0.25">
      <c r="A185" t="s">
        <v>270</v>
      </c>
      <c r="B185" t="s">
        <v>39</v>
      </c>
      <c r="C185" s="2">
        <v>33550</v>
      </c>
      <c r="D185" t="s">
        <v>40</v>
      </c>
      <c r="E185" s="2">
        <f t="shared" si="10"/>
        <v>25</v>
      </c>
      <c r="F185">
        <f t="shared" si="11"/>
        <v>1</v>
      </c>
      <c r="G185">
        <f t="shared" si="12"/>
        <v>25</v>
      </c>
      <c r="H185">
        <f t="shared" si="13"/>
        <v>0</v>
      </c>
      <c r="I185">
        <f t="shared" si="14"/>
        <v>0</v>
      </c>
    </row>
    <row r="186" spans="1:9" x14ac:dyDescent="0.25">
      <c r="A186" t="s">
        <v>271</v>
      </c>
      <c r="B186" t="s">
        <v>255</v>
      </c>
      <c r="C186" s="2">
        <v>24426</v>
      </c>
      <c r="D186" t="s">
        <v>6</v>
      </c>
      <c r="E186" s="2">
        <f t="shared" si="10"/>
        <v>50</v>
      </c>
      <c r="F186">
        <f t="shared" si="11"/>
        <v>0</v>
      </c>
      <c r="G186">
        <f t="shared" si="12"/>
        <v>0</v>
      </c>
      <c r="H186">
        <f t="shared" si="13"/>
        <v>1</v>
      </c>
      <c r="I186">
        <f t="shared" si="14"/>
        <v>36</v>
      </c>
    </row>
    <row r="187" spans="1:9" x14ac:dyDescent="0.25">
      <c r="A187" t="s">
        <v>272</v>
      </c>
      <c r="B187" t="s">
        <v>273</v>
      </c>
      <c r="C187" s="2">
        <v>19307</v>
      </c>
      <c r="D187" t="s">
        <v>40</v>
      </c>
      <c r="E187" s="2">
        <f t="shared" si="10"/>
        <v>64</v>
      </c>
      <c r="F187">
        <f t="shared" si="11"/>
        <v>0</v>
      </c>
      <c r="G187">
        <f t="shared" si="12"/>
        <v>0</v>
      </c>
      <c r="H187">
        <f t="shared" si="13"/>
        <v>1</v>
      </c>
      <c r="I187">
        <f t="shared" si="14"/>
        <v>85</v>
      </c>
    </row>
    <row r="188" spans="1:9" x14ac:dyDescent="0.25">
      <c r="A188" t="s">
        <v>274</v>
      </c>
      <c r="B188" t="s">
        <v>121</v>
      </c>
      <c r="C188" s="2">
        <v>26626</v>
      </c>
      <c r="D188" t="s">
        <v>12</v>
      </c>
      <c r="E188" s="2">
        <f t="shared" si="10"/>
        <v>44</v>
      </c>
      <c r="F188">
        <f t="shared" si="11"/>
        <v>1</v>
      </c>
      <c r="G188">
        <f t="shared" si="12"/>
        <v>37.5</v>
      </c>
      <c r="H188">
        <f t="shared" si="13"/>
        <v>0</v>
      </c>
      <c r="I188">
        <f t="shared" si="14"/>
        <v>0</v>
      </c>
    </row>
    <row r="189" spans="1:9" x14ac:dyDescent="0.25">
      <c r="A189" t="s">
        <v>275</v>
      </c>
      <c r="B189" t="s">
        <v>169</v>
      </c>
      <c r="C189" s="2">
        <v>21897</v>
      </c>
      <c r="D189" t="s">
        <v>12</v>
      </c>
      <c r="E189" s="2">
        <f t="shared" si="10"/>
        <v>57</v>
      </c>
      <c r="F189">
        <f t="shared" si="11"/>
        <v>0</v>
      </c>
      <c r="G189">
        <f t="shared" si="12"/>
        <v>0</v>
      </c>
      <c r="H189">
        <f t="shared" si="13"/>
        <v>1</v>
      </c>
      <c r="I189">
        <f t="shared" si="14"/>
        <v>36</v>
      </c>
    </row>
    <row r="190" spans="1:9" x14ac:dyDescent="0.25">
      <c r="A190" t="s">
        <v>276</v>
      </c>
      <c r="B190" t="s">
        <v>52</v>
      </c>
      <c r="C190" s="2">
        <v>34865</v>
      </c>
      <c r="D190" t="s">
        <v>12</v>
      </c>
      <c r="E190" s="2">
        <f t="shared" si="10"/>
        <v>21</v>
      </c>
      <c r="F190">
        <f t="shared" si="11"/>
        <v>1</v>
      </c>
      <c r="G190">
        <f t="shared" si="12"/>
        <v>25</v>
      </c>
      <c r="H190">
        <f t="shared" si="13"/>
        <v>0</v>
      </c>
      <c r="I190">
        <f t="shared" si="14"/>
        <v>0</v>
      </c>
    </row>
    <row r="191" spans="1:9" x14ac:dyDescent="0.25">
      <c r="A191" t="s">
        <v>163</v>
      </c>
      <c r="B191" t="s">
        <v>277</v>
      </c>
      <c r="C191" s="2">
        <v>19712</v>
      </c>
      <c r="D191" t="s">
        <v>12</v>
      </c>
      <c r="E191" s="2">
        <f t="shared" si="10"/>
        <v>63</v>
      </c>
      <c r="F191">
        <f t="shared" si="11"/>
        <v>1</v>
      </c>
      <c r="G191">
        <f t="shared" si="12"/>
        <v>79</v>
      </c>
      <c r="H191">
        <f t="shared" si="13"/>
        <v>0</v>
      </c>
      <c r="I191">
        <f t="shared" si="14"/>
        <v>0</v>
      </c>
    </row>
    <row r="192" spans="1:9" x14ac:dyDescent="0.25">
      <c r="A192" t="s">
        <v>278</v>
      </c>
      <c r="B192" t="s">
        <v>52</v>
      </c>
      <c r="C192" s="2">
        <v>27893</v>
      </c>
      <c r="D192" t="s">
        <v>6</v>
      </c>
      <c r="E192" s="2">
        <f t="shared" si="10"/>
        <v>40</v>
      </c>
      <c r="F192">
        <f t="shared" si="11"/>
        <v>1</v>
      </c>
      <c r="G192">
        <f t="shared" si="12"/>
        <v>37.5</v>
      </c>
      <c r="H192">
        <f t="shared" si="13"/>
        <v>0</v>
      </c>
      <c r="I192">
        <f t="shared" si="14"/>
        <v>0</v>
      </c>
    </row>
    <row r="193" spans="1:9" x14ac:dyDescent="0.25">
      <c r="A193" t="s">
        <v>279</v>
      </c>
      <c r="B193" t="s">
        <v>280</v>
      </c>
      <c r="C193" s="2">
        <v>28226</v>
      </c>
      <c r="D193" t="s">
        <v>12</v>
      </c>
      <c r="E193" s="2">
        <f t="shared" si="10"/>
        <v>39</v>
      </c>
      <c r="F193">
        <f t="shared" si="11"/>
        <v>1</v>
      </c>
      <c r="G193">
        <f t="shared" si="12"/>
        <v>37.5</v>
      </c>
      <c r="H193">
        <f t="shared" si="13"/>
        <v>0</v>
      </c>
      <c r="I193">
        <f t="shared" si="14"/>
        <v>0</v>
      </c>
    </row>
    <row r="194" spans="1:9" x14ac:dyDescent="0.25">
      <c r="A194" t="s">
        <v>281</v>
      </c>
      <c r="B194" t="s">
        <v>77</v>
      </c>
      <c r="C194" s="2">
        <v>29954</v>
      </c>
      <c r="D194" t="s">
        <v>9</v>
      </c>
      <c r="E194" s="2">
        <f t="shared" si="10"/>
        <v>34</v>
      </c>
      <c r="F194">
        <f t="shared" si="11"/>
        <v>0</v>
      </c>
      <c r="G194">
        <f t="shared" si="12"/>
        <v>0</v>
      </c>
      <c r="H194">
        <f t="shared" si="13"/>
        <v>1</v>
      </c>
      <c r="I194">
        <f t="shared" si="14"/>
        <v>45</v>
      </c>
    </row>
    <row r="195" spans="1:9" x14ac:dyDescent="0.25">
      <c r="A195" t="s">
        <v>282</v>
      </c>
      <c r="B195" t="s">
        <v>179</v>
      </c>
      <c r="C195" s="2">
        <v>23111</v>
      </c>
      <c r="D195" t="s">
        <v>12</v>
      </c>
      <c r="E195" s="2">
        <f t="shared" ref="E195:E258" si="15">2016-YEAR(C195)</f>
        <v>53</v>
      </c>
      <c r="F195">
        <f t="shared" ref="F195:F258" si="16">IF(RIGHT(B195,1)="a",1,0)</f>
        <v>0</v>
      </c>
      <c r="G195">
        <f t="shared" ref="G195:G258" si="17">IF(F195=1,IF(E195&lt;=30,0.1%*25000,IF(AND(E195&gt;=31,E195&lt;=45),0.15%*25000,IF(AND(E195&gt;=46,E195&lt;=60),25000*0.12%,25000*0.12%+49))),0)</f>
        <v>0</v>
      </c>
      <c r="H195">
        <f t="shared" ref="H195:H258" si="18">IF(F195=1,0,1)</f>
        <v>1</v>
      </c>
      <c r="I195">
        <f t="shared" ref="I195:I258" si="19">IF(H195=1,IF(E195&lt;=30,0.1%*30000,IF(AND(E195&gt;=31,E195&lt;=45),0.15%*30000,IF(AND(E195&gt;=46,E195&lt;=60),30000*0.12%,30000*0.12%+49))),0)</f>
        <v>36</v>
      </c>
    </row>
    <row r="196" spans="1:9" x14ac:dyDescent="0.25">
      <c r="A196" t="s">
        <v>283</v>
      </c>
      <c r="B196" t="s">
        <v>39</v>
      </c>
      <c r="C196" s="2">
        <v>24808</v>
      </c>
      <c r="D196" t="s">
        <v>12</v>
      </c>
      <c r="E196" s="2">
        <f t="shared" si="15"/>
        <v>49</v>
      </c>
      <c r="F196">
        <f t="shared" si="16"/>
        <v>1</v>
      </c>
      <c r="G196">
        <f t="shared" si="17"/>
        <v>29.999999999999996</v>
      </c>
      <c r="H196">
        <f t="shared" si="18"/>
        <v>0</v>
      </c>
      <c r="I196">
        <f t="shared" si="19"/>
        <v>0</v>
      </c>
    </row>
    <row r="197" spans="1:9" x14ac:dyDescent="0.25">
      <c r="A197" t="s">
        <v>284</v>
      </c>
      <c r="B197" t="s">
        <v>16</v>
      </c>
      <c r="C197" s="2">
        <v>17601</v>
      </c>
      <c r="D197" t="s">
        <v>40</v>
      </c>
      <c r="E197" s="2">
        <f t="shared" si="15"/>
        <v>68</v>
      </c>
      <c r="F197">
        <f t="shared" si="16"/>
        <v>1</v>
      </c>
      <c r="G197">
        <f t="shared" si="17"/>
        <v>79</v>
      </c>
      <c r="H197">
        <f t="shared" si="18"/>
        <v>0</v>
      </c>
      <c r="I197">
        <f t="shared" si="19"/>
        <v>0</v>
      </c>
    </row>
    <row r="198" spans="1:9" x14ac:dyDescent="0.25">
      <c r="A198" t="s">
        <v>285</v>
      </c>
      <c r="B198" t="s">
        <v>179</v>
      </c>
      <c r="C198" s="2">
        <v>21199</v>
      </c>
      <c r="D198" t="s">
        <v>9</v>
      </c>
      <c r="E198" s="2">
        <f t="shared" si="15"/>
        <v>58</v>
      </c>
      <c r="F198">
        <f t="shared" si="16"/>
        <v>0</v>
      </c>
      <c r="G198">
        <f t="shared" si="17"/>
        <v>0</v>
      </c>
      <c r="H198">
        <f t="shared" si="18"/>
        <v>1</v>
      </c>
      <c r="I198">
        <f t="shared" si="19"/>
        <v>36</v>
      </c>
    </row>
    <row r="199" spans="1:9" x14ac:dyDescent="0.25">
      <c r="A199" t="s">
        <v>286</v>
      </c>
      <c r="B199" t="s">
        <v>20</v>
      </c>
      <c r="C199" s="2">
        <v>29879</v>
      </c>
      <c r="D199" t="s">
        <v>12</v>
      </c>
      <c r="E199" s="2">
        <f t="shared" si="15"/>
        <v>35</v>
      </c>
      <c r="F199">
        <f t="shared" si="16"/>
        <v>1</v>
      </c>
      <c r="G199">
        <f t="shared" si="17"/>
        <v>37.5</v>
      </c>
      <c r="H199">
        <f t="shared" si="18"/>
        <v>0</v>
      </c>
      <c r="I199">
        <f t="shared" si="19"/>
        <v>0</v>
      </c>
    </row>
    <row r="200" spans="1:9" x14ac:dyDescent="0.25">
      <c r="A200" t="s">
        <v>287</v>
      </c>
      <c r="B200" t="s">
        <v>81</v>
      </c>
      <c r="C200" s="2">
        <v>19659</v>
      </c>
      <c r="D200" t="s">
        <v>6</v>
      </c>
      <c r="E200" s="2">
        <f t="shared" si="15"/>
        <v>63</v>
      </c>
      <c r="F200">
        <f t="shared" si="16"/>
        <v>1</v>
      </c>
      <c r="G200">
        <f t="shared" si="17"/>
        <v>79</v>
      </c>
      <c r="H200">
        <f t="shared" si="18"/>
        <v>0</v>
      </c>
      <c r="I200">
        <f t="shared" si="19"/>
        <v>0</v>
      </c>
    </row>
    <row r="201" spans="1:9" x14ac:dyDescent="0.25">
      <c r="A201" t="s">
        <v>288</v>
      </c>
      <c r="B201" t="s">
        <v>8</v>
      </c>
      <c r="C201" s="2">
        <v>22514</v>
      </c>
      <c r="D201" t="s">
        <v>12</v>
      </c>
      <c r="E201" s="2">
        <f t="shared" si="15"/>
        <v>55</v>
      </c>
      <c r="F201">
        <f t="shared" si="16"/>
        <v>0</v>
      </c>
      <c r="G201">
        <f t="shared" si="17"/>
        <v>0</v>
      </c>
      <c r="H201">
        <f t="shared" si="18"/>
        <v>1</v>
      </c>
      <c r="I201">
        <f t="shared" si="19"/>
        <v>36</v>
      </c>
    </row>
    <row r="202" spans="1:9" x14ac:dyDescent="0.25">
      <c r="A202" t="s">
        <v>289</v>
      </c>
      <c r="B202" t="s">
        <v>121</v>
      </c>
      <c r="C202" s="2">
        <v>25332</v>
      </c>
      <c r="D202" t="s">
        <v>12</v>
      </c>
      <c r="E202" s="2">
        <f t="shared" si="15"/>
        <v>47</v>
      </c>
      <c r="F202">
        <f t="shared" si="16"/>
        <v>1</v>
      </c>
      <c r="G202">
        <f t="shared" si="17"/>
        <v>29.999999999999996</v>
      </c>
      <c r="H202">
        <f t="shared" si="18"/>
        <v>0</v>
      </c>
      <c r="I202">
        <f t="shared" si="19"/>
        <v>0</v>
      </c>
    </row>
    <row r="203" spans="1:9" x14ac:dyDescent="0.25">
      <c r="A203" t="s">
        <v>290</v>
      </c>
      <c r="B203" t="s">
        <v>255</v>
      </c>
      <c r="C203" s="2">
        <v>20181</v>
      </c>
      <c r="D203" t="s">
        <v>40</v>
      </c>
      <c r="E203" s="2">
        <f t="shared" si="15"/>
        <v>61</v>
      </c>
      <c r="F203">
        <f t="shared" si="16"/>
        <v>0</v>
      </c>
      <c r="G203">
        <f t="shared" si="17"/>
        <v>0</v>
      </c>
      <c r="H203">
        <f t="shared" si="18"/>
        <v>1</v>
      </c>
      <c r="I203">
        <f t="shared" si="19"/>
        <v>85</v>
      </c>
    </row>
    <row r="204" spans="1:9" x14ac:dyDescent="0.25">
      <c r="A204" t="s">
        <v>291</v>
      </c>
      <c r="B204" t="s">
        <v>141</v>
      </c>
      <c r="C204" s="2">
        <v>19141</v>
      </c>
      <c r="D204" t="s">
        <v>12</v>
      </c>
      <c r="E204" s="2">
        <f t="shared" si="15"/>
        <v>64</v>
      </c>
      <c r="F204">
        <f t="shared" si="16"/>
        <v>0</v>
      </c>
      <c r="G204">
        <f t="shared" si="17"/>
        <v>0</v>
      </c>
      <c r="H204">
        <f t="shared" si="18"/>
        <v>1</v>
      </c>
      <c r="I204">
        <f t="shared" si="19"/>
        <v>85</v>
      </c>
    </row>
    <row r="205" spans="1:9" x14ac:dyDescent="0.25">
      <c r="A205" t="s">
        <v>292</v>
      </c>
      <c r="B205" t="s">
        <v>293</v>
      </c>
      <c r="C205" s="2">
        <v>18147</v>
      </c>
      <c r="D205" t="s">
        <v>12</v>
      </c>
      <c r="E205" s="2">
        <f t="shared" si="15"/>
        <v>67</v>
      </c>
      <c r="F205">
        <f t="shared" si="16"/>
        <v>1</v>
      </c>
      <c r="G205">
        <f t="shared" si="17"/>
        <v>79</v>
      </c>
      <c r="H205">
        <f t="shared" si="18"/>
        <v>0</v>
      </c>
      <c r="I205">
        <f t="shared" si="19"/>
        <v>0</v>
      </c>
    </row>
    <row r="206" spans="1:9" x14ac:dyDescent="0.25">
      <c r="A206" t="s">
        <v>294</v>
      </c>
      <c r="B206" t="s">
        <v>52</v>
      </c>
      <c r="C206" s="2">
        <v>26146</v>
      </c>
      <c r="D206" t="s">
        <v>6</v>
      </c>
      <c r="E206" s="2">
        <f t="shared" si="15"/>
        <v>45</v>
      </c>
      <c r="F206">
        <f t="shared" si="16"/>
        <v>1</v>
      </c>
      <c r="G206">
        <f t="shared" si="17"/>
        <v>37.5</v>
      </c>
      <c r="H206">
        <f t="shared" si="18"/>
        <v>0</v>
      </c>
      <c r="I206">
        <f t="shared" si="19"/>
        <v>0</v>
      </c>
    </row>
    <row r="207" spans="1:9" x14ac:dyDescent="0.25">
      <c r="A207" t="s">
        <v>295</v>
      </c>
      <c r="B207" t="s">
        <v>139</v>
      </c>
      <c r="C207" s="2">
        <v>30798</v>
      </c>
      <c r="D207" t="s">
        <v>40</v>
      </c>
      <c r="E207" s="2">
        <f t="shared" si="15"/>
        <v>32</v>
      </c>
      <c r="F207">
        <f t="shared" si="16"/>
        <v>0</v>
      </c>
      <c r="G207">
        <f t="shared" si="17"/>
        <v>0</v>
      </c>
      <c r="H207">
        <f t="shared" si="18"/>
        <v>1</v>
      </c>
      <c r="I207">
        <f t="shared" si="19"/>
        <v>45</v>
      </c>
    </row>
    <row r="208" spans="1:9" x14ac:dyDescent="0.25">
      <c r="A208" t="s">
        <v>296</v>
      </c>
      <c r="B208" t="s">
        <v>297</v>
      </c>
      <c r="C208" s="2">
        <v>24623</v>
      </c>
      <c r="D208" t="s">
        <v>12</v>
      </c>
      <c r="E208" s="2">
        <f t="shared" si="15"/>
        <v>49</v>
      </c>
      <c r="F208">
        <f t="shared" si="16"/>
        <v>1</v>
      </c>
      <c r="G208">
        <f t="shared" si="17"/>
        <v>29.999999999999996</v>
      </c>
      <c r="H208">
        <f t="shared" si="18"/>
        <v>0</v>
      </c>
      <c r="I208">
        <f t="shared" si="19"/>
        <v>0</v>
      </c>
    </row>
    <row r="209" spans="1:9" x14ac:dyDescent="0.25">
      <c r="A209" t="s">
        <v>298</v>
      </c>
      <c r="B209" t="s">
        <v>18</v>
      </c>
      <c r="C209" s="2">
        <v>31818</v>
      </c>
      <c r="D209" t="s">
        <v>6</v>
      </c>
      <c r="E209" s="2">
        <f t="shared" si="15"/>
        <v>29</v>
      </c>
      <c r="F209">
        <f t="shared" si="16"/>
        <v>0</v>
      </c>
      <c r="G209">
        <f t="shared" si="17"/>
        <v>0</v>
      </c>
      <c r="H209">
        <f t="shared" si="18"/>
        <v>1</v>
      </c>
      <c r="I209">
        <f t="shared" si="19"/>
        <v>30</v>
      </c>
    </row>
    <row r="210" spans="1:9" x14ac:dyDescent="0.25">
      <c r="A210" t="s">
        <v>299</v>
      </c>
      <c r="B210" t="s">
        <v>300</v>
      </c>
      <c r="C210" s="2">
        <v>34201</v>
      </c>
      <c r="D210" t="s">
        <v>12</v>
      </c>
      <c r="E210" s="2">
        <f t="shared" si="15"/>
        <v>23</v>
      </c>
      <c r="F210">
        <f t="shared" si="16"/>
        <v>1</v>
      </c>
      <c r="G210">
        <f t="shared" si="17"/>
        <v>25</v>
      </c>
      <c r="H210">
        <f t="shared" si="18"/>
        <v>0</v>
      </c>
      <c r="I210">
        <f t="shared" si="19"/>
        <v>0</v>
      </c>
    </row>
    <row r="211" spans="1:9" x14ac:dyDescent="0.25">
      <c r="A211" t="s">
        <v>301</v>
      </c>
      <c r="B211" t="s">
        <v>8</v>
      </c>
      <c r="C211" s="2">
        <v>27079</v>
      </c>
      <c r="D211" t="s">
        <v>9</v>
      </c>
      <c r="E211" s="2">
        <f t="shared" si="15"/>
        <v>42</v>
      </c>
      <c r="F211">
        <f t="shared" si="16"/>
        <v>0</v>
      </c>
      <c r="G211">
        <f t="shared" si="17"/>
        <v>0</v>
      </c>
      <c r="H211">
        <f t="shared" si="18"/>
        <v>1</v>
      </c>
      <c r="I211">
        <f t="shared" si="19"/>
        <v>45</v>
      </c>
    </row>
    <row r="212" spans="1:9" x14ac:dyDescent="0.25">
      <c r="A212" t="s">
        <v>302</v>
      </c>
      <c r="B212" t="s">
        <v>303</v>
      </c>
      <c r="C212" s="2">
        <v>18053</v>
      </c>
      <c r="D212" t="s">
        <v>9</v>
      </c>
      <c r="E212" s="2">
        <f t="shared" si="15"/>
        <v>67</v>
      </c>
      <c r="F212">
        <f t="shared" si="16"/>
        <v>0</v>
      </c>
      <c r="G212">
        <f t="shared" si="17"/>
        <v>0</v>
      </c>
      <c r="H212">
        <f t="shared" si="18"/>
        <v>1</v>
      </c>
      <c r="I212">
        <f t="shared" si="19"/>
        <v>85</v>
      </c>
    </row>
    <row r="213" spans="1:9" x14ac:dyDescent="0.25">
      <c r="A213" t="s">
        <v>304</v>
      </c>
      <c r="B213" t="s">
        <v>49</v>
      </c>
      <c r="C213" s="2">
        <v>27059</v>
      </c>
      <c r="D213" t="s">
        <v>12</v>
      </c>
      <c r="E213" s="2">
        <f t="shared" si="15"/>
        <v>42</v>
      </c>
      <c r="F213">
        <f t="shared" si="16"/>
        <v>0</v>
      </c>
      <c r="G213">
        <f t="shared" si="17"/>
        <v>0</v>
      </c>
      <c r="H213">
        <f t="shared" si="18"/>
        <v>1</v>
      </c>
      <c r="I213">
        <f t="shared" si="19"/>
        <v>45</v>
      </c>
    </row>
    <row r="214" spans="1:9" x14ac:dyDescent="0.25">
      <c r="A214" t="s">
        <v>305</v>
      </c>
      <c r="B214" t="s">
        <v>246</v>
      </c>
      <c r="C214" s="2">
        <v>31039</v>
      </c>
      <c r="D214" t="s">
        <v>6</v>
      </c>
      <c r="E214" s="2">
        <f t="shared" si="15"/>
        <v>32</v>
      </c>
      <c r="F214">
        <f t="shared" si="16"/>
        <v>0</v>
      </c>
      <c r="G214">
        <f t="shared" si="17"/>
        <v>0</v>
      </c>
      <c r="H214">
        <f t="shared" si="18"/>
        <v>1</v>
      </c>
      <c r="I214">
        <f t="shared" si="19"/>
        <v>45</v>
      </c>
    </row>
    <row r="215" spans="1:9" x14ac:dyDescent="0.25">
      <c r="A215" t="s">
        <v>306</v>
      </c>
      <c r="B215" t="s">
        <v>307</v>
      </c>
      <c r="C215" s="2">
        <v>34893</v>
      </c>
      <c r="D215" t="s">
        <v>12</v>
      </c>
      <c r="E215" s="2">
        <f t="shared" si="15"/>
        <v>21</v>
      </c>
      <c r="F215">
        <f t="shared" si="16"/>
        <v>0</v>
      </c>
      <c r="G215">
        <f t="shared" si="17"/>
        <v>0</v>
      </c>
      <c r="H215">
        <f t="shared" si="18"/>
        <v>1</v>
      </c>
      <c r="I215">
        <f t="shared" si="19"/>
        <v>30</v>
      </c>
    </row>
    <row r="216" spans="1:9" x14ac:dyDescent="0.25">
      <c r="A216" t="s">
        <v>308</v>
      </c>
      <c r="B216" t="s">
        <v>307</v>
      </c>
      <c r="C216" s="2">
        <v>22101</v>
      </c>
      <c r="D216" t="s">
        <v>6</v>
      </c>
      <c r="E216" s="2">
        <f t="shared" si="15"/>
        <v>56</v>
      </c>
      <c r="F216">
        <f t="shared" si="16"/>
        <v>0</v>
      </c>
      <c r="G216">
        <f t="shared" si="17"/>
        <v>0</v>
      </c>
      <c r="H216">
        <f t="shared" si="18"/>
        <v>1</v>
      </c>
      <c r="I216">
        <f t="shared" si="19"/>
        <v>36</v>
      </c>
    </row>
    <row r="217" spans="1:9" x14ac:dyDescent="0.25">
      <c r="A217" t="s">
        <v>309</v>
      </c>
      <c r="B217" t="s">
        <v>177</v>
      </c>
      <c r="C217" s="2">
        <v>16267</v>
      </c>
      <c r="D217" t="s">
        <v>12</v>
      </c>
      <c r="E217" s="2">
        <f t="shared" si="15"/>
        <v>72</v>
      </c>
      <c r="F217">
        <f t="shared" si="16"/>
        <v>1</v>
      </c>
      <c r="G217">
        <f t="shared" si="17"/>
        <v>79</v>
      </c>
      <c r="H217">
        <f t="shared" si="18"/>
        <v>0</v>
      </c>
      <c r="I217">
        <f t="shared" si="19"/>
        <v>0</v>
      </c>
    </row>
    <row r="218" spans="1:9" x14ac:dyDescent="0.25">
      <c r="A218" t="s">
        <v>310</v>
      </c>
      <c r="B218" t="s">
        <v>45</v>
      </c>
      <c r="C218" s="2">
        <v>32103</v>
      </c>
      <c r="D218" t="s">
        <v>12</v>
      </c>
      <c r="E218" s="2">
        <f t="shared" si="15"/>
        <v>29</v>
      </c>
      <c r="F218">
        <f t="shared" si="16"/>
        <v>1</v>
      </c>
      <c r="G218">
        <f t="shared" si="17"/>
        <v>25</v>
      </c>
      <c r="H218">
        <f t="shared" si="18"/>
        <v>0</v>
      </c>
      <c r="I218">
        <f t="shared" si="19"/>
        <v>0</v>
      </c>
    </row>
    <row r="219" spans="1:9" x14ac:dyDescent="0.25">
      <c r="A219" t="s">
        <v>311</v>
      </c>
      <c r="B219" t="s">
        <v>248</v>
      </c>
      <c r="C219" s="2">
        <v>25996</v>
      </c>
      <c r="D219" t="s">
        <v>9</v>
      </c>
      <c r="E219" s="2">
        <f t="shared" si="15"/>
        <v>45</v>
      </c>
      <c r="F219">
        <f t="shared" si="16"/>
        <v>1</v>
      </c>
      <c r="G219">
        <f t="shared" si="17"/>
        <v>37.5</v>
      </c>
      <c r="H219">
        <f t="shared" si="18"/>
        <v>0</v>
      </c>
      <c r="I219">
        <f t="shared" si="19"/>
        <v>0</v>
      </c>
    </row>
    <row r="220" spans="1:9" x14ac:dyDescent="0.25">
      <c r="A220" t="s">
        <v>312</v>
      </c>
      <c r="B220" t="s">
        <v>134</v>
      </c>
      <c r="C220" s="2">
        <v>33040</v>
      </c>
      <c r="D220" t="s">
        <v>12</v>
      </c>
      <c r="E220" s="2">
        <f t="shared" si="15"/>
        <v>26</v>
      </c>
      <c r="F220">
        <f t="shared" si="16"/>
        <v>1</v>
      </c>
      <c r="G220">
        <f t="shared" si="17"/>
        <v>25</v>
      </c>
      <c r="H220">
        <f t="shared" si="18"/>
        <v>0</v>
      </c>
      <c r="I220">
        <f t="shared" si="19"/>
        <v>0</v>
      </c>
    </row>
    <row r="221" spans="1:9" x14ac:dyDescent="0.25">
      <c r="A221" t="s">
        <v>313</v>
      </c>
      <c r="B221" t="s">
        <v>20</v>
      </c>
      <c r="C221" s="2">
        <v>30671</v>
      </c>
      <c r="D221" t="s">
        <v>9</v>
      </c>
      <c r="E221" s="2">
        <f t="shared" si="15"/>
        <v>33</v>
      </c>
      <c r="F221">
        <f t="shared" si="16"/>
        <v>1</v>
      </c>
      <c r="G221">
        <f t="shared" si="17"/>
        <v>37.5</v>
      </c>
      <c r="H221">
        <f t="shared" si="18"/>
        <v>0</v>
      </c>
      <c r="I221">
        <f t="shared" si="19"/>
        <v>0</v>
      </c>
    </row>
    <row r="222" spans="1:9" x14ac:dyDescent="0.25">
      <c r="A222" t="s">
        <v>314</v>
      </c>
      <c r="B222" t="s">
        <v>37</v>
      </c>
      <c r="C222" s="2">
        <v>25243</v>
      </c>
      <c r="D222" t="s">
        <v>12</v>
      </c>
      <c r="E222" s="2">
        <f t="shared" si="15"/>
        <v>47</v>
      </c>
      <c r="F222">
        <f t="shared" si="16"/>
        <v>1</v>
      </c>
      <c r="G222">
        <f t="shared" si="17"/>
        <v>29.999999999999996</v>
      </c>
      <c r="H222">
        <f t="shared" si="18"/>
        <v>0</v>
      </c>
      <c r="I222">
        <f t="shared" si="19"/>
        <v>0</v>
      </c>
    </row>
    <row r="223" spans="1:9" x14ac:dyDescent="0.25">
      <c r="A223" t="s">
        <v>315</v>
      </c>
      <c r="B223" t="s">
        <v>20</v>
      </c>
      <c r="C223" s="2">
        <v>27639</v>
      </c>
      <c r="D223" t="s">
        <v>12</v>
      </c>
      <c r="E223" s="2">
        <f t="shared" si="15"/>
        <v>41</v>
      </c>
      <c r="F223">
        <f t="shared" si="16"/>
        <v>1</v>
      </c>
      <c r="G223">
        <f t="shared" si="17"/>
        <v>37.5</v>
      </c>
      <c r="H223">
        <f t="shared" si="18"/>
        <v>0</v>
      </c>
      <c r="I223">
        <f t="shared" si="19"/>
        <v>0</v>
      </c>
    </row>
    <row r="224" spans="1:9" x14ac:dyDescent="0.25">
      <c r="A224" t="s">
        <v>316</v>
      </c>
      <c r="B224" t="s">
        <v>169</v>
      </c>
      <c r="C224" s="2">
        <v>25644</v>
      </c>
      <c r="D224" t="s">
        <v>12</v>
      </c>
      <c r="E224" s="2">
        <f t="shared" si="15"/>
        <v>46</v>
      </c>
      <c r="F224">
        <f t="shared" si="16"/>
        <v>0</v>
      </c>
      <c r="G224">
        <f t="shared" si="17"/>
        <v>0</v>
      </c>
      <c r="H224">
        <f t="shared" si="18"/>
        <v>1</v>
      </c>
      <c r="I224">
        <f t="shared" si="19"/>
        <v>36</v>
      </c>
    </row>
    <row r="225" spans="1:9" x14ac:dyDescent="0.25">
      <c r="A225" t="s">
        <v>317</v>
      </c>
      <c r="B225" t="s">
        <v>318</v>
      </c>
      <c r="C225" s="2">
        <v>27683</v>
      </c>
      <c r="D225" t="s">
        <v>6</v>
      </c>
      <c r="E225" s="2">
        <f t="shared" si="15"/>
        <v>41</v>
      </c>
      <c r="F225">
        <f t="shared" si="16"/>
        <v>1</v>
      </c>
      <c r="G225">
        <f t="shared" si="17"/>
        <v>37.5</v>
      </c>
      <c r="H225">
        <f t="shared" si="18"/>
        <v>0</v>
      </c>
      <c r="I225">
        <f t="shared" si="19"/>
        <v>0</v>
      </c>
    </row>
    <row r="226" spans="1:9" x14ac:dyDescent="0.25">
      <c r="A226" t="s">
        <v>174</v>
      </c>
      <c r="B226" t="s">
        <v>319</v>
      </c>
      <c r="C226" s="2">
        <v>32765</v>
      </c>
      <c r="D226" t="s">
        <v>9</v>
      </c>
      <c r="E226" s="2">
        <f t="shared" si="15"/>
        <v>27</v>
      </c>
      <c r="F226">
        <f t="shared" si="16"/>
        <v>1</v>
      </c>
      <c r="G226">
        <f t="shared" si="17"/>
        <v>25</v>
      </c>
      <c r="H226">
        <f t="shared" si="18"/>
        <v>0</v>
      </c>
      <c r="I226">
        <f t="shared" si="19"/>
        <v>0</v>
      </c>
    </row>
    <row r="227" spans="1:9" x14ac:dyDescent="0.25">
      <c r="A227" t="s">
        <v>243</v>
      </c>
      <c r="B227" t="s">
        <v>121</v>
      </c>
      <c r="C227" s="2">
        <v>26380</v>
      </c>
      <c r="D227" t="s">
        <v>9</v>
      </c>
      <c r="E227" s="2">
        <f t="shared" si="15"/>
        <v>44</v>
      </c>
      <c r="F227">
        <f t="shared" si="16"/>
        <v>1</v>
      </c>
      <c r="G227">
        <f t="shared" si="17"/>
        <v>37.5</v>
      </c>
      <c r="H227">
        <f t="shared" si="18"/>
        <v>0</v>
      </c>
      <c r="I227">
        <f t="shared" si="19"/>
        <v>0</v>
      </c>
    </row>
    <row r="228" spans="1:9" x14ac:dyDescent="0.25">
      <c r="A228" t="s">
        <v>320</v>
      </c>
      <c r="B228" t="s">
        <v>81</v>
      </c>
      <c r="C228" s="2">
        <v>21508</v>
      </c>
      <c r="D228" t="s">
        <v>6</v>
      </c>
      <c r="E228" s="2">
        <f t="shared" si="15"/>
        <v>58</v>
      </c>
      <c r="F228">
        <f t="shared" si="16"/>
        <v>1</v>
      </c>
      <c r="G228">
        <f t="shared" si="17"/>
        <v>29.999999999999996</v>
      </c>
      <c r="H228">
        <f t="shared" si="18"/>
        <v>0</v>
      </c>
      <c r="I228">
        <f t="shared" si="19"/>
        <v>0</v>
      </c>
    </row>
    <row r="229" spans="1:9" x14ac:dyDescent="0.25">
      <c r="A229" t="s">
        <v>321</v>
      </c>
      <c r="B229" t="s">
        <v>11</v>
      </c>
      <c r="C229" s="2">
        <v>32790</v>
      </c>
      <c r="D229" t="s">
        <v>6</v>
      </c>
      <c r="E229" s="2">
        <f t="shared" si="15"/>
        <v>27</v>
      </c>
      <c r="F229">
        <f t="shared" si="16"/>
        <v>1</v>
      </c>
      <c r="G229">
        <f t="shared" si="17"/>
        <v>25</v>
      </c>
      <c r="H229">
        <f t="shared" si="18"/>
        <v>0</v>
      </c>
      <c r="I229">
        <f t="shared" si="19"/>
        <v>0</v>
      </c>
    </row>
    <row r="230" spans="1:9" x14ac:dyDescent="0.25">
      <c r="A230" t="s">
        <v>164</v>
      </c>
      <c r="B230" t="s">
        <v>322</v>
      </c>
      <c r="C230" s="2">
        <v>24303</v>
      </c>
      <c r="D230" t="s">
        <v>6</v>
      </c>
      <c r="E230" s="2">
        <f t="shared" si="15"/>
        <v>50</v>
      </c>
      <c r="F230">
        <f t="shared" si="16"/>
        <v>1</v>
      </c>
      <c r="G230">
        <f t="shared" si="17"/>
        <v>29.999999999999996</v>
      </c>
      <c r="H230">
        <f t="shared" si="18"/>
        <v>0</v>
      </c>
      <c r="I230">
        <f t="shared" si="19"/>
        <v>0</v>
      </c>
    </row>
    <row r="231" spans="1:9" x14ac:dyDescent="0.25">
      <c r="A231" t="s">
        <v>323</v>
      </c>
      <c r="B231" t="s">
        <v>300</v>
      </c>
      <c r="C231" s="2">
        <v>30747</v>
      </c>
      <c r="D231" t="s">
        <v>9</v>
      </c>
      <c r="E231" s="2">
        <f t="shared" si="15"/>
        <v>32</v>
      </c>
      <c r="F231">
        <f t="shared" si="16"/>
        <v>1</v>
      </c>
      <c r="G231">
        <f t="shared" si="17"/>
        <v>37.5</v>
      </c>
      <c r="H231">
        <f t="shared" si="18"/>
        <v>0</v>
      </c>
      <c r="I231">
        <f t="shared" si="19"/>
        <v>0</v>
      </c>
    </row>
    <row r="232" spans="1:9" x14ac:dyDescent="0.25">
      <c r="A232" t="s">
        <v>324</v>
      </c>
      <c r="B232" t="s">
        <v>49</v>
      </c>
      <c r="C232" s="2">
        <v>19853</v>
      </c>
      <c r="D232" t="s">
        <v>12</v>
      </c>
      <c r="E232" s="2">
        <f t="shared" si="15"/>
        <v>62</v>
      </c>
      <c r="F232">
        <f t="shared" si="16"/>
        <v>0</v>
      </c>
      <c r="G232">
        <f t="shared" si="17"/>
        <v>0</v>
      </c>
      <c r="H232">
        <f t="shared" si="18"/>
        <v>1</v>
      </c>
      <c r="I232">
        <f t="shared" si="19"/>
        <v>85</v>
      </c>
    </row>
    <row r="233" spans="1:9" x14ac:dyDescent="0.25">
      <c r="A233" t="s">
        <v>325</v>
      </c>
      <c r="B233" t="s">
        <v>20</v>
      </c>
      <c r="C233" s="2">
        <v>32147</v>
      </c>
      <c r="D233" t="s">
        <v>12</v>
      </c>
      <c r="E233" s="2">
        <f t="shared" si="15"/>
        <v>28</v>
      </c>
      <c r="F233">
        <f t="shared" si="16"/>
        <v>1</v>
      </c>
      <c r="G233">
        <f t="shared" si="17"/>
        <v>25</v>
      </c>
      <c r="H233">
        <f t="shared" si="18"/>
        <v>0</v>
      </c>
      <c r="I233">
        <f t="shared" si="19"/>
        <v>0</v>
      </c>
    </row>
    <row r="234" spans="1:9" x14ac:dyDescent="0.25">
      <c r="A234" t="s">
        <v>326</v>
      </c>
      <c r="B234" t="s">
        <v>327</v>
      </c>
      <c r="C234" s="2">
        <v>17904</v>
      </c>
      <c r="D234" t="s">
        <v>12</v>
      </c>
      <c r="E234" s="2">
        <f t="shared" si="15"/>
        <v>67</v>
      </c>
      <c r="F234">
        <f t="shared" si="16"/>
        <v>0</v>
      </c>
      <c r="G234">
        <f t="shared" si="17"/>
        <v>0</v>
      </c>
      <c r="H234">
        <f t="shared" si="18"/>
        <v>1</v>
      </c>
      <c r="I234">
        <f t="shared" si="19"/>
        <v>85</v>
      </c>
    </row>
    <row r="235" spans="1:9" x14ac:dyDescent="0.25">
      <c r="A235" t="s">
        <v>328</v>
      </c>
      <c r="B235" t="s">
        <v>157</v>
      </c>
      <c r="C235" s="2">
        <v>20057</v>
      </c>
      <c r="D235" t="s">
        <v>12</v>
      </c>
      <c r="E235" s="2">
        <f t="shared" si="15"/>
        <v>62</v>
      </c>
      <c r="F235">
        <f t="shared" si="16"/>
        <v>1</v>
      </c>
      <c r="G235">
        <f t="shared" si="17"/>
        <v>79</v>
      </c>
      <c r="H235">
        <f t="shared" si="18"/>
        <v>0</v>
      </c>
      <c r="I235">
        <f t="shared" si="19"/>
        <v>0</v>
      </c>
    </row>
    <row r="236" spans="1:9" x14ac:dyDescent="0.25">
      <c r="A236" t="s">
        <v>329</v>
      </c>
      <c r="B236" t="s">
        <v>146</v>
      </c>
      <c r="C236" s="2">
        <v>30863</v>
      </c>
      <c r="D236" t="s">
        <v>9</v>
      </c>
      <c r="E236" s="2">
        <f t="shared" si="15"/>
        <v>32</v>
      </c>
      <c r="F236">
        <f t="shared" si="16"/>
        <v>0</v>
      </c>
      <c r="G236">
        <f t="shared" si="17"/>
        <v>0</v>
      </c>
      <c r="H236">
        <f t="shared" si="18"/>
        <v>1</v>
      </c>
      <c r="I236">
        <f t="shared" si="19"/>
        <v>45</v>
      </c>
    </row>
    <row r="237" spans="1:9" x14ac:dyDescent="0.25">
      <c r="A237" t="s">
        <v>330</v>
      </c>
      <c r="B237" t="s">
        <v>139</v>
      </c>
      <c r="C237" s="2">
        <v>22435</v>
      </c>
      <c r="D237" t="s">
        <v>6</v>
      </c>
      <c r="E237" s="2">
        <f t="shared" si="15"/>
        <v>55</v>
      </c>
      <c r="F237">
        <f t="shared" si="16"/>
        <v>0</v>
      </c>
      <c r="G237">
        <f t="shared" si="17"/>
        <v>0</v>
      </c>
      <c r="H237">
        <f t="shared" si="18"/>
        <v>1</v>
      </c>
      <c r="I237">
        <f t="shared" si="19"/>
        <v>36</v>
      </c>
    </row>
    <row r="238" spans="1:9" x14ac:dyDescent="0.25">
      <c r="A238" t="s">
        <v>130</v>
      </c>
      <c r="B238" t="s">
        <v>84</v>
      </c>
      <c r="C238" s="2">
        <v>17048</v>
      </c>
      <c r="D238" t="s">
        <v>12</v>
      </c>
      <c r="E238" s="2">
        <f t="shared" si="15"/>
        <v>70</v>
      </c>
      <c r="F238">
        <f t="shared" si="16"/>
        <v>1</v>
      </c>
      <c r="G238">
        <f t="shared" si="17"/>
        <v>79</v>
      </c>
      <c r="H238">
        <f t="shared" si="18"/>
        <v>0</v>
      </c>
      <c r="I238">
        <f t="shared" si="19"/>
        <v>0</v>
      </c>
    </row>
    <row r="239" spans="1:9" x14ac:dyDescent="0.25">
      <c r="A239" t="s">
        <v>331</v>
      </c>
      <c r="B239" t="s">
        <v>332</v>
      </c>
      <c r="C239" s="2">
        <v>24732</v>
      </c>
      <c r="D239" t="s">
        <v>6</v>
      </c>
      <c r="E239" s="2">
        <f t="shared" si="15"/>
        <v>49</v>
      </c>
      <c r="F239">
        <f t="shared" si="16"/>
        <v>0</v>
      </c>
      <c r="G239">
        <f t="shared" si="17"/>
        <v>0</v>
      </c>
      <c r="H239">
        <f t="shared" si="18"/>
        <v>1</v>
      </c>
      <c r="I239">
        <f t="shared" si="19"/>
        <v>36</v>
      </c>
    </row>
    <row r="240" spans="1:9" x14ac:dyDescent="0.25">
      <c r="A240" t="s">
        <v>333</v>
      </c>
      <c r="B240" t="s">
        <v>11</v>
      </c>
      <c r="C240" s="2">
        <v>18589</v>
      </c>
      <c r="D240" t="s">
        <v>6</v>
      </c>
      <c r="E240" s="2">
        <f t="shared" si="15"/>
        <v>66</v>
      </c>
      <c r="F240">
        <f t="shared" si="16"/>
        <v>1</v>
      </c>
      <c r="G240">
        <f t="shared" si="17"/>
        <v>79</v>
      </c>
      <c r="H240">
        <f t="shared" si="18"/>
        <v>0</v>
      </c>
      <c r="I240">
        <f t="shared" si="19"/>
        <v>0</v>
      </c>
    </row>
    <row r="241" spans="1:9" x14ac:dyDescent="0.25">
      <c r="A241" t="s">
        <v>334</v>
      </c>
      <c r="B241" t="s">
        <v>49</v>
      </c>
      <c r="C241" s="2">
        <v>20727</v>
      </c>
      <c r="D241" t="s">
        <v>12</v>
      </c>
      <c r="E241" s="2">
        <f t="shared" si="15"/>
        <v>60</v>
      </c>
      <c r="F241">
        <f t="shared" si="16"/>
        <v>0</v>
      </c>
      <c r="G241">
        <f t="shared" si="17"/>
        <v>0</v>
      </c>
      <c r="H241">
        <f t="shared" si="18"/>
        <v>1</v>
      </c>
      <c r="I241">
        <f t="shared" si="19"/>
        <v>36</v>
      </c>
    </row>
    <row r="242" spans="1:9" x14ac:dyDescent="0.25">
      <c r="A242" t="s">
        <v>335</v>
      </c>
      <c r="B242" t="s">
        <v>114</v>
      </c>
      <c r="C242" s="2">
        <v>23401</v>
      </c>
      <c r="D242" t="s">
        <v>6</v>
      </c>
      <c r="E242" s="2">
        <f t="shared" si="15"/>
        <v>52</v>
      </c>
      <c r="F242">
        <f t="shared" si="16"/>
        <v>0</v>
      </c>
      <c r="G242">
        <f t="shared" si="17"/>
        <v>0</v>
      </c>
      <c r="H242">
        <f t="shared" si="18"/>
        <v>1</v>
      </c>
      <c r="I242">
        <f t="shared" si="19"/>
        <v>36</v>
      </c>
    </row>
    <row r="243" spans="1:9" x14ac:dyDescent="0.25">
      <c r="A243" t="s">
        <v>336</v>
      </c>
      <c r="B243" t="s">
        <v>337</v>
      </c>
      <c r="C243" s="2">
        <v>17084</v>
      </c>
      <c r="D243" t="s">
        <v>6</v>
      </c>
      <c r="E243" s="2">
        <f t="shared" si="15"/>
        <v>70</v>
      </c>
      <c r="F243">
        <f t="shared" si="16"/>
        <v>1</v>
      </c>
      <c r="G243">
        <f t="shared" si="17"/>
        <v>79</v>
      </c>
      <c r="H243">
        <f t="shared" si="18"/>
        <v>0</v>
      </c>
      <c r="I243">
        <f t="shared" si="19"/>
        <v>0</v>
      </c>
    </row>
    <row r="244" spans="1:9" x14ac:dyDescent="0.25">
      <c r="A244" t="s">
        <v>338</v>
      </c>
      <c r="B244" t="s">
        <v>8</v>
      </c>
      <c r="C244" s="2">
        <v>30481</v>
      </c>
      <c r="D244" t="s">
        <v>12</v>
      </c>
      <c r="E244" s="2">
        <f t="shared" si="15"/>
        <v>33</v>
      </c>
      <c r="F244">
        <f t="shared" si="16"/>
        <v>0</v>
      </c>
      <c r="G244">
        <f t="shared" si="17"/>
        <v>0</v>
      </c>
      <c r="H244">
        <f t="shared" si="18"/>
        <v>1</v>
      </c>
      <c r="I244">
        <f t="shared" si="19"/>
        <v>45</v>
      </c>
    </row>
    <row r="245" spans="1:9" x14ac:dyDescent="0.25">
      <c r="A245" t="s">
        <v>339</v>
      </c>
      <c r="B245" t="s">
        <v>20</v>
      </c>
      <c r="C245" s="2">
        <v>20651</v>
      </c>
      <c r="D245" t="s">
        <v>12</v>
      </c>
      <c r="E245" s="2">
        <f t="shared" si="15"/>
        <v>60</v>
      </c>
      <c r="F245">
        <f t="shared" si="16"/>
        <v>1</v>
      </c>
      <c r="G245">
        <f t="shared" si="17"/>
        <v>29.999999999999996</v>
      </c>
      <c r="H245">
        <f t="shared" si="18"/>
        <v>0</v>
      </c>
      <c r="I245">
        <f t="shared" si="19"/>
        <v>0</v>
      </c>
    </row>
    <row r="246" spans="1:9" x14ac:dyDescent="0.25">
      <c r="A246" t="s">
        <v>340</v>
      </c>
      <c r="B246" t="s">
        <v>185</v>
      </c>
      <c r="C246" s="2">
        <v>32580</v>
      </c>
      <c r="D246" t="s">
        <v>12</v>
      </c>
      <c r="E246" s="2">
        <f t="shared" si="15"/>
        <v>27</v>
      </c>
      <c r="F246">
        <f t="shared" si="16"/>
        <v>1</v>
      </c>
      <c r="G246">
        <f t="shared" si="17"/>
        <v>25</v>
      </c>
      <c r="H246">
        <f t="shared" si="18"/>
        <v>0</v>
      </c>
      <c r="I246">
        <f t="shared" si="19"/>
        <v>0</v>
      </c>
    </row>
    <row r="247" spans="1:9" x14ac:dyDescent="0.25">
      <c r="A247" t="s">
        <v>341</v>
      </c>
      <c r="B247" t="s">
        <v>139</v>
      </c>
      <c r="C247" s="2">
        <v>18233</v>
      </c>
      <c r="D247" t="s">
        <v>12</v>
      </c>
      <c r="E247" s="2">
        <f t="shared" si="15"/>
        <v>67</v>
      </c>
      <c r="F247">
        <f t="shared" si="16"/>
        <v>0</v>
      </c>
      <c r="G247">
        <f t="shared" si="17"/>
        <v>0</v>
      </c>
      <c r="H247">
        <f t="shared" si="18"/>
        <v>1</v>
      </c>
      <c r="I247">
        <f t="shared" si="19"/>
        <v>85</v>
      </c>
    </row>
    <row r="248" spans="1:9" x14ac:dyDescent="0.25">
      <c r="A248" t="s">
        <v>342</v>
      </c>
      <c r="B248" t="s">
        <v>177</v>
      </c>
      <c r="C248" s="2">
        <v>24225</v>
      </c>
      <c r="D248" t="s">
        <v>6</v>
      </c>
      <c r="E248" s="2">
        <f t="shared" si="15"/>
        <v>50</v>
      </c>
      <c r="F248">
        <f t="shared" si="16"/>
        <v>1</v>
      </c>
      <c r="G248">
        <f t="shared" si="17"/>
        <v>29.999999999999996</v>
      </c>
      <c r="H248">
        <f t="shared" si="18"/>
        <v>0</v>
      </c>
      <c r="I248">
        <f t="shared" si="19"/>
        <v>0</v>
      </c>
    </row>
    <row r="249" spans="1:9" x14ac:dyDescent="0.25">
      <c r="A249" t="s">
        <v>343</v>
      </c>
      <c r="B249" t="s">
        <v>45</v>
      </c>
      <c r="C249" s="2">
        <v>27299</v>
      </c>
      <c r="D249" t="s">
        <v>6</v>
      </c>
      <c r="E249" s="2">
        <f t="shared" si="15"/>
        <v>42</v>
      </c>
      <c r="F249">
        <f t="shared" si="16"/>
        <v>1</v>
      </c>
      <c r="G249">
        <f t="shared" si="17"/>
        <v>37.5</v>
      </c>
      <c r="H249">
        <f t="shared" si="18"/>
        <v>0</v>
      </c>
      <c r="I249">
        <f t="shared" si="19"/>
        <v>0</v>
      </c>
    </row>
    <row r="250" spans="1:9" x14ac:dyDescent="0.25">
      <c r="A250" t="s">
        <v>344</v>
      </c>
      <c r="B250" t="s">
        <v>345</v>
      </c>
      <c r="C250" s="2">
        <v>18398</v>
      </c>
      <c r="D250" t="s">
        <v>12</v>
      </c>
      <c r="E250" s="2">
        <f t="shared" si="15"/>
        <v>66</v>
      </c>
      <c r="F250">
        <f t="shared" si="16"/>
        <v>1</v>
      </c>
      <c r="G250">
        <f t="shared" si="17"/>
        <v>79</v>
      </c>
      <c r="H250">
        <f t="shared" si="18"/>
        <v>0</v>
      </c>
      <c r="I250">
        <f t="shared" si="19"/>
        <v>0</v>
      </c>
    </row>
    <row r="251" spans="1:9" x14ac:dyDescent="0.25">
      <c r="A251" t="s">
        <v>329</v>
      </c>
      <c r="B251" t="s">
        <v>194</v>
      </c>
      <c r="C251" s="2">
        <v>34400</v>
      </c>
      <c r="D251" t="s">
        <v>12</v>
      </c>
      <c r="E251" s="2">
        <f t="shared" si="15"/>
        <v>22</v>
      </c>
      <c r="F251">
        <f t="shared" si="16"/>
        <v>1</v>
      </c>
      <c r="G251">
        <f t="shared" si="17"/>
        <v>25</v>
      </c>
      <c r="H251">
        <f t="shared" si="18"/>
        <v>0</v>
      </c>
      <c r="I251">
        <f t="shared" si="19"/>
        <v>0</v>
      </c>
    </row>
    <row r="252" spans="1:9" x14ac:dyDescent="0.25">
      <c r="A252" t="s">
        <v>51</v>
      </c>
      <c r="B252" t="s">
        <v>346</v>
      </c>
      <c r="C252" s="2">
        <v>21513</v>
      </c>
      <c r="D252" t="s">
        <v>12</v>
      </c>
      <c r="E252" s="2">
        <f t="shared" si="15"/>
        <v>58</v>
      </c>
      <c r="F252">
        <f t="shared" si="16"/>
        <v>1</v>
      </c>
      <c r="G252">
        <f t="shared" si="17"/>
        <v>29.999999999999996</v>
      </c>
      <c r="H252">
        <f t="shared" si="18"/>
        <v>0</v>
      </c>
      <c r="I252">
        <f t="shared" si="19"/>
        <v>0</v>
      </c>
    </row>
    <row r="253" spans="1:9" x14ac:dyDescent="0.25">
      <c r="A253" t="s">
        <v>347</v>
      </c>
      <c r="B253" t="s">
        <v>236</v>
      </c>
      <c r="C253" s="2">
        <v>31749</v>
      </c>
      <c r="D253" t="s">
        <v>6</v>
      </c>
      <c r="E253" s="2">
        <f t="shared" si="15"/>
        <v>30</v>
      </c>
      <c r="F253">
        <f t="shared" si="16"/>
        <v>1</v>
      </c>
      <c r="G253">
        <f t="shared" si="17"/>
        <v>25</v>
      </c>
      <c r="H253">
        <f t="shared" si="18"/>
        <v>0</v>
      </c>
      <c r="I253">
        <f t="shared" si="19"/>
        <v>0</v>
      </c>
    </row>
    <row r="254" spans="1:9" x14ac:dyDescent="0.25">
      <c r="A254" t="s">
        <v>348</v>
      </c>
      <c r="B254" t="s">
        <v>5</v>
      </c>
      <c r="C254" s="2">
        <v>34235</v>
      </c>
      <c r="D254" t="s">
        <v>6</v>
      </c>
      <c r="E254" s="2">
        <f t="shared" si="15"/>
        <v>23</v>
      </c>
      <c r="F254">
        <f t="shared" si="16"/>
        <v>1</v>
      </c>
      <c r="G254">
        <f t="shared" si="17"/>
        <v>25</v>
      </c>
      <c r="H254">
        <f t="shared" si="18"/>
        <v>0</v>
      </c>
      <c r="I254">
        <f t="shared" si="19"/>
        <v>0</v>
      </c>
    </row>
    <row r="255" spans="1:9" x14ac:dyDescent="0.25">
      <c r="A255" t="s">
        <v>349</v>
      </c>
      <c r="B255" t="s">
        <v>131</v>
      </c>
      <c r="C255" s="2">
        <v>19183</v>
      </c>
      <c r="D255" t="s">
        <v>9</v>
      </c>
      <c r="E255" s="2">
        <f t="shared" si="15"/>
        <v>64</v>
      </c>
      <c r="F255">
        <f t="shared" si="16"/>
        <v>1</v>
      </c>
      <c r="G255">
        <f t="shared" si="17"/>
        <v>79</v>
      </c>
      <c r="H255">
        <f t="shared" si="18"/>
        <v>0</v>
      </c>
      <c r="I255">
        <f t="shared" si="19"/>
        <v>0</v>
      </c>
    </row>
    <row r="256" spans="1:9" x14ac:dyDescent="0.25">
      <c r="A256" t="s">
        <v>350</v>
      </c>
      <c r="B256" t="s">
        <v>8</v>
      </c>
      <c r="C256" s="2">
        <v>27424</v>
      </c>
      <c r="D256" t="s">
        <v>12</v>
      </c>
      <c r="E256" s="2">
        <f t="shared" si="15"/>
        <v>41</v>
      </c>
      <c r="F256">
        <f t="shared" si="16"/>
        <v>0</v>
      </c>
      <c r="G256">
        <f t="shared" si="17"/>
        <v>0</v>
      </c>
      <c r="H256">
        <f t="shared" si="18"/>
        <v>1</v>
      </c>
      <c r="I256">
        <f t="shared" si="19"/>
        <v>45</v>
      </c>
    </row>
    <row r="257" spans="1:9" x14ac:dyDescent="0.25">
      <c r="A257" t="s">
        <v>351</v>
      </c>
      <c r="B257" t="s">
        <v>152</v>
      </c>
      <c r="C257" s="2">
        <v>23665</v>
      </c>
      <c r="D257" t="s">
        <v>12</v>
      </c>
      <c r="E257" s="2">
        <f t="shared" si="15"/>
        <v>52</v>
      </c>
      <c r="F257">
        <f t="shared" si="16"/>
        <v>0</v>
      </c>
      <c r="G257">
        <f t="shared" si="17"/>
        <v>0</v>
      </c>
      <c r="H257">
        <f t="shared" si="18"/>
        <v>1</v>
      </c>
      <c r="I257">
        <f t="shared" si="19"/>
        <v>36</v>
      </c>
    </row>
    <row r="258" spans="1:9" x14ac:dyDescent="0.25">
      <c r="A258" t="s">
        <v>352</v>
      </c>
      <c r="B258" t="s">
        <v>11</v>
      </c>
      <c r="C258" s="2">
        <v>17649</v>
      </c>
      <c r="D258" t="s">
        <v>6</v>
      </c>
      <c r="E258" s="2">
        <f t="shared" si="15"/>
        <v>68</v>
      </c>
      <c r="F258">
        <f t="shared" si="16"/>
        <v>1</v>
      </c>
      <c r="G258">
        <f t="shared" si="17"/>
        <v>79</v>
      </c>
      <c r="H258">
        <f t="shared" si="18"/>
        <v>0</v>
      </c>
      <c r="I258">
        <f t="shared" si="19"/>
        <v>0</v>
      </c>
    </row>
    <row r="259" spans="1:9" x14ac:dyDescent="0.25">
      <c r="A259" t="s">
        <v>353</v>
      </c>
      <c r="B259" t="s">
        <v>354</v>
      </c>
      <c r="C259" s="2">
        <v>25530</v>
      </c>
      <c r="D259" t="s">
        <v>6</v>
      </c>
      <c r="E259" s="2">
        <f t="shared" ref="E259:E322" si="20">2016-YEAR(C259)</f>
        <v>47</v>
      </c>
      <c r="F259">
        <f t="shared" ref="F259:F322" si="21">IF(RIGHT(B259,1)="a",1,0)</f>
        <v>1</v>
      </c>
      <c r="G259">
        <f t="shared" ref="G259:G322" si="22">IF(F259=1,IF(E259&lt;=30,0.1%*25000,IF(AND(E259&gt;=31,E259&lt;=45),0.15%*25000,IF(AND(E259&gt;=46,E259&lt;=60),25000*0.12%,25000*0.12%+49))),0)</f>
        <v>29.999999999999996</v>
      </c>
      <c r="H259">
        <f t="shared" ref="H259:H322" si="23">IF(F259=1,0,1)</f>
        <v>0</v>
      </c>
      <c r="I259">
        <f t="shared" ref="I259:I322" si="24">IF(H259=1,IF(E259&lt;=30,0.1%*30000,IF(AND(E259&gt;=31,E259&lt;=45),0.15%*30000,IF(AND(E259&gt;=46,E259&lt;=60),30000*0.12%,30000*0.12%+49))),0)</f>
        <v>0</v>
      </c>
    </row>
    <row r="260" spans="1:9" x14ac:dyDescent="0.25">
      <c r="A260" t="s">
        <v>355</v>
      </c>
      <c r="B260" t="s">
        <v>356</v>
      </c>
      <c r="C260" s="2">
        <v>34758</v>
      </c>
      <c r="D260" t="s">
        <v>9</v>
      </c>
      <c r="E260" s="2">
        <f t="shared" si="20"/>
        <v>21</v>
      </c>
      <c r="F260">
        <f t="shared" si="21"/>
        <v>1</v>
      </c>
      <c r="G260">
        <f t="shared" si="22"/>
        <v>25</v>
      </c>
      <c r="H260">
        <f t="shared" si="23"/>
        <v>0</v>
      </c>
      <c r="I260">
        <f t="shared" si="24"/>
        <v>0</v>
      </c>
    </row>
    <row r="261" spans="1:9" x14ac:dyDescent="0.25">
      <c r="A261" t="s">
        <v>19</v>
      </c>
      <c r="B261" t="s">
        <v>357</v>
      </c>
      <c r="C261" s="2">
        <v>17531</v>
      </c>
      <c r="D261" t="s">
        <v>12</v>
      </c>
      <c r="E261" s="2">
        <f t="shared" si="20"/>
        <v>69</v>
      </c>
      <c r="F261">
        <f t="shared" si="21"/>
        <v>0</v>
      </c>
      <c r="G261">
        <f t="shared" si="22"/>
        <v>0</v>
      </c>
      <c r="H261">
        <f t="shared" si="23"/>
        <v>1</v>
      </c>
      <c r="I261">
        <f t="shared" si="24"/>
        <v>85</v>
      </c>
    </row>
    <row r="262" spans="1:9" x14ac:dyDescent="0.25">
      <c r="A262" t="s">
        <v>358</v>
      </c>
      <c r="B262" t="s">
        <v>8</v>
      </c>
      <c r="C262" s="2">
        <v>32482</v>
      </c>
      <c r="D262" t="s">
        <v>6</v>
      </c>
      <c r="E262" s="2">
        <f t="shared" si="20"/>
        <v>28</v>
      </c>
      <c r="F262">
        <f t="shared" si="21"/>
        <v>0</v>
      </c>
      <c r="G262">
        <f t="shared" si="22"/>
        <v>0</v>
      </c>
      <c r="H262">
        <f t="shared" si="23"/>
        <v>1</v>
      </c>
      <c r="I262">
        <f t="shared" si="24"/>
        <v>30</v>
      </c>
    </row>
    <row r="263" spans="1:9" x14ac:dyDescent="0.25">
      <c r="A263" t="s">
        <v>359</v>
      </c>
      <c r="B263" t="s">
        <v>246</v>
      </c>
      <c r="C263" s="2">
        <v>34533</v>
      </c>
      <c r="D263" t="s">
        <v>12</v>
      </c>
      <c r="E263" s="2">
        <f t="shared" si="20"/>
        <v>22</v>
      </c>
      <c r="F263">
        <f t="shared" si="21"/>
        <v>0</v>
      </c>
      <c r="G263">
        <f t="shared" si="22"/>
        <v>0</v>
      </c>
      <c r="H263">
        <f t="shared" si="23"/>
        <v>1</v>
      </c>
      <c r="I263">
        <f t="shared" si="24"/>
        <v>30</v>
      </c>
    </row>
    <row r="264" spans="1:9" x14ac:dyDescent="0.25">
      <c r="A264" t="s">
        <v>308</v>
      </c>
      <c r="B264" t="s">
        <v>79</v>
      </c>
      <c r="C264" s="2">
        <v>28491</v>
      </c>
      <c r="D264" t="s">
        <v>12</v>
      </c>
      <c r="E264" s="2">
        <f t="shared" si="20"/>
        <v>38</v>
      </c>
      <c r="F264">
        <f t="shared" si="21"/>
        <v>1</v>
      </c>
      <c r="G264">
        <f t="shared" si="22"/>
        <v>37.5</v>
      </c>
      <c r="H264">
        <f t="shared" si="23"/>
        <v>0</v>
      </c>
      <c r="I264">
        <f t="shared" si="24"/>
        <v>0</v>
      </c>
    </row>
    <row r="265" spans="1:9" x14ac:dyDescent="0.25">
      <c r="A265" t="s">
        <v>360</v>
      </c>
      <c r="B265" t="s">
        <v>361</v>
      </c>
      <c r="C265" s="2">
        <v>32689</v>
      </c>
      <c r="D265" t="s">
        <v>9</v>
      </c>
      <c r="E265" s="2">
        <f t="shared" si="20"/>
        <v>27</v>
      </c>
      <c r="F265">
        <f t="shared" si="21"/>
        <v>1</v>
      </c>
      <c r="G265">
        <f t="shared" si="22"/>
        <v>25</v>
      </c>
      <c r="H265">
        <f t="shared" si="23"/>
        <v>0</v>
      </c>
      <c r="I265">
        <f t="shared" si="24"/>
        <v>0</v>
      </c>
    </row>
    <row r="266" spans="1:9" x14ac:dyDescent="0.25">
      <c r="A266" t="s">
        <v>162</v>
      </c>
      <c r="B266" t="s">
        <v>362</v>
      </c>
      <c r="C266" s="2">
        <v>27112</v>
      </c>
      <c r="D266" t="s">
        <v>6</v>
      </c>
      <c r="E266" s="2">
        <f t="shared" si="20"/>
        <v>42</v>
      </c>
      <c r="F266">
        <f t="shared" si="21"/>
        <v>1</v>
      </c>
      <c r="G266">
        <f t="shared" si="22"/>
        <v>37.5</v>
      </c>
      <c r="H266">
        <f t="shared" si="23"/>
        <v>0</v>
      </c>
      <c r="I266">
        <f t="shared" si="24"/>
        <v>0</v>
      </c>
    </row>
    <row r="267" spans="1:9" x14ac:dyDescent="0.25">
      <c r="A267" t="s">
        <v>363</v>
      </c>
      <c r="B267" t="s">
        <v>16</v>
      </c>
      <c r="C267" s="2">
        <v>29259</v>
      </c>
      <c r="D267" t="s">
        <v>12</v>
      </c>
      <c r="E267" s="2">
        <f t="shared" si="20"/>
        <v>36</v>
      </c>
      <c r="F267">
        <f t="shared" si="21"/>
        <v>1</v>
      </c>
      <c r="G267">
        <f t="shared" si="22"/>
        <v>37.5</v>
      </c>
      <c r="H267">
        <f t="shared" si="23"/>
        <v>0</v>
      </c>
      <c r="I267">
        <f t="shared" si="24"/>
        <v>0</v>
      </c>
    </row>
    <row r="268" spans="1:9" x14ac:dyDescent="0.25">
      <c r="A268" t="s">
        <v>83</v>
      </c>
      <c r="B268" t="s">
        <v>123</v>
      </c>
      <c r="C268" s="2">
        <v>18437</v>
      </c>
      <c r="D268" t="s">
        <v>6</v>
      </c>
      <c r="E268" s="2">
        <f t="shared" si="20"/>
        <v>66</v>
      </c>
      <c r="F268">
        <f t="shared" si="21"/>
        <v>1</v>
      </c>
      <c r="G268">
        <f t="shared" si="22"/>
        <v>79</v>
      </c>
      <c r="H268">
        <f t="shared" si="23"/>
        <v>0</v>
      </c>
      <c r="I268">
        <f t="shared" si="24"/>
        <v>0</v>
      </c>
    </row>
    <row r="269" spans="1:9" x14ac:dyDescent="0.25">
      <c r="A269" t="s">
        <v>364</v>
      </c>
      <c r="B269" t="s">
        <v>194</v>
      </c>
      <c r="C269" s="2">
        <v>34406</v>
      </c>
      <c r="D269" t="s">
        <v>12</v>
      </c>
      <c r="E269" s="2">
        <f t="shared" si="20"/>
        <v>22</v>
      </c>
      <c r="F269">
        <f t="shared" si="21"/>
        <v>1</v>
      </c>
      <c r="G269">
        <f t="shared" si="22"/>
        <v>25</v>
      </c>
      <c r="H269">
        <f t="shared" si="23"/>
        <v>0</v>
      </c>
      <c r="I269">
        <f t="shared" si="24"/>
        <v>0</v>
      </c>
    </row>
    <row r="270" spans="1:9" x14ac:dyDescent="0.25">
      <c r="A270" t="s">
        <v>365</v>
      </c>
      <c r="B270" t="s">
        <v>366</v>
      </c>
      <c r="C270" s="2">
        <v>26689</v>
      </c>
      <c r="D270" t="s">
        <v>12</v>
      </c>
      <c r="E270" s="2">
        <f t="shared" si="20"/>
        <v>43</v>
      </c>
      <c r="F270">
        <f t="shared" si="21"/>
        <v>0</v>
      </c>
      <c r="G270">
        <f t="shared" si="22"/>
        <v>0</v>
      </c>
      <c r="H270">
        <f t="shared" si="23"/>
        <v>1</v>
      </c>
      <c r="I270">
        <f t="shared" si="24"/>
        <v>45</v>
      </c>
    </row>
    <row r="271" spans="1:9" x14ac:dyDescent="0.25">
      <c r="A271" t="s">
        <v>174</v>
      </c>
      <c r="B271" t="s">
        <v>52</v>
      </c>
      <c r="C271" s="2">
        <v>24391</v>
      </c>
      <c r="D271" t="s">
        <v>6</v>
      </c>
      <c r="E271" s="2">
        <f t="shared" si="20"/>
        <v>50</v>
      </c>
      <c r="F271">
        <f t="shared" si="21"/>
        <v>1</v>
      </c>
      <c r="G271">
        <f t="shared" si="22"/>
        <v>29.999999999999996</v>
      </c>
      <c r="H271">
        <f t="shared" si="23"/>
        <v>0</v>
      </c>
      <c r="I271">
        <f t="shared" si="24"/>
        <v>0</v>
      </c>
    </row>
    <row r="272" spans="1:9" x14ac:dyDescent="0.25">
      <c r="A272" t="s">
        <v>367</v>
      </c>
      <c r="B272" t="s">
        <v>368</v>
      </c>
      <c r="C272" s="2">
        <v>22010</v>
      </c>
      <c r="D272" t="s">
        <v>12</v>
      </c>
      <c r="E272" s="2">
        <f t="shared" si="20"/>
        <v>56</v>
      </c>
      <c r="F272">
        <f t="shared" si="21"/>
        <v>1</v>
      </c>
      <c r="G272">
        <f t="shared" si="22"/>
        <v>29.999999999999996</v>
      </c>
      <c r="H272">
        <f t="shared" si="23"/>
        <v>0</v>
      </c>
      <c r="I272">
        <f t="shared" si="24"/>
        <v>0</v>
      </c>
    </row>
    <row r="273" spans="1:9" x14ac:dyDescent="0.25">
      <c r="A273" t="s">
        <v>369</v>
      </c>
      <c r="B273" t="s">
        <v>332</v>
      </c>
      <c r="C273" s="2">
        <v>17207</v>
      </c>
      <c r="D273" t="s">
        <v>9</v>
      </c>
      <c r="E273" s="2">
        <f t="shared" si="20"/>
        <v>69</v>
      </c>
      <c r="F273">
        <f t="shared" si="21"/>
        <v>0</v>
      </c>
      <c r="G273">
        <f t="shared" si="22"/>
        <v>0</v>
      </c>
      <c r="H273">
        <f t="shared" si="23"/>
        <v>1</v>
      </c>
      <c r="I273">
        <f t="shared" si="24"/>
        <v>85</v>
      </c>
    </row>
    <row r="274" spans="1:9" x14ac:dyDescent="0.25">
      <c r="A274" t="s">
        <v>370</v>
      </c>
      <c r="B274" t="s">
        <v>160</v>
      </c>
      <c r="C274" s="2">
        <v>22547</v>
      </c>
      <c r="D274" t="s">
        <v>6</v>
      </c>
      <c r="E274" s="2">
        <f t="shared" si="20"/>
        <v>55</v>
      </c>
      <c r="F274">
        <f t="shared" si="21"/>
        <v>0</v>
      </c>
      <c r="G274">
        <f t="shared" si="22"/>
        <v>0</v>
      </c>
      <c r="H274">
        <f t="shared" si="23"/>
        <v>1</v>
      </c>
      <c r="I274">
        <f t="shared" si="24"/>
        <v>36</v>
      </c>
    </row>
    <row r="275" spans="1:9" x14ac:dyDescent="0.25">
      <c r="A275" t="s">
        <v>371</v>
      </c>
      <c r="B275" t="s">
        <v>372</v>
      </c>
      <c r="C275" s="2">
        <v>20722</v>
      </c>
      <c r="D275" t="s">
        <v>12</v>
      </c>
      <c r="E275" s="2">
        <f t="shared" si="20"/>
        <v>60</v>
      </c>
      <c r="F275">
        <f t="shared" si="21"/>
        <v>1</v>
      </c>
      <c r="G275">
        <f t="shared" si="22"/>
        <v>29.999999999999996</v>
      </c>
      <c r="H275">
        <f t="shared" si="23"/>
        <v>0</v>
      </c>
      <c r="I275">
        <f t="shared" si="24"/>
        <v>0</v>
      </c>
    </row>
    <row r="276" spans="1:9" x14ac:dyDescent="0.25">
      <c r="A276" t="s">
        <v>373</v>
      </c>
      <c r="B276" t="s">
        <v>29</v>
      </c>
      <c r="C276" s="2">
        <v>24900</v>
      </c>
      <c r="D276" t="s">
        <v>12</v>
      </c>
      <c r="E276" s="2">
        <f t="shared" si="20"/>
        <v>48</v>
      </c>
      <c r="F276">
        <f t="shared" si="21"/>
        <v>0</v>
      </c>
      <c r="G276">
        <f t="shared" si="22"/>
        <v>0</v>
      </c>
      <c r="H276">
        <f t="shared" si="23"/>
        <v>1</v>
      </c>
      <c r="I276">
        <f t="shared" si="24"/>
        <v>36</v>
      </c>
    </row>
    <row r="277" spans="1:9" x14ac:dyDescent="0.25">
      <c r="A277" t="s">
        <v>374</v>
      </c>
      <c r="B277" t="s">
        <v>37</v>
      </c>
      <c r="C277" s="2">
        <v>20808</v>
      </c>
      <c r="D277" t="s">
        <v>12</v>
      </c>
      <c r="E277" s="2">
        <f t="shared" si="20"/>
        <v>60</v>
      </c>
      <c r="F277">
        <f t="shared" si="21"/>
        <v>1</v>
      </c>
      <c r="G277">
        <f t="shared" si="22"/>
        <v>29.999999999999996</v>
      </c>
      <c r="H277">
        <f t="shared" si="23"/>
        <v>0</v>
      </c>
      <c r="I277">
        <f t="shared" si="24"/>
        <v>0</v>
      </c>
    </row>
    <row r="278" spans="1:9" x14ac:dyDescent="0.25">
      <c r="A278" t="s">
        <v>375</v>
      </c>
      <c r="B278" t="s">
        <v>131</v>
      </c>
      <c r="C278" s="2">
        <v>30235</v>
      </c>
      <c r="D278" t="s">
        <v>12</v>
      </c>
      <c r="E278" s="2">
        <f t="shared" si="20"/>
        <v>34</v>
      </c>
      <c r="F278">
        <f t="shared" si="21"/>
        <v>1</v>
      </c>
      <c r="G278">
        <f t="shared" si="22"/>
        <v>37.5</v>
      </c>
      <c r="H278">
        <f t="shared" si="23"/>
        <v>0</v>
      </c>
      <c r="I278">
        <f t="shared" si="24"/>
        <v>0</v>
      </c>
    </row>
    <row r="279" spans="1:9" x14ac:dyDescent="0.25">
      <c r="A279" t="s">
        <v>376</v>
      </c>
      <c r="B279" t="s">
        <v>257</v>
      </c>
      <c r="C279" s="2">
        <v>21221</v>
      </c>
      <c r="D279" t="s">
        <v>9</v>
      </c>
      <c r="E279" s="2">
        <f t="shared" si="20"/>
        <v>58</v>
      </c>
      <c r="F279">
        <f t="shared" si="21"/>
        <v>0</v>
      </c>
      <c r="G279">
        <f t="shared" si="22"/>
        <v>0</v>
      </c>
      <c r="H279">
        <f t="shared" si="23"/>
        <v>1</v>
      </c>
      <c r="I279">
        <f t="shared" si="24"/>
        <v>36</v>
      </c>
    </row>
    <row r="280" spans="1:9" x14ac:dyDescent="0.25">
      <c r="A280" t="s">
        <v>377</v>
      </c>
      <c r="B280" t="s">
        <v>45</v>
      </c>
      <c r="C280" s="2">
        <v>20193</v>
      </c>
      <c r="D280" t="s">
        <v>6</v>
      </c>
      <c r="E280" s="2">
        <f t="shared" si="20"/>
        <v>61</v>
      </c>
      <c r="F280">
        <f t="shared" si="21"/>
        <v>1</v>
      </c>
      <c r="G280">
        <f t="shared" si="22"/>
        <v>79</v>
      </c>
      <c r="H280">
        <f t="shared" si="23"/>
        <v>0</v>
      </c>
      <c r="I280">
        <f t="shared" si="24"/>
        <v>0</v>
      </c>
    </row>
    <row r="281" spans="1:9" x14ac:dyDescent="0.25">
      <c r="A281" t="s">
        <v>378</v>
      </c>
      <c r="B281" t="s">
        <v>141</v>
      </c>
      <c r="C281" s="2">
        <v>17137</v>
      </c>
      <c r="D281" t="s">
        <v>6</v>
      </c>
      <c r="E281" s="2">
        <f t="shared" si="20"/>
        <v>70</v>
      </c>
      <c r="F281">
        <f t="shared" si="21"/>
        <v>0</v>
      </c>
      <c r="G281">
        <f t="shared" si="22"/>
        <v>0</v>
      </c>
      <c r="H281">
        <f t="shared" si="23"/>
        <v>1</v>
      </c>
      <c r="I281">
        <f t="shared" si="24"/>
        <v>85</v>
      </c>
    </row>
    <row r="282" spans="1:9" x14ac:dyDescent="0.25">
      <c r="A282" t="s">
        <v>379</v>
      </c>
      <c r="B282" t="s">
        <v>49</v>
      </c>
      <c r="C282" s="2">
        <v>32802</v>
      </c>
      <c r="D282" t="s">
        <v>6</v>
      </c>
      <c r="E282" s="2">
        <f t="shared" si="20"/>
        <v>27</v>
      </c>
      <c r="F282">
        <f t="shared" si="21"/>
        <v>0</v>
      </c>
      <c r="G282">
        <f t="shared" si="22"/>
        <v>0</v>
      </c>
      <c r="H282">
        <f t="shared" si="23"/>
        <v>1</v>
      </c>
      <c r="I282">
        <f t="shared" si="24"/>
        <v>30</v>
      </c>
    </row>
    <row r="283" spans="1:9" x14ac:dyDescent="0.25">
      <c r="A283" t="s">
        <v>240</v>
      </c>
      <c r="B283" t="s">
        <v>20</v>
      </c>
      <c r="C283" s="2">
        <v>25839</v>
      </c>
      <c r="D283" t="s">
        <v>12</v>
      </c>
      <c r="E283" s="2">
        <f t="shared" si="20"/>
        <v>46</v>
      </c>
      <c r="F283">
        <f t="shared" si="21"/>
        <v>1</v>
      </c>
      <c r="G283">
        <f t="shared" si="22"/>
        <v>29.999999999999996</v>
      </c>
      <c r="H283">
        <f t="shared" si="23"/>
        <v>0</v>
      </c>
      <c r="I283">
        <f t="shared" si="24"/>
        <v>0</v>
      </c>
    </row>
    <row r="284" spans="1:9" x14ac:dyDescent="0.25">
      <c r="A284" t="s">
        <v>275</v>
      </c>
      <c r="B284" t="s">
        <v>380</v>
      </c>
      <c r="C284" s="2">
        <v>32028</v>
      </c>
      <c r="D284" t="s">
        <v>12</v>
      </c>
      <c r="E284" s="2">
        <f t="shared" si="20"/>
        <v>29</v>
      </c>
      <c r="F284">
        <f t="shared" si="21"/>
        <v>0</v>
      </c>
      <c r="G284">
        <f t="shared" si="22"/>
        <v>0</v>
      </c>
      <c r="H284">
        <f t="shared" si="23"/>
        <v>1</v>
      </c>
      <c r="I284">
        <f t="shared" si="24"/>
        <v>30</v>
      </c>
    </row>
    <row r="285" spans="1:9" x14ac:dyDescent="0.25">
      <c r="A285" t="s">
        <v>317</v>
      </c>
      <c r="B285" t="s">
        <v>192</v>
      </c>
      <c r="C285" s="2">
        <v>31556</v>
      </c>
      <c r="D285" t="s">
        <v>6</v>
      </c>
      <c r="E285" s="2">
        <f t="shared" si="20"/>
        <v>30</v>
      </c>
      <c r="F285">
        <f t="shared" si="21"/>
        <v>1</v>
      </c>
      <c r="G285">
        <f t="shared" si="22"/>
        <v>25</v>
      </c>
      <c r="H285">
        <f t="shared" si="23"/>
        <v>0</v>
      </c>
      <c r="I285">
        <f t="shared" si="24"/>
        <v>0</v>
      </c>
    </row>
    <row r="286" spans="1:9" x14ac:dyDescent="0.25">
      <c r="A286" t="s">
        <v>381</v>
      </c>
      <c r="B286" t="s">
        <v>54</v>
      </c>
      <c r="C286" s="2">
        <v>19153</v>
      </c>
      <c r="D286" t="s">
        <v>6</v>
      </c>
      <c r="E286" s="2">
        <f t="shared" si="20"/>
        <v>64</v>
      </c>
      <c r="F286">
        <f t="shared" si="21"/>
        <v>1</v>
      </c>
      <c r="G286">
        <f t="shared" si="22"/>
        <v>79</v>
      </c>
      <c r="H286">
        <f t="shared" si="23"/>
        <v>0</v>
      </c>
      <c r="I286">
        <f t="shared" si="24"/>
        <v>0</v>
      </c>
    </row>
    <row r="287" spans="1:9" x14ac:dyDescent="0.25">
      <c r="A287" t="s">
        <v>382</v>
      </c>
      <c r="B287" t="s">
        <v>383</v>
      </c>
      <c r="C287" s="2">
        <v>21934</v>
      </c>
      <c r="D287" t="s">
        <v>6</v>
      </c>
      <c r="E287" s="2">
        <f t="shared" si="20"/>
        <v>56</v>
      </c>
      <c r="F287">
        <f t="shared" si="21"/>
        <v>1</v>
      </c>
      <c r="G287">
        <f t="shared" si="22"/>
        <v>29.999999999999996</v>
      </c>
      <c r="H287">
        <f t="shared" si="23"/>
        <v>0</v>
      </c>
      <c r="I287">
        <f t="shared" si="24"/>
        <v>0</v>
      </c>
    </row>
    <row r="288" spans="1:9" x14ac:dyDescent="0.25">
      <c r="A288" t="s">
        <v>384</v>
      </c>
      <c r="B288" t="s">
        <v>361</v>
      </c>
      <c r="C288" s="2">
        <v>28187</v>
      </c>
      <c r="D288" t="s">
        <v>12</v>
      </c>
      <c r="E288" s="2">
        <f t="shared" si="20"/>
        <v>39</v>
      </c>
      <c r="F288">
        <f t="shared" si="21"/>
        <v>1</v>
      </c>
      <c r="G288">
        <f t="shared" si="22"/>
        <v>37.5</v>
      </c>
      <c r="H288">
        <f t="shared" si="23"/>
        <v>0</v>
      </c>
      <c r="I288">
        <f t="shared" si="24"/>
        <v>0</v>
      </c>
    </row>
    <row r="289" spans="1:9" x14ac:dyDescent="0.25">
      <c r="A289" t="s">
        <v>385</v>
      </c>
      <c r="B289" t="s">
        <v>252</v>
      </c>
      <c r="C289" s="2">
        <v>34291</v>
      </c>
      <c r="D289" t="s">
        <v>12</v>
      </c>
      <c r="E289" s="2">
        <f t="shared" si="20"/>
        <v>23</v>
      </c>
      <c r="F289">
        <f t="shared" si="21"/>
        <v>0</v>
      </c>
      <c r="G289">
        <f t="shared" si="22"/>
        <v>0</v>
      </c>
      <c r="H289">
        <f t="shared" si="23"/>
        <v>1</v>
      </c>
      <c r="I289">
        <f t="shared" si="24"/>
        <v>30</v>
      </c>
    </row>
    <row r="290" spans="1:9" x14ac:dyDescent="0.25">
      <c r="A290" t="s">
        <v>386</v>
      </c>
      <c r="B290" t="s">
        <v>107</v>
      </c>
      <c r="C290" s="2">
        <v>24652</v>
      </c>
      <c r="D290" t="s">
        <v>6</v>
      </c>
      <c r="E290" s="2">
        <f t="shared" si="20"/>
        <v>49</v>
      </c>
      <c r="F290">
        <f t="shared" si="21"/>
        <v>1</v>
      </c>
      <c r="G290">
        <f t="shared" si="22"/>
        <v>29.999999999999996</v>
      </c>
      <c r="H290">
        <f t="shared" si="23"/>
        <v>0</v>
      </c>
      <c r="I290">
        <f t="shared" si="24"/>
        <v>0</v>
      </c>
    </row>
    <row r="291" spans="1:9" x14ac:dyDescent="0.25">
      <c r="A291" t="s">
        <v>387</v>
      </c>
      <c r="B291" t="s">
        <v>121</v>
      </c>
      <c r="C291" s="2">
        <v>18010</v>
      </c>
      <c r="D291" t="s">
        <v>6</v>
      </c>
      <c r="E291" s="2">
        <f t="shared" si="20"/>
        <v>67</v>
      </c>
      <c r="F291">
        <f t="shared" si="21"/>
        <v>1</v>
      </c>
      <c r="G291">
        <f t="shared" si="22"/>
        <v>79</v>
      </c>
      <c r="H291">
        <f t="shared" si="23"/>
        <v>0</v>
      </c>
      <c r="I291">
        <f t="shared" si="24"/>
        <v>0</v>
      </c>
    </row>
    <row r="292" spans="1:9" x14ac:dyDescent="0.25">
      <c r="A292" t="s">
        <v>388</v>
      </c>
      <c r="B292" t="s">
        <v>368</v>
      </c>
      <c r="C292" s="2">
        <v>26506</v>
      </c>
      <c r="D292" t="s">
        <v>40</v>
      </c>
      <c r="E292" s="2">
        <f t="shared" si="20"/>
        <v>44</v>
      </c>
      <c r="F292">
        <f t="shared" si="21"/>
        <v>1</v>
      </c>
      <c r="G292">
        <f t="shared" si="22"/>
        <v>37.5</v>
      </c>
      <c r="H292">
        <f t="shared" si="23"/>
        <v>0</v>
      </c>
      <c r="I292">
        <f t="shared" si="24"/>
        <v>0</v>
      </c>
    </row>
    <row r="293" spans="1:9" x14ac:dyDescent="0.25">
      <c r="A293" t="s">
        <v>389</v>
      </c>
      <c r="B293" t="s">
        <v>160</v>
      </c>
      <c r="C293" s="2">
        <v>30368</v>
      </c>
      <c r="D293" t="s">
        <v>40</v>
      </c>
      <c r="E293" s="2">
        <f t="shared" si="20"/>
        <v>33</v>
      </c>
      <c r="F293">
        <f t="shared" si="21"/>
        <v>0</v>
      </c>
      <c r="G293">
        <f t="shared" si="22"/>
        <v>0</v>
      </c>
      <c r="H293">
        <f t="shared" si="23"/>
        <v>1</v>
      </c>
      <c r="I293">
        <f t="shared" si="24"/>
        <v>45</v>
      </c>
    </row>
    <row r="294" spans="1:9" x14ac:dyDescent="0.25">
      <c r="A294" t="s">
        <v>162</v>
      </c>
      <c r="B294" t="s">
        <v>54</v>
      </c>
      <c r="C294" s="2">
        <v>16991</v>
      </c>
      <c r="D294" t="s">
        <v>12</v>
      </c>
      <c r="E294" s="2">
        <f t="shared" si="20"/>
        <v>70</v>
      </c>
      <c r="F294">
        <f t="shared" si="21"/>
        <v>1</v>
      </c>
      <c r="G294">
        <f t="shared" si="22"/>
        <v>79</v>
      </c>
      <c r="H294">
        <f t="shared" si="23"/>
        <v>0</v>
      </c>
      <c r="I294">
        <f t="shared" si="24"/>
        <v>0</v>
      </c>
    </row>
    <row r="295" spans="1:9" x14ac:dyDescent="0.25">
      <c r="A295" t="s">
        <v>390</v>
      </c>
      <c r="B295" t="s">
        <v>152</v>
      </c>
      <c r="C295" s="2">
        <v>23950</v>
      </c>
      <c r="D295" t="s">
        <v>12</v>
      </c>
      <c r="E295" s="2">
        <f t="shared" si="20"/>
        <v>51</v>
      </c>
      <c r="F295">
        <f t="shared" si="21"/>
        <v>0</v>
      </c>
      <c r="G295">
        <f t="shared" si="22"/>
        <v>0</v>
      </c>
      <c r="H295">
        <f t="shared" si="23"/>
        <v>1</v>
      </c>
      <c r="I295">
        <f t="shared" si="24"/>
        <v>36</v>
      </c>
    </row>
    <row r="296" spans="1:9" x14ac:dyDescent="0.25">
      <c r="A296" t="s">
        <v>391</v>
      </c>
      <c r="B296" t="s">
        <v>47</v>
      </c>
      <c r="C296" s="2">
        <v>26871</v>
      </c>
      <c r="D296" t="s">
        <v>12</v>
      </c>
      <c r="E296" s="2">
        <f t="shared" si="20"/>
        <v>43</v>
      </c>
      <c r="F296">
        <f t="shared" si="21"/>
        <v>1</v>
      </c>
      <c r="G296">
        <f t="shared" si="22"/>
        <v>37.5</v>
      </c>
      <c r="H296">
        <f t="shared" si="23"/>
        <v>0</v>
      </c>
      <c r="I296">
        <f t="shared" si="24"/>
        <v>0</v>
      </c>
    </row>
    <row r="297" spans="1:9" x14ac:dyDescent="0.25">
      <c r="A297" t="s">
        <v>392</v>
      </c>
      <c r="B297" t="s">
        <v>260</v>
      </c>
      <c r="C297" s="2">
        <v>17268</v>
      </c>
      <c r="D297" t="s">
        <v>40</v>
      </c>
      <c r="E297" s="2">
        <f t="shared" si="20"/>
        <v>69</v>
      </c>
      <c r="F297">
        <f t="shared" si="21"/>
        <v>0</v>
      </c>
      <c r="G297">
        <f t="shared" si="22"/>
        <v>0</v>
      </c>
      <c r="H297">
        <f t="shared" si="23"/>
        <v>1</v>
      </c>
      <c r="I297">
        <f t="shared" si="24"/>
        <v>85</v>
      </c>
    </row>
    <row r="298" spans="1:9" x14ac:dyDescent="0.25">
      <c r="A298" t="s">
        <v>393</v>
      </c>
      <c r="B298" t="s">
        <v>394</v>
      </c>
      <c r="C298" s="2">
        <v>31612</v>
      </c>
      <c r="D298" t="s">
        <v>6</v>
      </c>
      <c r="E298" s="2">
        <f t="shared" si="20"/>
        <v>30</v>
      </c>
      <c r="F298">
        <f t="shared" si="21"/>
        <v>1</v>
      </c>
      <c r="G298">
        <f t="shared" si="22"/>
        <v>25</v>
      </c>
      <c r="H298">
        <f t="shared" si="23"/>
        <v>0</v>
      </c>
      <c r="I298">
        <f t="shared" si="24"/>
        <v>0</v>
      </c>
    </row>
    <row r="299" spans="1:9" x14ac:dyDescent="0.25">
      <c r="A299" t="s">
        <v>395</v>
      </c>
      <c r="B299" t="s">
        <v>131</v>
      </c>
      <c r="C299" s="2">
        <v>21264</v>
      </c>
      <c r="D299" t="s">
        <v>12</v>
      </c>
      <c r="E299" s="2">
        <f t="shared" si="20"/>
        <v>58</v>
      </c>
      <c r="F299">
        <f t="shared" si="21"/>
        <v>1</v>
      </c>
      <c r="G299">
        <f t="shared" si="22"/>
        <v>29.999999999999996</v>
      </c>
      <c r="H299">
        <f t="shared" si="23"/>
        <v>0</v>
      </c>
      <c r="I299">
        <f t="shared" si="24"/>
        <v>0</v>
      </c>
    </row>
    <row r="300" spans="1:9" x14ac:dyDescent="0.25">
      <c r="A300" t="s">
        <v>396</v>
      </c>
      <c r="B300" t="s">
        <v>236</v>
      </c>
      <c r="C300" s="2">
        <v>29622</v>
      </c>
      <c r="D300" t="s">
        <v>40</v>
      </c>
      <c r="E300" s="2">
        <f t="shared" si="20"/>
        <v>35</v>
      </c>
      <c r="F300">
        <f t="shared" si="21"/>
        <v>1</v>
      </c>
      <c r="G300">
        <f t="shared" si="22"/>
        <v>37.5</v>
      </c>
      <c r="H300">
        <f t="shared" si="23"/>
        <v>0</v>
      </c>
      <c r="I300">
        <f t="shared" si="24"/>
        <v>0</v>
      </c>
    </row>
    <row r="301" spans="1:9" x14ac:dyDescent="0.25">
      <c r="A301" t="s">
        <v>162</v>
      </c>
      <c r="B301" t="s">
        <v>20</v>
      </c>
      <c r="C301" s="2">
        <v>30875</v>
      </c>
      <c r="D301" t="s">
        <v>6</v>
      </c>
      <c r="E301" s="2">
        <f t="shared" si="20"/>
        <v>32</v>
      </c>
      <c r="F301">
        <f t="shared" si="21"/>
        <v>1</v>
      </c>
      <c r="G301">
        <f t="shared" si="22"/>
        <v>37.5</v>
      </c>
      <c r="H301">
        <f t="shared" si="23"/>
        <v>0</v>
      </c>
      <c r="I301">
        <f t="shared" si="24"/>
        <v>0</v>
      </c>
    </row>
    <row r="302" spans="1:9" x14ac:dyDescent="0.25">
      <c r="A302" t="s">
        <v>397</v>
      </c>
      <c r="B302" t="s">
        <v>107</v>
      </c>
      <c r="C302" s="2">
        <v>31924</v>
      </c>
      <c r="D302" t="s">
        <v>12</v>
      </c>
      <c r="E302" s="2">
        <f t="shared" si="20"/>
        <v>29</v>
      </c>
      <c r="F302">
        <f t="shared" si="21"/>
        <v>1</v>
      </c>
      <c r="G302">
        <f t="shared" si="22"/>
        <v>25</v>
      </c>
      <c r="H302">
        <f t="shared" si="23"/>
        <v>0</v>
      </c>
      <c r="I302">
        <f t="shared" si="24"/>
        <v>0</v>
      </c>
    </row>
    <row r="303" spans="1:9" x14ac:dyDescent="0.25">
      <c r="A303" t="s">
        <v>398</v>
      </c>
      <c r="B303" t="s">
        <v>399</v>
      </c>
      <c r="C303" s="2">
        <v>23384</v>
      </c>
      <c r="D303" t="s">
        <v>12</v>
      </c>
      <c r="E303" s="2">
        <f t="shared" si="20"/>
        <v>52</v>
      </c>
      <c r="F303">
        <f t="shared" si="21"/>
        <v>0</v>
      </c>
      <c r="G303">
        <f t="shared" si="22"/>
        <v>0</v>
      </c>
      <c r="H303">
        <f t="shared" si="23"/>
        <v>1</v>
      </c>
      <c r="I303">
        <f t="shared" si="24"/>
        <v>36</v>
      </c>
    </row>
    <row r="304" spans="1:9" x14ac:dyDescent="0.25">
      <c r="A304" t="s">
        <v>400</v>
      </c>
      <c r="B304" t="s">
        <v>401</v>
      </c>
      <c r="C304" s="2">
        <v>32097</v>
      </c>
      <c r="D304" t="s">
        <v>6</v>
      </c>
      <c r="E304" s="2">
        <f t="shared" si="20"/>
        <v>29</v>
      </c>
      <c r="F304">
        <f t="shared" si="21"/>
        <v>0</v>
      </c>
      <c r="G304">
        <f t="shared" si="22"/>
        <v>0</v>
      </c>
      <c r="H304">
        <f t="shared" si="23"/>
        <v>1</v>
      </c>
      <c r="I304">
        <f t="shared" si="24"/>
        <v>30</v>
      </c>
    </row>
    <row r="305" spans="1:9" x14ac:dyDescent="0.25">
      <c r="A305" t="s">
        <v>402</v>
      </c>
      <c r="B305" t="s">
        <v>403</v>
      </c>
      <c r="C305" s="2">
        <v>22555</v>
      </c>
      <c r="D305" t="s">
        <v>40</v>
      </c>
      <c r="E305" s="2">
        <f t="shared" si="20"/>
        <v>55</v>
      </c>
      <c r="F305">
        <f t="shared" si="21"/>
        <v>1</v>
      </c>
      <c r="G305">
        <f t="shared" si="22"/>
        <v>29.999999999999996</v>
      </c>
      <c r="H305">
        <f t="shared" si="23"/>
        <v>0</v>
      </c>
      <c r="I305">
        <f t="shared" si="24"/>
        <v>0</v>
      </c>
    </row>
    <row r="306" spans="1:9" x14ac:dyDescent="0.25">
      <c r="A306" t="s">
        <v>317</v>
      </c>
      <c r="B306" t="s">
        <v>20</v>
      </c>
      <c r="C306" s="2">
        <v>22508</v>
      </c>
      <c r="D306" t="s">
        <v>12</v>
      </c>
      <c r="E306" s="2">
        <f t="shared" si="20"/>
        <v>55</v>
      </c>
      <c r="F306">
        <f t="shared" si="21"/>
        <v>1</v>
      </c>
      <c r="G306">
        <f t="shared" si="22"/>
        <v>29.999999999999996</v>
      </c>
      <c r="H306">
        <f t="shared" si="23"/>
        <v>0</v>
      </c>
      <c r="I306">
        <f t="shared" si="24"/>
        <v>0</v>
      </c>
    </row>
    <row r="307" spans="1:9" x14ac:dyDescent="0.25">
      <c r="A307" t="s">
        <v>404</v>
      </c>
      <c r="B307" t="s">
        <v>72</v>
      </c>
      <c r="C307" s="2">
        <v>29510</v>
      </c>
      <c r="D307" t="s">
        <v>6</v>
      </c>
      <c r="E307" s="2">
        <f t="shared" si="20"/>
        <v>36</v>
      </c>
      <c r="F307">
        <f t="shared" si="21"/>
        <v>0</v>
      </c>
      <c r="G307">
        <f t="shared" si="22"/>
        <v>0</v>
      </c>
      <c r="H307">
        <f t="shared" si="23"/>
        <v>1</v>
      </c>
      <c r="I307">
        <f t="shared" si="24"/>
        <v>45</v>
      </c>
    </row>
    <row r="308" spans="1:9" x14ac:dyDescent="0.25">
      <c r="A308" t="s">
        <v>405</v>
      </c>
      <c r="B308" t="s">
        <v>406</v>
      </c>
      <c r="C308" s="2">
        <v>22398</v>
      </c>
      <c r="D308" t="s">
        <v>12</v>
      </c>
      <c r="E308" s="2">
        <f t="shared" si="20"/>
        <v>55</v>
      </c>
      <c r="F308">
        <f t="shared" si="21"/>
        <v>0</v>
      </c>
      <c r="G308">
        <f t="shared" si="22"/>
        <v>0</v>
      </c>
      <c r="H308">
        <f t="shared" si="23"/>
        <v>1</v>
      </c>
      <c r="I308">
        <f t="shared" si="24"/>
        <v>36</v>
      </c>
    </row>
    <row r="309" spans="1:9" x14ac:dyDescent="0.25">
      <c r="A309" t="s">
        <v>407</v>
      </c>
      <c r="B309" t="s">
        <v>20</v>
      </c>
      <c r="C309" s="2">
        <v>28394</v>
      </c>
      <c r="D309" t="s">
        <v>9</v>
      </c>
      <c r="E309" s="2">
        <f t="shared" si="20"/>
        <v>39</v>
      </c>
      <c r="F309">
        <f t="shared" si="21"/>
        <v>1</v>
      </c>
      <c r="G309">
        <f t="shared" si="22"/>
        <v>37.5</v>
      </c>
      <c r="H309">
        <f t="shared" si="23"/>
        <v>0</v>
      </c>
      <c r="I309">
        <f t="shared" si="24"/>
        <v>0</v>
      </c>
    </row>
    <row r="310" spans="1:9" x14ac:dyDescent="0.25">
      <c r="A310" t="s">
        <v>408</v>
      </c>
      <c r="B310" t="s">
        <v>139</v>
      </c>
      <c r="C310" s="2">
        <v>16244</v>
      </c>
      <c r="D310" t="s">
        <v>6</v>
      </c>
      <c r="E310" s="2">
        <f t="shared" si="20"/>
        <v>72</v>
      </c>
      <c r="F310">
        <f t="shared" si="21"/>
        <v>0</v>
      </c>
      <c r="G310">
        <f t="shared" si="22"/>
        <v>0</v>
      </c>
      <c r="H310">
        <f t="shared" si="23"/>
        <v>1</v>
      </c>
      <c r="I310">
        <f t="shared" si="24"/>
        <v>85</v>
      </c>
    </row>
    <row r="311" spans="1:9" x14ac:dyDescent="0.25">
      <c r="A311" t="s">
        <v>409</v>
      </c>
      <c r="B311" t="s">
        <v>167</v>
      </c>
      <c r="C311" s="2">
        <v>32836</v>
      </c>
      <c r="D311" t="s">
        <v>12</v>
      </c>
      <c r="E311" s="2">
        <f t="shared" si="20"/>
        <v>27</v>
      </c>
      <c r="F311">
        <f t="shared" si="21"/>
        <v>0</v>
      </c>
      <c r="G311">
        <f t="shared" si="22"/>
        <v>0</v>
      </c>
      <c r="H311">
        <f t="shared" si="23"/>
        <v>1</v>
      </c>
      <c r="I311">
        <f t="shared" si="24"/>
        <v>30</v>
      </c>
    </row>
    <row r="312" spans="1:9" x14ac:dyDescent="0.25">
      <c r="A312" t="s">
        <v>410</v>
      </c>
      <c r="B312" t="s">
        <v>141</v>
      </c>
      <c r="C312" s="2">
        <v>23528</v>
      </c>
      <c r="D312" t="s">
        <v>6</v>
      </c>
      <c r="E312" s="2">
        <f t="shared" si="20"/>
        <v>52</v>
      </c>
      <c r="F312">
        <f t="shared" si="21"/>
        <v>0</v>
      </c>
      <c r="G312">
        <f t="shared" si="22"/>
        <v>0</v>
      </c>
      <c r="H312">
        <f t="shared" si="23"/>
        <v>1</v>
      </c>
      <c r="I312">
        <f t="shared" si="24"/>
        <v>36</v>
      </c>
    </row>
    <row r="313" spans="1:9" x14ac:dyDescent="0.25">
      <c r="A313" t="s">
        <v>411</v>
      </c>
      <c r="B313" t="s">
        <v>412</v>
      </c>
      <c r="C313" s="2">
        <v>28489</v>
      </c>
      <c r="D313" t="s">
        <v>12</v>
      </c>
      <c r="E313" s="2">
        <f t="shared" si="20"/>
        <v>39</v>
      </c>
      <c r="F313">
        <f t="shared" si="21"/>
        <v>1</v>
      </c>
      <c r="G313">
        <f t="shared" si="22"/>
        <v>37.5</v>
      </c>
      <c r="H313">
        <f t="shared" si="23"/>
        <v>0</v>
      </c>
      <c r="I313">
        <f t="shared" si="24"/>
        <v>0</v>
      </c>
    </row>
    <row r="314" spans="1:9" x14ac:dyDescent="0.25">
      <c r="A314" t="s">
        <v>413</v>
      </c>
      <c r="B314" t="s">
        <v>399</v>
      </c>
      <c r="C314" s="2">
        <v>20920</v>
      </c>
      <c r="D314" t="s">
        <v>12</v>
      </c>
      <c r="E314" s="2">
        <f t="shared" si="20"/>
        <v>59</v>
      </c>
      <c r="F314">
        <f t="shared" si="21"/>
        <v>0</v>
      </c>
      <c r="G314">
        <f t="shared" si="22"/>
        <v>0</v>
      </c>
      <c r="H314">
        <f t="shared" si="23"/>
        <v>1</v>
      </c>
      <c r="I314">
        <f t="shared" si="24"/>
        <v>36</v>
      </c>
    </row>
    <row r="315" spans="1:9" x14ac:dyDescent="0.25">
      <c r="A315" t="s">
        <v>414</v>
      </c>
      <c r="B315" t="s">
        <v>11</v>
      </c>
      <c r="C315" s="2">
        <v>34164</v>
      </c>
      <c r="D315" t="s">
        <v>6</v>
      </c>
      <c r="E315" s="2">
        <f t="shared" si="20"/>
        <v>23</v>
      </c>
      <c r="F315">
        <f t="shared" si="21"/>
        <v>1</v>
      </c>
      <c r="G315">
        <f t="shared" si="22"/>
        <v>25</v>
      </c>
      <c r="H315">
        <f t="shared" si="23"/>
        <v>0</v>
      </c>
      <c r="I315">
        <f t="shared" si="24"/>
        <v>0</v>
      </c>
    </row>
    <row r="316" spans="1:9" x14ac:dyDescent="0.25">
      <c r="A316" t="s">
        <v>415</v>
      </c>
      <c r="B316" t="s">
        <v>246</v>
      </c>
      <c r="C316" s="2">
        <v>32341</v>
      </c>
      <c r="D316" t="s">
        <v>6</v>
      </c>
      <c r="E316" s="2">
        <f t="shared" si="20"/>
        <v>28</v>
      </c>
      <c r="F316">
        <f t="shared" si="21"/>
        <v>0</v>
      </c>
      <c r="G316">
        <f t="shared" si="22"/>
        <v>0</v>
      </c>
      <c r="H316">
        <f t="shared" si="23"/>
        <v>1</v>
      </c>
      <c r="I316">
        <f t="shared" si="24"/>
        <v>30</v>
      </c>
    </row>
    <row r="317" spans="1:9" x14ac:dyDescent="0.25">
      <c r="A317" t="s">
        <v>416</v>
      </c>
      <c r="B317" t="s">
        <v>194</v>
      </c>
      <c r="C317" s="2">
        <v>16640</v>
      </c>
      <c r="D317" t="s">
        <v>12</v>
      </c>
      <c r="E317" s="2">
        <f t="shared" si="20"/>
        <v>71</v>
      </c>
      <c r="F317">
        <f t="shared" si="21"/>
        <v>1</v>
      </c>
      <c r="G317">
        <f t="shared" si="22"/>
        <v>79</v>
      </c>
      <c r="H317">
        <f t="shared" si="23"/>
        <v>0</v>
      </c>
      <c r="I317">
        <f t="shared" si="24"/>
        <v>0</v>
      </c>
    </row>
    <row r="318" spans="1:9" x14ac:dyDescent="0.25">
      <c r="A318" t="s">
        <v>417</v>
      </c>
      <c r="B318" t="s">
        <v>418</v>
      </c>
      <c r="C318" s="2">
        <v>28217</v>
      </c>
      <c r="D318" t="s">
        <v>12</v>
      </c>
      <c r="E318" s="2">
        <f t="shared" si="20"/>
        <v>39</v>
      </c>
      <c r="F318">
        <f t="shared" si="21"/>
        <v>0</v>
      </c>
      <c r="G318">
        <f t="shared" si="22"/>
        <v>0</v>
      </c>
      <c r="H318">
        <f t="shared" si="23"/>
        <v>1</v>
      </c>
      <c r="I318">
        <f t="shared" si="24"/>
        <v>45</v>
      </c>
    </row>
    <row r="319" spans="1:9" x14ac:dyDescent="0.25">
      <c r="A319" t="s">
        <v>190</v>
      </c>
      <c r="B319" t="s">
        <v>419</v>
      </c>
      <c r="C319" s="2">
        <v>32646</v>
      </c>
      <c r="D319" t="s">
        <v>40</v>
      </c>
      <c r="E319" s="2">
        <f t="shared" si="20"/>
        <v>27</v>
      </c>
      <c r="F319">
        <f t="shared" si="21"/>
        <v>0</v>
      </c>
      <c r="G319">
        <f t="shared" si="22"/>
        <v>0</v>
      </c>
      <c r="H319">
        <f t="shared" si="23"/>
        <v>1</v>
      </c>
      <c r="I319">
        <f t="shared" si="24"/>
        <v>30</v>
      </c>
    </row>
    <row r="320" spans="1:9" x14ac:dyDescent="0.25">
      <c r="A320" t="s">
        <v>420</v>
      </c>
      <c r="B320" t="s">
        <v>5</v>
      </c>
      <c r="C320" s="2">
        <v>28636</v>
      </c>
      <c r="D320" t="s">
        <v>40</v>
      </c>
      <c r="E320" s="2">
        <f t="shared" si="20"/>
        <v>38</v>
      </c>
      <c r="F320">
        <f t="shared" si="21"/>
        <v>1</v>
      </c>
      <c r="G320">
        <f t="shared" si="22"/>
        <v>37.5</v>
      </c>
      <c r="H320">
        <f t="shared" si="23"/>
        <v>0</v>
      </c>
      <c r="I320">
        <f t="shared" si="24"/>
        <v>0</v>
      </c>
    </row>
    <row r="321" spans="1:9" x14ac:dyDescent="0.25">
      <c r="A321" t="s">
        <v>421</v>
      </c>
      <c r="B321" t="s">
        <v>8</v>
      </c>
      <c r="C321" s="2">
        <v>30418</v>
      </c>
      <c r="D321" t="s">
        <v>12</v>
      </c>
      <c r="E321" s="2">
        <f t="shared" si="20"/>
        <v>33</v>
      </c>
      <c r="F321">
        <f t="shared" si="21"/>
        <v>0</v>
      </c>
      <c r="G321">
        <f t="shared" si="22"/>
        <v>0</v>
      </c>
      <c r="H321">
        <f t="shared" si="23"/>
        <v>1</v>
      </c>
      <c r="I321">
        <f t="shared" si="24"/>
        <v>45</v>
      </c>
    </row>
    <row r="322" spans="1:9" x14ac:dyDescent="0.25">
      <c r="A322" t="s">
        <v>110</v>
      </c>
      <c r="B322" t="s">
        <v>368</v>
      </c>
      <c r="C322" s="2">
        <v>33971</v>
      </c>
      <c r="D322" t="s">
        <v>12</v>
      </c>
      <c r="E322" s="2">
        <f t="shared" si="20"/>
        <v>23</v>
      </c>
      <c r="F322">
        <f t="shared" si="21"/>
        <v>1</v>
      </c>
      <c r="G322">
        <f t="shared" si="22"/>
        <v>25</v>
      </c>
      <c r="H322">
        <f t="shared" si="23"/>
        <v>0</v>
      </c>
      <c r="I322">
        <f t="shared" si="24"/>
        <v>0</v>
      </c>
    </row>
    <row r="323" spans="1:9" x14ac:dyDescent="0.25">
      <c r="A323" t="s">
        <v>422</v>
      </c>
      <c r="B323" t="s">
        <v>52</v>
      </c>
      <c r="C323" s="2">
        <v>26974</v>
      </c>
      <c r="D323" t="s">
        <v>12</v>
      </c>
      <c r="E323" s="2">
        <f t="shared" ref="E323:E332" si="25">2016-YEAR(C323)</f>
        <v>43</v>
      </c>
      <c r="F323">
        <f t="shared" ref="F323:F332" si="26">IF(RIGHT(B323,1)="a",1,0)</f>
        <v>1</v>
      </c>
      <c r="G323">
        <f t="shared" ref="G323:G332" si="27">IF(F323=1,IF(E323&lt;=30,0.1%*25000,IF(AND(E323&gt;=31,E323&lt;=45),0.15%*25000,IF(AND(E323&gt;=46,E323&lt;=60),25000*0.12%,25000*0.12%+49))),0)</f>
        <v>37.5</v>
      </c>
      <c r="H323">
        <f t="shared" ref="H323:H332" si="28">IF(F323=1,0,1)</f>
        <v>0</v>
      </c>
      <c r="I323">
        <f t="shared" ref="I323:I332" si="29">IF(H323=1,IF(E323&lt;=30,0.1%*30000,IF(AND(E323&gt;=31,E323&lt;=45),0.15%*30000,IF(AND(E323&gt;=46,E323&lt;=60),30000*0.12%,30000*0.12%+49))),0)</f>
        <v>0</v>
      </c>
    </row>
    <row r="324" spans="1:9" x14ac:dyDescent="0.25">
      <c r="A324" t="s">
        <v>423</v>
      </c>
      <c r="B324" t="s">
        <v>47</v>
      </c>
      <c r="C324" s="2">
        <v>21339</v>
      </c>
      <c r="D324" t="s">
        <v>12</v>
      </c>
      <c r="E324" s="2">
        <f t="shared" si="25"/>
        <v>58</v>
      </c>
      <c r="F324">
        <f t="shared" si="26"/>
        <v>1</v>
      </c>
      <c r="G324">
        <f t="shared" si="27"/>
        <v>29.999999999999996</v>
      </c>
      <c r="H324">
        <f t="shared" si="28"/>
        <v>0</v>
      </c>
      <c r="I324">
        <f t="shared" si="29"/>
        <v>0</v>
      </c>
    </row>
    <row r="325" spans="1:9" x14ac:dyDescent="0.25">
      <c r="A325" t="s">
        <v>424</v>
      </c>
      <c r="B325" t="s">
        <v>90</v>
      </c>
      <c r="C325" s="2">
        <v>25150</v>
      </c>
      <c r="D325" t="s">
        <v>6</v>
      </c>
      <c r="E325" s="2">
        <f t="shared" si="25"/>
        <v>48</v>
      </c>
      <c r="F325">
        <f t="shared" si="26"/>
        <v>0</v>
      </c>
      <c r="G325">
        <f t="shared" si="27"/>
        <v>0</v>
      </c>
      <c r="H325">
        <f t="shared" si="28"/>
        <v>1</v>
      </c>
      <c r="I325">
        <f t="shared" si="29"/>
        <v>36</v>
      </c>
    </row>
    <row r="326" spans="1:9" x14ac:dyDescent="0.25">
      <c r="A326" t="s">
        <v>425</v>
      </c>
      <c r="B326" t="s">
        <v>8</v>
      </c>
      <c r="C326" s="2">
        <v>20340</v>
      </c>
      <c r="D326" t="s">
        <v>12</v>
      </c>
      <c r="E326" s="2">
        <f t="shared" si="25"/>
        <v>61</v>
      </c>
      <c r="F326">
        <f t="shared" si="26"/>
        <v>0</v>
      </c>
      <c r="G326">
        <f t="shared" si="27"/>
        <v>0</v>
      </c>
      <c r="H326">
        <f t="shared" si="28"/>
        <v>1</v>
      </c>
      <c r="I326">
        <f t="shared" si="29"/>
        <v>85</v>
      </c>
    </row>
    <row r="327" spans="1:9" x14ac:dyDescent="0.25">
      <c r="A327" t="s">
        <v>426</v>
      </c>
      <c r="B327" t="s">
        <v>131</v>
      </c>
      <c r="C327" s="2">
        <v>16045</v>
      </c>
      <c r="D327" t="s">
        <v>6</v>
      </c>
      <c r="E327" s="2">
        <f t="shared" si="25"/>
        <v>73</v>
      </c>
      <c r="F327">
        <f t="shared" si="26"/>
        <v>1</v>
      </c>
      <c r="G327">
        <f t="shared" si="27"/>
        <v>79</v>
      </c>
      <c r="H327">
        <f t="shared" si="28"/>
        <v>0</v>
      </c>
      <c r="I327">
        <f t="shared" si="29"/>
        <v>0</v>
      </c>
    </row>
    <row r="328" spans="1:9" x14ac:dyDescent="0.25">
      <c r="A328" t="s">
        <v>427</v>
      </c>
      <c r="B328" t="s">
        <v>37</v>
      </c>
      <c r="C328" s="2">
        <v>18568</v>
      </c>
      <c r="D328" t="s">
        <v>12</v>
      </c>
      <c r="E328" s="2">
        <f t="shared" si="25"/>
        <v>66</v>
      </c>
      <c r="F328">
        <f t="shared" si="26"/>
        <v>1</v>
      </c>
      <c r="G328">
        <f t="shared" si="27"/>
        <v>79</v>
      </c>
      <c r="H328">
        <f t="shared" si="28"/>
        <v>0</v>
      </c>
      <c r="I328">
        <f t="shared" si="29"/>
        <v>0</v>
      </c>
    </row>
    <row r="329" spans="1:9" x14ac:dyDescent="0.25">
      <c r="A329" t="s">
        <v>311</v>
      </c>
      <c r="B329" t="s">
        <v>199</v>
      </c>
      <c r="C329" s="2">
        <v>33976</v>
      </c>
      <c r="D329" t="s">
        <v>12</v>
      </c>
      <c r="E329" s="2">
        <f t="shared" si="25"/>
        <v>23</v>
      </c>
      <c r="F329">
        <f t="shared" si="26"/>
        <v>1</v>
      </c>
      <c r="G329">
        <f t="shared" si="27"/>
        <v>25</v>
      </c>
      <c r="H329">
        <f t="shared" si="28"/>
        <v>0</v>
      </c>
      <c r="I329">
        <f t="shared" si="29"/>
        <v>0</v>
      </c>
    </row>
    <row r="330" spans="1:9" x14ac:dyDescent="0.25">
      <c r="A330" t="s">
        <v>428</v>
      </c>
      <c r="B330" t="s">
        <v>429</v>
      </c>
      <c r="C330" s="2">
        <v>30720</v>
      </c>
      <c r="D330" t="s">
        <v>12</v>
      </c>
      <c r="E330" s="2">
        <f t="shared" si="25"/>
        <v>32</v>
      </c>
      <c r="F330">
        <f t="shared" si="26"/>
        <v>1</v>
      </c>
      <c r="G330">
        <f t="shared" si="27"/>
        <v>37.5</v>
      </c>
      <c r="H330">
        <f t="shared" si="28"/>
        <v>0</v>
      </c>
      <c r="I330">
        <f t="shared" si="29"/>
        <v>0</v>
      </c>
    </row>
    <row r="331" spans="1:9" x14ac:dyDescent="0.25">
      <c r="A331" t="s">
        <v>430</v>
      </c>
      <c r="B331" t="s">
        <v>141</v>
      </c>
      <c r="C331" s="2">
        <v>22604</v>
      </c>
      <c r="D331" t="s">
        <v>9</v>
      </c>
      <c r="E331" s="2">
        <f t="shared" si="25"/>
        <v>55</v>
      </c>
      <c r="F331">
        <f t="shared" si="26"/>
        <v>0</v>
      </c>
      <c r="G331">
        <f t="shared" si="27"/>
        <v>0</v>
      </c>
      <c r="H331">
        <f t="shared" si="28"/>
        <v>1</v>
      </c>
      <c r="I331">
        <f t="shared" si="29"/>
        <v>36</v>
      </c>
    </row>
    <row r="332" spans="1:9" x14ac:dyDescent="0.25">
      <c r="A332" t="s">
        <v>431</v>
      </c>
      <c r="B332" t="s">
        <v>368</v>
      </c>
      <c r="C332" s="2">
        <v>19123</v>
      </c>
      <c r="D332" t="s">
        <v>12</v>
      </c>
      <c r="E332" s="2">
        <f t="shared" si="25"/>
        <v>64</v>
      </c>
      <c r="F332">
        <f t="shared" si="26"/>
        <v>1</v>
      </c>
      <c r="G332">
        <f t="shared" si="27"/>
        <v>79</v>
      </c>
      <c r="H332">
        <f t="shared" si="28"/>
        <v>0</v>
      </c>
      <c r="I332">
        <f t="shared" si="2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FE918-CF6F-4E66-B78C-A2E42DA8C10A}">
  <dimension ref="A1:Q332"/>
  <sheetViews>
    <sheetView tabSelected="1" topLeftCell="E10" zoomScale="130" zoomScaleNormal="130" workbookViewId="0">
      <selection activeCell="P11" sqref="P11:Q17"/>
    </sheetView>
  </sheetViews>
  <sheetFormatPr defaultRowHeight="15" x14ac:dyDescent="0.25"/>
  <cols>
    <col min="3" max="3" width="11" bestFit="1" customWidth="1"/>
    <col min="4" max="4" width="20.85546875" bestFit="1" customWidth="1"/>
    <col min="5" max="5" width="13.140625" customWidth="1"/>
    <col min="13" max="13" width="12.42578125" bestFit="1" customWidth="1"/>
    <col min="14" max="14" width="6.28515625" customWidth="1"/>
    <col min="15" max="18" width="12.5703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448</v>
      </c>
      <c r="F1" t="s">
        <v>455</v>
      </c>
      <c r="G1" t="s">
        <v>456</v>
      </c>
      <c r="H1" t="s">
        <v>457</v>
      </c>
      <c r="I1" t="s">
        <v>458</v>
      </c>
      <c r="J1" t="s">
        <v>459</v>
      </c>
      <c r="K1" t="s">
        <v>460</v>
      </c>
    </row>
    <row r="2" spans="1:17" x14ac:dyDescent="0.25">
      <c r="A2" t="s">
        <v>4</v>
      </c>
      <c r="B2" t="s">
        <v>5</v>
      </c>
      <c r="C2" s="2">
        <v>22190</v>
      </c>
      <c r="D2" t="s">
        <v>6</v>
      </c>
      <c r="E2" s="2">
        <f>2016-YEAR(C2)</f>
        <v>56</v>
      </c>
      <c r="F2">
        <f>IF(AND(E2&gt;=20,E2&lt;=29),1,0)</f>
        <v>0</v>
      </c>
      <c r="G2">
        <f>IF(AND(E2&gt;=30,E2&lt;=39),1,0)</f>
        <v>0</v>
      </c>
      <c r="H2">
        <f>IF(AND(E2&gt;=40,E2&lt;=49),1,0)</f>
        <v>0</v>
      </c>
      <c r="I2">
        <f>IF(AND(E2&gt;=50,E2&lt;=59),1,0)</f>
        <v>1</v>
      </c>
      <c r="J2">
        <f>IF(AND(E2&gt;=60,E2&lt;=69),1,0)</f>
        <v>0</v>
      </c>
      <c r="K2">
        <f>IF(AND(E2&gt;=70,E2&lt;=79),1,0)</f>
        <v>0</v>
      </c>
    </row>
    <row r="3" spans="1:17" x14ac:dyDescent="0.25">
      <c r="A3" t="s">
        <v>7</v>
      </c>
      <c r="B3" t="s">
        <v>8</v>
      </c>
      <c r="C3" s="2">
        <v>30952</v>
      </c>
      <c r="D3" t="s">
        <v>9</v>
      </c>
      <c r="E3" s="2">
        <f t="shared" ref="E3:E66" si="0">2016-YEAR(C3)</f>
        <v>32</v>
      </c>
      <c r="F3">
        <f>IF(AND(E3&gt;=20,E3&lt;=29),1,0)</f>
        <v>0</v>
      </c>
      <c r="G3">
        <f>IF(AND(E3&gt;=30,E3&lt;=39),1,0)</f>
        <v>1</v>
      </c>
      <c r="H3">
        <f>IF(AND(E4&gt;=40,E4&lt;=49),1,0)</f>
        <v>1</v>
      </c>
      <c r="I3">
        <f t="shared" ref="I3:I66" si="1">IF(AND(E4&gt;=50,E4&lt;=59),1,0)</f>
        <v>0</v>
      </c>
      <c r="J3">
        <f t="shared" ref="J3:J66" si="2">IF(AND(E4&gt;=60,E4&lt;=69),1,0)</f>
        <v>0</v>
      </c>
      <c r="K3">
        <f t="shared" ref="K3:K66" si="3">IF(AND(E4&gt;=70,E4&lt;=79),1,0)</f>
        <v>0</v>
      </c>
      <c r="M3" s="3" t="s">
        <v>467</v>
      </c>
    </row>
    <row r="4" spans="1:17" x14ac:dyDescent="0.25">
      <c r="A4" t="s">
        <v>10</v>
      </c>
      <c r="B4" t="s">
        <v>11</v>
      </c>
      <c r="C4" s="2">
        <v>24753</v>
      </c>
      <c r="D4" t="s">
        <v>12</v>
      </c>
      <c r="E4" s="2">
        <f t="shared" si="0"/>
        <v>49</v>
      </c>
      <c r="F4">
        <f t="shared" ref="F3:F66" si="4">IF(AND(E4&gt;=20,E4&lt;=29),1,0)</f>
        <v>0</v>
      </c>
      <c r="G4">
        <f t="shared" ref="G3:G66" si="5">IF(AND(E4&gt;=30,E4&lt;=39),1,0)</f>
        <v>0</v>
      </c>
      <c r="H4">
        <f t="shared" ref="H3:H66" si="6">IF(AND(E5&gt;=40,E5&lt;=49),1,0)</f>
        <v>0</v>
      </c>
      <c r="I4">
        <f t="shared" si="1"/>
        <v>0</v>
      </c>
      <c r="J4">
        <f t="shared" si="2"/>
        <v>0</v>
      </c>
      <c r="K4">
        <f t="shared" si="3"/>
        <v>0</v>
      </c>
      <c r="M4" s="4" t="s">
        <v>466</v>
      </c>
      <c r="N4" s="2">
        <v>62</v>
      </c>
    </row>
    <row r="5" spans="1:17" x14ac:dyDescent="0.25">
      <c r="A5" t="s">
        <v>13</v>
      </c>
      <c r="B5" t="s">
        <v>14</v>
      </c>
      <c r="C5" s="2">
        <v>31544</v>
      </c>
      <c r="D5" t="s">
        <v>9</v>
      </c>
      <c r="E5" s="2">
        <f t="shared" si="0"/>
        <v>30</v>
      </c>
      <c r="F5">
        <f t="shared" si="4"/>
        <v>0</v>
      </c>
      <c r="G5">
        <f t="shared" si="5"/>
        <v>1</v>
      </c>
      <c r="H5">
        <f t="shared" si="6"/>
        <v>0</v>
      </c>
      <c r="I5">
        <f t="shared" si="1"/>
        <v>1</v>
      </c>
      <c r="J5">
        <f t="shared" si="2"/>
        <v>0</v>
      </c>
      <c r="K5">
        <f t="shared" si="3"/>
        <v>0</v>
      </c>
      <c r="M5" s="4" t="s">
        <v>465</v>
      </c>
      <c r="N5" s="2">
        <v>56</v>
      </c>
    </row>
    <row r="6" spans="1:17" x14ac:dyDescent="0.25">
      <c r="A6" t="s">
        <v>15</v>
      </c>
      <c r="B6" t="s">
        <v>16</v>
      </c>
      <c r="C6" s="2">
        <v>22780</v>
      </c>
      <c r="D6" t="s">
        <v>9</v>
      </c>
      <c r="E6" s="2">
        <f t="shared" si="0"/>
        <v>54</v>
      </c>
      <c r="F6">
        <f t="shared" si="4"/>
        <v>0</v>
      </c>
      <c r="G6">
        <f t="shared" si="5"/>
        <v>0</v>
      </c>
      <c r="H6">
        <f t="shared" si="6"/>
        <v>0</v>
      </c>
      <c r="I6">
        <f t="shared" si="1"/>
        <v>0</v>
      </c>
      <c r="J6">
        <f t="shared" si="2"/>
        <v>0</v>
      </c>
      <c r="K6">
        <f t="shared" si="3"/>
        <v>0</v>
      </c>
      <c r="M6" s="4" t="s">
        <v>464</v>
      </c>
      <c r="N6" s="2">
        <v>64</v>
      </c>
    </row>
    <row r="7" spans="1:17" x14ac:dyDescent="0.25">
      <c r="A7" t="s">
        <v>17</v>
      </c>
      <c r="B7" t="s">
        <v>18</v>
      </c>
      <c r="C7" s="2">
        <v>31694</v>
      </c>
      <c r="D7" t="s">
        <v>12</v>
      </c>
      <c r="E7" s="2">
        <f t="shared" si="0"/>
        <v>30</v>
      </c>
      <c r="F7">
        <f t="shared" si="4"/>
        <v>0</v>
      </c>
      <c r="G7">
        <f t="shared" si="5"/>
        <v>1</v>
      </c>
      <c r="H7">
        <f t="shared" si="6"/>
        <v>0</v>
      </c>
      <c r="I7">
        <f t="shared" si="1"/>
        <v>0</v>
      </c>
      <c r="J7">
        <f t="shared" si="2"/>
        <v>0</v>
      </c>
      <c r="K7">
        <f t="shared" si="3"/>
        <v>0</v>
      </c>
      <c r="M7" s="4" t="s">
        <v>463</v>
      </c>
      <c r="N7" s="2">
        <v>56</v>
      </c>
    </row>
    <row r="8" spans="1:17" x14ac:dyDescent="0.25">
      <c r="A8" t="s">
        <v>19</v>
      </c>
      <c r="B8" t="s">
        <v>20</v>
      </c>
      <c r="C8" s="2">
        <v>33569</v>
      </c>
      <c r="D8" t="s">
        <v>6</v>
      </c>
      <c r="E8" s="2">
        <f t="shared" si="0"/>
        <v>25</v>
      </c>
      <c r="F8">
        <f t="shared" si="4"/>
        <v>1</v>
      </c>
      <c r="G8">
        <f t="shared" si="5"/>
        <v>0</v>
      </c>
      <c r="H8">
        <f t="shared" si="6"/>
        <v>0</v>
      </c>
      <c r="I8">
        <f t="shared" si="1"/>
        <v>0</v>
      </c>
      <c r="J8">
        <f t="shared" si="2"/>
        <v>0</v>
      </c>
      <c r="K8">
        <f t="shared" si="3"/>
        <v>0</v>
      </c>
      <c r="M8" s="4" t="s">
        <v>462</v>
      </c>
      <c r="N8" s="2">
        <v>71</v>
      </c>
    </row>
    <row r="9" spans="1:17" x14ac:dyDescent="0.25">
      <c r="A9" t="s">
        <v>21</v>
      </c>
      <c r="B9" t="s">
        <v>22</v>
      </c>
      <c r="C9" s="2">
        <v>30372</v>
      </c>
      <c r="D9" t="s">
        <v>6</v>
      </c>
      <c r="E9" s="2">
        <f t="shared" si="0"/>
        <v>33</v>
      </c>
      <c r="F9">
        <f t="shared" si="4"/>
        <v>0</v>
      </c>
      <c r="G9">
        <f t="shared" si="5"/>
        <v>1</v>
      </c>
      <c r="H9">
        <f t="shared" si="6"/>
        <v>0</v>
      </c>
      <c r="I9">
        <f t="shared" si="1"/>
        <v>0</v>
      </c>
      <c r="J9">
        <f t="shared" si="2"/>
        <v>0</v>
      </c>
      <c r="K9">
        <f t="shared" si="3"/>
        <v>0</v>
      </c>
      <c r="M9" s="4" t="s">
        <v>461</v>
      </c>
      <c r="N9" s="2">
        <v>22</v>
      </c>
    </row>
    <row r="10" spans="1:17" x14ac:dyDescent="0.25">
      <c r="A10" t="s">
        <v>23</v>
      </c>
      <c r="B10" t="s">
        <v>8</v>
      </c>
      <c r="C10" s="2">
        <v>33568</v>
      </c>
      <c r="D10" t="s">
        <v>6</v>
      </c>
      <c r="E10" s="2">
        <f t="shared" si="0"/>
        <v>25</v>
      </c>
      <c r="F10">
        <f t="shared" si="4"/>
        <v>1</v>
      </c>
      <c r="G10">
        <f t="shared" si="5"/>
        <v>0</v>
      </c>
      <c r="H10">
        <f t="shared" si="6"/>
        <v>0</v>
      </c>
      <c r="I10">
        <f t="shared" si="1"/>
        <v>0</v>
      </c>
      <c r="J10">
        <f t="shared" si="2"/>
        <v>0</v>
      </c>
      <c r="K10">
        <f t="shared" si="3"/>
        <v>0</v>
      </c>
    </row>
    <row r="11" spans="1:17" x14ac:dyDescent="0.25">
      <c r="A11" t="s">
        <v>24</v>
      </c>
      <c r="B11" t="s">
        <v>25</v>
      </c>
      <c r="C11" s="2">
        <v>31111</v>
      </c>
      <c r="D11" t="s">
        <v>6</v>
      </c>
      <c r="E11" s="2">
        <f t="shared" si="0"/>
        <v>31</v>
      </c>
      <c r="F11">
        <f t="shared" si="4"/>
        <v>0</v>
      </c>
      <c r="G11">
        <f t="shared" si="5"/>
        <v>1</v>
      </c>
      <c r="H11">
        <f t="shared" si="6"/>
        <v>0</v>
      </c>
      <c r="I11">
        <f t="shared" si="1"/>
        <v>0</v>
      </c>
      <c r="J11">
        <f t="shared" si="2"/>
        <v>1</v>
      </c>
      <c r="K11">
        <f t="shared" si="3"/>
        <v>0</v>
      </c>
      <c r="P11" t="s">
        <v>448</v>
      </c>
      <c r="Q11" t="s">
        <v>468</v>
      </c>
    </row>
    <row r="12" spans="1:17" x14ac:dyDescent="0.25">
      <c r="A12" t="s">
        <v>26</v>
      </c>
      <c r="B12" t="s">
        <v>27</v>
      </c>
      <c r="C12" s="2">
        <v>17347</v>
      </c>
      <c r="D12" t="s">
        <v>6</v>
      </c>
      <c r="E12" s="2">
        <f t="shared" si="0"/>
        <v>69</v>
      </c>
      <c r="F12">
        <f t="shared" si="4"/>
        <v>0</v>
      </c>
      <c r="G12">
        <f t="shared" si="5"/>
        <v>0</v>
      </c>
      <c r="H12">
        <f t="shared" si="6"/>
        <v>0</v>
      </c>
      <c r="I12">
        <f t="shared" si="1"/>
        <v>0</v>
      </c>
      <c r="J12">
        <f t="shared" si="2"/>
        <v>0</v>
      </c>
      <c r="K12">
        <f t="shared" si="3"/>
        <v>0</v>
      </c>
      <c r="M12" s="4" t="s">
        <v>466</v>
      </c>
      <c r="N12" s="2">
        <v>62</v>
      </c>
      <c r="P12" t="str">
        <f>RIGHT(M12,5)</f>
        <v>20-29</v>
      </c>
      <c r="Q12" s="2">
        <v>62</v>
      </c>
    </row>
    <row r="13" spans="1:17" x14ac:dyDescent="0.25">
      <c r="A13" t="s">
        <v>28</v>
      </c>
      <c r="B13" t="s">
        <v>29</v>
      </c>
      <c r="C13" s="2">
        <v>33321</v>
      </c>
      <c r="D13" t="s">
        <v>12</v>
      </c>
      <c r="E13" s="2">
        <f t="shared" si="0"/>
        <v>25</v>
      </c>
      <c r="F13">
        <f t="shared" si="4"/>
        <v>1</v>
      </c>
      <c r="G13">
        <f t="shared" si="5"/>
        <v>0</v>
      </c>
      <c r="H13">
        <f t="shared" si="6"/>
        <v>1</v>
      </c>
      <c r="I13">
        <f t="shared" si="1"/>
        <v>0</v>
      </c>
      <c r="J13">
        <f t="shared" si="2"/>
        <v>0</v>
      </c>
      <c r="K13">
        <f t="shared" si="3"/>
        <v>0</v>
      </c>
      <c r="M13" s="4" t="s">
        <v>465</v>
      </c>
      <c r="N13" s="2">
        <v>56</v>
      </c>
      <c r="P13" t="str">
        <f t="shared" ref="P13:P17" si="7">RIGHT(M13,5)</f>
        <v>30-39</v>
      </c>
      <c r="Q13" s="2">
        <v>56</v>
      </c>
    </row>
    <row r="14" spans="1:17" x14ac:dyDescent="0.25">
      <c r="A14" t="s">
        <v>30</v>
      </c>
      <c r="B14" t="s">
        <v>8</v>
      </c>
      <c r="C14" s="2">
        <v>26093</v>
      </c>
      <c r="D14" t="s">
        <v>12</v>
      </c>
      <c r="E14" s="2">
        <f t="shared" si="0"/>
        <v>45</v>
      </c>
      <c r="F14">
        <f t="shared" si="4"/>
        <v>0</v>
      </c>
      <c r="G14">
        <f t="shared" si="5"/>
        <v>0</v>
      </c>
      <c r="H14">
        <f t="shared" si="6"/>
        <v>0</v>
      </c>
      <c r="I14">
        <f t="shared" si="1"/>
        <v>0</v>
      </c>
      <c r="J14">
        <f t="shared" si="2"/>
        <v>0</v>
      </c>
      <c r="K14">
        <f t="shared" si="3"/>
        <v>1</v>
      </c>
      <c r="M14" s="4" t="s">
        <v>464</v>
      </c>
      <c r="N14" s="2">
        <v>64</v>
      </c>
      <c r="P14" t="str">
        <f t="shared" si="7"/>
        <v>40-49</v>
      </c>
      <c r="Q14" s="2">
        <v>64</v>
      </c>
    </row>
    <row r="15" spans="1:17" x14ac:dyDescent="0.25">
      <c r="A15" t="s">
        <v>31</v>
      </c>
      <c r="B15" t="s">
        <v>32</v>
      </c>
      <c r="C15" s="2">
        <v>17144</v>
      </c>
      <c r="D15" t="s">
        <v>12</v>
      </c>
      <c r="E15" s="2">
        <f t="shared" si="0"/>
        <v>70</v>
      </c>
      <c r="F15">
        <f t="shared" si="4"/>
        <v>0</v>
      </c>
      <c r="G15">
        <f t="shared" si="5"/>
        <v>0</v>
      </c>
      <c r="H15">
        <f t="shared" si="6"/>
        <v>1</v>
      </c>
      <c r="I15">
        <f t="shared" si="1"/>
        <v>0</v>
      </c>
      <c r="J15">
        <f t="shared" si="2"/>
        <v>0</v>
      </c>
      <c r="K15">
        <f t="shared" si="3"/>
        <v>0</v>
      </c>
      <c r="M15" s="4" t="s">
        <v>463</v>
      </c>
      <c r="N15" s="2">
        <v>56</v>
      </c>
      <c r="P15" t="str">
        <f t="shared" si="7"/>
        <v>50-59</v>
      </c>
      <c r="Q15" s="2">
        <v>56</v>
      </c>
    </row>
    <row r="16" spans="1:17" x14ac:dyDescent="0.25">
      <c r="A16" t="s">
        <v>33</v>
      </c>
      <c r="B16" t="s">
        <v>34</v>
      </c>
      <c r="C16" s="2">
        <v>26019</v>
      </c>
      <c r="D16" t="s">
        <v>12</v>
      </c>
      <c r="E16" s="2">
        <f t="shared" si="0"/>
        <v>45</v>
      </c>
      <c r="F16">
        <f t="shared" si="4"/>
        <v>0</v>
      </c>
      <c r="G16">
        <f t="shared" si="5"/>
        <v>0</v>
      </c>
      <c r="H16">
        <f t="shared" si="6"/>
        <v>0</v>
      </c>
      <c r="I16">
        <f t="shared" si="1"/>
        <v>0</v>
      </c>
      <c r="J16">
        <f t="shared" si="2"/>
        <v>0</v>
      </c>
      <c r="K16">
        <f t="shared" si="3"/>
        <v>0</v>
      </c>
      <c r="M16" s="4" t="s">
        <v>462</v>
      </c>
      <c r="N16" s="2">
        <v>71</v>
      </c>
      <c r="P16" t="str">
        <f t="shared" si="7"/>
        <v>60-69</v>
      </c>
      <c r="Q16" s="2">
        <v>71</v>
      </c>
    </row>
    <row r="17" spans="1:17" x14ac:dyDescent="0.25">
      <c r="A17" t="s">
        <v>35</v>
      </c>
      <c r="B17" t="s">
        <v>27</v>
      </c>
      <c r="C17" s="2">
        <v>30193</v>
      </c>
      <c r="D17" t="s">
        <v>6</v>
      </c>
      <c r="E17" s="2">
        <f t="shared" si="0"/>
        <v>34</v>
      </c>
      <c r="F17">
        <f t="shared" si="4"/>
        <v>0</v>
      </c>
      <c r="G17">
        <f t="shared" si="5"/>
        <v>1</v>
      </c>
      <c r="H17">
        <f t="shared" si="6"/>
        <v>0</v>
      </c>
      <c r="I17">
        <f t="shared" si="1"/>
        <v>0</v>
      </c>
      <c r="J17">
        <f t="shared" si="2"/>
        <v>0</v>
      </c>
      <c r="K17">
        <f t="shared" si="3"/>
        <v>0</v>
      </c>
      <c r="M17" s="4" t="s">
        <v>461</v>
      </c>
      <c r="N17" s="2">
        <v>22</v>
      </c>
      <c r="P17" t="str">
        <f t="shared" si="7"/>
        <v>70-79</v>
      </c>
      <c r="Q17" s="2">
        <v>22</v>
      </c>
    </row>
    <row r="18" spans="1:17" x14ac:dyDescent="0.25">
      <c r="A18" t="s">
        <v>36</v>
      </c>
      <c r="B18" t="s">
        <v>37</v>
      </c>
      <c r="C18" s="2">
        <v>29668</v>
      </c>
      <c r="D18" t="s">
        <v>9</v>
      </c>
      <c r="E18" s="2">
        <f t="shared" si="0"/>
        <v>35</v>
      </c>
      <c r="F18">
        <f t="shared" si="4"/>
        <v>0</v>
      </c>
      <c r="G18">
        <f t="shared" si="5"/>
        <v>1</v>
      </c>
      <c r="H18">
        <f t="shared" si="6"/>
        <v>0</v>
      </c>
      <c r="I18">
        <f t="shared" si="1"/>
        <v>0</v>
      </c>
      <c r="J18">
        <f t="shared" si="2"/>
        <v>0</v>
      </c>
      <c r="K18">
        <f t="shared" si="3"/>
        <v>0</v>
      </c>
    </row>
    <row r="19" spans="1:17" x14ac:dyDescent="0.25">
      <c r="A19" t="s">
        <v>38</v>
      </c>
      <c r="B19" t="s">
        <v>39</v>
      </c>
      <c r="C19" s="2">
        <v>34945</v>
      </c>
      <c r="D19" t="s">
        <v>40</v>
      </c>
      <c r="E19" s="2">
        <f t="shared" si="0"/>
        <v>21</v>
      </c>
      <c r="F19">
        <f t="shared" si="4"/>
        <v>1</v>
      </c>
      <c r="G19">
        <f t="shared" si="5"/>
        <v>0</v>
      </c>
      <c r="H19">
        <f t="shared" si="6"/>
        <v>0</v>
      </c>
      <c r="I19">
        <f t="shared" si="1"/>
        <v>1</v>
      </c>
      <c r="J19">
        <f t="shared" si="2"/>
        <v>0</v>
      </c>
      <c r="K19">
        <f t="shared" si="3"/>
        <v>0</v>
      </c>
    </row>
    <row r="20" spans="1:17" x14ac:dyDescent="0.25">
      <c r="A20" t="s">
        <v>41</v>
      </c>
      <c r="B20" t="s">
        <v>42</v>
      </c>
      <c r="C20" s="2">
        <v>23309</v>
      </c>
      <c r="D20" t="s">
        <v>9</v>
      </c>
      <c r="E20" s="2">
        <f t="shared" si="0"/>
        <v>53</v>
      </c>
      <c r="F20">
        <f t="shared" si="4"/>
        <v>0</v>
      </c>
      <c r="G20">
        <f t="shared" si="5"/>
        <v>0</v>
      </c>
      <c r="H20">
        <f t="shared" si="6"/>
        <v>0</v>
      </c>
      <c r="I20">
        <f t="shared" si="1"/>
        <v>0</v>
      </c>
      <c r="J20">
        <f t="shared" si="2"/>
        <v>0</v>
      </c>
      <c r="K20">
        <f t="shared" si="3"/>
        <v>1</v>
      </c>
    </row>
    <row r="21" spans="1:17" x14ac:dyDescent="0.25">
      <c r="A21" t="s">
        <v>43</v>
      </c>
      <c r="B21" t="s">
        <v>20</v>
      </c>
      <c r="C21" s="2">
        <v>16498</v>
      </c>
      <c r="D21" t="s">
        <v>6</v>
      </c>
      <c r="E21" s="2">
        <f t="shared" si="0"/>
        <v>71</v>
      </c>
      <c r="F21">
        <f t="shared" si="4"/>
        <v>0</v>
      </c>
      <c r="G21">
        <f t="shared" si="5"/>
        <v>0</v>
      </c>
      <c r="H21">
        <f t="shared" si="6"/>
        <v>0</v>
      </c>
      <c r="I21">
        <f t="shared" si="1"/>
        <v>0</v>
      </c>
      <c r="J21">
        <f t="shared" si="2"/>
        <v>1</v>
      </c>
      <c r="K21">
        <f t="shared" si="3"/>
        <v>0</v>
      </c>
    </row>
    <row r="22" spans="1:17" x14ac:dyDescent="0.25">
      <c r="A22" t="s">
        <v>44</v>
      </c>
      <c r="B22" t="s">
        <v>45</v>
      </c>
      <c r="C22" s="2">
        <v>19872</v>
      </c>
      <c r="D22" t="s">
        <v>12</v>
      </c>
      <c r="E22" s="2">
        <f t="shared" si="0"/>
        <v>62</v>
      </c>
      <c r="F22">
        <f t="shared" si="4"/>
        <v>0</v>
      </c>
      <c r="G22">
        <f t="shared" si="5"/>
        <v>0</v>
      </c>
      <c r="H22">
        <f t="shared" si="6"/>
        <v>1</v>
      </c>
      <c r="I22">
        <f t="shared" si="1"/>
        <v>0</v>
      </c>
      <c r="J22">
        <f t="shared" si="2"/>
        <v>0</v>
      </c>
      <c r="K22">
        <f t="shared" si="3"/>
        <v>0</v>
      </c>
    </row>
    <row r="23" spans="1:17" x14ac:dyDescent="0.25">
      <c r="A23" t="s">
        <v>46</v>
      </c>
      <c r="B23" t="s">
        <v>47</v>
      </c>
      <c r="C23" s="2">
        <v>26018</v>
      </c>
      <c r="D23" t="s">
        <v>6</v>
      </c>
      <c r="E23" s="2">
        <f t="shared" si="0"/>
        <v>45</v>
      </c>
      <c r="F23">
        <f t="shared" si="4"/>
        <v>0</v>
      </c>
      <c r="G23">
        <f t="shared" si="5"/>
        <v>0</v>
      </c>
      <c r="H23">
        <f t="shared" si="6"/>
        <v>1</v>
      </c>
      <c r="I23">
        <f t="shared" si="1"/>
        <v>0</v>
      </c>
      <c r="J23">
        <f t="shared" si="2"/>
        <v>0</v>
      </c>
      <c r="K23">
        <f t="shared" si="3"/>
        <v>0</v>
      </c>
    </row>
    <row r="24" spans="1:17" x14ac:dyDescent="0.25">
      <c r="A24" t="s">
        <v>48</v>
      </c>
      <c r="B24" t="s">
        <v>49</v>
      </c>
      <c r="C24" s="2">
        <v>25110</v>
      </c>
      <c r="D24" t="s">
        <v>40</v>
      </c>
      <c r="E24" s="2">
        <f t="shared" si="0"/>
        <v>48</v>
      </c>
      <c r="F24">
        <f t="shared" si="4"/>
        <v>0</v>
      </c>
      <c r="G24">
        <f t="shared" si="5"/>
        <v>0</v>
      </c>
      <c r="H24">
        <f t="shared" si="6"/>
        <v>0</v>
      </c>
      <c r="I24">
        <f t="shared" si="1"/>
        <v>0</v>
      </c>
      <c r="J24">
        <f t="shared" si="2"/>
        <v>0</v>
      </c>
      <c r="K24">
        <f t="shared" si="3"/>
        <v>0</v>
      </c>
    </row>
    <row r="25" spans="1:17" x14ac:dyDescent="0.25">
      <c r="A25" t="s">
        <v>50</v>
      </c>
      <c r="B25" t="s">
        <v>29</v>
      </c>
      <c r="C25" s="2">
        <v>33411</v>
      </c>
      <c r="D25" t="s">
        <v>9</v>
      </c>
      <c r="E25" s="2">
        <f t="shared" si="0"/>
        <v>25</v>
      </c>
      <c r="F25">
        <f t="shared" si="4"/>
        <v>1</v>
      </c>
      <c r="G25">
        <f t="shared" si="5"/>
        <v>0</v>
      </c>
      <c r="H25">
        <f t="shared" si="6"/>
        <v>0</v>
      </c>
      <c r="I25">
        <f t="shared" si="1"/>
        <v>0</v>
      </c>
      <c r="J25">
        <f t="shared" si="2"/>
        <v>0</v>
      </c>
      <c r="K25">
        <f t="shared" si="3"/>
        <v>0</v>
      </c>
    </row>
    <row r="26" spans="1:17" x14ac:dyDescent="0.25">
      <c r="A26" t="s">
        <v>51</v>
      </c>
      <c r="B26" t="s">
        <v>52</v>
      </c>
      <c r="C26" s="2">
        <v>30969</v>
      </c>
      <c r="D26" t="s">
        <v>12</v>
      </c>
      <c r="E26" s="2">
        <f t="shared" si="0"/>
        <v>32</v>
      </c>
      <c r="F26">
        <f t="shared" si="4"/>
        <v>0</v>
      </c>
      <c r="G26">
        <f t="shared" si="5"/>
        <v>1</v>
      </c>
      <c r="H26">
        <f t="shared" si="6"/>
        <v>0</v>
      </c>
      <c r="I26">
        <f t="shared" si="1"/>
        <v>0</v>
      </c>
      <c r="J26">
        <f t="shared" si="2"/>
        <v>1</v>
      </c>
      <c r="K26">
        <f t="shared" si="3"/>
        <v>0</v>
      </c>
    </row>
    <row r="27" spans="1:17" x14ac:dyDescent="0.25">
      <c r="A27" t="s">
        <v>53</v>
      </c>
      <c r="B27" t="s">
        <v>54</v>
      </c>
      <c r="C27" s="2">
        <v>19368</v>
      </c>
      <c r="D27" t="s">
        <v>12</v>
      </c>
      <c r="E27" s="2">
        <f t="shared" si="0"/>
        <v>63</v>
      </c>
      <c r="F27">
        <f t="shared" si="4"/>
        <v>0</v>
      </c>
      <c r="G27">
        <f t="shared" si="5"/>
        <v>0</v>
      </c>
      <c r="H27">
        <f t="shared" si="6"/>
        <v>0</v>
      </c>
      <c r="I27">
        <f t="shared" si="1"/>
        <v>1</v>
      </c>
      <c r="J27">
        <f t="shared" si="2"/>
        <v>0</v>
      </c>
      <c r="K27">
        <f t="shared" si="3"/>
        <v>0</v>
      </c>
    </row>
    <row r="28" spans="1:17" x14ac:dyDescent="0.25">
      <c r="A28" t="s">
        <v>55</v>
      </c>
      <c r="B28" t="s">
        <v>56</v>
      </c>
      <c r="C28" s="2">
        <v>23668</v>
      </c>
      <c r="D28" t="s">
        <v>40</v>
      </c>
      <c r="E28" s="2">
        <f t="shared" si="0"/>
        <v>52</v>
      </c>
      <c r="F28">
        <f t="shared" si="4"/>
        <v>0</v>
      </c>
      <c r="G28">
        <f t="shared" si="5"/>
        <v>0</v>
      </c>
      <c r="H28">
        <f t="shared" si="6"/>
        <v>0</v>
      </c>
      <c r="I28">
        <f t="shared" si="1"/>
        <v>0</v>
      </c>
      <c r="J28">
        <f t="shared" si="2"/>
        <v>1</v>
      </c>
      <c r="K28">
        <f t="shared" si="3"/>
        <v>0</v>
      </c>
    </row>
    <row r="29" spans="1:17" x14ac:dyDescent="0.25">
      <c r="A29" t="s">
        <v>57</v>
      </c>
      <c r="B29" t="s">
        <v>58</v>
      </c>
      <c r="C29" s="2">
        <v>19851</v>
      </c>
      <c r="D29" t="s">
        <v>12</v>
      </c>
      <c r="E29" s="2">
        <f t="shared" si="0"/>
        <v>62</v>
      </c>
      <c r="F29">
        <f t="shared" si="4"/>
        <v>0</v>
      </c>
      <c r="G29">
        <f t="shared" si="5"/>
        <v>0</v>
      </c>
      <c r="H29">
        <f t="shared" si="6"/>
        <v>0</v>
      </c>
      <c r="I29">
        <f t="shared" si="1"/>
        <v>0</v>
      </c>
      <c r="J29">
        <f t="shared" si="2"/>
        <v>1</v>
      </c>
      <c r="K29">
        <f t="shared" si="3"/>
        <v>0</v>
      </c>
    </row>
    <row r="30" spans="1:17" x14ac:dyDescent="0.25">
      <c r="A30" t="s">
        <v>59</v>
      </c>
      <c r="B30" t="s">
        <v>18</v>
      </c>
      <c r="C30" s="2">
        <v>17896</v>
      </c>
      <c r="D30" t="s">
        <v>9</v>
      </c>
      <c r="E30" s="2">
        <f t="shared" si="0"/>
        <v>68</v>
      </c>
      <c r="F30">
        <f t="shared" si="4"/>
        <v>0</v>
      </c>
      <c r="G30">
        <f t="shared" si="5"/>
        <v>0</v>
      </c>
      <c r="H30">
        <f t="shared" si="6"/>
        <v>1</v>
      </c>
      <c r="I30">
        <f t="shared" si="1"/>
        <v>0</v>
      </c>
      <c r="J30">
        <f t="shared" si="2"/>
        <v>0</v>
      </c>
      <c r="K30">
        <f t="shared" si="3"/>
        <v>0</v>
      </c>
    </row>
    <row r="31" spans="1:17" x14ac:dyDescent="0.25">
      <c r="A31" t="s">
        <v>60</v>
      </c>
      <c r="B31" t="s">
        <v>11</v>
      </c>
      <c r="C31" s="2">
        <v>25045</v>
      </c>
      <c r="D31" t="s">
        <v>12</v>
      </c>
      <c r="E31" s="2">
        <f t="shared" si="0"/>
        <v>48</v>
      </c>
      <c r="F31">
        <f t="shared" si="4"/>
        <v>0</v>
      </c>
      <c r="G31">
        <f t="shared" si="5"/>
        <v>0</v>
      </c>
      <c r="H31">
        <f t="shared" si="6"/>
        <v>0</v>
      </c>
      <c r="I31">
        <f t="shared" si="1"/>
        <v>0</v>
      </c>
      <c r="J31">
        <f t="shared" si="2"/>
        <v>1</v>
      </c>
      <c r="K31">
        <f t="shared" si="3"/>
        <v>0</v>
      </c>
    </row>
    <row r="32" spans="1:17" x14ac:dyDescent="0.25">
      <c r="A32" t="s">
        <v>61</v>
      </c>
      <c r="B32" t="s">
        <v>20</v>
      </c>
      <c r="C32" s="2">
        <v>18367</v>
      </c>
      <c r="D32" t="s">
        <v>12</v>
      </c>
      <c r="E32" s="2">
        <f t="shared" si="0"/>
        <v>66</v>
      </c>
      <c r="F32">
        <f t="shared" si="4"/>
        <v>0</v>
      </c>
      <c r="G32">
        <f t="shared" si="5"/>
        <v>0</v>
      </c>
      <c r="H32">
        <f t="shared" si="6"/>
        <v>0</v>
      </c>
      <c r="I32">
        <f t="shared" si="1"/>
        <v>1</v>
      </c>
      <c r="J32">
        <f t="shared" si="2"/>
        <v>0</v>
      </c>
      <c r="K32">
        <f t="shared" si="3"/>
        <v>0</v>
      </c>
    </row>
    <row r="33" spans="1:11" x14ac:dyDescent="0.25">
      <c r="A33" t="s">
        <v>62</v>
      </c>
      <c r="B33" t="s">
        <v>20</v>
      </c>
      <c r="C33" s="2">
        <v>21630</v>
      </c>
      <c r="D33" t="s">
        <v>6</v>
      </c>
      <c r="E33" s="2">
        <f t="shared" si="0"/>
        <v>57</v>
      </c>
      <c r="F33">
        <f t="shared" si="4"/>
        <v>0</v>
      </c>
      <c r="G33">
        <f t="shared" si="5"/>
        <v>0</v>
      </c>
      <c r="H33">
        <f t="shared" si="6"/>
        <v>0</v>
      </c>
      <c r="I33">
        <f t="shared" si="1"/>
        <v>0</v>
      </c>
      <c r="J33">
        <f t="shared" si="2"/>
        <v>0</v>
      </c>
      <c r="K33">
        <f t="shared" si="3"/>
        <v>1</v>
      </c>
    </row>
    <row r="34" spans="1:11" x14ac:dyDescent="0.25">
      <c r="A34" t="s">
        <v>63</v>
      </c>
      <c r="B34" t="s">
        <v>64</v>
      </c>
      <c r="C34" s="2">
        <v>16075</v>
      </c>
      <c r="D34" t="s">
        <v>40</v>
      </c>
      <c r="E34" s="2">
        <f t="shared" si="0"/>
        <v>72</v>
      </c>
      <c r="F34">
        <f t="shared" si="4"/>
        <v>0</v>
      </c>
      <c r="G34">
        <f t="shared" si="5"/>
        <v>0</v>
      </c>
      <c r="H34">
        <f t="shared" si="6"/>
        <v>0</v>
      </c>
      <c r="I34">
        <f t="shared" si="1"/>
        <v>0</v>
      </c>
      <c r="J34">
        <f t="shared" si="2"/>
        <v>0</v>
      </c>
      <c r="K34">
        <f t="shared" si="3"/>
        <v>0</v>
      </c>
    </row>
    <row r="35" spans="1:11" x14ac:dyDescent="0.25">
      <c r="A35" t="s">
        <v>65</v>
      </c>
      <c r="B35" t="s">
        <v>20</v>
      </c>
      <c r="C35" s="2">
        <v>30640</v>
      </c>
      <c r="D35" t="s">
        <v>6</v>
      </c>
      <c r="E35" s="2">
        <f t="shared" si="0"/>
        <v>33</v>
      </c>
      <c r="F35">
        <f t="shared" si="4"/>
        <v>0</v>
      </c>
      <c r="G35">
        <f t="shared" si="5"/>
        <v>1</v>
      </c>
      <c r="H35">
        <f t="shared" si="6"/>
        <v>0</v>
      </c>
      <c r="I35">
        <f t="shared" si="1"/>
        <v>1</v>
      </c>
      <c r="J35">
        <f t="shared" si="2"/>
        <v>0</v>
      </c>
      <c r="K35">
        <f t="shared" si="3"/>
        <v>0</v>
      </c>
    </row>
    <row r="36" spans="1:11" x14ac:dyDescent="0.25">
      <c r="A36" t="s">
        <v>66</v>
      </c>
      <c r="B36" t="s">
        <v>67</v>
      </c>
      <c r="C36" s="2">
        <v>21633</v>
      </c>
      <c r="D36" t="s">
        <v>12</v>
      </c>
      <c r="E36" s="2">
        <f t="shared" si="0"/>
        <v>57</v>
      </c>
      <c r="F36">
        <f t="shared" si="4"/>
        <v>0</v>
      </c>
      <c r="G36">
        <f t="shared" si="5"/>
        <v>0</v>
      </c>
      <c r="H36">
        <f t="shared" si="6"/>
        <v>0</v>
      </c>
      <c r="I36">
        <f t="shared" si="1"/>
        <v>1</v>
      </c>
      <c r="J36">
        <f t="shared" si="2"/>
        <v>0</v>
      </c>
      <c r="K36">
        <f t="shared" si="3"/>
        <v>0</v>
      </c>
    </row>
    <row r="37" spans="1:11" x14ac:dyDescent="0.25">
      <c r="A37" t="s">
        <v>68</v>
      </c>
      <c r="B37" t="s">
        <v>69</v>
      </c>
      <c r="C37" s="2">
        <v>22843</v>
      </c>
      <c r="D37" t="s">
        <v>6</v>
      </c>
      <c r="E37" s="2">
        <f t="shared" si="0"/>
        <v>54</v>
      </c>
      <c r="F37">
        <f t="shared" si="4"/>
        <v>0</v>
      </c>
      <c r="G37">
        <f t="shared" si="5"/>
        <v>0</v>
      </c>
      <c r="H37">
        <f t="shared" si="6"/>
        <v>0</v>
      </c>
      <c r="I37">
        <f t="shared" si="1"/>
        <v>1</v>
      </c>
      <c r="J37">
        <f t="shared" si="2"/>
        <v>0</v>
      </c>
      <c r="K37">
        <f t="shared" si="3"/>
        <v>0</v>
      </c>
    </row>
    <row r="38" spans="1:11" x14ac:dyDescent="0.25">
      <c r="A38" t="s">
        <v>70</v>
      </c>
      <c r="B38" t="s">
        <v>39</v>
      </c>
      <c r="C38" s="2">
        <v>22944</v>
      </c>
      <c r="D38" t="s">
        <v>12</v>
      </c>
      <c r="E38" s="2">
        <f t="shared" si="0"/>
        <v>54</v>
      </c>
      <c r="F38">
        <f t="shared" si="4"/>
        <v>0</v>
      </c>
      <c r="G38">
        <f t="shared" si="5"/>
        <v>0</v>
      </c>
      <c r="H38">
        <f t="shared" si="6"/>
        <v>0</v>
      </c>
      <c r="I38">
        <f t="shared" si="1"/>
        <v>0</v>
      </c>
      <c r="J38">
        <f t="shared" si="2"/>
        <v>0</v>
      </c>
      <c r="K38">
        <f t="shared" si="3"/>
        <v>0</v>
      </c>
    </row>
    <row r="39" spans="1:11" x14ac:dyDescent="0.25">
      <c r="A39" t="s">
        <v>71</v>
      </c>
      <c r="B39" t="s">
        <v>72</v>
      </c>
      <c r="C39" s="2">
        <v>28856</v>
      </c>
      <c r="D39" t="s">
        <v>6</v>
      </c>
      <c r="E39" s="2">
        <f t="shared" si="0"/>
        <v>37</v>
      </c>
      <c r="F39">
        <f t="shared" si="4"/>
        <v>0</v>
      </c>
      <c r="G39">
        <f t="shared" si="5"/>
        <v>1</v>
      </c>
      <c r="H39">
        <f t="shared" si="6"/>
        <v>1</v>
      </c>
      <c r="I39">
        <f t="shared" si="1"/>
        <v>0</v>
      </c>
      <c r="J39">
        <f t="shared" si="2"/>
        <v>0</v>
      </c>
      <c r="K39">
        <f t="shared" si="3"/>
        <v>0</v>
      </c>
    </row>
    <row r="40" spans="1:11" x14ac:dyDescent="0.25">
      <c r="A40" t="s">
        <v>73</v>
      </c>
      <c r="B40" t="s">
        <v>74</v>
      </c>
      <c r="C40" s="2">
        <v>27510</v>
      </c>
      <c r="D40" t="s">
        <v>9</v>
      </c>
      <c r="E40" s="2">
        <f t="shared" si="0"/>
        <v>41</v>
      </c>
      <c r="F40">
        <f t="shared" si="4"/>
        <v>0</v>
      </c>
      <c r="G40">
        <f t="shared" si="5"/>
        <v>0</v>
      </c>
      <c r="H40">
        <f t="shared" si="6"/>
        <v>1</v>
      </c>
      <c r="I40">
        <f t="shared" si="1"/>
        <v>0</v>
      </c>
      <c r="J40">
        <f t="shared" si="2"/>
        <v>0</v>
      </c>
      <c r="K40">
        <f t="shared" si="3"/>
        <v>0</v>
      </c>
    </row>
    <row r="41" spans="1:11" x14ac:dyDescent="0.25">
      <c r="A41" t="s">
        <v>75</v>
      </c>
      <c r="B41" t="s">
        <v>52</v>
      </c>
      <c r="C41" s="2">
        <v>24744</v>
      </c>
      <c r="D41" t="s">
        <v>12</v>
      </c>
      <c r="E41" s="2">
        <f t="shared" si="0"/>
        <v>49</v>
      </c>
      <c r="F41">
        <f t="shared" si="4"/>
        <v>0</v>
      </c>
      <c r="G41">
        <f t="shared" si="5"/>
        <v>0</v>
      </c>
      <c r="H41">
        <f t="shared" si="6"/>
        <v>1</v>
      </c>
      <c r="I41">
        <f t="shared" si="1"/>
        <v>0</v>
      </c>
      <c r="J41">
        <f t="shared" si="2"/>
        <v>0</v>
      </c>
      <c r="K41">
        <f t="shared" si="3"/>
        <v>0</v>
      </c>
    </row>
    <row r="42" spans="1:11" x14ac:dyDescent="0.25">
      <c r="A42" t="s">
        <v>76</v>
      </c>
      <c r="B42" t="s">
        <v>77</v>
      </c>
      <c r="C42" s="2">
        <v>26703</v>
      </c>
      <c r="D42" t="s">
        <v>40</v>
      </c>
      <c r="E42" s="2">
        <f t="shared" si="0"/>
        <v>43</v>
      </c>
      <c r="F42">
        <f t="shared" si="4"/>
        <v>0</v>
      </c>
      <c r="G42">
        <f t="shared" si="5"/>
        <v>0</v>
      </c>
      <c r="H42">
        <f t="shared" si="6"/>
        <v>0</v>
      </c>
      <c r="I42">
        <f t="shared" si="1"/>
        <v>0</v>
      </c>
      <c r="J42">
        <f t="shared" si="2"/>
        <v>1</v>
      </c>
      <c r="K42">
        <f t="shared" si="3"/>
        <v>0</v>
      </c>
    </row>
    <row r="43" spans="1:11" x14ac:dyDescent="0.25">
      <c r="A43" t="s">
        <v>78</v>
      </c>
      <c r="B43" t="s">
        <v>79</v>
      </c>
      <c r="C43" s="2">
        <v>18847</v>
      </c>
      <c r="D43" t="s">
        <v>6</v>
      </c>
      <c r="E43" s="2">
        <f t="shared" si="0"/>
        <v>65</v>
      </c>
      <c r="F43">
        <f t="shared" si="4"/>
        <v>0</v>
      </c>
      <c r="G43">
        <f t="shared" si="5"/>
        <v>0</v>
      </c>
      <c r="H43">
        <f t="shared" si="6"/>
        <v>0</v>
      </c>
      <c r="I43">
        <f t="shared" si="1"/>
        <v>0</v>
      </c>
      <c r="J43">
        <f t="shared" si="2"/>
        <v>0</v>
      </c>
      <c r="K43">
        <f t="shared" si="3"/>
        <v>0</v>
      </c>
    </row>
    <row r="44" spans="1:11" x14ac:dyDescent="0.25">
      <c r="A44" t="s">
        <v>80</v>
      </c>
      <c r="B44" t="s">
        <v>81</v>
      </c>
      <c r="C44" s="2">
        <v>33899</v>
      </c>
      <c r="D44" t="s">
        <v>12</v>
      </c>
      <c r="E44" s="2">
        <f t="shared" si="0"/>
        <v>24</v>
      </c>
      <c r="F44">
        <f t="shared" si="4"/>
        <v>1</v>
      </c>
      <c r="G44">
        <f t="shared" si="5"/>
        <v>0</v>
      </c>
      <c r="H44">
        <f t="shared" si="6"/>
        <v>0</v>
      </c>
      <c r="I44">
        <f t="shared" si="1"/>
        <v>0</v>
      </c>
      <c r="J44">
        <f t="shared" si="2"/>
        <v>0</v>
      </c>
      <c r="K44">
        <f t="shared" si="3"/>
        <v>0</v>
      </c>
    </row>
    <row r="45" spans="1:11" x14ac:dyDescent="0.25">
      <c r="A45" t="s">
        <v>82</v>
      </c>
      <c r="B45" t="s">
        <v>42</v>
      </c>
      <c r="C45" s="2">
        <v>34773</v>
      </c>
      <c r="D45" t="s">
        <v>12</v>
      </c>
      <c r="E45" s="2">
        <f t="shared" si="0"/>
        <v>21</v>
      </c>
      <c r="F45">
        <f t="shared" si="4"/>
        <v>1</v>
      </c>
      <c r="G45">
        <f t="shared" si="5"/>
        <v>0</v>
      </c>
      <c r="H45">
        <f t="shared" si="6"/>
        <v>0</v>
      </c>
      <c r="I45">
        <f t="shared" si="1"/>
        <v>0</v>
      </c>
      <c r="J45">
        <f t="shared" si="2"/>
        <v>0</v>
      </c>
      <c r="K45">
        <f t="shared" si="3"/>
        <v>0</v>
      </c>
    </row>
    <row r="46" spans="1:11" x14ac:dyDescent="0.25">
      <c r="A46" t="s">
        <v>83</v>
      </c>
      <c r="B46" t="s">
        <v>84</v>
      </c>
      <c r="C46" s="2">
        <v>28929</v>
      </c>
      <c r="D46" t="s">
        <v>6</v>
      </c>
      <c r="E46" s="2">
        <f t="shared" si="0"/>
        <v>37</v>
      </c>
      <c r="F46">
        <f t="shared" si="4"/>
        <v>0</v>
      </c>
      <c r="G46">
        <f t="shared" si="5"/>
        <v>1</v>
      </c>
      <c r="H46">
        <f t="shared" si="6"/>
        <v>0</v>
      </c>
      <c r="I46">
        <f t="shared" si="1"/>
        <v>0</v>
      </c>
      <c r="J46">
        <f t="shared" si="2"/>
        <v>1</v>
      </c>
      <c r="K46">
        <f t="shared" si="3"/>
        <v>0</v>
      </c>
    </row>
    <row r="47" spans="1:11" x14ac:dyDescent="0.25">
      <c r="A47" t="s">
        <v>85</v>
      </c>
      <c r="B47" t="s">
        <v>42</v>
      </c>
      <c r="C47" s="2">
        <v>17612</v>
      </c>
      <c r="D47" t="s">
        <v>40</v>
      </c>
      <c r="E47" s="2">
        <f t="shared" si="0"/>
        <v>68</v>
      </c>
      <c r="F47">
        <f t="shared" si="4"/>
        <v>0</v>
      </c>
      <c r="G47">
        <f t="shared" si="5"/>
        <v>0</v>
      </c>
      <c r="H47">
        <f t="shared" si="6"/>
        <v>1</v>
      </c>
      <c r="I47">
        <f t="shared" si="1"/>
        <v>0</v>
      </c>
      <c r="J47">
        <f t="shared" si="2"/>
        <v>0</v>
      </c>
      <c r="K47">
        <f t="shared" si="3"/>
        <v>0</v>
      </c>
    </row>
    <row r="48" spans="1:11" x14ac:dyDescent="0.25">
      <c r="A48" t="s">
        <v>86</v>
      </c>
      <c r="B48" t="s">
        <v>87</v>
      </c>
      <c r="C48" s="2">
        <v>26002</v>
      </c>
      <c r="D48" t="s">
        <v>12</v>
      </c>
      <c r="E48" s="2">
        <f t="shared" si="0"/>
        <v>45</v>
      </c>
      <c r="F48">
        <f t="shared" si="4"/>
        <v>0</v>
      </c>
      <c r="G48">
        <f t="shared" si="5"/>
        <v>0</v>
      </c>
      <c r="H48">
        <f t="shared" si="6"/>
        <v>0</v>
      </c>
      <c r="I48">
        <f t="shared" si="1"/>
        <v>0</v>
      </c>
      <c r="J48">
        <f t="shared" si="2"/>
        <v>0</v>
      </c>
      <c r="K48">
        <f t="shared" si="3"/>
        <v>1</v>
      </c>
    </row>
    <row r="49" spans="1:11" x14ac:dyDescent="0.25">
      <c r="A49" t="s">
        <v>88</v>
      </c>
      <c r="B49" t="s">
        <v>52</v>
      </c>
      <c r="C49" s="2">
        <v>17050</v>
      </c>
      <c r="D49" t="s">
        <v>12</v>
      </c>
      <c r="E49" s="2">
        <f t="shared" si="0"/>
        <v>70</v>
      </c>
      <c r="F49">
        <f t="shared" si="4"/>
        <v>0</v>
      </c>
      <c r="G49">
        <f t="shared" si="5"/>
        <v>0</v>
      </c>
      <c r="H49">
        <f t="shared" si="6"/>
        <v>0</v>
      </c>
      <c r="I49">
        <f t="shared" si="1"/>
        <v>0</v>
      </c>
      <c r="J49">
        <f t="shared" si="2"/>
        <v>1</v>
      </c>
      <c r="K49">
        <f t="shared" si="3"/>
        <v>0</v>
      </c>
    </row>
    <row r="50" spans="1:11" x14ac:dyDescent="0.25">
      <c r="A50" t="s">
        <v>89</v>
      </c>
      <c r="B50" t="s">
        <v>90</v>
      </c>
      <c r="C50" s="2">
        <v>17757</v>
      </c>
      <c r="D50" t="s">
        <v>6</v>
      </c>
      <c r="E50" s="2">
        <f t="shared" si="0"/>
        <v>68</v>
      </c>
      <c r="F50">
        <f t="shared" si="4"/>
        <v>0</v>
      </c>
      <c r="G50">
        <f t="shared" si="5"/>
        <v>0</v>
      </c>
      <c r="H50">
        <f t="shared" si="6"/>
        <v>0</v>
      </c>
      <c r="I50">
        <f t="shared" si="1"/>
        <v>0</v>
      </c>
      <c r="J50">
        <f t="shared" si="2"/>
        <v>0</v>
      </c>
      <c r="K50">
        <f t="shared" si="3"/>
        <v>0</v>
      </c>
    </row>
    <row r="51" spans="1:11" x14ac:dyDescent="0.25">
      <c r="A51" t="s">
        <v>91</v>
      </c>
      <c r="B51" t="s">
        <v>92</v>
      </c>
      <c r="C51" s="2">
        <v>30155</v>
      </c>
      <c r="D51" t="s">
        <v>6</v>
      </c>
      <c r="E51" s="2">
        <f t="shared" si="0"/>
        <v>34</v>
      </c>
      <c r="F51">
        <f t="shared" si="4"/>
        <v>0</v>
      </c>
      <c r="G51">
        <f t="shared" si="5"/>
        <v>1</v>
      </c>
      <c r="H51">
        <f t="shared" si="6"/>
        <v>0</v>
      </c>
      <c r="I51">
        <f t="shared" si="1"/>
        <v>1</v>
      </c>
      <c r="J51">
        <f t="shared" si="2"/>
        <v>0</v>
      </c>
      <c r="K51">
        <f t="shared" si="3"/>
        <v>0</v>
      </c>
    </row>
    <row r="52" spans="1:11" x14ac:dyDescent="0.25">
      <c r="A52" t="s">
        <v>93</v>
      </c>
      <c r="B52" t="s">
        <v>94</v>
      </c>
      <c r="C52" s="2">
        <v>22758</v>
      </c>
      <c r="D52" t="s">
        <v>40</v>
      </c>
      <c r="E52" s="2">
        <f t="shared" si="0"/>
        <v>54</v>
      </c>
      <c r="F52">
        <f t="shared" si="4"/>
        <v>0</v>
      </c>
      <c r="G52">
        <f t="shared" si="5"/>
        <v>0</v>
      </c>
      <c r="H52">
        <f t="shared" si="6"/>
        <v>0</v>
      </c>
      <c r="I52">
        <f t="shared" si="1"/>
        <v>0</v>
      </c>
      <c r="J52">
        <f t="shared" si="2"/>
        <v>1</v>
      </c>
      <c r="K52">
        <f t="shared" si="3"/>
        <v>0</v>
      </c>
    </row>
    <row r="53" spans="1:11" x14ac:dyDescent="0.25">
      <c r="A53" t="s">
        <v>95</v>
      </c>
      <c r="B53" t="s">
        <v>52</v>
      </c>
      <c r="C53" s="2">
        <v>17830</v>
      </c>
      <c r="D53" t="s">
        <v>6</v>
      </c>
      <c r="E53" s="2">
        <f t="shared" si="0"/>
        <v>68</v>
      </c>
      <c r="F53">
        <f t="shared" si="4"/>
        <v>0</v>
      </c>
      <c r="G53">
        <f t="shared" si="5"/>
        <v>0</v>
      </c>
      <c r="H53">
        <f t="shared" si="6"/>
        <v>0</v>
      </c>
      <c r="I53">
        <f t="shared" si="1"/>
        <v>0</v>
      </c>
      <c r="J53">
        <f t="shared" si="2"/>
        <v>0</v>
      </c>
      <c r="K53">
        <f t="shared" si="3"/>
        <v>1</v>
      </c>
    </row>
    <row r="54" spans="1:11" x14ac:dyDescent="0.25">
      <c r="A54" t="s">
        <v>96</v>
      </c>
      <c r="B54" t="s">
        <v>20</v>
      </c>
      <c r="C54" s="2">
        <v>16168</v>
      </c>
      <c r="D54" t="s">
        <v>6</v>
      </c>
      <c r="E54" s="2">
        <f t="shared" si="0"/>
        <v>72</v>
      </c>
      <c r="F54">
        <f t="shared" si="4"/>
        <v>0</v>
      </c>
      <c r="G54">
        <f t="shared" si="5"/>
        <v>0</v>
      </c>
      <c r="H54">
        <f t="shared" si="6"/>
        <v>0</v>
      </c>
      <c r="I54">
        <f t="shared" si="1"/>
        <v>0</v>
      </c>
      <c r="J54">
        <f t="shared" si="2"/>
        <v>0</v>
      </c>
      <c r="K54">
        <f t="shared" si="3"/>
        <v>0</v>
      </c>
    </row>
    <row r="55" spans="1:11" x14ac:dyDescent="0.25">
      <c r="A55" t="s">
        <v>97</v>
      </c>
      <c r="B55" t="s">
        <v>98</v>
      </c>
      <c r="C55" s="2">
        <v>32118</v>
      </c>
      <c r="D55" t="s">
        <v>6</v>
      </c>
      <c r="E55" s="2">
        <f t="shared" si="0"/>
        <v>29</v>
      </c>
      <c r="F55">
        <f t="shared" si="4"/>
        <v>1</v>
      </c>
      <c r="G55">
        <f t="shared" si="5"/>
        <v>0</v>
      </c>
      <c r="H55">
        <f t="shared" si="6"/>
        <v>0</v>
      </c>
      <c r="I55">
        <f t="shared" si="1"/>
        <v>0</v>
      </c>
      <c r="J55">
        <f t="shared" si="2"/>
        <v>1</v>
      </c>
      <c r="K55">
        <f t="shared" si="3"/>
        <v>0</v>
      </c>
    </row>
    <row r="56" spans="1:11" x14ac:dyDescent="0.25">
      <c r="A56" t="s">
        <v>99</v>
      </c>
      <c r="B56" t="s">
        <v>18</v>
      </c>
      <c r="C56" s="2">
        <v>20332</v>
      </c>
      <c r="D56" t="s">
        <v>12</v>
      </c>
      <c r="E56" s="2">
        <f t="shared" si="0"/>
        <v>61</v>
      </c>
      <c r="F56">
        <f t="shared" si="4"/>
        <v>0</v>
      </c>
      <c r="G56">
        <f t="shared" si="5"/>
        <v>0</v>
      </c>
      <c r="H56">
        <f t="shared" si="6"/>
        <v>0</v>
      </c>
      <c r="I56">
        <f t="shared" si="1"/>
        <v>0</v>
      </c>
      <c r="J56">
        <f t="shared" si="2"/>
        <v>1</v>
      </c>
      <c r="K56">
        <f t="shared" si="3"/>
        <v>0</v>
      </c>
    </row>
    <row r="57" spans="1:11" x14ac:dyDescent="0.25">
      <c r="A57" t="s">
        <v>100</v>
      </c>
      <c r="B57" t="s">
        <v>49</v>
      </c>
      <c r="C57" s="2">
        <v>19375</v>
      </c>
      <c r="D57" t="s">
        <v>6</v>
      </c>
      <c r="E57" s="2">
        <f t="shared" si="0"/>
        <v>63</v>
      </c>
      <c r="F57">
        <f t="shared" si="4"/>
        <v>0</v>
      </c>
      <c r="G57">
        <f t="shared" si="5"/>
        <v>0</v>
      </c>
      <c r="H57">
        <f t="shared" si="6"/>
        <v>0</v>
      </c>
      <c r="I57">
        <f t="shared" si="1"/>
        <v>0</v>
      </c>
      <c r="J57">
        <f t="shared" si="2"/>
        <v>0</v>
      </c>
      <c r="K57">
        <f t="shared" si="3"/>
        <v>0</v>
      </c>
    </row>
    <row r="58" spans="1:11" x14ac:dyDescent="0.25">
      <c r="A58" t="s">
        <v>101</v>
      </c>
      <c r="B58" t="s">
        <v>102</v>
      </c>
      <c r="C58" s="2">
        <v>34818</v>
      </c>
      <c r="D58" t="s">
        <v>12</v>
      </c>
      <c r="E58" s="2">
        <f t="shared" si="0"/>
        <v>21</v>
      </c>
      <c r="F58">
        <f t="shared" si="4"/>
        <v>1</v>
      </c>
      <c r="G58">
        <f t="shared" si="5"/>
        <v>0</v>
      </c>
      <c r="H58">
        <f t="shared" si="6"/>
        <v>0</v>
      </c>
      <c r="I58">
        <f t="shared" si="1"/>
        <v>1</v>
      </c>
      <c r="J58">
        <f t="shared" si="2"/>
        <v>0</v>
      </c>
      <c r="K58">
        <f t="shared" si="3"/>
        <v>0</v>
      </c>
    </row>
    <row r="59" spans="1:11" x14ac:dyDescent="0.25">
      <c r="A59" t="s">
        <v>103</v>
      </c>
      <c r="B59" t="s">
        <v>16</v>
      </c>
      <c r="C59" s="2">
        <v>23775</v>
      </c>
      <c r="D59" t="s">
        <v>9</v>
      </c>
      <c r="E59" s="2">
        <f t="shared" si="0"/>
        <v>51</v>
      </c>
      <c r="F59">
        <f t="shared" si="4"/>
        <v>0</v>
      </c>
      <c r="G59">
        <f t="shared" si="5"/>
        <v>0</v>
      </c>
      <c r="H59">
        <f t="shared" si="6"/>
        <v>0</v>
      </c>
      <c r="I59">
        <f t="shared" si="1"/>
        <v>0</v>
      </c>
      <c r="J59">
        <f t="shared" si="2"/>
        <v>0</v>
      </c>
      <c r="K59">
        <f t="shared" si="3"/>
        <v>0</v>
      </c>
    </row>
    <row r="60" spans="1:11" x14ac:dyDescent="0.25">
      <c r="A60" t="s">
        <v>104</v>
      </c>
      <c r="B60" t="s">
        <v>105</v>
      </c>
      <c r="C60" s="2">
        <v>29371</v>
      </c>
      <c r="D60" t="s">
        <v>12</v>
      </c>
      <c r="E60" s="2">
        <f t="shared" si="0"/>
        <v>36</v>
      </c>
      <c r="F60">
        <f t="shared" si="4"/>
        <v>0</v>
      </c>
      <c r="G60">
        <f t="shared" si="5"/>
        <v>1</v>
      </c>
      <c r="H60">
        <f t="shared" si="6"/>
        <v>1</v>
      </c>
      <c r="I60">
        <f t="shared" si="1"/>
        <v>0</v>
      </c>
      <c r="J60">
        <f t="shared" si="2"/>
        <v>0</v>
      </c>
      <c r="K60">
        <f t="shared" si="3"/>
        <v>0</v>
      </c>
    </row>
    <row r="61" spans="1:11" x14ac:dyDescent="0.25">
      <c r="A61" t="s">
        <v>106</v>
      </c>
      <c r="B61" t="s">
        <v>107</v>
      </c>
      <c r="C61" s="2">
        <v>27370</v>
      </c>
      <c r="D61" t="s">
        <v>12</v>
      </c>
      <c r="E61" s="2">
        <f t="shared" si="0"/>
        <v>42</v>
      </c>
      <c r="F61">
        <f t="shared" si="4"/>
        <v>0</v>
      </c>
      <c r="G61">
        <f t="shared" si="5"/>
        <v>0</v>
      </c>
      <c r="H61">
        <f t="shared" si="6"/>
        <v>0</v>
      </c>
      <c r="I61">
        <f t="shared" si="1"/>
        <v>0</v>
      </c>
      <c r="J61">
        <f t="shared" si="2"/>
        <v>1</v>
      </c>
      <c r="K61">
        <f t="shared" si="3"/>
        <v>0</v>
      </c>
    </row>
    <row r="62" spans="1:11" x14ac:dyDescent="0.25">
      <c r="A62" t="s">
        <v>108</v>
      </c>
      <c r="B62" t="s">
        <v>109</v>
      </c>
      <c r="C62" s="2">
        <v>19032</v>
      </c>
      <c r="D62" t="s">
        <v>6</v>
      </c>
      <c r="E62" s="2">
        <f t="shared" si="0"/>
        <v>64</v>
      </c>
      <c r="F62">
        <f t="shared" si="4"/>
        <v>0</v>
      </c>
      <c r="G62">
        <f t="shared" si="5"/>
        <v>0</v>
      </c>
      <c r="H62">
        <f t="shared" si="6"/>
        <v>1</v>
      </c>
      <c r="I62">
        <f t="shared" si="1"/>
        <v>0</v>
      </c>
      <c r="J62">
        <f t="shared" si="2"/>
        <v>0</v>
      </c>
      <c r="K62">
        <f t="shared" si="3"/>
        <v>0</v>
      </c>
    </row>
    <row r="63" spans="1:11" x14ac:dyDescent="0.25">
      <c r="A63" t="s">
        <v>110</v>
      </c>
      <c r="B63" t="s">
        <v>37</v>
      </c>
      <c r="C63" s="2">
        <v>27475</v>
      </c>
      <c r="D63" t="s">
        <v>12</v>
      </c>
      <c r="E63" s="2">
        <f t="shared" si="0"/>
        <v>41</v>
      </c>
      <c r="F63">
        <f t="shared" si="4"/>
        <v>0</v>
      </c>
      <c r="G63">
        <f t="shared" si="5"/>
        <v>0</v>
      </c>
      <c r="H63">
        <f t="shared" si="6"/>
        <v>0</v>
      </c>
      <c r="I63">
        <f t="shared" si="1"/>
        <v>0</v>
      </c>
      <c r="J63">
        <f t="shared" si="2"/>
        <v>1</v>
      </c>
      <c r="K63">
        <f t="shared" si="3"/>
        <v>0</v>
      </c>
    </row>
    <row r="64" spans="1:11" x14ac:dyDescent="0.25">
      <c r="A64" t="s">
        <v>111</v>
      </c>
      <c r="B64" t="s">
        <v>52</v>
      </c>
      <c r="C64" s="2">
        <v>20719</v>
      </c>
      <c r="D64" t="s">
        <v>6</v>
      </c>
      <c r="E64" s="2">
        <f t="shared" si="0"/>
        <v>60</v>
      </c>
      <c r="F64">
        <f t="shared" si="4"/>
        <v>0</v>
      </c>
      <c r="G64">
        <f t="shared" si="5"/>
        <v>0</v>
      </c>
      <c r="H64">
        <f t="shared" si="6"/>
        <v>0</v>
      </c>
      <c r="I64">
        <f t="shared" si="1"/>
        <v>1</v>
      </c>
      <c r="J64">
        <f t="shared" si="2"/>
        <v>0</v>
      </c>
      <c r="K64">
        <f t="shared" si="3"/>
        <v>0</v>
      </c>
    </row>
    <row r="65" spans="1:11" x14ac:dyDescent="0.25">
      <c r="A65" t="s">
        <v>112</v>
      </c>
      <c r="B65" t="s">
        <v>8</v>
      </c>
      <c r="C65" s="2">
        <v>22206</v>
      </c>
      <c r="D65" t="s">
        <v>40</v>
      </c>
      <c r="E65" s="2">
        <f t="shared" si="0"/>
        <v>56</v>
      </c>
      <c r="F65">
        <f t="shared" si="4"/>
        <v>0</v>
      </c>
      <c r="G65">
        <f t="shared" si="5"/>
        <v>0</v>
      </c>
      <c r="H65">
        <f t="shared" si="6"/>
        <v>0</v>
      </c>
      <c r="I65">
        <f t="shared" si="1"/>
        <v>0</v>
      </c>
      <c r="J65">
        <f t="shared" si="2"/>
        <v>1</v>
      </c>
      <c r="K65">
        <f t="shared" si="3"/>
        <v>0</v>
      </c>
    </row>
    <row r="66" spans="1:11" x14ac:dyDescent="0.25">
      <c r="A66" t="s">
        <v>113</v>
      </c>
      <c r="B66" t="s">
        <v>114</v>
      </c>
      <c r="C66" s="2">
        <v>17376</v>
      </c>
      <c r="D66" t="s">
        <v>12</v>
      </c>
      <c r="E66" s="2">
        <f t="shared" si="0"/>
        <v>69</v>
      </c>
      <c r="F66">
        <f t="shared" si="4"/>
        <v>0</v>
      </c>
      <c r="G66">
        <f t="shared" si="5"/>
        <v>0</v>
      </c>
      <c r="H66">
        <f t="shared" si="6"/>
        <v>0</v>
      </c>
      <c r="I66">
        <f t="shared" si="1"/>
        <v>0</v>
      </c>
      <c r="J66">
        <f t="shared" si="2"/>
        <v>0</v>
      </c>
      <c r="K66">
        <f t="shared" si="3"/>
        <v>0</v>
      </c>
    </row>
    <row r="67" spans="1:11" x14ac:dyDescent="0.25">
      <c r="A67" t="s">
        <v>115</v>
      </c>
      <c r="B67" t="s">
        <v>114</v>
      </c>
      <c r="C67" s="2">
        <v>34280</v>
      </c>
      <c r="D67" t="s">
        <v>40</v>
      </c>
      <c r="E67" s="2">
        <f t="shared" ref="E67:E130" si="8">2016-YEAR(C67)</f>
        <v>23</v>
      </c>
      <c r="F67">
        <f t="shared" ref="F67:F130" si="9">IF(AND(E67&gt;=20,E67&lt;=29),1,0)</f>
        <v>1</v>
      </c>
      <c r="G67">
        <f t="shared" ref="G67:G130" si="10">IF(AND(E67&gt;=30,E67&lt;=39),1,0)</f>
        <v>0</v>
      </c>
      <c r="H67">
        <f t="shared" ref="H67:H130" si="11">IF(AND(E68&gt;=40,E68&lt;=49),1,0)</f>
        <v>1</v>
      </c>
      <c r="I67">
        <f t="shared" ref="I67:I130" si="12">IF(AND(E68&gt;=50,E68&lt;=59),1,0)</f>
        <v>0</v>
      </c>
      <c r="J67">
        <f t="shared" ref="J67:J130" si="13">IF(AND(E68&gt;=60,E68&lt;=69),1,0)</f>
        <v>0</v>
      </c>
      <c r="K67">
        <f t="shared" ref="K67:K130" si="14">IF(AND(E68&gt;=70,E68&lt;=79),1,0)</f>
        <v>0</v>
      </c>
    </row>
    <row r="68" spans="1:11" x14ac:dyDescent="0.25">
      <c r="A68" t="s">
        <v>116</v>
      </c>
      <c r="B68" t="s">
        <v>49</v>
      </c>
      <c r="C68" s="2">
        <v>25821</v>
      </c>
      <c r="D68" t="s">
        <v>40</v>
      </c>
      <c r="E68" s="2">
        <f t="shared" si="8"/>
        <v>46</v>
      </c>
      <c r="F68">
        <f t="shared" si="9"/>
        <v>0</v>
      </c>
      <c r="G68">
        <f t="shared" si="10"/>
        <v>0</v>
      </c>
      <c r="H68">
        <f t="shared" si="11"/>
        <v>0</v>
      </c>
      <c r="I68">
        <f t="shared" si="12"/>
        <v>0</v>
      </c>
      <c r="J68">
        <f t="shared" si="13"/>
        <v>1</v>
      </c>
      <c r="K68">
        <f t="shared" si="14"/>
        <v>0</v>
      </c>
    </row>
    <row r="69" spans="1:11" x14ac:dyDescent="0.25">
      <c r="A69" t="s">
        <v>117</v>
      </c>
      <c r="B69" t="s">
        <v>47</v>
      </c>
      <c r="C69" s="2">
        <v>20242</v>
      </c>
      <c r="D69" t="s">
        <v>40</v>
      </c>
      <c r="E69" s="2">
        <f t="shared" si="8"/>
        <v>61</v>
      </c>
      <c r="F69">
        <f t="shared" si="9"/>
        <v>0</v>
      </c>
      <c r="G69">
        <f t="shared" si="10"/>
        <v>0</v>
      </c>
      <c r="H69">
        <f t="shared" si="11"/>
        <v>1</v>
      </c>
      <c r="I69">
        <f t="shared" si="12"/>
        <v>0</v>
      </c>
      <c r="J69">
        <f t="shared" si="13"/>
        <v>0</v>
      </c>
      <c r="K69">
        <f t="shared" si="14"/>
        <v>0</v>
      </c>
    </row>
    <row r="70" spans="1:11" x14ac:dyDescent="0.25">
      <c r="A70" t="s">
        <v>118</v>
      </c>
      <c r="B70" t="s">
        <v>20</v>
      </c>
      <c r="C70" s="2">
        <v>25415</v>
      </c>
      <c r="D70" t="s">
        <v>12</v>
      </c>
      <c r="E70" s="2">
        <f t="shared" si="8"/>
        <v>47</v>
      </c>
      <c r="F70">
        <f t="shared" si="9"/>
        <v>0</v>
      </c>
      <c r="G70">
        <f t="shared" si="10"/>
        <v>0</v>
      </c>
      <c r="H70">
        <f t="shared" si="11"/>
        <v>0</v>
      </c>
      <c r="I70">
        <f t="shared" si="12"/>
        <v>0</v>
      </c>
      <c r="J70">
        <f t="shared" si="13"/>
        <v>1</v>
      </c>
      <c r="K70">
        <f t="shared" si="14"/>
        <v>0</v>
      </c>
    </row>
    <row r="71" spans="1:11" x14ac:dyDescent="0.25">
      <c r="A71" t="s">
        <v>119</v>
      </c>
      <c r="B71" t="s">
        <v>47</v>
      </c>
      <c r="C71" s="2">
        <v>19048</v>
      </c>
      <c r="D71" t="s">
        <v>9</v>
      </c>
      <c r="E71" s="2">
        <f t="shared" si="8"/>
        <v>64</v>
      </c>
      <c r="F71">
        <f t="shared" si="9"/>
        <v>0</v>
      </c>
      <c r="G71">
        <f t="shared" si="10"/>
        <v>0</v>
      </c>
      <c r="H71">
        <f t="shared" si="11"/>
        <v>0</v>
      </c>
      <c r="I71">
        <f t="shared" si="12"/>
        <v>0</v>
      </c>
      <c r="J71">
        <f t="shared" si="13"/>
        <v>1</v>
      </c>
      <c r="K71">
        <f t="shared" si="14"/>
        <v>0</v>
      </c>
    </row>
    <row r="72" spans="1:11" x14ac:dyDescent="0.25">
      <c r="A72" t="s">
        <v>120</v>
      </c>
      <c r="B72" t="s">
        <v>121</v>
      </c>
      <c r="C72" s="2">
        <v>18811</v>
      </c>
      <c r="D72" t="s">
        <v>12</v>
      </c>
      <c r="E72" s="2">
        <f t="shared" si="8"/>
        <v>65</v>
      </c>
      <c r="F72">
        <f t="shared" si="9"/>
        <v>0</v>
      </c>
      <c r="G72">
        <f t="shared" si="10"/>
        <v>0</v>
      </c>
      <c r="H72">
        <f t="shared" si="11"/>
        <v>0</v>
      </c>
      <c r="I72">
        <f t="shared" si="12"/>
        <v>0</v>
      </c>
      <c r="J72">
        <f t="shared" si="13"/>
        <v>0</v>
      </c>
      <c r="K72">
        <f t="shared" si="14"/>
        <v>1</v>
      </c>
    </row>
    <row r="73" spans="1:11" x14ac:dyDescent="0.25">
      <c r="A73" t="s">
        <v>122</v>
      </c>
      <c r="B73" t="s">
        <v>123</v>
      </c>
      <c r="C73" s="2">
        <v>17072</v>
      </c>
      <c r="D73" t="s">
        <v>40</v>
      </c>
      <c r="E73" s="2">
        <f t="shared" si="8"/>
        <v>70</v>
      </c>
      <c r="F73">
        <f t="shared" si="9"/>
        <v>0</v>
      </c>
      <c r="G73">
        <f t="shared" si="10"/>
        <v>0</v>
      </c>
      <c r="H73">
        <f t="shared" si="11"/>
        <v>0</v>
      </c>
      <c r="I73">
        <f t="shared" si="12"/>
        <v>0</v>
      </c>
      <c r="J73">
        <f t="shared" si="13"/>
        <v>0</v>
      </c>
      <c r="K73">
        <f t="shared" si="14"/>
        <v>0</v>
      </c>
    </row>
    <row r="74" spans="1:11" x14ac:dyDescent="0.25">
      <c r="A74" t="s">
        <v>124</v>
      </c>
      <c r="B74" t="s">
        <v>121</v>
      </c>
      <c r="C74" s="2">
        <v>33277</v>
      </c>
      <c r="D74" t="s">
        <v>6</v>
      </c>
      <c r="E74" s="2">
        <f t="shared" si="8"/>
        <v>25</v>
      </c>
      <c r="F74">
        <f t="shared" si="9"/>
        <v>1</v>
      </c>
      <c r="G74">
        <f t="shared" si="10"/>
        <v>0</v>
      </c>
      <c r="H74">
        <f t="shared" si="11"/>
        <v>0</v>
      </c>
      <c r="I74">
        <f t="shared" si="12"/>
        <v>0</v>
      </c>
      <c r="J74">
        <f t="shared" si="13"/>
        <v>0</v>
      </c>
      <c r="K74">
        <f t="shared" si="14"/>
        <v>1</v>
      </c>
    </row>
    <row r="75" spans="1:11" x14ac:dyDescent="0.25">
      <c r="A75" t="s">
        <v>125</v>
      </c>
      <c r="B75" t="s">
        <v>79</v>
      </c>
      <c r="C75" s="2">
        <v>16987</v>
      </c>
      <c r="D75" t="s">
        <v>6</v>
      </c>
      <c r="E75" s="2">
        <f t="shared" si="8"/>
        <v>70</v>
      </c>
      <c r="F75">
        <f t="shared" si="9"/>
        <v>0</v>
      </c>
      <c r="G75">
        <f t="shared" si="10"/>
        <v>0</v>
      </c>
      <c r="H75">
        <f t="shared" si="11"/>
        <v>0</v>
      </c>
      <c r="I75">
        <f t="shared" si="12"/>
        <v>0</v>
      </c>
      <c r="J75">
        <f t="shared" si="13"/>
        <v>0</v>
      </c>
      <c r="K75">
        <f t="shared" si="14"/>
        <v>0</v>
      </c>
    </row>
    <row r="76" spans="1:11" x14ac:dyDescent="0.25">
      <c r="A76" t="s">
        <v>126</v>
      </c>
      <c r="B76" t="s">
        <v>127</v>
      </c>
      <c r="C76" s="2">
        <v>33408</v>
      </c>
      <c r="D76" t="s">
        <v>40</v>
      </c>
      <c r="E76" s="2">
        <f t="shared" si="8"/>
        <v>25</v>
      </c>
      <c r="F76">
        <f t="shared" si="9"/>
        <v>1</v>
      </c>
      <c r="G76">
        <f t="shared" si="10"/>
        <v>0</v>
      </c>
      <c r="H76">
        <f t="shared" si="11"/>
        <v>1</v>
      </c>
      <c r="I76">
        <f t="shared" si="12"/>
        <v>0</v>
      </c>
      <c r="J76">
        <f t="shared" si="13"/>
        <v>0</v>
      </c>
      <c r="K76">
        <f t="shared" si="14"/>
        <v>0</v>
      </c>
    </row>
    <row r="77" spans="1:11" x14ac:dyDescent="0.25">
      <c r="A77" t="s">
        <v>110</v>
      </c>
      <c r="B77" t="s">
        <v>79</v>
      </c>
      <c r="C77" s="2">
        <v>25070</v>
      </c>
      <c r="D77" t="s">
        <v>6</v>
      </c>
      <c r="E77" s="2">
        <f t="shared" si="8"/>
        <v>48</v>
      </c>
      <c r="F77">
        <f t="shared" si="9"/>
        <v>0</v>
      </c>
      <c r="G77">
        <f t="shared" si="10"/>
        <v>0</v>
      </c>
      <c r="H77">
        <f t="shared" si="11"/>
        <v>0</v>
      </c>
      <c r="I77">
        <f t="shared" si="12"/>
        <v>0</v>
      </c>
      <c r="J77">
        <f t="shared" si="13"/>
        <v>0</v>
      </c>
      <c r="K77">
        <f t="shared" si="14"/>
        <v>0</v>
      </c>
    </row>
    <row r="78" spans="1:11" x14ac:dyDescent="0.25">
      <c r="A78" t="s">
        <v>128</v>
      </c>
      <c r="B78" t="s">
        <v>129</v>
      </c>
      <c r="C78" s="2">
        <v>34100</v>
      </c>
      <c r="D78" t="s">
        <v>40</v>
      </c>
      <c r="E78" s="2">
        <f t="shared" si="8"/>
        <v>23</v>
      </c>
      <c r="F78">
        <f t="shared" si="9"/>
        <v>1</v>
      </c>
      <c r="G78">
        <f t="shared" si="10"/>
        <v>0</v>
      </c>
      <c r="H78">
        <f t="shared" si="11"/>
        <v>0</v>
      </c>
      <c r="I78">
        <f t="shared" si="12"/>
        <v>0</v>
      </c>
      <c r="J78">
        <f t="shared" si="13"/>
        <v>1</v>
      </c>
      <c r="K78">
        <f t="shared" si="14"/>
        <v>0</v>
      </c>
    </row>
    <row r="79" spans="1:11" x14ac:dyDescent="0.25">
      <c r="A79" t="s">
        <v>83</v>
      </c>
      <c r="B79" t="s">
        <v>52</v>
      </c>
      <c r="C79" s="2">
        <v>19522</v>
      </c>
      <c r="D79" t="s">
        <v>9</v>
      </c>
      <c r="E79" s="2">
        <f t="shared" si="8"/>
        <v>63</v>
      </c>
      <c r="F79">
        <f t="shared" si="9"/>
        <v>0</v>
      </c>
      <c r="G79">
        <f t="shared" si="10"/>
        <v>0</v>
      </c>
      <c r="H79">
        <f t="shared" si="11"/>
        <v>1</v>
      </c>
      <c r="I79">
        <f t="shared" si="12"/>
        <v>0</v>
      </c>
      <c r="J79">
        <f t="shared" si="13"/>
        <v>0</v>
      </c>
      <c r="K79">
        <f t="shared" si="14"/>
        <v>0</v>
      </c>
    </row>
    <row r="80" spans="1:11" x14ac:dyDescent="0.25">
      <c r="A80" t="s">
        <v>130</v>
      </c>
      <c r="B80" t="s">
        <v>131</v>
      </c>
      <c r="C80" s="2">
        <v>27284</v>
      </c>
      <c r="D80" t="s">
        <v>9</v>
      </c>
      <c r="E80" s="2">
        <f t="shared" si="8"/>
        <v>42</v>
      </c>
      <c r="F80">
        <f t="shared" si="9"/>
        <v>0</v>
      </c>
      <c r="G80">
        <f t="shared" si="10"/>
        <v>0</v>
      </c>
      <c r="H80">
        <f t="shared" si="11"/>
        <v>1</v>
      </c>
      <c r="I80">
        <f t="shared" si="12"/>
        <v>0</v>
      </c>
      <c r="J80">
        <f t="shared" si="13"/>
        <v>0</v>
      </c>
      <c r="K80">
        <f t="shared" si="14"/>
        <v>0</v>
      </c>
    </row>
    <row r="81" spans="1:11" x14ac:dyDescent="0.25">
      <c r="A81" t="s">
        <v>132</v>
      </c>
      <c r="B81" t="s">
        <v>8</v>
      </c>
      <c r="C81" s="2">
        <v>27347</v>
      </c>
      <c r="D81" t="s">
        <v>12</v>
      </c>
      <c r="E81" s="2">
        <f t="shared" si="8"/>
        <v>42</v>
      </c>
      <c r="F81">
        <f t="shared" si="9"/>
        <v>0</v>
      </c>
      <c r="G81">
        <f t="shared" si="10"/>
        <v>0</v>
      </c>
      <c r="H81">
        <f t="shared" si="11"/>
        <v>0</v>
      </c>
      <c r="I81">
        <f t="shared" si="12"/>
        <v>0</v>
      </c>
      <c r="J81">
        <f t="shared" si="13"/>
        <v>1</v>
      </c>
      <c r="K81">
        <f t="shared" si="14"/>
        <v>0</v>
      </c>
    </row>
    <row r="82" spans="1:11" x14ac:dyDescent="0.25">
      <c r="A82" t="s">
        <v>133</v>
      </c>
      <c r="B82" t="s">
        <v>134</v>
      </c>
      <c r="C82" s="2">
        <v>20618</v>
      </c>
      <c r="D82" t="s">
        <v>12</v>
      </c>
      <c r="E82" s="2">
        <f t="shared" si="8"/>
        <v>60</v>
      </c>
      <c r="F82">
        <f t="shared" si="9"/>
        <v>0</v>
      </c>
      <c r="G82">
        <f t="shared" si="10"/>
        <v>0</v>
      </c>
      <c r="H82">
        <f t="shared" si="11"/>
        <v>0</v>
      </c>
      <c r="I82">
        <f t="shared" si="12"/>
        <v>0</v>
      </c>
      <c r="J82">
        <f t="shared" si="13"/>
        <v>1</v>
      </c>
      <c r="K82">
        <f t="shared" si="14"/>
        <v>0</v>
      </c>
    </row>
    <row r="83" spans="1:11" x14ac:dyDescent="0.25">
      <c r="A83" t="s">
        <v>135</v>
      </c>
      <c r="B83" t="s">
        <v>54</v>
      </c>
      <c r="C83" s="2">
        <v>19256</v>
      </c>
      <c r="D83" t="s">
        <v>12</v>
      </c>
      <c r="E83" s="2">
        <f t="shared" si="8"/>
        <v>64</v>
      </c>
      <c r="F83">
        <f t="shared" si="9"/>
        <v>0</v>
      </c>
      <c r="G83">
        <f t="shared" si="10"/>
        <v>0</v>
      </c>
      <c r="H83">
        <f t="shared" si="11"/>
        <v>0</v>
      </c>
      <c r="I83">
        <f t="shared" si="12"/>
        <v>1</v>
      </c>
      <c r="J83">
        <f t="shared" si="13"/>
        <v>0</v>
      </c>
      <c r="K83">
        <f t="shared" si="14"/>
        <v>0</v>
      </c>
    </row>
    <row r="84" spans="1:11" x14ac:dyDescent="0.25">
      <c r="A84" t="s">
        <v>136</v>
      </c>
      <c r="B84" t="s">
        <v>137</v>
      </c>
      <c r="C84" s="2">
        <v>21898</v>
      </c>
      <c r="D84" t="s">
        <v>12</v>
      </c>
      <c r="E84" s="2">
        <f t="shared" si="8"/>
        <v>57</v>
      </c>
      <c r="F84">
        <f t="shared" si="9"/>
        <v>0</v>
      </c>
      <c r="G84">
        <f t="shared" si="10"/>
        <v>0</v>
      </c>
      <c r="H84">
        <f t="shared" si="11"/>
        <v>0</v>
      </c>
      <c r="I84">
        <f t="shared" si="12"/>
        <v>0</v>
      </c>
      <c r="J84">
        <f t="shared" si="13"/>
        <v>0</v>
      </c>
      <c r="K84">
        <f t="shared" si="14"/>
        <v>1</v>
      </c>
    </row>
    <row r="85" spans="1:11" x14ac:dyDescent="0.25">
      <c r="A85" t="s">
        <v>138</v>
      </c>
      <c r="B85" t="s">
        <v>139</v>
      </c>
      <c r="C85" s="2">
        <v>16873</v>
      </c>
      <c r="D85" t="s">
        <v>12</v>
      </c>
      <c r="E85" s="2">
        <f t="shared" si="8"/>
        <v>70</v>
      </c>
      <c r="F85">
        <f t="shared" si="9"/>
        <v>0</v>
      </c>
      <c r="G85">
        <f t="shared" si="10"/>
        <v>0</v>
      </c>
      <c r="H85">
        <f t="shared" si="11"/>
        <v>0</v>
      </c>
      <c r="I85">
        <f t="shared" si="12"/>
        <v>0</v>
      </c>
      <c r="J85">
        <f t="shared" si="13"/>
        <v>0</v>
      </c>
      <c r="K85">
        <f t="shared" si="14"/>
        <v>0</v>
      </c>
    </row>
    <row r="86" spans="1:11" x14ac:dyDescent="0.25">
      <c r="A86" t="s">
        <v>140</v>
      </c>
      <c r="B86" t="s">
        <v>141</v>
      </c>
      <c r="C86" s="2">
        <v>34893</v>
      </c>
      <c r="D86" t="s">
        <v>6</v>
      </c>
      <c r="E86" s="2">
        <f t="shared" si="8"/>
        <v>21</v>
      </c>
      <c r="F86">
        <f t="shared" si="9"/>
        <v>1</v>
      </c>
      <c r="G86">
        <f t="shared" si="10"/>
        <v>0</v>
      </c>
      <c r="H86">
        <f t="shared" si="11"/>
        <v>0</v>
      </c>
      <c r="I86">
        <f t="shared" si="12"/>
        <v>0</v>
      </c>
      <c r="J86">
        <f t="shared" si="13"/>
        <v>0</v>
      </c>
      <c r="K86">
        <f t="shared" si="14"/>
        <v>1</v>
      </c>
    </row>
    <row r="87" spans="1:11" x14ac:dyDescent="0.25">
      <c r="A87" t="s">
        <v>142</v>
      </c>
      <c r="B87" t="s">
        <v>143</v>
      </c>
      <c r="C87" s="2">
        <v>16028</v>
      </c>
      <c r="D87" t="s">
        <v>12</v>
      </c>
      <c r="E87" s="2">
        <f t="shared" si="8"/>
        <v>73</v>
      </c>
      <c r="F87">
        <f t="shared" si="9"/>
        <v>0</v>
      </c>
      <c r="G87">
        <f t="shared" si="10"/>
        <v>0</v>
      </c>
      <c r="H87">
        <f t="shared" si="11"/>
        <v>0</v>
      </c>
      <c r="I87">
        <f t="shared" si="12"/>
        <v>0</v>
      </c>
      <c r="J87">
        <f t="shared" si="13"/>
        <v>0</v>
      </c>
      <c r="K87">
        <f t="shared" si="14"/>
        <v>0</v>
      </c>
    </row>
    <row r="88" spans="1:11" x14ac:dyDescent="0.25">
      <c r="A88" t="s">
        <v>144</v>
      </c>
      <c r="B88" t="s">
        <v>54</v>
      </c>
      <c r="C88" s="2">
        <v>33446</v>
      </c>
      <c r="D88" t="s">
        <v>6</v>
      </c>
      <c r="E88" s="2">
        <f t="shared" si="8"/>
        <v>25</v>
      </c>
      <c r="F88">
        <f t="shared" si="9"/>
        <v>1</v>
      </c>
      <c r="G88">
        <f t="shared" si="10"/>
        <v>0</v>
      </c>
      <c r="H88">
        <f t="shared" si="11"/>
        <v>0</v>
      </c>
      <c r="I88">
        <f t="shared" si="12"/>
        <v>0</v>
      </c>
      <c r="J88">
        <f t="shared" si="13"/>
        <v>1</v>
      </c>
      <c r="K88">
        <f t="shared" si="14"/>
        <v>0</v>
      </c>
    </row>
    <row r="89" spans="1:11" x14ac:dyDescent="0.25">
      <c r="A89" t="s">
        <v>145</v>
      </c>
      <c r="B89" t="s">
        <v>146</v>
      </c>
      <c r="C89" s="2">
        <v>18892</v>
      </c>
      <c r="D89" t="s">
        <v>6</v>
      </c>
      <c r="E89" s="2">
        <f t="shared" si="8"/>
        <v>65</v>
      </c>
      <c r="F89">
        <f t="shared" si="9"/>
        <v>0</v>
      </c>
      <c r="G89">
        <f t="shared" si="10"/>
        <v>0</v>
      </c>
      <c r="H89">
        <f t="shared" si="11"/>
        <v>0</v>
      </c>
      <c r="I89">
        <f t="shared" si="12"/>
        <v>0</v>
      </c>
      <c r="J89">
        <f t="shared" si="13"/>
        <v>0</v>
      </c>
      <c r="K89">
        <f t="shared" si="14"/>
        <v>0</v>
      </c>
    </row>
    <row r="90" spans="1:11" x14ac:dyDescent="0.25">
      <c r="A90" t="s">
        <v>147</v>
      </c>
      <c r="B90" t="s">
        <v>102</v>
      </c>
      <c r="C90" s="2">
        <v>32219</v>
      </c>
      <c r="D90" t="s">
        <v>12</v>
      </c>
      <c r="E90" s="2">
        <f t="shared" si="8"/>
        <v>28</v>
      </c>
      <c r="F90">
        <f t="shared" si="9"/>
        <v>1</v>
      </c>
      <c r="G90">
        <f t="shared" si="10"/>
        <v>0</v>
      </c>
      <c r="H90">
        <f t="shared" si="11"/>
        <v>0</v>
      </c>
      <c r="I90">
        <f t="shared" si="12"/>
        <v>0</v>
      </c>
      <c r="J90">
        <f t="shared" si="13"/>
        <v>0</v>
      </c>
      <c r="K90">
        <f t="shared" si="14"/>
        <v>0</v>
      </c>
    </row>
    <row r="91" spans="1:11" x14ac:dyDescent="0.25">
      <c r="A91" t="s">
        <v>148</v>
      </c>
      <c r="B91" t="s">
        <v>149</v>
      </c>
      <c r="C91" s="2">
        <v>31771</v>
      </c>
      <c r="D91" t="s">
        <v>9</v>
      </c>
      <c r="E91" s="2">
        <f t="shared" si="8"/>
        <v>30</v>
      </c>
      <c r="F91">
        <f t="shared" si="9"/>
        <v>0</v>
      </c>
      <c r="G91">
        <f t="shared" si="10"/>
        <v>1</v>
      </c>
      <c r="H91">
        <f t="shared" si="11"/>
        <v>0</v>
      </c>
      <c r="I91">
        <f t="shared" si="12"/>
        <v>0</v>
      </c>
      <c r="J91">
        <f t="shared" si="13"/>
        <v>0</v>
      </c>
      <c r="K91">
        <f t="shared" si="14"/>
        <v>0</v>
      </c>
    </row>
    <row r="92" spans="1:11" x14ac:dyDescent="0.25">
      <c r="A92" t="s">
        <v>51</v>
      </c>
      <c r="B92" t="s">
        <v>150</v>
      </c>
      <c r="C92" s="2">
        <v>30633</v>
      </c>
      <c r="D92" t="s">
        <v>40</v>
      </c>
      <c r="E92" s="2">
        <f t="shared" si="8"/>
        <v>33</v>
      </c>
      <c r="F92">
        <f t="shared" si="9"/>
        <v>0</v>
      </c>
      <c r="G92">
        <f t="shared" si="10"/>
        <v>1</v>
      </c>
      <c r="H92">
        <f t="shared" si="11"/>
        <v>0</v>
      </c>
      <c r="I92">
        <f t="shared" si="12"/>
        <v>0</v>
      </c>
      <c r="J92">
        <f t="shared" si="13"/>
        <v>0</v>
      </c>
      <c r="K92">
        <f t="shared" si="14"/>
        <v>0</v>
      </c>
    </row>
    <row r="93" spans="1:11" x14ac:dyDescent="0.25">
      <c r="A93" t="s">
        <v>151</v>
      </c>
      <c r="B93" t="s">
        <v>152</v>
      </c>
      <c r="C93" s="2">
        <v>34177</v>
      </c>
      <c r="D93" t="s">
        <v>40</v>
      </c>
      <c r="E93" s="2">
        <f t="shared" si="8"/>
        <v>23</v>
      </c>
      <c r="F93">
        <f t="shared" si="9"/>
        <v>1</v>
      </c>
      <c r="G93">
        <f t="shared" si="10"/>
        <v>0</v>
      </c>
      <c r="H93">
        <f t="shared" si="11"/>
        <v>0</v>
      </c>
      <c r="I93">
        <f t="shared" si="12"/>
        <v>0</v>
      </c>
      <c r="J93">
        <f t="shared" si="13"/>
        <v>0</v>
      </c>
      <c r="K93">
        <f t="shared" si="14"/>
        <v>0</v>
      </c>
    </row>
    <row r="94" spans="1:11" x14ac:dyDescent="0.25">
      <c r="A94" t="s">
        <v>153</v>
      </c>
      <c r="B94" t="s">
        <v>137</v>
      </c>
      <c r="C94" s="2">
        <v>33281</v>
      </c>
      <c r="D94" t="s">
        <v>12</v>
      </c>
      <c r="E94" s="2">
        <f t="shared" si="8"/>
        <v>25</v>
      </c>
      <c r="F94">
        <f t="shared" si="9"/>
        <v>1</v>
      </c>
      <c r="G94">
        <f t="shared" si="10"/>
        <v>0</v>
      </c>
      <c r="H94">
        <f t="shared" si="11"/>
        <v>0</v>
      </c>
      <c r="I94">
        <f t="shared" si="12"/>
        <v>1</v>
      </c>
      <c r="J94">
        <f t="shared" si="13"/>
        <v>0</v>
      </c>
      <c r="K94">
        <f t="shared" si="14"/>
        <v>0</v>
      </c>
    </row>
    <row r="95" spans="1:11" x14ac:dyDescent="0.25">
      <c r="A95" t="s">
        <v>75</v>
      </c>
      <c r="B95" t="s">
        <v>154</v>
      </c>
      <c r="C95" s="2">
        <v>21897</v>
      </c>
      <c r="D95" t="s">
        <v>12</v>
      </c>
      <c r="E95" s="2">
        <f t="shared" si="8"/>
        <v>57</v>
      </c>
      <c r="F95">
        <f t="shared" si="9"/>
        <v>0</v>
      </c>
      <c r="G95">
        <f t="shared" si="10"/>
        <v>0</v>
      </c>
      <c r="H95">
        <f t="shared" si="11"/>
        <v>0</v>
      </c>
      <c r="I95">
        <f t="shared" si="12"/>
        <v>0</v>
      </c>
      <c r="J95">
        <f t="shared" si="13"/>
        <v>1</v>
      </c>
      <c r="K95">
        <f t="shared" si="14"/>
        <v>0</v>
      </c>
    </row>
    <row r="96" spans="1:11" x14ac:dyDescent="0.25">
      <c r="A96" t="s">
        <v>155</v>
      </c>
      <c r="B96" t="s">
        <v>37</v>
      </c>
      <c r="C96" s="2">
        <v>18604</v>
      </c>
      <c r="D96" t="s">
        <v>40</v>
      </c>
      <c r="E96" s="2">
        <f t="shared" si="8"/>
        <v>66</v>
      </c>
      <c r="F96">
        <f t="shared" si="9"/>
        <v>0</v>
      </c>
      <c r="G96">
        <f t="shared" si="10"/>
        <v>0</v>
      </c>
      <c r="H96">
        <f t="shared" si="11"/>
        <v>0</v>
      </c>
      <c r="I96">
        <f t="shared" si="12"/>
        <v>0</v>
      </c>
      <c r="J96">
        <f t="shared" si="13"/>
        <v>1</v>
      </c>
      <c r="K96">
        <f t="shared" si="14"/>
        <v>0</v>
      </c>
    </row>
    <row r="97" spans="1:11" x14ac:dyDescent="0.25">
      <c r="A97" t="s">
        <v>156</v>
      </c>
      <c r="B97" t="s">
        <v>157</v>
      </c>
      <c r="C97" s="2">
        <v>18910</v>
      </c>
      <c r="D97" t="s">
        <v>12</v>
      </c>
      <c r="E97" s="2">
        <f t="shared" si="8"/>
        <v>65</v>
      </c>
      <c r="F97">
        <f t="shared" si="9"/>
        <v>0</v>
      </c>
      <c r="G97">
        <f t="shared" si="10"/>
        <v>0</v>
      </c>
      <c r="H97">
        <f t="shared" si="11"/>
        <v>0</v>
      </c>
      <c r="I97">
        <f t="shared" si="12"/>
        <v>0</v>
      </c>
      <c r="J97">
        <f t="shared" si="13"/>
        <v>0</v>
      </c>
      <c r="K97">
        <f t="shared" si="14"/>
        <v>1</v>
      </c>
    </row>
    <row r="98" spans="1:11" x14ac:dyDescent="0.25">
      <c r="A98" t="s">
        <v>158</v>
      </c>
      <c r="B98" t="s">
        <v>47</v>
      </c>
      <c r="C98" s="2">
        <v>17056</v>
      </c>
      <c r="D98" t="s">
        <v>9</v>
      </c>
      <c r="E98" s="2">
        <f t="shared" si="8"/>
        <v>70</v>
      </c>
      <c r="F98">
        <f t="shared" si="9"/>
        <v>0</v>
      </c>
      <c r="G98">
        <f t="shared" si="10"/>
        <v>0</v>
      </c>
      <c r="H98">
        <f t="shared" si="11"/>
        <v>0</v>
      </c>
      <c r="I98">
        <f t="shared" si="12"/>
        <v>1</v>
      </c>
      <c r="J98">
        <f t="shared" si="13"/>
        <v>0</v>
      </c>
      <c r="K98">
        <f t="shared" si="14"/>
        <v>0</v>
      </c>
    </row>
    <row r="99" spans="1:11" x14ac:dyDescent="0.25">
      <c r="A99" t="s">
        <v>159</v>
      </c>
      <c r="B99" t="s">
        <v>160</v>
      </c>
      <c r="C99" s="2">
        <v>22619</v>
      </c>
      <c r="D99" t="s">
        <v>9</v>
      </c>
      <c r="E99" s="2">
        <f t="shared" si="8"/>
        <v>55</v>
      </c>
      <c r="F99">
        <f t="shared" si="9"/>
        <v>0</v>
      </c>
      <c r="G99">
        <f t="shared" si="10"/>
        <v>0</v>
      </c>
      <c r="H99">
        <f t="shared" si="11"/>
        <v>0</v>
      </c>
      <c r="I99">
        <f t="shared" si="12"/>
        <v>0</v>
      </c>
      <c r="J99">
        <f t="shared" si="13"/>
        <v>1</v>
      </c>
      <c r="K99">
        <f t="shared" si="14"/>
        <v>0</v>
      </c>
    </row>
    <row r="100" spans="1:11" x14ac:dyDescent="0.25">
      <c r="A100" t="s">
        <v>161</v>
      </c>
      <c r="B100" t="s">
        <v>37</v>
      </c>
      <c r="C100" s="2">
        <v>19740</v>
      </c>
      <c r="D100" t="s">
        <v>12</v>
      </c>
      <c r="E100" s="2">
        <f t="shared" si="8"/>
        <v>62</v>
      </c>
      <c r="F100">
        <f t="shared" si="9"/>
        <v>0</v>
      </c>
      <c r="G100">
        <f t="shared" si="10"/>
        <v>0</v>
      </c>
      <c r="H100">
        <f t="shared" si="11"/>
        <v>0</v>
      </c>
      <c r="I100">
        <f t="shared" si="12"/>
        <v>1</v>
      </c>
      <c r="J100">
        <f t="shared" si="13"/>
        <v>0</v>
      </c>
      <c r="K100">
        <f t="shared" si="14"/>
        <v>0</v>
      </c>
    </row>
    <row r="101" spans="1:11" x14ac:dyDescent="0.25">
      <c r="A101" t="s">
        <v>162</v>
      </c>
      <c r="B101" t="s">
        <v>131</v>
      </c>
      <c r="C101" s="2">
        <v>24222</v>
      </c>
      <c r="D101" t="s">
        <v>6</v>
      </c>
      <c r="E101" s="2">
        <f t="shared" si="8"/>
        <v>50</v>
      </c>
      <c r="F101">
        <f t="shared" si="9"/>
        <v>0</v>
      </c>
      <c r="G101">
        <f t="shared" si="10"/>
        <v>0</v>
      </c>
      <c r="H101">
        <f t="shared" si="11"/>
        <v>0</v>
      </c>
      <c r="I101">
        <f t="shared" si="12"/>
        <v>0</v>
      </c>
      <c r="J101">
        <f t="shared" si="13"/>
        <v>1</v>
      </c>
      <c r="K101">
        <f t="shared" si="14"/>
        <v>0</v>
      </c>
    </row>
    <row r="102" spans="1:11" x14ac:dyDescent="0.25">
      <c r="A102" t="s">
        <v>163</v>
      </c>
      <c r="B102" t="s">
        <v>37</v>
      </c>
      <c r="C102" s="2">
        <v>17196</v>
      </c>
      <c r="D102" t="s">
        <v>40</v>
      </c>
      <c r="E102" s="2">
        <f t="shared" si="8"/>
        <v>69</v>
      </c>
      <c r="F102">
        <f t="shared" si="9"/>
        <v>0</v>
      </c>
      <c r="G102">
        <f t="shared" si="10"/>
        <v>0</v>
      </c>
      <c r="H102">
        <f t="shared" si="11"/>
        <v>0</v>
      </c>
      <c r="I102">
        <f t="shared" si="12"/>
        <v>0</v>
      </c>
      <c r="J102">
        <f t="shared" si="13"/>
        <v>0</v>
      </c>
      <c r="K102">
        <f t="shared" si="14"/>
        <v>0</v>
      </c>
    </row>
    <row r="103" spans="1:11" x14ac:dyDescent="0.25">
      <c r="A103" t="s">
        <v>164</v>
      </c>
      <c r="B103" t="s">
        <v>52</v>
      </c>
      <c r="C103" s="2">
        <v>32013</v>
      </c>
      <c r="D103" t="s">
        <v>12</v>
      </c>
      <c r="E103" s="2">
        <f t="shared" si="8"/>
        <v>29</v>
      </c>
      <c r="F103">
        <f t="shared" si="9"/>
        <v>1</v>
      </c>
      <c r="G103">
        <f t="shared" si="10"/>
        <v>0</v>
      </c>
      <c r="H103">
        <f t="shared" si="11"/>
        <v>0</v>
      </c>
      <c r="I103">
        <f t="shared" si="12"/>
        <v>1</v>
      </c>
      <c r="J103">
        <f t="shared" si="13"/>
        <v>0</v>
      </c>
      <c r="K103">
        <f t="shared" si="14"/>
        <v>0</v>
      </c>
    </row>
    <row r="104" spans="1:11" x14ac:dyDescent="0.25">
      <c r="A104" t="s">
        <v>163</v>
      </c>
      <c r="B104" t="s">
        <v>39</v>
      </c>
      <c r="C104" s="2">
        <v>23679</v>
      </c>
      <c r="D104" t="s">
        <v>12</v>
      </c>
      <c r="E104" s="2">
        <f t="shared" si="8"/>
        <v>52</v>
      </c>
      <c r="F104">
        <f t="shared" si="9"/>
        <v>0</v>
      </c>
      <c r="G104">
        <f t="shared" si="10"/>
        <v>0</v>
      </c>
      <c r="H104">
        <f t="shared" si="11"/>
        <v>1</v>
      </c>
      <c r="I104">
        <f t="shared" si="12"/>
        <v>0</v>
      </c>
      <c r="J104">
        <f t="shared" si="13"/>
        <v>0</v>
      </c>
      <c r="K104">
        <f t="shared" si="14"/>
        <v>0</v>
      </c>
    </row>
    <row r="105" spans="1:11" x14ac:dyDescent="0.25">
      <c r="A105" t="s">
        <v>75</v>
      </c>
      <c r="B105" t="s">
        <v>165</v>
      </c>
      <c r="C105" s="2">
        <v>26239</v>
      </c>
      <c r="D105" t="s">
        <v>12</v>
      </c>
      <c r="E105" s="2">
        <f t="shared" si="8"/>
        <v>45</v>
      </c>
      <c r="F105">
        <f t="shared" si="9"/>
        <v>0</v>
      </c>
      <c r="G105">
        <f t="shared" si="10"/>
        <v>0</v>
      </c>
      <c r="H105">
        <f t="shared" si="11"/>
        <v>0</v>
      </c>
      <c r="I105">
        <f t="shared" si="12"/>
        <v>0</v>
      </c>
      <c r="J105">
        <f t="shared" si="13"/>
        <v>0</v>
      </c>
      <c r="K105">
        <f t="shared" si="14"/>
        <v>0</v>
      </c>
    </row>
    <row r="106" spans="1:11" x14ac:dyDescent="0.25">
      <c r="A106" t="s">
        <v>166</v>
      </c>
      <c r="B106" t="s">
        <v>167</v>
      </c>
      <c r="C106" s="2">
        <v>30774</v>
      </c>
      <c r="D106" t="s">
        <v>6</v>
      </c>
      <c r="E106" s="2">
        <f t="shared" si="8"/>
        <v>32</v>
      </c>
      <c r="F106">
        <f t="shared" si="9"/>
        <v>0</v>
      </c>
      <c r="G106">
        <f t="shared" si="10"/>
        <v>1</v>
      </c>
      <c r="H106">
        <f t="shared" si="11"/>
        <v>1</v>
      </c>
      <c r="I106">
        <f t="shared" si="12"/>
        <v>0</v>
      </c>
      <c r="J106">
        <f t="shared" si="13"/>
        <v>0</v>
      </c>
      <c r="K106">
        <f t="shared" si="14"/>
        <v>0</v>
      </c>
    </row>
    <row r="107" spans="1:11" x14ac:dyDescent="0.25">
      <c r="A107" t="s">
        <v>168</v>
      </c>
      <c r="B107" t="s">
        <v>169</v>
      </c>
      <c r="C107" s="2">
        <v>25818</v>
      </c>
      <c r="D107" t="s">
        <v>6</v>
      </c>
      <c r="E107" s="2">
        <f t="shared" si="8"/>
        <v>46</v>
      </c>
      <c r="F107">
        <f t="shared" si="9"/>
        <v>0</v>
      </c>
      <c r="G107">
        <f t="shared" si="10"/>
        <v>0</v>
      </c>
      <c r="H107">
        <f t="shared" si="11"/>
        <v>0</v>
      </c>
      <c r="I107">
        <f t="shared" si="12"/>
        <v>0</v>
      </c>
      <c r="J107">
        <f t="shared" si="13"/>
        <v>0</v>
      </c>
      <c r="K107">
        <f t="shared" si="14"/>
        <v>1</v>
      </c>
    </row>
    <row r="108" spans="1:11" x14ac:dyDescent="0.25">
      <c r="A108" t="s">
        <v>170</v>
      </c>
      <c r="B108" t="s">
        <v>171</v>
      </c>
      <c r="C108" s="2">
        <v>16529</v>
      </c>
      <c r="D108" t="s">
        <v>40</v>
      </c>
      <c r="E108" s="2">
        <f t="shared" si="8"/>
        <v>71</v>
      </c>
      <c r="F108">
        <f t="shared" si="9"/>
        <v>0</v>
      </c>
      <c r="G108">
        <f t="shared" si="10"/>
        <v>0</v>
      </c>
      <c r="H108">
        <f t="shared" si="11"/>
        <v>0</v>
      </c>
      <c r="I108">
        <f t="shared" si="12"/>
        <v>0</v>
      </c>
      <c r="J108">
        <f t="shared" si="13"/>
        <v>0</v>
      </c>
      <c r="K108">
        <f t="shared" si="14"/>
        <v>0</v>
      </c>
    </row>
    <row r="109" spans="1:11" x14ac:dyDescent="0.25">
      <c r="A109" t="s">
        <v>172</v>
      </c>
      <c r="B109" t="s">
        <v>5</v>
      </c>
      <c r="C109" s="2">
        <v>30530</v>
      </c>
      <c r="D109" t="s">
        <v>40</v>
      </c>
      <c r="E109" s="2">
        <f t="shared" si="8"/>
        <v>33</v>
      </c>
      <c r="F109">
        <f t="shared" si="9"/>
        <v>0</v>
      </c>
      <c r="G109">
        <f t="shared" si="10"/>
        <v>1</v>
      </c>
      <c r="H109">
        <f t="shared" si="11"/>
        <v>0</v>
      </c>
      <c r="I109">
        <f t="shared" si="12"/>
        <v>0</v>
      </c>
      <c r="J109">
        <f t="shared" si="13"/>
        <v>0</v>
      </c>
      <c r="K109">
        <f t="shared" si="14"/>
        <v>0</v>
      </c>
    </row>
    <row r="110" spans="1:11" x14ac:dyDescent="0.25">
      <c r="A110" t="s">
        <v>173</v>
      </c>
      <c r="B110" t="s">
        <v>77</v>
      </c>
      <c r="C110" s="2">
        <v>31601</v>
      </c>
      <c r="D110" t="s">
        <v>12</v>
      </c>
      <c r="E110" s="2">
        <f t="shared" si="8"/>
        <v>30</v>
      </c>
      <c r="F110">
        <f t="shared" si="9"/>
        <v>0</v>
      </c>
      <c r="G110">
        <f t="shared" si="10"/>
        <v>1</v>
      </c>
      <c r="H110">
        <f t="shared" si="11"/>
        <v>0</v>
      </c>
      <c r="I110">
        <f t="shared" si="12"/>
        <v>0</v>
      </c>
      <c r="J110">
        <f t="shared" si="13"/>
        <v>0</v>
      </c>
      <c r="K110">
        <f t="shared" si="14"/>
        <v>0</v>
      </c>
    </row>
    <row r="111" spans="1:11" x14ac:dyDescent="0.25">
      <c r="A111" t="s">
        <v>174</v>
      </c>
      <c r="B111" t="s">
        <v>157</v>
      </c>
      <c r="C111" s="2">
        <v>28427</v>
      </c>
      <c r="D111" t="s">
        <v>12</v>
      </c>
      <c r="E111" s="2">
        <f t="shared" si="8"/>
        <v>39</v>
      </c>
      <c r="F111">
        <f t="shared" si="9"/>
        <v>0</v>
      </c>
      <c r="G111">
        <f t="shared" si="10"/>
        <v>1</v>
      </c>
      <c r="H111">
        <f t="shared" si="11"/>
        <v>0</v>
      </c>
      <c r="I111">
        <f t="shared" si="12"/>
        <v>1</v>
      </c>
      <c r="J111">
        <f t="shared" si="13"/>
        <v>0</v>
      </c>
      <c r="K111">
        <f t="shared" si="14"/>
        <v>0</v>
      </c>
    </row>
    <row r="112" spans="1:11" x14ac:dyDescent="0.25">
      <c r="A112" t="s">
        <v>175</v>
      </c>
      <c r="B112" t="s">
        <v>176</v>
      </c>
      <c r="C112" s="2">
        <v>23139</v>
      </c>
      <c r="D112" t="s">
        <v>12</v>
      </c>
      <c r="E112" s="2">
        <f t="shared" si="8"/>
        <v>53</v>
      </c>
      <c r="F112">
        <f t="shared" si="9"/>
        <v>0</v>
      </c>
      <c r="G112">
        <f t="shared" si="10"/>
        <v>0</v>
      </c>
      <c r="H112">
        <f t="shared" si="11"/>
        <v>0</v>
      </c>
      <c r="I112">
        <f t="shared" si="12"/>
        <v>0</v>
      </c>
      <c r="J112">
        <f t="shared" si="13"/>
        <v>0</v>
      </c>
      <c r="K112">
        <f t="shared" si="14"/>
        <v>0</v>
      </c>
    </row>
    <row r="113" spans="1:11" x14ac:dyDescent="0.25">
      <c r="A113" t="s">
        <v>174</v>
      </c>
      <c r="B113" t="s">
        <v>177</v>
      </c>
      <c r="C113" s="2">
        <v>29861</v>
      </c>
      <c r="D113" t="s">
        <v>12</v>
      </c>
      <c r="E113" s="2">
        <f t="shared" si="8"/>
        <v>35</v>
      </c>
      <c r="F113">
        <f t="shared" si="9"/>
        <v>0</v>
      </c>
      <c r="G113">
        <f t="shared" si="10"/>
        <v>1</v>
      </c>
      <c r="H113">
        <f t="shared" si="11"/>
        <v>0</v>
      </c>
      <c r="I113">
        <f t="shared" si="12"/>
        <v>0</v>
      </c>
      <c r="J113">
        <f t="shared" si="13"/>
        <v>0</v>
      </c>
      <c r="K113">
        <f t="shared" si="14"/>
        <v>0</v>
      </c>
    </row>
    <row r="114" spans="1:11" x14ac:dyDescent="0.25">
      <c r="A114" t="s">
        <v>178</v>
      </c>
      <c r="B114" t="s">
        <v>179</v>
      </c>
      <c r="C114" s="2">
        <v>32545</v>
      </c>
      <c r="D114" t="s">
        <v>40</v>
      </c>
      <c r="E114" s="2">
        <f t="shared" si="8"/>
        <v>27</v>
      </c>
      <c r="F114">
        <f t="shared" si="9"/>
        <v>1</v>
      </c>
      <c r="G114">
        <f t="shared" si="10"/>
        <v>0</v>
      </c>
      <c r="H114">
        <f t="shared" si="11"/>
        <v>0</v>
      </c>
      <c r="I114">
        <f t="shared" si="12"/>
        <v>0</v>
      </c>
      <c r="J114">
        <f t="shared" si="13"/>
        <v>0</v>
      </c>
      <c r="K114">
        <f t="shared" si="14"/>
        <v>0</v>
      </c>
    </row>
    <row r="115" spans="1:11" x14ac:dyDescent="0.25">
      <c r="A115" t="s">
        <v>180</v>
      </c>
      <c r="B115" t="s">
        <v>94</v>
      </c>
      <c r="C115" s="2">
        <v>29361</v>
      </c>
      <c r="D115" t="s">
        <v>12</v>
      </c>
      <c r="E115" s="2">
        <f t="shared" si="8"/>
        <v>36</v>
      </c>
      <c r="F115">
        <f t="shared" si="9"/>
        <v>0</v>
      </c>
      <c r="G115">
        <f t="shared" si="10"/>
        <v>1</v>
      </c>
      <c r="H115">
        <f t="shared" si="11"/>
        <v>0</v>
      </c>
      <c r="I115">
        <f t="shared" si="12"/>
        <v>0</v>
      </c>
      <c r="J115">
        <f t="shared" si="13"/>
        <v>1</v>
      </c>
      <c r="K115">
        <f t="shared" si="14"/>
        <v>0</v>
      </c>
    </row>
    <row r="116" spans="1:11" x14ac:dyDescent="0.25">
      <c r="A116" t="s">
        <v>181</v>
      </c>
      <c r="B116" t="s">
        <v>49</v>
      </c>
      <c r="C116" s="2">
        <v>17772</v>
      </c>
      <c r="D116" t="s">
        <v>40</v>
      </c>
      <c r="E116" s="2">
        <f t="shared" si="8"/>
        <v>68</v>
      </c>
      <c r="F116">
        <f t="shared" si="9"/>
        <v>0</v>
      </c>
      <c r="G116">
        <f t="shared" si="10"/>
        <v>0</v>
      </c>
      <c r="H116">
        <f t="shared" si="11"/>
        <v>0</v>
      </c>
      <c r="I116">
        <f t="shared" si="12"/>
        <v>0</v>
      </c>
      <c r="J116">
        <f t="shared" si="13"/>
        <v>0</v>
      </c>
      <c r="K116">
        <f t="shared" si="14"/>
        <v>0</v>
      </c>
    </row>
    <row r="117" spans="1:11" x14ac:dyDescent="0.25">
      <c r="A117" t="s">
        <v>182</v>
      </c>
      <c r="B117" t="s">
        <v>183</v>
      </c>
      <c r="C117" s="2">
        <v>28580</v>
      </c>
      <c r="D117" t="s">
        <v>6</v>
      </c>
      <c r="E117" s="2">
        <f t="shared" si="8"/>
        <v>38</v>
      </c>
      <c r="F117">
        <f t="shared" si="9"/>
        <v>0</v>
      </c>
      <c r="G117">
        <f t="shared" si="10"/>
        <v>1</v>
      </c>
      <c r="H117">
        <f t="shared" si="11"/>
        <v>0</v>
      </c>
      <c r="I117">
        <f t="shared" si="12"/>
        <v>1</v>
      </c>
      <c r="J117">
        <f t="shared" si="13"/>
        <v>0</v>
      </c>
      <c r="K117">
        <f t="shared" si="14"/>
        <v>0</v>
      </c>
    </row>
    <row r="118" spans="1:11" x14ac:dyDescent="0.25">
      <c r="A118" t="s">
        <v>184</v>
      </c>
      <c r="B118" t="s">
        <v>185</v>
      </c>
      <c r="C118" s="2">
        <v>21154</v>
      </c>
      <c r="D118" t="s">
        <v>40</v>
      </c>
      <c r="E118" s="2">
        <f t="shared" si="8"/>
        <v>59</v>
      </c>
      <c r="F118">
        <f t="shared" si="9"/>
        <v>0</v>
      </c>
      <c r="G118">
        <f t="shared" si="10"/>
        <v>0</v>
      </c>
      <c r="H118">
        <f t="shared" si="11"/>
        <v>0</v>
      </c>
      <c r="I118">
        <f t="shared" si="12"/>
        <v>0</v>
      </c>
      <c r="J118">
        <f t="shared" si="13"/>
        <v>1</v>
      </c>
      <c r="K118">
        <f t="shared" si="14"/>
        <v>0</v>
      </c>
    </row>
    <row r="119" spans="1:11" x14ac:dyDescent="0.25">
      <c r="A119" t="s">
        <v>186</v>
      </c>
      <c r="B119" t="s">
        <v>54</v>
      </c>
      <c r="C119" s="2">
        <v>18183</v>
      </c>
      <c r="D119" t="s">
        <v>12</v>
      </c>
      <c r="E119" s="2">
        <f t="shared" si="8"/>
        <v>67</v>
      </c>
      <c r="F119">
        <f t="shared" si="9"/>
        <v>0</v>
      </c>
      <c r="G119">
        <f t="shared" si="10"/>
        <v>0</v>
      </c>
      <c r="H119">
        <f t="shared" si="11"/>
        <v>0</v>
      </c>
      <c r="I119">
        <f t="shared" si="12"/>
        <v>0</v>
      </c>
      <c r="J119">
        <f t="shared" si="13"/>
        <v>1</v>
      </c>
      <c r="K119">
        <f t="shared" si="14"/>
        <v>0</v>
      </c>
    </row>
    <row r="120" spans="1:11" x14ac:dyDescent="0.25">
      <c r="A120" t="s">
        <v>187</v>
      </c>
      <c r="B120" t="s">
        <v>188</v>
      </c>
      <c r="C120" s="2">
        <v>20630</v>
      </c>
      <c r="D120" t="s">
        <v>6</v>
      </c>
      <c r="E120" s="2">
        <f t="shared" si="8"/>
        <v>60</v>
      </c>
      <c r="F120">
        <f t="shared" si="9"/>
        <v>0</v>
      </c>
      <c r="G120">
        <f t="shared" si="10"/>
        <v>0</v>
      </c>
      <c r="H120">
        <f t="shared" si="11"/>
        <v>0</v>
      </c>
      <c r="I120">
        <f t="shared" si="12"/>
        <v>0</v>
      </c>
      <c r="J120">
        <f t="shared" si="13"/>
        <v>0</v>
      </c>
      <c r="K120">
        <f t="shared" si="14"/>
        <v>0</v>
      </c>
    </row>
    <row r="121" spans="1:11" x14ac:dyDescent="0.25">
      <c r="A121" t="s">
        <v>189</v>
      </c>
      <c r="B121" t="s">
        <v>49</v>
      </c>
      <c r="C121" s="2">
        <v>34364</v>
      </c>
      <c r="D121" t="s">
        <v>12</v>
      </c>
      <c r="E121" s="2">
        <f t="shared" si="8"/>
        <v>22</v>
      </c>
      <c r="F121">
        <f t="shared" si="9"/>
        <v>1</v>
      </c>
      <c r="G121">
        <f t="shared" si="10"/>
        <v>0</v>
      </c>
      <c r="H121">
        <f t="shared" si="11"/>
        <v>1</v>
      </c>
      <c r="I121">
        <f t="shared" si="12"/>
        <v>0</v>
      </c>
      <c r="J121">
        <f t="shared" si="13"/>
        <v>0</v>
      </c>
      <c r="K121">
        <f t="shared" si="14"/>
        <v>0</v>
      </c>
    </row>
    <row r="122" spans="1:11" x14ac:dyDescent="0.25">
      <c r="A122" t="s">
        <v>190</v>
      </c>
      <c r="B122" t="s">
        <v>20</v>
      </c>
      <c r="C122" s="2">
        <v>25582</v>
      </c>
      <c r="D122" t="s">
        <v>6</v>
      </c>
      <c r="E122" s="2">
        <f t="shared" si="8"/>
        <v>46</v>
      </c>
      <c r="F122">
        <f t="shared" si="9"/>
        <v>0</v>
      </c>
      <c r="G122">
        <f t="shared" si="10"/>
        <v>0</v>
      </c>
      <c r="H122">
        <f t="shared" si="11"/>
        <v>0</v>
      </c>
      <c r="I122">
        <f t="shared" si="12"/>
        <v>0</v>
      </c>
      <c r="J122">
        <f t="shared" si="13"/>
        <v>0</v>
      </c>
      <c r="K122">
        <f t="shared" si="14"/>
        <v>0</v>
      </c>
    </row>
    <row r="123" spans="1:11" x14ac:dyDescent="0.25">
      <c r="A123" t="s">
        <v>191</v>
      </c>
      <c r="B123" t="s">
        <v>192</v>
      </c>
      <c r="C123" s="2">
        <v>29350</v>
      </c>
      <c r="D123" t="s">
        <v>12</v>
      </c>
      <c r="E123" s="2">
        <f t="shared" si="8"/>
        <v>36</v>
      </c>
      <c r="F123">
        <f t="shared" si="9"/>
        <v>0</v>
      </c>
      <c r="G123">
        <f t="shared" si="10"/>
        <v>1</v>
      </c>
      <c r="H123">
        <f t="shared" si="11"/>
        <v>0</v>
      </c>
      <c r="I123">
        <f t="shared" si="12"/>
        <v>1</v>
      </c>
      <c r="J123">
        <f t="shared" si="13"/>
        <v>0</v>
      </c>
      <c r="K123">
        <f t="shared" si="14"/>
        <v>0</v>
      </c>
    </row>
    <row r="124" spans="1:11" x14ac:dyDescent="0.25">
      <c r="A124" t="s">
        <v>193</v>
      </c>
      <c r="B124" t="s">
        <v>194</v>
      </c>
      <c r="C124" s="2">
        <v>21704</v>
      </c>
      <c r="D124" t="s">
        <v>6</v>
      </c>
      <c r="E124" s="2">
        <f t="shared" si="8"/>
        <v>57</v>
      </c>
      <c r="F124">
        <f t="shared" si="9"/>
        <v>0</v>
      </c>
      <c r="G124">
        <f t="shared" si="10"/>
        <v>0</v>
      </c>
      <c r="H124">
        <f t="shared" si="11"/>
        <v>0</v>
      </c>
      <c r="I124">
        <f t="shared" si="12"/>
        <v>0</v>
      </c>
      <c r="J124">
        <f t="shared" si="13"/>
        <v>1</v>
      </c>
      <c r="K124">
        <f t="shared" si="14"/>
        <v>0</v>
      </c>
    </row>
    <row r="125" spans="1:11" x14ac:dyDescent="0.25">
      <c r="A125" t="s">
        <v>195</v>
      </c>
      <c r="B125" t="s">
        <v>192</v>
      </c>
      <c r="C125" s="2">
        <v>20436</v>
      </c>
      <c r="D125" t="s">
        <v>12</v>
      </c>
      <c r="E125" s="2">
        <f t="shared" si="8"/>
        <v>61</v>
      </c>
      <c r="F125">
        <f t="shared" si="9"/>
        <v>0</v>
      </c>
      <c r="G125">
        <f t="shared" si="10"/>
        <v>0</v>
      </c>
      <c r="H125">
        <f t="shared" si="11"/>
        <v>1</v>
      </c>
      <c r="I125">
        <f t="shared" si="12"/>
        <v>0</v>
      </c>
      <c r="J125">
        <f t="shared" si="13"/>
        <v>0</v>
      </c>
      <c r="K125">
        <f t="shared" si="14"/>
        <v>0</v>
      </c>
    </row>
    <row r="126" spans="1:11" x14ac:dyDescent="0.25">
      <c r="A126" t="s">
        <v>196</v>
      </c>
      <c r="B126" t="s">
        <v>139</v>
      </c>
      <c r="C126" s="2">
        <v>24475</v>
      </c>
      <c r="D126" t="s">
        <v>12</v>
      </c>
      <c r="E126" s="2">
        <f t="shared" si="8"/>
        <v>49</v>
      </c>
      <c r="F126">
        <f t="shared" si="9"/>
        <v>0</v>
      </c>
      <c r="G126">
        <f t="shared" si="10"/>
        <v>0</v>
      </c>
      <c r="H126">
        <f t="shared" si="11"/>
        <v>1</v>
      </c>
      <c r="I126">
        <f t="shared" si="12"/>
        <v>0</v>
      </c>
      <c r="J126">
        <f t="shared" si="13"/>
        <v>0</v>
      </c>
      <c r="K126">
        <f t="shared" si="14"/>
        <v>0</v>
      </c>
    </row>
    <row r="127" spans="1:11" x14ac:dyDescent="0.25">
      <c r="A127" t="s">
        <v>197</v>
      </c>
      <c r="B127" t="s">
        <v>87</v>
      </c>
      <c r="C127" s="2">
        <v>26773</v>
      </c>
      <c r="D127" t="s">
        <v>6</v>
      </c>
      <c r="E127" s="2">
        <f t="shared" si="8"/>
        <v>43</v>
      </c>
      <c r="F127">
        <f t="shared" si="9"/>
        <v>0</v>
      </c>
      <c r="G127">
        <f t="shared" si="10"/>
        <v>0</v>
      </c>
      <c r="H127">
        <f t="shared" si="11"/>
        <v>0</v>
      </c>
      <c r="I127">
        <f t="shared" si="12"/>
        <v>0</v>
      </c>
      <c r="J127">
        <f t="shared" si="13"/>
        <v>1</v>
      </c>
      <c r="K127">
        <f t="shared" si="14"/>
        <v>0</v>
      </c>
    </row>
    <row r="128" spans="1:11" x14ac:dyDescent="0.25">
      <c r="A128" t="s">
        <v>198</v>
      </c>
      <c r="B128" t="s">
        <v>199</v>
      </c>
      <c r="C128" s="2">
        <v>17668</v>
      </c>
      <c r="D128" t="s">
        <v>12</v>
      </c>
      <c r="E128" s="2">
        <f t="shared" si="8"/>
        <v>68</v>
      </c>
      <c r="F128">
        <f t="shared" si="9"/>
        <v>0</v>
      </c>
      <c r="G128">
        <f t="shared" si="10"/>
        <v>0</v>
      </c>
      <c r="H128">
        <f t="shared" si="11"/>
        <v>0</v>
      </c>
      <c r="I128">
        <f t="shared" si="12"/>
        <v>0</v>
      </c>
      <c r="J128">
        <f t="shared" si="13"/>
        <v>1</v>
      </c>
      <c r="K128">
        <f t="shared" si="14"/>
        <v>0</v>
      </c>
    </row>
    <row r="129" spans="1:11" x14ac:dyDescent="0.25">
      <c r="A129" t="s">
        <v>200</v>
      </c>
      <c r="B129" t="s">
        <v>201</v>
      </c>
      <c r="C129" s="2">
        <v>17382</v>
      </c>
      <c r="D129" t="s">
        <v>12</v>
      </c>
      <c r="E129" s="2">
        <f t="shared" si="8"/>
        <v>69</v>
      </c>
      <c r="F129">
        <f t="shared" si="9"/>
        <v>0</v>
      </c>
      <c r="G129">
        <f t="shared" si="10"/>
        <v>0</v>
      </c>
      <c r="H129">
        <f t="shared" si="11"/>
        <v>0</v>
      </c>
      <c r="I129">
        <f t="shared" si="12"/>
        <v>0</v>
      </c>
      <c r="J129">
        <f t="shared" si="13"/>
        <v>0</v>
      </c>
      <c r="K129">
        <f t="shared" si="14"/>
        <v>1</v>
      </c>
    </row>
    <row r="130" spans="1:11" x14ac:dyDescent="0.25">
      <c r="A130" t="s">
        <v>202</v>
      </c>
      <c r="B130" t="s">
        <v>8</v>
      </c>
      <c r="C130" s="2">
        <v>16976</v>
      </c>
      <c r="D130" t="s">
        <v>6</v>
      </c>
      <c r="E130" s="2">
        <f t="shared" si="8"/>
        <v>70</v>
      </c>
      <c r="F130">
        <f t="shared" si="9"/>
        <v>0</v>
      </c>
      <c r="G130">
        <f t="shared" si="10"/>
        <v>0</v>
      </c>
      <c r="H130">
        <f t="shared" si="11"/>
        <v>0</v>
      </c>
      <c r="I130">
        <f t="shared" si="12"/>
        <v>0</v>
      </c>
      <c r="J130">
        <f t="shared" si="13"/>
        <v>0</v>
      </c>
      <c r="K130">
        <f t="shared" si="14"/>
        <v>0</v>
      </c>
    </row>
    <row r="131" spans="1:11" x14ac:dyDescent="0.25">
      <c r="A131" t="s">
        <v>203</v>
      </c>
      <c r="B131" t="s">
        <v>204</v>
      </c>
      <c r="C131" s="2">
        <v>33779</v>
      </c>
      <c r="D131" t="s">
        <v>40</v>
      </c>
      <c r="E131" s="2">
        <f t="shared" ref="E131:E194" si="15">2016-YEAR(C131)</f>
        <v>24</v>
      </c>
      <c r="F131">
        <f t="shared" ref="F131:F194" si="16">IF(AND(E131&gt;=20,E131&lt;=29),1,0)</f>
        <v>1</v>
      </c>
      <c r="G131">
        <f t="shared" ref="G131:G194" si="17">IF(AND(E131&gt;=30,E131&lt;=39),1,0)</f>
        <v>0</v>
      </c>
      <c r="H131">
        <f t="shared" ref="H131:H194" si="18">IF(AND(E132&gt;=40,E132&lt;=49),1,0)</f>
        <v>0</v>
      </c>
      <c r="I131">
        <f t="shared" ref="I131:I194" si="19">IF(AND(E132&gt;=50,E132&lt;=59),1,0)</f>
        <v>0</v>
      </c>
      <c r="J131">
        <f t="shared" ref="J131:J194" si="20">IF(AND(E132&gt;=60,E132&lt;=69),1,0)</f>
        <v>0</v>
      </c>
      <c r="K131">
        <f t="shared" ref="K131:K194" si="21">IF(AND(E132&gt;=70,E132&lt;=79),1,0)</f>
        <v>0</v>
      </c>
    </row>
    <row r="132" spans="1:11" x14ac:dyDescent="0.25">
      <c r="A132" t="s">
        <v>75</v>
      </c>
      <c r="B132" t="s">
        <v>37</v>
      </c>
      <c r="C132" s="2">
        <v>33885</v>
      </c>
      <c r="D132" t="s">
        <v>6</v>
      </c>
      <c r="E132" s="2">
        <f t="shared" si="15"/>
        <v>24</v>
      </c>
      <c r="F132">
        <f t="shared" si="16"/>
        <v>1</v>
      </c>
      <c r="G132">
        <f t="shared" si="17"/>
        <v>0</v>
      </c>
      <c r="H132">
        <f t="shared" si="18"/>
        <v>0</v>
      </c>
      <c r="I132">
        <f t="shared" si="19"/>
        <v>0</v>
      </c>
      <c r="J132">
        <f t="shared" si="20"/>
        <v>0</v>
      </c>
      <c r="K132">
        <f t="shared" si="21"/>
        <v>0</v>
      </c>
    </row>
    <row r="133" spans="1:11" x14ac:dyDescent="0.25">
      <c r="A133" t="s">
        <v>205</v>
      </c>
      <c r="B133" t="s">
        <v>25</v>
      </c>
      <c r="C133" s="2">
        <v>30498</v>
      </c>
      <c r="D133" t="s">
        <v>9</v>
      </c>
      <c r="E133" s="2">
        <f t="shared" si="15"/>
        <v>33</v>
      </c>
      <c r="F133">
        <f t="shared" si="16"/>
        <v>0</v>
      </c>
      <c r="G133">
        <f t="shared" si="17"/>
        <v>1</v>
      </c>
      <c r="H133">
        <f t="shared" si="18"/>
        <v>0</v>
      </c>
      <c r="I133">
        <f t="shared" si="19"/>
        <v>1</v>
      </c>
      <c r="J133">
        <f t="shared" si="20"/>
        <v>0</v>
      </c>
      <c r="K133">
        <f t="shared" si="21"/>
        <v>0</v>
      </c>
    </row>
    <row r="134" spans="1:11" x14ac:dyDescent="0.25">
      <c r="A134" t="s">
        <v>206</v>
      </c>
      <c r="B134" t="s">
        <v>167</v>
      </c>
      <c r="C134" s="2">
        <v>22090</v>
      </c>
      <c r="D134" t="s">
        <v>9</v>
      </c>
      <c r="E134" s="2">
        <f t="shared" si="15"/>
        <v>56</v>
      </c>
      <c r="F134">
        <f t="shared" si="16"/>
        <v>0</v>
      </c>
      <c r="G134">
        <f t="shared" si="17"/>
        <v>0</v>
      </c>
      <c r="H134">
        <f t="shared" si="18"/>
        <v>1</v>
      </c>
      <c r="I134">
        <f t="shared" si="19"/>
        <v>0</v>
      </c>
      <c r="J134">
        <f t="shared" si="20"/>
        <v>0</v>
      </c>
      <c r="K134">
        <f t="shared" si="21"/>
        <v>0</v>
      </c>
    </row>
    <row r="135" spans="1:11" x14ac:dyDescent="0.25">
      <c r="A135" t="s">
        <v>207</v>
      </c>
      <c r="B135" t="s">
        <v>37</v>
      </c>
      <c r="C135" s="2">
        <v>27938</v>
      </c>
      <c r="D135" t="s">
        <v>6</v>
      </c>
      <c r="E135" s="2">
        <f t="shared" si="15"/>
        <v>40</v>
      </c>
      <c r="F135">
        <f t="shared" si="16"/>
        <v>0</v>
      </c>
      <c r="G135">
        <f t="shared" si="17"/>
        <v>0</v>
      </c>
      <c r="H135">
        <f t="shared" si="18"/>
        <v>0</v>
      </c>
      <c r="I135">
        <f t="shared" si="19"/>
        <v>1</v>
      </c>
      <c r="J135">
        <f t="shared" si="20"/>
        <v>0</v>
      </c>
      <c r="K135">
        <f t="shared" si="21"/>
        <v>0</v>
      </c>
    </row>
    <row r="136" spans="1:11" x14ac:dyDescent="0.25">
      <c r="A136" t="s">
        <v>208</v>
      </c>
      <c r="B136" t="s">
        <v>47</v>
      </c>
      <c r="C136" s="2">
        <v>23762</v>
      </c>
      <c r="D136" t="s">
        <v>12</v>
      </c>
      <c r="E136" s="2">
        <f t="shared" si="15"/>
        <v>51</v>
      </c>
      <c r="F136">
        <f t="shared" si="16"/>
        <v>0</v>
      </c>
      <c r="G136">
        <f t="shared" si="17"/>
        <v>0</v>
      </c>
      <c r="H136">
        <f t="shared" si="18"/>
        <v>1</v>
      </c>
      <c r="I136">
        <f t="shared" si="19"/>
        <v>0</v>
      </c>
      <c r="J136">
        <f t="shared" si="20"/>
        <v>0</v>
      </c>
      <c r="K136">
        <f t="shared" si="21"/>
        <v>0</v>
      </c>
    </row>
    <row r="137" spans="1:11" x14ac:dyDescent="0.25">
      <c r="A137" t="s">
        <v>209</v>
      </c>
      <c r="B137" t="s">
        <v>131</v>
      </c>
      <c r="C137" s="2">
        <v>25158</v>
      </c>
      <c r="D137" t="s">
        <v>6</v>
      </c>
      <c r="E137" s="2">
        <f t="shared" si="15"/>
        <v>48</v>
      </c>
      <c r="F137">
        <f t="shared" si="16"/>
        <v>0</v>
      </c>
      <c r="G137">
        <f t="shared" si="17"/>
        <v>0</v>
      </c>
      <c r="H137">
        <f t="shared" si="18"/>
        <v>1</v>
      </c>
      <c r="I137">
        <f t="shared" si="19"/>
        <v>0</v>
      </c>
      <c r="J137">
        <f t="shared" si="20"/>
        <v>0</v>
      </c>
      <c r="K137">
        <f t="shared" si="21"/>
        <v>0</v>
      </c>
    </row>
    <row r="138" spans="1:11" x14ac:dyDescent="0.25">
      <c r="A138" t="s">
        <v>210</v>
      </c>
      <c r="B138" t="s">
        <v>37</v>
      </c>
      <c r="C138" s="2">
        <v>24824</v>
      </c>
      <c r="D138" t="s">
        <v>12</v>
      </c>
      <c r="E138" s="2">
        <f t="shared" si="15"/>
        <v>49</v>
      </c>
      <c r="F138">
        <f t="shared" si="16"/>
        <v>0</v>
      </c>
      <c r="G138">
        <f t="shared" si="17"/>
        <v>0</v>
      </c>
      <c r="H138">
        <f t="shared" si="18"/>
        <v>0</v>
      </c>
      <c r="I138">
        <f t="shared" si="19"/>
        <v>0</v>
      </c>
      <c r="J138">
        <f t="shared" si="20"/>
        <v>0</v>
      </c>
      <c r="K138">
        <f t="shared" si="21"/>
        <v>0</v>
      </c>
    </row>
    <row r="139" spans="1:11" x14ac:dyDescent="0.25">
      <c r="A139" t="s">
        <v>211</v>
      </c>
      <c r="B139" t="s">
        <v>49</v>
      </c>
      <c r="C139" s="2">
        <v>33398</v>
      </c>
      <c r="D139" t="s">
        <v>9</v>
      </c>
      <c r="E139" s="2">
        <f t="shared" si="15"/>
        <v>25</v>
      </c>
      <c r="F139">
        <f t="shared" si="16"/>
        <v>1</v>
      </c>
      <c r="G139">
        <f t="shared" si="17"/>
        <v>0</v>
      </c>
      <c r="H139">
        <f t="shared" si="18"/>
        <v>0</v>
      </c>
      <c r="I139">
        <f t="shared" si="19"/>
        <v>0</v>
      </c>
      <c r="J139">
        <f t="shared" si="20"/>
        <v>0</v>
      </c>
      <c r="K139">
        <f t="shared" si="21"/>
        <v>0</v>
      </c>
    </row>
    <row r="140" spans="1:11" x14ac:dyDescent="0.25">
      <c r="A140" t="s">
        <v>212</v>
      </c>
      <c r="B140" t="s">
        <v>18</v>
      </c>
      <c r="C140" s="2">
        <v>34795</v>
      </c>
      <c r="D140" t="s">
        <v>9</v>
      </c>
      <c r="E140" s="2">
        <f t="shared" si="15"/>
        <v>21</v>
      </c>
      <c r="F140">
        <f t="shared" si="16"/>
        <v>1</v>
      </c>
      <c r="G140">
        <f t="shared" si="17"/>
        <v>0</v>
      </c>
      <c r="H140">
        <f t="shared" si="18"/>
        <v>0</v>
      </c>
      <c r="I140">
        <f t="shared" si="19"/>
        <v>0</v>
      </c>
      <c r="J140">
        <f t="shared" si="20"/>
        <v>1</v>
      </c>
      <c r="K140">
        <f t="shared" si="21"/>
        <v>0</v>
      </c>
    </row>
    <row r="141" spans="1:11" x14ac:dyDescent="0.25">
      <c r="A141" t="s">
        <v>88</v>
      </c>
      <c r="B141" t="s">
        <v>213</v>
      </c>
      <c r="C141" s="2">
        <v>20374</v>
      </c>
      <c r="D141" t="s">
        <v>12</v>
      </c>
      <c r="E141" s="2">
        <f t="shared" si="15"/>
        <v>61</v>
      </c>
      <c r="F141">
        <f t="shared" si="16"/>
        <v>0</v>
      </c>
      <c r="G141">
        <f t="shared" si="17"/>
        <v>0</v>
      </c>
      <c r="H141">
        <f t="shared" si="18"/>
        <v>1</v>
      </c>
      <c r="I141">
        <f t="shared" si="19"/>
        <v>0</v>
      </c>
      <c r="J141">
        <f t="shared" si="20"/>
        <v>0</v>
      </c>
      <c r="K141">
        <f t="shared" si="21"/>
        <v>0</v>
      </c>
    </row>
    <row r="142" spans="1:11" x14ac:dyDescent="0.25">
      <c r="A142" t="s">
        <v>214</v>
      </c>
      <c r="B142" t="s">
        <v>165</v>
      </c>
      <c r="C142" s="2">
        <v>25416</v>
      </c>
      <c r="D142" t="s">
        <v>12</v>
      </c>
      <c r="E142" s="2">
        <f t="shared" si="15"/>
        <v>47</v>
      </c>
      <c r="F142">
        <f t="shared" si="16"/>
        <v>0</v>
      </c>
      <c r="G142">
        <f t="shared" si="17"/>
        <v>0</v>
      </c>
      <c r="H142">
        <f t="shared" si="18"/>
        <v>0</v>
      </c>
      <c r="I142">
        <f t="shared" si="19"/>
        <v>1</v>
      </c>
      <c r="J142">
        <f t="shared" si="20"/>
        <v>0</v>
      </c>
      <c r="K142">
        <f t="shared" si="21"/>
        <v>0</v>
      </c>
    </row>
    <row r="143" spans="1:11" x14ac:dyDescent="0.25">
      <c r="A143" t="s">
        <v>215</v>
      </c>
      <c r="B143" t="s">
        <v>216</v>
      </c>
      <c r="C143" s="2">
        <v>21548</v>
      </c>
      <c r="D143" t="s">
        <v>12</v>
      </c>
      <c r="E143" s="2">
        <f t="shared" si="15"/>
        <v>58</v>
      </c>
      <c r="F143">
        <f t="shared" si="16"/>
        <v>0</v>
      </c>
      <c r="G143">
        <f t="shared" si="17"/>
        <v>0</v>
      </c>
      <c r="H143">
        <f t="shared" si="18"/>
        <v>0</v>
      </c>
      <c r="I143">
        <f t="shared" si="19"/>
        <v>0</v>
      </c>
      <c r="J143">
        <f t="shared" si="20"/>
        <v>0</v>
      </c>
      <c r="K143">
        <f t="shared" si="21"/>
        <v>0</v>
      </c>
    </row>
    <row r="144" spans="1:11" x14ac:dyDescent="0.25">
      <c r="A144" t="s">
        <v>217</v>
      </c>
      <c r="B144" t="s">
        <v>54</v>
      </c>
      <c r="C144" s="2">
        <v>31232</v>
      </c>
      <c r="D144" t="s">
        <v>9</v>
      </c>
      <c r="E144" s="2">
        <f t="shared" si="15"/>
        <v>31</v>
      </c>
      <c r="F144">
        <f t="shared" si="16"/>
        <v>0</v>
      </c>
      <c r="G144">
        <f t="shared" si="17"/>
        <v>1</v>
      </c>
      <c r="H144">
        <f t="shared" si="18"/>
        <v>0</v>
      </c>
      <c r="I144">
        <f t="shared" si="19"/>
        <v>0</v>
      </c>
      <c r="J144">
        <f t="shared" si="20"/>
        <v>0</v>
      </c>
      <c r="K144">
        <f t="shared" si="21"/>
        <v>0</v>
      </c>
    </row>
    <row r="145" spans="1:11" x14ac:dyDescent="0.25">
      <c r="A145" t="s">
        <v>218</v>
      </c>
      <c r="B145" t="s">
        <v>121</v>
      </c>
      <c r="C145" s="2">
        <v>28472</v>
      </c>
      <c r="D145" t="s">
        <v>12</v>
      </c>
      <c r="E145" s="2">
        <f t="shared" si="15"/>
        <v>39</v>
      </c>
      <c r="F145">
        <f t="shared" si="16"/>
        <v>0</v>
      </c>
      <c r="G145">
        <f t="shared" si="17"/>
        <v>1</v>
      </c>
      <c r="H145">
        <f t="shared" si="18"/>
        <v>0</v>
      </c>
      <c r="I145">
        <f t="shared" si="19"/>
        <v>0</v>
      </c>
      <c r="J145">
        <f t="shared" si="20"/>
        <v>0</v>
      </c>
      <c r="K145">
        <f t="shared" si="21"/>
        <v>0</v>
      </c>
    </row>
    <row r="146" spans="1:11" x14ac:dyDescent="0.25">
      <c r="A146" t="s">
        <v>219</v>
      </c>
      <c r="B146" t="s">
        <v>29</v>
      </c>
      <c r="C146" s="2">
        <v>34287</v>
      </c>
      <c r="D146" t="s">
        <v>12</v>
      </c>
      <c r="E146" s="2">
        <f t="shared" si="15"/>
        <v>23</v>
      </c>
      <c r="F146">
        <f t="shared" si="16"/>
        <v>1</v>
      </c>
      <c r="G146">
        <f t="shared" si="17"/>
        <v>0</v>
      </c>
      <c r="H146">
        <f t="shared" si="18"/>
        <v>1</v>
      </c>
      <c r="I146">
        <f t="shared" si="19"/>
        <v>0</v>
      </c>
      <c r="J146">
        <f t="shared" si="20"/>
        <v>0</v>
      </c>
      <c r="K146">
        <f t="shared" si="21"/>
        <v>0</v>
      </c>
    </row>
    <row r="147" spans="1:11" x14ac:dyDescent="0.25">
      <c r="A147" t="s">
        <v>220</v>
      </c>
      <c r="B147" t="s">
        <v>92</v>
      </c>
      <c r="C147" s="2">
        <v>24972</v>
      </c>
      <c r="D147" t="s">
        <v>6</v>
      </c>
      <c r="E147" s="2">
        <f t="shared" si="15"/>
        <v>48</v>
      </c>
      <c r="F147">
        <f t="shared" si="16"/>
        <v>0</v>
      </c>
      <c r="G147">
        <f t="shared" si="17"/>
        <v>0</v>
      </c>
      <c r="H147">
        <f t="shared" si="18"/>
        <v>0</v>
      </c>
      <c r="I147">
        <f t="shared" si="19"/>
        <v>0</v>
      </c>
      <c r="J147">
        <f t="shared" si="20"/>
        <v>1</v>
      </c>
      <c r="K147">
        <f t="shared" si="21"/>
        <v>0</v>
      </c>
    </row>
    <row r="148" spans="1:11" x14ac:dyDescent="0.25">
      <c r="A148" t="s">
        <v>221</v>
      </c>
      <c r="B148" t="s">
        <v>154</v>
      </c>
      <c r="C148" s="2">
        <v>18787</v>
      </c>
      <c r="D148" t="s">
        <v>9</v>
      </c>
      <c r="E148" s="2">
        <f t="shared" si="15"/>
        <v>65</v>
      </c>
      <c r="F148">
        <f t="shared" si="16"/>
        <v>0</v>
      </c>
      <c r="G148">
        <f t="shared" si="17"/>
        <v>0</v>
      </c>
      <c r="H148">
        <f t="shared" si="18"/>
        <v>1</v>
      </c>
      <c r="I148">
        <f t="shared" si="19"/>
        <v>0</v>
      </c>
      <c r="J148">
        <f t="shared" si="20"/>
        <v>0</v>
      </c>
      <c r="K148">
        <f t="shared" si="21"/>
        <v>0</v>
      </c>
    </row>
    <row r="149" spans="1:11" x14ac:dyDescent="0.25">
      <c r="A149" t="s">
        <v>222</v>
      </c>
      <c r="B149" t="s">
        <v>49</v>
      </c>
      <c r="C149" s="2">
        <v>27611</v>
      </c>
      <c r="D149" t="s">
        <v>9</v>
      </c>
      <c r="E149" s="2">
        <f t="shared" si="15"/>
        <v>41</v>
      </c>
      <c r="F149">
        <f t="shared" si="16"/>
        <v>0</v>
      </c>
      <c r="G149">
        <f t="shared" si="17"/>
        <v>0</v>
      </c>
      <c r="H149">
        <f t="shared" si="18"/>
        <v>1</v>
      </c>
      <c r="I149">
        <f t="shared" si="19"/>
        <v>0</v>
      </c>
      <c r="J149">
        <f t="shared" si="20"/>
        <v>0</v>
      </c>
      <c r="K149">
        <f t="shared" si="21"/>
        <v>0</v>
      </c>
    </row>
    <row r="150" spans="1:11" x14ac:dyDescent="0.25">
      <c r="A150" t="s">
        <v>223</v>
      </c>
      <c r="B150" t="s">
        <v>224</v>
      </c>
      <c r="C150" s="2">
        <v>26071</v>
      </c>
      <c r="D150" t="s">
        <v>12</v>
      </c>
      <c r="E150" s="2">
        <f t="shared" si="15"/>
        <v>45</v>
      </c>
      <c r="F150">
        <f t="shared" si="16"/>
        <v>0</v>
      </c>
      <c r="G150">
        <f t="shared" si="17"/>
        <v>0</v>
      </c>
      <c r="H150">
        <f t="shared" si="18"/>
        <v>0</v>
      </c>
      <c r="I150">
        <f t="shared" si="19"/>
        <v>0</v>
      </c>
      <c r="J150">
        <f t="shared" si="20"/>
        <v>1</v>
      </c>
      <c r="K150">
        <f t="shared" si="21"/>
        <v>0</v>
      </c>
    </row>
    <row r="151" spans="1:11" x14ac:dyDescent="0.25">
      <c r="A151" t="s">
        <v>225</v>
      </c>
      <c r="B151" t="s">
        <v>20</v>
      </c>
      <c r="C151" s="2">
        <v>18285</v>
      </c>
      <c r="D151" t="s">
        <v>6</v>
      </c>
      <c r="E151" s="2">
        <f t="shared" si="15"/>
        <v>66</v>
      </c>
      <c r="F151">
        <f t="shared" si="16"/>
        <v>0</v>
      </c>
      <c r="G151">
        <f t="shared" si="17"/>
        <v>0</v>
      </c>
      <c r="H151">
        <f t="shared" si="18"/>
        <v>0</v>
      </c>
      <c r="I151">
        <f t="shared" si="19"/>
        <v>0</v>
      </c>
      <c r="J151">
        <f t="shared" si="20"/>
        <v>0</v>
      </c>
      <c r="K151">
        <f t="shared" si="21"/>
        <v>0</v>
      </c>
    </row>
    <row r="152" spans="1:11" x14ac:dyDescent="0.25">
      <c r="A152" t="s">
        <v>226</v>
      </c>
      <c r="B152" t="s">
        <v>8</v>
      </c>
      <c r="C152" s="2">
        <v>33696</v>
      </c>
      <c r="D152" t="s">
        <v>12</v>
      </c>
      <c r="E152" s="2">
        <f t="shared" si="15"/>
        <v>24</v>
      </c>
      <c r="F152">
        <f t="shared" si="16"/>
        <v>1</v>
      </c>
      <c r="G152">
        <f t="shared" si="17"/>
        <v>0</v>
      </c>
      <c r="H152">
        <f t="shared" si="18"/>
        <v>1</v>
      </c>
      <c r="I152">
        <f t="shared" si="19"/>
        <v>0</v>
      </c>
      <c r="J152">
        <f t="shared" si="20"/>
        <v>0</v>
      </c>
      <c r="K152">
        <f t="shared" si="21"/>
        <v>0</v>
      </c>
    </row>
    <row r="153" spans="1:11" x14ac:dyDescent="0.25">
      <c r="A153" t="s">
        <v>227</v>
      </c>
      <c r="B153" t="s">
        <v>81</v>
      </c>
      <c r="C153" s="2">
        <v>25404</v>
      </c>
      <c r="D153" t="s">
        <v>12</v>
      </c>
      <c r="E153" s="2">
        <f t="shared" si="15"/>
        <v>47</v>
      </c>
      <c r="F153">
        <f t="shared" si="16"/>
        <v>0</v>
      </c>
      <c r="G153">
        <f t="shared" si="17"/>
        <v>0</v>
      </c>
      <c r="H153">
        <f t="shared" si="18"/>
        <v>0</v>
      </c>
      <c r="I153">
        <f t="shared" si="19"/>
        <v>1</v>
      </c>
      <c r="J153">
        <f t="shared" si="20"/>
        <v>0</v>
      </c>
      <c r="K153">
        <f t="shared" si="21"/>
        <v>0</v>
      </c>
    </row>
    <row r="154" spans="1:11" x14ac:dyDescent="0.25">
      <c r="A154" t="s">
        <v>26</v>
      </c>
      <c r="B154" t="s">
        <v>114</v>
      </c>
      <c r="C154" s="2">
        <v>21769</v>
      </c>
      <c r="D154" t="s">
        <v>6</v>
      </c>
      <c r="E154" s="2">
        <f t="shared" si="15"/>
        <v>57</v>
      </c>
      <c r="F154">
        <f t="shared" si="16"/>
        <v>0</v>
      </c>
      <c r="G154">
        <f t="shared" si="17"/>
        <v>0</v>
      </c>
      <c r="H154">
        <f t="shared" si="18"/>
        <v>1</v>
      </c>
      <c r="I154">
        <f t="shared" si="19"/>
        <v>0</v>
      </c>
      <c r="J154">
        <f t="shared" si="20"/>
        <v>0</v>
      </c>
      <c r="K154">
        <f t="shared" si="21"/>
        <v>0</v>
      </c>
    </row>
    <row r="155" spans="1:11" x14ac:dyDescent="0.25">
      <c r="A155" t="s">
        <v>228</v>
      </c>
      <c r="B155" t="s">
        <v>49</v>
      </c>
      <c r="C155" s="2">
        <v>26490</v>
      </c>
      <c r="D155" t="s">
        <v>6</v>
      </c>
      <c r="E155" s="2">
        <f t="shared" si="15"/>
        <v>44</v>
      </c>
      <c r="F155">
        <f t="shared" si="16"/>
        <v>0</v>
      </c>
      <c r="G155">
        <f t="shared" si="17"/>
        <v>0</v>
      </c>
      <c r="H155">
        <f t="shared" si="18"/>
        <v>0</v>
      </c>
      <c r="I155">
        <f t="shared" si="19"/>
        <v>0</v>
      </c>
      <c r="J155">
        <f t="shared" si="20"/>
        <v>0</v>
      </c>
      <c r="K155">
        <f t="shared" si="21"/>
        <v>0</v>
      </c>
    </row>
    <row r="156" spans="1:11" x14ac:dyDescent="0.25">
      <c r="A156" t="s">
        <v>229</v>
      </c>
      <c r="B156" t="s">
        <v>105</v>
      </c>
      <c r="C156" s="2">
        <v>28897</v>
      </c>
      <c r="D156" t="s">
        <v>9</v>
      </c>
      <c r="E156" s="2">
        <f t="shared" si="15"/>
        <v>37</v>
      </c>
      <c r="F156">
        <f t="shared" si="16"/>
        <v>0</v>
      </c>
      <c r="G156">
        <f t="shared" si="17"/>
        <v>1</v>
      </c>
      <c r="H156">
        <f t="shared" si="18"/>
        <v>0</v>
      </c>
      <c r="I156">
        <f t="shared" si="19"/>
        <v>0</v>
      </c>
      <c r="J156">
        <f t="shared" si="20"/>
        <v>0</v>
      </c>
      <c r="K156">
        <f t="shared" si="21"/>
        <v>0</v>
      </c>
    </row>
    <row r="157" spans="1:11" x14ac:dyDescent="0.25">
      <c r="A157" t="s">
        <v>230</v>
      </c>
      <c r="B157" t="s">
        <v>231</v>
      </c>
      <c r="C157" s="2">
        <v>33454</v>
      </c>
      <c r="D157" t="s">
        <v>12</v>
      </c>
      <c r="E157" s="2">
        <f t="shared" si="15"/>
        <v>25</v>
      </c>
      <c r="F157">
        <f t="shared" si="16"/>
        <v>1</v>
      </c>
      <c r="G157">
        <f t="shared" si="17"/>
        <v>0</v>
      </c>
      <c r="H157">
        <f t="shared" si="18"/>
        <v>1</v>
      </c>
      <c r="I157">
        <f t="shared" si="19"/>
        <v>0</v>
      </c>
      <c r="J157">
        <f t="shared" si="20"/>
        <v>0</v>
      </c>
      <c r="K157">
        <f t="shared" si="21"/>
        <v>0</v>
      </c>
    </row>
    <row r="158" spans="1:11" x14ac:dyDescent="0.25">
      <c r="A158" t="s">
        <v>232</v>
      </c>
      <c r="B158" t="s">
        <v>233</v>
      </c>
      <c r="C158" s="2">
        <v>24539</v>
      </c>
      <c r="D158" t="s">
        <v>12</v>
      </c>
      <c r="E158" s="2">
        <f t="shared" si="15"/>
        <v>49</v>
      </c>
      <c r="F158">
        <f t="shared" si="16"/>
        <v>0</v>
      </c>
      <c r="G158">
        <f t="shared" si="17"/>
        <v>0</v>
      </c>
      <c r="H158">
        <f t="shared" si="18"/>
        <v>1</v>
      </c>
      <c r="I158">
        <f t="shared" si="19"/>
        <v>0</v>
      </c>
      <c r="J158">
        <f t="shared" si="20"/>
        <v>0</v>
      </c>
      <c r="K158">
        <f t="shared" si="21"/>
        <v>0</v>
      </c>
    </row>
    <row r="159" spans="1:11" x14ac:dyDescent="0.25">
      <c r="A159" t="s">
        <v>234</v>
      </c>
      <c r="B159" t="s">
        <v>235</v>
      </c>
      <c r="C159" s="2">
        <v>27992</v>
      </c>
      <c r="D159" t="s">
        <v>6</v>
      </c>
      <c r="E159" s="2">
        <f t="shared" si="15"/>
        <v>40</v>
      </c>
      <c r="F159">
        <f t="shared" si="16"/>
        <v>0</v>
      </c>
      <c r="G159">
        <f t="shared" si="17"/>
        <v>0</v>
      </c>
      <c r="H159">
        <f t="shared" si="18"/>
        <v>1</v>
      </c>
      <c r="I159">
        <f t="shared" si="19"/>
        <v>0</v>
      </c>
      <c r="J159">
        <f t="shared" si="20"/>
        <v>0</v>
      </c>
      <c r="K159">
        <f t="shared" si="21"/>
        <v>0</v>
      </c>
    </row>
    <row r="160" spans="1:11" x14ac:dyDescent="0.25">
      <c r="A160" t="s">
        <v>147</v>
      </c>
      <c r="B160" t="s">
        <v>236</v>
      </c>
      <c r="C160" s="2">
        <v>26335</v>
      </c>
      <c r="D160" t="s">
        <v>40</v>
      </c>
      <c r="E160" s="2">
        <f t="shared" si="15"/>
        <v>44</v>
      </c>
      <c r="F160">
        <f t="shared" si="16"/>
        <v>0</v>
      </c>
      <c r="G160">
        <f t="shared" si="17"/>
        <v>0</v>
      </c>
      <c r="H160">
        <f t="shared" si="18"/>
        <v>0</v>
      </c>
      <c r="I160">
        <f t="shared" si="19"/>
        <v>0</v>
      </c>
      <c r="J160">
        <f t="shared" si="20"/>
        <v>0</v>
      </c>
      <c r="K160">
        <f t="shared" si="21"/>
        <v>0</v>
      </c>
    </row>
    <row r="161" spans="1:11" x14ac:dyDescent="0.25">
      <c r="A161" t="s">
        <v>237</v>
      </c>
      <c r="B161" t="s">
        <v>167</v>
      </c>
      <c r="C161" s="2">
        <v>31095</v>
      </c>
      <c r="D161" t="s">
        <v>12</v>
      </c>
      <c r="E161" s="2">
        <f t="shared" si="15"/>
        <v>31</v>
      </c>
      <c r="F161">
        <f t="shared" si="16"/>
        <v>0</v>
      </c>
      <c r="G161">
        <f t="shared" si="17"/>
        <v>1</v>
      </c>
      <c r="H161">
        <f t="shared" si="18"/>
        <v>1</v>
      </c>
      <c r="I161">
        <f t="shared" si="19"/>
        <v>0</v>
      </c>
      <c r="J161">
        <f t="shared" si="20"/>
        <v>0</v>
      </c>
      <c r="K161">
        <f t="shared" si="21"/>
        <v>0</v>
      </c>
    </row>
    <row r="162" spans="1:11" x14ac:dyDescent="0.25">
      <c r="A162" t="s">
        <v>238</v>
      </c>
      <c r="B162" t="s">
        <v>169</v>
      </c>
      <c r="C162" s="2">
        <v>26112</v>
      </c>
      <c r="D162" t="s">
        <v>40</v>
      </c>
      <c r="E162" s="2">
        <f t="shared" si="15"/>
        <v>45</v>
      </c>
      <c r="F162">
        <f t="shared" si="16"/>
        <v>0</v>
      </c>
      <c r="G162">
        <f t="shared" si="17"/>
        <v>0</v>
      </c>
      <c r="H162">
        <f t="shared" si="18"/>
        <v>0</v>
      </c>
      <c r="I162">
        <f t="shared" si="19"/>
        <v>1</v>
      </c>
      <c r="J162">
        <f t="shared" si="20"/>
        <v>0</v>
      </c>
      <c r="K162">
        <f t="shared" si="21"/>
        <v>0</v>
      </c>
    </row>
    <row r="163" spans="1:11" x14ac:dyDescent="0.25">
      <c r="A163" t="s">
        <v>239</v>
      </c>
      <c r="B163" t="s">
        <v>54</v>
      </c>
      <c r="C163" s="2">
        <v>23272</v>
      </c>
      <c r="D163" t="s">
        <v>6</v>
      </c>
      <c r="E163" s="2">
        <f t="shared" si="15"/>
        <v>53</v>
      </c>
      <c r="F163">
        <f t="shared" si="16"/>
        <v>0</v>
      </c>
      <c r="G163">
        <f t="shared" si="17"/>
        <v>0</v>
      </c>
      <c r="H163">
        <f t="shared" si="18"/>
        <v>0</v>
      </c>
      <c r="I163">
        <f t="shared" si="19"/>
        <v>0</v>
      </c>
      <c r="J163">
        <f t="shared" si="20"/>
        <v>0</v>
      </c>
      <c r="K163">
        <f t="shared" si="21"/>
        <v>0</v>
      </c>
    </row>
    <row r="164" spans="1:11" x14ac:dyDescent="0.25">
      <c r="A164" t="s">
        <v>240</v>
      </c>
      <c r="B164" t="s">
        <v>32</v>
      </c>
      <c r="C164" s="2">
        <v>32952</v>
      </c>
      <c r="D164" t="s">
        <v>40</v>
      </c>
      <c r="E164" s="2">
        <f t="shared" si="15"/>
        <v>26</v>
      </c>
      <c r="F164">
        <f t="shared" si="16"/>
        <v>1</v>
      </c>
      <c r="G164">
        <f t="shared" si="17"/>
        <v>0</v>
      </c>
      <c r="H164">
        <f t="shared" si="18"/>
        <v>0</v>
      </c>
      <c r="I164">
        <f t="shared" si="19"/>
        <v>0</v>
      </c>
      <c r="J164">
        <f t="shared" si="20"/>
        <v>1</v>
      </c>
      <c r="K164">
        <f t="shared" si="21"/>
        <v>0</v>
      </c>
    </row>
    <row r="165" spans="1:11" x14ac:dyDescent="0.25">
      <c r="A165" t="s">
        <v>241</v>
      </c>
      <c r="B165" t="s">
        <v>39</v>
      </c>
      <c r="C165" s="2">
        <v>19759</v>
      </c>
      <c r="D165" t="s">
        <v>9</v>
      </c>
      <c r="E165" s="2">
        <f t="shared" si="15"/>
        <v>62</v>
      </c>
      <c r="F165">
        <f t="shared" si="16"/>
        <v>0</v>
      </c>
      <c r="G165">
        <f t="shared" si="17"/>
        <v>0</v>
      </c>
      <c r="H165">
        <f t="shared" si="18"/>
        <v>1</v>
      </c>
      <c r="I165">
        <f t="shared" si="19"/>
        <v>0</v>
      </c>
      <c r="J165">
        <f t="shared" si="20"/>
        <v>0</v>
      </c>
      <c r="K165">
        <f t="shared" si="21"/>
        <v>0</v>
      </c>
    </row>
    <row r="166" spans="1:11" x14ac:dyDescent="0.25">
      <c r="A166" t="s">
        <v>242</v>
      </c>
      <c r="B166" t="s">
        <v>152</v>
      </c>
      <c r="C166" s="2">
        <v>27324</v>
      </c>
      <c r="D166" t="s">
        <v>9</v>
      </c>
      <c r="E166" s="2">
        <f t="shared" si="15"/>
        <v>42</v>
      </c>
      <c r="F166">
        <f t="shared" si="16"/>
        <v>0</v>
      </c>
      <c r="G166">
        <f t="shared" si="17"/>
        <v>0</v>
      </c>
      <c r="H166">
        <f t="shared" si="18"/>
        <v>0</v>
      </c>
      <c r="I166">
        <f t="shared" si="19"/>
        <v>1</v>
      </c>
      <c r="J166">
        <f t="shared" si="20"/>
        <v>0</v>
      </c>
      <c r="K166">
        <f t="shared" si="21"/>
        <v>0</v>
      </c>
    </row>
    <row r="167" spans="1:11" x14ac:dyDescent="0.25">
      <c r="A167" t="s">
        <v>243</v>
      </c>
      <c r="B167" t="s">
        <v>236</v>
      </c>
      <c r="C167" s="2">
        <v>21838</v>
      </c>
      <c r="D167" t="s">
        <v>6</v>
      </c>
      <c r="E167" s="2">
        <f t="shared" si="15"/>
        <v>57</v>
      </c>
      <c r="F167">
        <f t="shared" si="16"/>
        <v>0</v>
      </c>
      <c r="G167">
        <f t="shared" si="17"/>
        <v>0</v>
      </c>
      <c r="H167">
        <f t="shared" si="18"/>
        <v>0</v>
      </c>
      <c r="I167">
        <f t="shared" si="19"/>
        <v>1</v>
      </c>
      <c r="J167">
        <f t="shared" si="20"/>
        <v>0</v>
      </c>
      <c r="K167">
        <f t="shared" si="21"/>
        <v>0</v>
      </c>
    </row>
    <row r="168" spans="1:11" x14ac:dyDescent="0.25">
      <c r="A168" t="s">
        <v>244</v>
      </c>
      <c r="B168" t="s">
        <v>47</v>
      </c>
      <c r="C168" s="2">
        <v>21051</v>
      </c>
      <c r="D168" t="s">
        <v>40</v>
      </c>
      <c r="E168" s="2">
        <f t="shared" si="15"/>
        <v>59</v>
      </c>
      <c r="F168">
        <f t="shared" si="16"/>
        <v>0</v>
      </c>
      <c r="G168">
        <f t="shared" si="17"/>
        <v>0</v>
      </c>
      <c r="H168">
        <f t="shared" si="18"/>
        <v>0</v>
      </c>
      <c r="I168">
        <f t="shared" si="19"/>
        <v>0</v>
      </c>
      <c r="J168">
        <f t="shared" si="20"/>
        <v>0</v>
      </c>
      <c r="K168">
        <f t="shared" si="21"/>
        <v>0</v>
      </c>
    </row>
    <row r="169" spans="1:11" x14ac:dyDescent="0.25">
      <c r="A169" t="s">
        <v>245</v>
      </c>
      <c r="B169" t="s">
        <v>246</v>
      </c>
      <c r="C169" s="2">
        <v>31292</v>
      </c>
      <c r="D169" t="s">
        <v>40</v>
      </c>
      <c r="E169" s="2">
        <f t="shared" si="15"/>
        <v>31</v>
      </c>
      <c r="F169">
        <f t="shared" si="16"/>
        <v>0</v>
      </c>
      <c r="G169">
        <f t="shared" si="17"/>
        <v>1</v>
      </c>
      <c r="H169">
        <f t="shared" si="18"/>
        <v>0</v>
      </c>
      <c r="I169">
        <f t="shared" si="19"/>
        <v>0</v>
      </c>
      <c r="J169">
        <f t="shared" si="20"/>
        <v>1</v>
      </c>
      <c r="K169">
        <f t="shared" si="21"/>
        <v>0</v>
      </c>
    </row>
    <row r="170" spans="1:11" x14ac:dyDescent="0.25">
      <c r="A170" t="s">
        <v>247</v>
      </c>
      <c r="B170" t="s">
        <v>248</v>
      </c>
      <c r="C170" s="2">
        <v>17179</v>
      </c>
      <c r="D170" t="s">
        <v>12</v>
      </c>
      <c r="E170" s="2">
        <f t="shared" si="15"/>
        <v>69</v>
      </c>
      <c r="F170">
        <f t="shared" si="16"/>
        <v>0</v>
      </c>
      <c r="G170">
        <f t="shared" si="17"/>
        <v>0</v>
      </c>
      <c r="H170">
        <f t="shared" si="18"/>
        <v>0</v>
      </c>
      <c r="I170">
        <f t="shared" si="19"/>
        <v>0</v>
      </c>
      <c r="J170">
        <f t="shared" si="20"/>
        <v>0</v>
      </c>
      <c r="K170">
        <f t="shared" si="21"/>
        <v>0</v>
      </c>
    </row>
    <row r="171" spans="1:11" x14ac:dyDescent="0.25">
      <c r="A171" t="s">
        <v>249</v>
      </c>
      <c r="B171" t="s">
        <v>250</v>
      </c>
      <c r="C171" s="2">
        <v>32305</v>
      </c>
      <c r="D171" t="s">
        <v>6</v>
      </c>
      <c r="E171" s="2">
        <f t="shared" si="15"/>
        <v>28</v>
      </c>
      <c r="F171">
        <f t="shared" si="16"/>
        <v>1</v>
      </c>
      <c r="G171">
        <f t="shared" si="17"/>
        <v>0</v>
      </c>
      <c r="H171">
        <f t="shared" si="18"/>
        <v>0</v>
      </c>
      <c r="I171">
        <f t="shared" si="19"/>
        <v>0</v>
      </c>
      <c r="J171">
        <f t="shared" si="20"/>
        <v>0</v>
      </c>
      <c r="K171">
        <f t="shared" si="21"/>
        <v>0</v>
      </c>
    </row>
    <row r="172" spans="1:11" x14ac:dyDescent="0.25">
      <c r="A172" t="s">
        <v>251</v>
      </c>
      <c r="B172" t="s">
        <v>252</v>
      </c>
      <c r="C172" s="2">
        <v>32081</v>
      </c>
      <c r="D172" t="s">
        <v>12</v>
      </c>
      <c r="E172" s="2">
        <f t="shared" si="15"/>
        <v>29</v>
      </c>
      <c r="F172">
        <f t="shared" si="16"/>
        <v>1</v>
      </c>
      <c r="G172">
        <f t="shared" si="17"/>
        <v>0</v>
      </c>
      <c r="H172">
        <f t="shared" si="18"/>
        <v>0</v>
      </c>
      <c r="I172">
        <f t="shared" si="19"/>
        <v>0</v>
      </c>
      <c r="J172">
        <f t="shared" si="20"/>
        <v>0</v>
      </c>
      <c r="K172">
        <f t="shared" si="21"/>
        <v>0</v>
      </c>
    </row>
    <row r="173" spans="1:11" x14ac:dyDescent="0.25">
      <c r="A173" t="s">
        <v>253</v>
      </c>
      <c r="B173" t="s">
        <v>121</v>
      </c>
      <c r="C173" s="2">
        <v>31749</v>
      </c>
      <c r="D173" t="s">
        <v>6</v>
      </c>
      <c r="E173" s="2">
        <f t="shared" si="15"/>
        <v>30</v>
      </c>
      <c r="F173">
        <f t="shared" si="16"/>
        <v>0</v>
      </c>
      <c r="G173">
        <f t="shared" si="17"/>
        <v>1</v>
      </c>
      <c r="H173">
        <f t="shared" si="18"/>
        <v>0</v>
      </c>
      <c r="I173">
        <f t="shared" si="19"/>
        <v>0</v>
      </c>
      <c r="J173">
        <f t="shared" si="20"/>
        <v>1</v>
      </c>
      <c r="K173">
        <f t="shared" si="21"/>
        <v>0</v>
      </c>
    </row>
    <row r="174" spans="1:11" x14ac:dyDescent="0.25">
      <c r="A174" t="s">
        <v>254</v>
      </c>
      <c r="B174" t="s">
        <v>255</v>
      </c>
      <c r="C174" s="2">
        <v>18648</v>
      </c>
      <c r="D174" t="s">
        <v>40</v>
      </c>
      <c r="E174" s="2">
        <f t="shared" si="15"/>
        <v>65</v>
      </c>
      <c r="F174">
        <f t="shared" si="16"/>
        <v>0</v>
      </c>
      <c r="G174">
        <f t="shared" si="17"/>
        <v>0</v>
      </c>
      <c r="H174">
        <f t="shared" si="18"/>
        <v>0</v>
      </c>
      <c r="I174">
        <f t="shared" si="19"/>
        <v>0</v>
      </c>
      <c r="J174">
        <f t="shared" si="20"/>
        <v>0</v>
      </c>
      <c r="K174">
        <f t="shared" si="21"/>
        <v>1</v>
      </c>
    </row>
    <row r="175" spans="1:11" x14ac:dyDescent="0.25">
      <c r="A175" t="s">
        <v>256</v>
      </c>
      <c r="B175" t="s">
        <v>257</v>
      </c>
      <c r="C175" s="2">
        <v>16734</v>
      </c>
      <c r="D175" t="s">
        <v>6</v>
      </c>
      <c r="E175" s="2">
        <f t="shared" si="15"/>
        <v>71</v>
      </c>
      <c r="F175">
        <f t="shared" si="16"/>
        <v>0</v>
      </c>
      <c r="G175">
        <f t="shared" si="17"/>
        <v>0</v>
      </c>
      <c r="H175">
        <f t="shared" si="18"/>
        <v>1</v>
      </c>
      <c r="I175">
        <f t="shared" si="19"/>
        <v>0</v>
      </c>
      <c r="J175">
        <f t="shared" si="20"/>
        <v>0</v>
      </c>
      <c r="K175">
        <f t="shared" si="21"/>
        <v>0</v>
      </c>
    </row>
    <row r="176" spans="1:11" x14ac:dyDescent="0.25">
      <c r="A176" t="s">
        <v>258</v>
      </c>
      <c r="B176" t="s">
        <v>47</v>
      </c>
      <c r="C176" s="2">
        <v>25036</v>
      </c>
      <c r="D176" t="s">
        <v>12</v>
      </c>
      <c r="E176" s="2">
        <f t="shared" si="15"/>
        <v>48</v>
      </c>
      <c r="F176">
        <f t="shared" si="16"/>
        <v>0</v>
      </c>
      <c r="G176">
        <f t="shared" si="17"/>
        <v>0</v>
      </c>
      <c r="H176">
        <f t="shared" si="18"/>
        <v>0</v>
      </c>
      <c r="I176">
        <f t="shared" si="19"/>
        <v>0</v>
      </c>
      <c r="J176">
        <f t="shared" si="20"/>
        <v>1</v>
      </c>
      <c r="K176">
        <f t="shared" si="21"/>
        <v>0</v>
      </c>
    </row>
    <row r="177" spans="1:11" x14ac:dyDescent="0.25">
      <c r="A177" t="s">
        <v>259</v>
      </c>
      <c r="B177" t="s">
        <v>260</v>
      </c>
      <c r="C177" s="2">
        <v>17342</v>
      </c>
      <c r="D177" t="s">
        <v>6</v>
      </c>
      <c r="E177" s="2">
        <f t="shared" si="15"/>
        <v>69</v>
      </c>
      <c r="F177">
        <f t="shared" si="16"/>
        <v>0</v>
      </c>
      <c r="G177">
        <f t="shared" si="17"/>
        <v>0</v>
      </c>
      <c r="H177">
        <f t="shared" si="18"/>
        <v>0</v>
      </c>
      <c r="I177">
        <f t="shared" si="19"/>
        <v>1</v>
      </c>
      <c r="J177">
        <f t="shared" si="20"/>
        <v>0</v>
      </c>
      <c r="K177">
        <f t="shared" si="21"/>
        <v>0</v>
      </c>
    </row>
    <row r="178" spans="1:11" x14ac:dyDescent="0.25">
      <c r="A178" t="s">
        <v>206</v>
      </c>
      <c r="B178" t="s">
        <v>167</v>
      </c>
      <c r="C178" s="2">
        <v>23157</v>
      </c>
      <c r="D178" t="s">
        <v>9</v>
      </c>
      <c r="E178" s="2">
        <f t="shared" si="15"/>
        <v>53</v>
      </c>
      <c r="F178">
        <f t="shared" si="16"/>
        <v>0</v>
      </c>
      <c r="G178">
        <f t="shared" si="17"/>
        <v>0</v>
      </c>
      <c r="H178">
        <f t="shared" si="18"/>
        <v>0</v>
      </c>
      <c r="I178">
        <f t="shared" si="19"/>
        <v>0</v>
      </c>
      <c r="J178">
        <f t="shared" si="20"/>
        <v>0</v>
      </c>
      <c r="K178">
        <f t="shared" si="21"/>
        <v>1</v>
      </c>
    </row>
    <row r="179" spans="1:11" x14ac:dyDescent="0.25">
      <c r="A179" t="s">
        <v>261</v>
      </c>
      <c r="B179" t="s">
        <v>37</v>
      </c>
      <c r="C179" s="2">
        <v>17166</v>
      </c>
      <c r="D179" t="s">
        <v>12</v>
      </c>
      <c r="E179" s="2">
        <f t="shared" si="15"/>
        <v>70</v>
      </c>
      <c r="F179">
        <f t="shared" si="16"/>
        <v>0</v>
      </c>
      <c r="G179">
        <f t="shared" si="17"/>
        <v>0</v>
      </c>
      <c r="H179">
        <f t="shared" si="18"/>
        <v>0</v>
      </c>
      <c r="I179">
        <f t="shared" si="19"/>
        <v>1</v>
      </c>
      <c r="J179">
        <f t="shared" si="20"/>
        <v>0</v>
      </c>
      <c r="K179">
        <f t="shared" si="21"/>
        <v>0</v>
      </c>
    </row>
    <row r="180" spans="1:11" x14ac:dyDescent="0.25">
      <c r="A180" t="s">
        <v>262</v>
      </c>
      <c r="B180" t="s">
        <v>263</v>
      </c>
      <c r="C180" s="2">
        <v>24471</v>
      </c>
      <c r="D180" t="s">
        <v>12</v>
      </c>
      <c r="E180" s="2">
        <f t="shared" si="15"/>
        <v>50</v>
      </c>
      <c r="F180">
        <f t="shared" si="16"/>
        <v>0</v>
      </c>
      <c r="G180">
        <f t="shared" si="17"/>
        <v>0</v>
      </c>
      <c r="H180">
        <f t="shared" si="18"/>
        <v>0</v>
      </c>
      <c r="I180">
        <f t="shared" si="19"/>
        <v>0</v>
      </c>
      <c r="J180">
        <f t="shared" si="20"/>
        <v>0</v>
      </c>
      <c r="K180">
        <f t="shared" si="21"/>
        <v>0</v>
      </c>
    </row>
    <row r="181" spans="1:11" x14ac:dyDescent="0.25">
      <c r="A181" t="s">
        <v>264</v>
      </c>
      <c r="B181" t="s">
        <v>157</v>
      </c>
      <c r="C181" s="2">
        <v>34523</v>
      </c>
      <c r="D181" t="s">
        <v>6</v>
      </c>
      <c r="E181" s="2">
        <f t="shared" si="15"/>
        <v>22</v>
      </c>
      <c r="F181">
        <f t="shared" si="16"/>
        <v>1</v>
      </c>
      <c r="G181">
        <f t="shared" si="17"/>
        <v>0</v>
      </c>
      <c r="H181">
        <f t="shared" si="18"/>
        <v>0</v>
      </c>
      <c r="I181">
        <f t="shared" si="19"/>
        <v>0</v>
      </c>
      <c r="J181">
        <f t="shared" si="20"/>
        <v>1</v>
      </c>
      <c r="K181">
        <f t="shared" si="21"/>
        <v>0</v>
      </c>
    </row>
    <row r="182" spans="1:11" x14ac:dyDescent="0.25">
      <c r="A182" t="s">
        <v>265</v>
      </c>
      <c r="B182" t="s">
        <v>139</v>
      </c>
      <c r="C182" s="2">
        <v>18354</v>
      </c>
      <c r="D182" t="s">
        <v>6</v>
      </c>
      <c r="E182" s="2">
        <f t="shared" si="15"/>
        <v>66</v>
      </c>
      <c r="F182">
        <f t="shared" si="16"/>
        <v>0</v>
      </c>
      <c r="G182">
        <f t="shared" si="17"/>
        <v>0</v>
      </c>
      <c r="H182">
        <f t="shared" si="18"/>
        <v>0</v>
      </c>
      <c r="I182">
        <f t="shared" si="19"/>
        <v>0</v>
      </c>
      <c r="J182">
        <f t="shared" si="20"/>
        <v>0</v>
      </c>
      <c r="K182">
        <f t="shared" si="21"/>
        <v>0</v>
      </c>
    </row>
    <row r="183" spans="1:11" x14ac:dyDescent="0.25">
      <c r="A183" t="s">
        <v>266</v>
      </c>
      <c r="B183" t="s">
        <v>267</v>
      </c>
      <c r="C183" s="2">
        <v>34069</v>
      </c>
      <c r="D183" t="s">
        <v>12</v>
      </c>
      <c r="E183" s="2">
        <f t="shared" si="15"/>
        <v>23</v>
      </c>
      <c r="F183">
        <f t="shared" si="16"/>
        <v>1</v>
      </c>
      <c r="G183">
        <f t="shared" si="17"/>
        <v>0</v>
      </c>
      <c r="H183">
        <f t="shared" si="18"/>
        <v>0</v>
      </c>
      <c r="I183">
        <f t="shared" si="19"/>
        <v>0</v>
      </c>
      <c r="J183">
        <f t="shared" si="20"/>
        <v>1</v>
      </c>
      <c r="K183">
        <f t="shared" si="21"/>
        <v>0</v>
      </c>
    </row>
    <row r="184" spans="1:11" x14ac:dyDescent="0.25">
      <c r="A184" t="s">
        <v>268</v>
      </c>
      <c r="B184" t="s">
        <v>269</v>
      </c>
      <c r="C184" s="2">
        <v>17331</v>
      </c>
      <c r="D184" t="s">
        <v>12</v>
      </c>
      <c r="E184" s="2">
        <f t="shared" si="15"/>
        <v>69</v>
      </c>
      <c r="F184">
        <f t="shared" si="16"/>
        <v>0</v>
      </c>
      <c r="G184">
        <f t="shared" si="17"/>
        <v>0</v>
      </c>
      <c r="H184">
        <f t="shared" si="18"/>
        <v>0</v>
      </c>
      <c r="I184">
        <f t="shared" si="19"/>
        <v>0</v>
      </c>
      <c r="J184">
        <f t="shared" si="20"/>
        <v>0</v>
      </c>
      <c r="K184">
        <f t="shared" si="21"/>
        <v>0</v>
      </c>
    </row>
    <row r="185" spans="1:11" x14ac:dyDescent="0.25">
      <c r="A185" t="s">
        <v>270</v>
      </c>
      <c r="B185" t="s">
        <v>39</v>
      </c>
      <c r="C185" s="2">
        <v>33550</v>
      </c>
      <c r="D185" t="s">
        <v>40</v>
      </c>
      <c r="E185" s="2">
        <f t="shared" si="15"/>
        <v>25</v>
      </c>
      <c r="F185">
        <f t="shared" si="16"/>
        <v>1</v>
      </c>
      <c r="G185">
        <f t="shared" si="17"/>
        <v>0</v>
      </c>
      <c r="H185">
        <f t="shared" si="18"/>
        <v>0</v>
      </c>
      <c r="I185">
        <f t="shared" si="19"/>
        <v>1</v>
      </c>
      <c r="J185">
        <f t="shared" si="20"/>
        <v>0</v>
      </c>
      <c r="K185">
        <f t="shared" si="21"/>
        <v>0</v>
      </c>
    </row>
    <row r="186" spans="1:11" x14ac:dyDescent="0.25">
      <c r="A186" t="s">
        <v>271</v>
      </c>
      <c r="B186" t="s">
        <v>255</v>
      </c>
      <c r="C186" s="2">
        <v>24426</v>
      </c>
      <c r="D186" t="s">
        <v>6</v>
      </c>
      <c r="E186" s="2">
        <f t="shared" si="15"/>
        <v>50</v>
      </c>
      <c r="F186">
        <f t="shared" si="16"/>
        <v>0</v>
      </c>
      <c r="G186">
        <f t="shared" si="17"/>
        <v>0</v>
      </c>
      <c r="H186">
        <f t="shared" si="18"/>
        <v>0</v>
      </c>
      <c r="I186">
        <f t="shared" si="19"/>
        <v>0</v>
      </c>
      <c r="J186">
        <f t="shared" si="20"/>
        <v>1</v>
      </c>
      <c r="K186">
        <f t="shared" si="21"/>
        <v>0</v>
      </c>
    </row>
    <row r="187" spans="1:11" x14ac:dyDescent="0.25">
      <c r="A187" t="s">
        <v>272</v>
      </c>
      <c r="B187" t="s">
        <v>273</v>
      </c>
      <c r="C187" s="2">
        <v>19307</v>
      </c>
      <c r="D187" t="s">
        <v>40</v>
      </c>
      <c r="E187" s="2">
        <f t="shared" si="15"/>
        <v>64</v>
      </c>
      <c r="F187">
        <f t="shared" si="16"/>
        <v>0</v>
      </c>
      <c r="G187">
        <f t="shared" si="17"/>
        <v>0</v>
      </c>
      <c r="H187">
        <f t="shared" si="18"/>
        <v>1</v>
      </c>
      <c r="I187">
        <f t="shared" si="19"/>
        <v>0</v>
      </c>
      <c r="J187">
        <f t="shared" si="20"/>
        <v>0</v>
      </c>
      <c r="K187">
        <f t="shared" si="21"/>
        <v>0</v>
      </c>
    </row>
    <row r="188" spans="1:11" x14ac:dyDescent="0.25">
      <c r="A188" t="s">
        <v>274</v>
      </c>
      <c r="B188" t="s">
        <v>121</v>
      </c>
      <c r="C188" s="2">
        <v>26626</v>
      </c>
      <c r="D188" t="s">
        <v>12</v>
      </c>
      <c r="E188" s="2">
        <f t="shared" si="15"/>
        <v>44</v>
      </c>
      <c r="F188">
        <f t="shared" si="16"/>
        <v>0</v>
      </c>
      <c r="G188">
        <f t="shared" si="17"/>
        <v>0</v>
      </c>
      <c r="H188">
        <f t="shared" si="18"/>
        <v>0</v>
      </c>
      <c r="I188">
        <f t="shared" si="19"/>
        <v>1</v>
      </c>
      <c r="J188">
        <f t="shared" si="20"/>
        <v>0</v>
      </c>
      <c r="K188">
        <f t="shared" si="21"/>
        <v>0</v>
      </c>
    </row>
    <row r="189" spans="1:11" x14ac:dyDescent="0.25">
      <c r="A189" t="s">
        <v>275</v>
      </c>
      <c r="B189" t="s">
        <v>169</v>
      </c>
      <c r="C189" s="2">
        <v>21897</v>
      </c>
      <c r="D189" t="s">
        <v>12</v>
      </c>
      <c r="E189" s="2">
        <f t="shared" si="15"/>
        <v>57</v>
      </c>
      <c r="F189">
        <f t="shared" si="16"/>
        <v>0</v>
      </c>
      <c r="G189">
        <f t="shared" si="17"/>
        <v>0</v>
      </c>
      <c r="H189">
        <f t="shared" si="18"/>
        <v>0</v>
      </c>
      <c r="I189">
        <f t="shared" si="19"/>
        <v>0</v>
      </c>
      <c r="J189">
        <f t="shared" si="20"/>
        <v>0</v>
      </c>
      <c r="K189">
        <f t="shared" si="21"/>
        <v>0</v>
      </c>
    </row>
    <row r="190" spans="1:11" x14ac:dyDescent="0.25">
      <c r="A190" t="s">
        <v>276</v>
      </c>
      <c r="B190" t="s">
        <v>52</v>
      </c>
      <c r="C190" s="2">
        <v>34865</v>
      </c>
      <c r="D190" t="s">
        <v>12</v>
      </c>
      <c r="E190" s="2">
        <f t="shared" si="15"/>
        <v>21</v>
      </c>
      <c r="F190">
        <f t="shared" si="16"/>
        <v>1</v>
      </c>
      <c r="G190">
        <f t="shared" si="17"/>
        <v>0</v>
      </c>
      <c r="H190">
        <f t="shared" si="18"/>
        <v>0</v>
      </c>
      <c r="I190">
        <f t="shared" si="19"/>
        <v>0</v>
      </c>
      <c r="J190">
        <f t="shared" si="20"/>
        <v>1</v>
      </c>
      <c r="K190">
        <f t="shared" si="21"/>
        <v>0</v>
      </c>
    </row>
    <row r="191" spans="1:11" x14ac:dyDescent="0.25">
      <c r="A191" t="s">
        <v>163</v>
      </c>
      <c r="B191" t="s">
        <v>277</v>
      </c>
      <c r="C191" s="2">
        <v>19712</v>
      </c>
      <c r="D191" t="s">
        <v>12</v>
      </c>
      <c r="E191" s="2">
        <f t="shared" si="15"/>
        <v>63</v>
      </c>
      <c r="F191">
        <f t="shared" si="16"/>
        <v>0</v>
      </c>
      <c r="G191">
        <f t="shared" si="17"/>
        <v>0</v>
      </c>
      <c r="H191">
        <f t="shared" si="18"/>
        <v>1</v>
      </c>
      <c r="I191">
        <f t="shared" si="19"/>
        <v>0</v>
      </c>
      <c r="J191">
        <f t="shared" si="20"/>
        <v>0</v>
      </c>
      <c r="K191">
        <f t="shared" si="21"/>
        <v>0</v>
      </c>
    </row>
    <row r="192" spans="1:11" x14ac:dyDescent="0.25">
      <c r="A192" t="s">
        <v>278</v>
      </c>
      <c r="B192" t="s">
        <v>52</v>
      </c>
      <c r="C192" s="2">
        <v>27893</v>
      </c>
      <c r="D192" t="s">
        <v>6</v>
      </c>
      <c r="E192" s="2">
        <f t="shared" si="15"/>
        <v>40</v>
      </c>
      <c r="F192">
        <f t="shared" si="16"/>
        <v>0</v>
      </c>
      <c r="G192">
        <f t="shared" si="17"/>
        <v>0</v>
      </c>
      <c r="H192">
        <f t="shared" si="18"/>
        <v>0</v>
      </c>
      <c r="I192">
        <f t="shared" si="19"/>
        <v>0</v>
      </c>
      <c r="J192">
        <f t="shared" si="20"/>
        <v>0</v>
      </c>
      <c r="K192">
        <f t="shared" si="21"/>
        <v>0</v>
      </c>
    </row>
    <row r="193" spans="1:11" x14ac:dyDescent="0.25">
      <c r="A193" t="s">
        <v>279</v>
      </c>
      <c r="B193" t="s">
        <v>280</v>
      </c>
      <c r="C193" s="2">
        <v>28226</v>
      </c>
      <c r="D193" t="s">
        <v>12</v>
      </c>
      <c r="E193" s="2">
        <f t="shared" si="15"/>
        <v>39</v>
      </c>
      <c r="F193">
        <f t="shared" si="16"/>
        <v>0</v>
      </c>
      <c r="G193">
        <f t="shared" si="17"/>
        <v>1</v>
      </c>
      <c r="H193">
        <f t="shared" si="18"/>
        <v>0</v>
      </c>
      <c r="I193">
        <f t="shared" si="19"/>
        <v>0</v>
      </c>
      <c r="J193">
        <f t="shared" si="20"/>
        <v>0</v>
      </c>
      <c r="K193">
        <f t="shared" si="21"/>
        <v>0</v>
      </c>
    </row>
    <row r="194" spans="1:11" x14ac:dyDescent="0.25">
      <c r="A194" t="s">
        <v>281</v>
      </c>
      <c r="B194" t="s">
        <v>77</v>
      </c>
      <c r="C194" s="2">
        <v>29954</v>
      </c>
      <c r="D194" t="s">
        <v>9</v>
      </c>
      <c r="E194" s="2">
        <f t="shared" si="15"/>
        <v>34</v>
      </c>
      <c r="F194">
        <f t="shared" si="16"/>
        <v>0</v>
      </c>
      <c r="G194">
        <f t="shared" si="17"/>
        <v>1</v>
      </c>
      <c r="H194">
        <f t="shared" si="18"/>
        <v>0</v>
      </c>
      <c r="I194">
        <f t="shared" si="19"/>
        <v>1</v>
      </c>
      <c r="J194">
        <f t="shared" si="20"/>
        <v>0</v>
      </c>
      <c r="K194">
        <f t="shared" si="21"/>
        <v>0</v>
      </c>
    </row>
    <row r="195" spans="1:11" x14ac:dyDescent="0.25">
      <c r="A195" t="s">
        <v>282</v>
      </c>
      <c r="B195" t="s">
        <v>179</v>
      </c>
      <c r="C195" s="2">
        <v>23111</v>
      </c>
      <c r="D195" t="s">
        <v>12</v>
      </c>
      <c r="E195" s="2">
        <f t="shared" ref="E195:E258" si="22">2016-YEAR(C195)</f>
        <v>53</v>
      </c>
      <c r="F195">
        <f t="shared" ref="F195:F258" si="23">IF(AND(E195&gt;=20,E195&lt;=29),1,0)</f>
        <v>0</v>
      </c>
      <c r="G195">
        <f t="shared" ref="G195:G258" si="24">IF(AND(E195&gt;=30,E195&lt;=39),1,0)</f>
        <v>0</v>
      </c>
      <c r="H195">
        <f t="shared" ref="H195:H258" si="25">IF(AND(E196&gt;=40,E196&lt;=49),1,0)</f>
        <v>1</v>
      </c>
      <c r="I195">
        <f t="shared" ref="I195:I258" si="26">IF(AND(E196&gt;=50,E196&lt;=59),1,0)</f>
        <v>0</v>
      </c>
      <c r="J195">
        <f t="shared" ref="J195:J258" si="27">IF(AND(E196&gt;=60,E196&lt;=69),1,0)</f>
        <v>0</v>
      </c>
      <c r="K195">
        <f t="shared" ref="K195:K258" si="28">IF(AND(E196&gt;=70,E196&lt;=79),1,0)</f>
        <v>0</v>
      </c>
    </row>
    <row r="196" spans="1:11" x14ac:dyDescent="0.25">
      <c r="A196" t="s">
        <v>283</v>
      </c>
      <c r="B196" t="s">
        <v>39</v>
      </c>
      <c r="C196" s="2">
        <v>24808</v>
      </c>
      <c r="D196" t="s">
        <v>12</v>
      </c>
      <c r="E196" s="2">
        <f t="shared" si="22"/>
        <v>49</v>
      </c>
      <c r="F196">
        <f t="shared" si="23"/>
        <v>0</v>
      </c>
      <c r="G196">
        <f t="shared" si="24"/>
        <v>0</v>
      </c>
      <c r="H196">
        <f t="shared" si="25"/>
        <v>0</v>
      </c>
      <c r="I196">
        <f t="shared" si="26"/>
        <v>0</v>
      </c>
      <c r="J196">
        <f t="shared" si="27"/>
        <v>1</v>
      </c>
      <c r="K196">
        <f t="shared" si="28"/>
        <v>0</v>
      </c>
    </row>
    <row r="197" spans="1:11" x14ac:dyDescent="0.25">
      <c r="A197" t="s">
        <v>284</v>
      </c>
      <c r="B197" t="s">
        <v>16</v>
      </c>
      <c r="C197" s="2">
        <v>17601</v>
      </c>
      <c r="D197" t="s">
        <v>40</v>
      </c>
      <c r="E197" s="2">
        <f t="shared" si="22"/>
        <v>68</v>
      </c>
      <c r="F197">
        <f t="shared" si="23"/>
        <v>0</v>
      </c>
      <c r="G197">
        <f t="shared" si="24"/>
        <v>0</v>
      </c>
      <c r="H197">
        <f t="shared" si="25"/>
        <v>0</v>
      </c>
      <c r="I197">
        <f t="shared" si="26"/>
        <v>1</v>
      </c>
      <c r="J197">
        <f t="shared" si="27"/>
        <v>0</v>
      </c>
      <c r="K197">
        <f t="shared" si="28"/>
        <v>0</v>
      </c>
    </row>
    <row r="198" spans="1:11" x14ac:dyDescent="0.25">
      <c r="A198" t="s">
        <v>285</v>
      </c>
      <c r="B198" t="s">
        <v>179</v>
      </c>
      <c r="C198" s="2">
        <v>21199</v>
      </c>
      <c r="D198" t="s">
        <v>9</v>
      </c>
      <c r="E198" s="2">
        <f t="shared" si="22"/>
        <v>58</v>
      </c>
      <c r="F198">
        <f t="shared" si="23"/>
        <v>0</v>
      </c>
      <c r="G198">
        <f t="shared" si="24"/>
        <v>0</v>
      </c>
      <c r="H198">
        <f t="shared" si="25"/>
        <v>0</v>
      </c>
      <c r="I198">
        <f t="shared" si="26"/>
        <v>0</v>
      </c>
      <c r="J198">
        <f t="shared" si="27"/>
        <v>0</v>
      </c>
      <c r="K198">
        <f t="shared" si="28"/>
        <v>0</v>
      </c>
    </row>
    <row r="199" spans="1:11" x14ac:dyDescent="0.25">
      <c r="A199" t="s">
        <v>286</v>
      </c>
      <c r="B199" t="s">
        <v>20</v>
      </c>
      <c r="C199" s="2">
        <v>29879</v>
      </c>
      <c r="D199" t="s">
        <v>12</v>
      </c>
      <c r="E199" s="2">
        <f t="shared" si="22"/>
        <v>35</v>
      </c>
      <c r="F199">
        <f t="shared" si="23"/>
        <v>0</v>
      </c>
      <c r="G199">
        <f t="shared" si="24"/>
        <v>1</v>
      </c>
      <c r="H199">
        <f t="shared" si="25"/>
        <v>0</v>
      </c>
      <c r="I199">
        <f t="shared" si="26"/>
        <v>0</v>
      </c>
      <c r="J199">
        <f t="shared" si="27"/>
        <v>1</v>
      </c>
      <c r="K199">
        <f t="shared" si="28"/>
        <v>0</v>
      </c>
    </row>
    <row r="200" spans="1:11" x14ac:dyDescent="0.25">
      <c r="A200" t="s">
        <v>287</v>
      </c>
      <c r="B200" t="s">
        <v>81</v>
      </c>
      <c r="C200" s="2">
        <v>19659</v>
      </c>
      <c r="D200" t="s">
        <v>6</v>
      </c>
      <c r="E200" s="2">
        <f t="shared" si="22"/>
        <v>63</v>
      </c>
      <c r="F200">
        <f t="shared" si="23"/>
        <v>0</v>
      </c>
      <c r="G200">
        <f t="shared" si="24"/>
        <v>0</v>
      </c>
      <c r="H200">
        <f t="shared" si="25"/>
        <v>0</v>
      </c>
      <c r="I200">
        <f t="shared" si="26"/>
        <v>1</v>
      </c>
      <c r="J200">
        <f t="shared" si="27"/>
        <v>0</v>
      </c>
      <c r="K200">
        <f t="shared" si="28"/>
        <v>0</v>
      </c>
    </row>
    <row r="201" spans="1:11" x14ac:dyDescent="0.25">
      <c r="A201" t="s">
        <v>288</v>
      </c>
      <c r="B201" t="s">
        <v>8</v>
      </c>
      <c r="C201" s="2">
        <v>22514</v>
      </c>
      <c r="D201" t="s">
        <v>12</v>
      </c>
      <c r="E201" s="2">
        <f t="shared" si="22"/>
        <v>55</v>
      </c>
      <c r="F201">
        <f t="shared" si="23"/>
        <v>0</v>
      </c>
      <c r="G201">
        <f t="shared" si="24"/>
        <v>0</v>
      </c>
      <c r="H201">
        <f t="shared" si="25"/>
        <v>1</v>
      </c>
      <c r="I201">
        <f t="shared" si="26"/>
        <v>0</v>
      </c>
      <c r="J201">
        <f t="shared" si="27"/>
        <v>0</v>
      </c>
      <c r="K201">
        <f t="shared" si="28"/>
        <v>0</v>
      </c>
    </row>
    <row r="202" spans="1:11" x14ac:dyDescent="0.25">
      <c r="A202" t="s">
        <v>289</v>
      </c>
      <c r="B202" t="s">
        <v>121</v>
      </c>
      <c r="C202" s="2">
        <v>25332</v>
      </c>
      <c r="D202" t="s">
        <v>12</v>
      </c>
      <c r="E202" s="2">
        <f t="shared" si="22"/>
        <v>47</v>
      </c>
      <c r="F202">
        <f t="shared" si="23"/>
        <v>0</v>
      </c>
      <c r="G202">
        <f t="shared" si="24"/>
        <v>0</v>
      </c>
      <c r="H202">
        <f t="shared" si="25"/>
        <v>0</v>
      </c>
      <c r="I202">
        <f t="shared" si="26"/>
        <v>0</v>
      </c>
      <c r="J202">
        <f t="shared" si="27"/>
        <v>1</v>
      </c>
      <c r="K202">
        <f t="shared" si="28"/>
        <v>0</v>
      </c>
    </row>
    <row r="203" spans="1:11" x14ac:dyDescent="0.25">
      <c r="A203" t="s">
        <v>290</v>
      </c>
      <c r="B203" t="s">
        <v>255</v>
      </c>
      <c r="C203" s="2">
        <v>20181</v>
      </c>
      <c r="D203" t="s">
        <v>40</v>
      </c>
      <c r="E203" s="2">
        <f t="shared" si="22"/>
        <v>61</v>
      </c>
      <c r="F203">
        <f t="shared" si="23"/>
        <v>0</v>
      </c>
      <c r="G203">
        <f t="shared" si="24"/>
        <v>0</v>
      </c>
      <c r="H203">
        <f t="shared" si="25"/>
        <v>0</v>
      </c>
      <c r="I203">
        <f t="shared" si="26"/>
        <v>0</v>
      </c>
      <c r="J203">
        <f t="shared" si="27"/>
        <v>1</v>
      </c>
      <c r="K203">
        <f t="shared" si="28"/>
        <v>0</v>
      </c>
    </row>
    <row r="204" spans="1:11" x14ac:dyDescent="0.25">
      <c r="A204" t="s">
        <v>291</v>
      </c>
      <c r="B204" t="s">
        <v>141</v>
      </c>
      <c r="C204" s="2">
        <v>19141</v>
      </c>
      <c r="D204" t="s">
        <v>12</v>
      </c>
      <c r="E204" s="2">
        <f t="shared" si="22"/>
        <v>64</v>
      </c>
      <c r="F204">
        <f t="shared" si="23"/>
        <v>0</v>
      </c>
      <c r="G204">
        <f t="shared" si="24"/>
        <v>0</v>
      </c>
      <c r="H204">
        <f t="shared" si="25"/>
        <v>0</v>
      </c>
      <c r="I204">
        <f t="shared" si="26"/>
        <v>0</v>
      </c>
      <c r="J204">
        <f t="shared" si="27"/>
        <v>1</v>
      </c>
      <c r="K204">
        <f t="shared" si="28"/>
        <v>0</v>
      </c>
    </row>
    <row r="205" spans="1:11" x14ac:dyDescent="0.25">
      <c r="A205" t="s">
        <v>292</v>
      </c>
      <c r="B205" t="s">
        <v>293</v>
      </c>
      <c r="C205" s="2">
        <v>18147</v>
      </c>
      <c r="D205" t="s">
        <v>12</v>
      </c>
      <c r="E205" s="2">
        <f t="shared" si="22"/>
        <v>67</v>
      </c>
      <c r="F205">
        <f t="shared" si="23"/>
        <v>0</v>
      </c>
      <c r="G205">
        <f t="shared" si="24"/>
        <v>0</v>
      </c>
      <c r="H205">
        <f t="shared" si="25"/>
        <v>1</v>
      </c>
      <c r="I205">
        <f t="shared" si="26"/>
        <v>0</v>
      </c>
      <c r="J205">
        <f t="shared" si="27"/>
        <v>0</v>
      </c>
      <c r="K205">
        <f t="shared" si="28"/>
        <v>0</v>
      </c>
    </row>
    <row r="206" spans="1:11" x14ac:dyDescent="0.25">
      <c r="A206" t="s">
        <v>294</v>
      </c>
      <c r="B206" t="s">
        <v>52</v>
      </c>
      <c r="C206" s="2">
        <v>26146</v>
      </c>
      <c r="D206" t="s">
        <v>6</v>
      </c>
      <c r="E206" s="2">
        <f t="shared" si="22"/>
        <v>45</v>
      </c>
      <c r="F206">
        <f t="shared" si="23"/>
        <v>0</v>
      </c>
      <c r="G206">
        <f t="shared" si="24"/>
        <v>0</v>
      </c>
      <c r="H206">
        <f t="shared" si="25"/>
        <v>0</v>
      </c>
      <c r="I206">
        <f t="shared" si="26"/>
        <v>0</v>
      </c>
      <c r="J206">
        <f t="shared" si="27"/>
        <v>0</v>
      </c>
      <c r="K206">
        <f t="shared" si="28"/>
        <v>0</v>
      </c>
    </row>
    <row r="207" spans="1:11" x14ac:dyDescent="0.25">
      <c r="A207" t="s">
        <v>295</v>
      </c>
      <c r="B207" t="s">
        <v>139</v>
      </c>
      <c r="C207" s="2">
        <v>30798</v>
      </c>
      <c r="D207" t="s">
        <v>40</v>
      </c>
      <c r="E207" s="2">
        <f t="shared" si="22"/>
        <v>32</v>
      </c>
      <c r="F207">
        <f t="shared" si="23"/>
        <v>0</v>
      </c>
      <c r="G207">
        <f t="shared" si="24"/>
        <v>1</v>
      </c>
      <c r="H207">
        <f t="shared" si="25"/>
        <v>1</v>
      </c>
      <c r="I207">
        <f t="shared" si="26"/>
        <v>0</v>
      </c>
      <c r="J207">
        <f t="shared" si="27"/>
        <v>0</v>
      </c>
      <c r="K207">
        <f t="shared" si="28"/>
        <v>0</v>
      </c>
    </row>
    <row r="208" spans="1:11" x14ac:dyDescent="0.25">
      <c r="A208" t="s">
        <v>296</v>
      </c>
      <c r="B208" t="s">
        <v>297</v>
      </c>
      <c r="C208" s="2">
        <v>24623</v>
      </c>
      <c r="D208" t="s">
        <v>12</v>
      </c>
      <c r="E208" s="2">
        <f t="shared" si="22"/>
        <v>49</v>
      </c>
      <c r="F208">
        <f t="shared" si="23"/>
        <v>0</v>
      </c>
      <c r="G208">
        <f t="shared" si="24"/>
        <v>0</v>
      </c>
      <c r="H208">
        <f t="shared" si="25"/>
        <v>0</v>
      </c>
      <c r="I208">
        <f t="shared" si="26"/>
        <v>0</v>
      </c>
      <c r="J208">
        <f t="shared" si="27"/>
        <v>0</v>
      </c>
      <c r="K208">
        <f t="shared" si="28"/>
        <v>0</v>
      </c>
    </row>
    <row r="209" spans="1:11" x14ac:dyDescent="0.25">
      <c r="A209" t="s">
        <v>298</v>
      </c>
      <c r="B209" t="s">
        <v>18</v>
      </c>
      <c r="C209" s="2">
        <v>31818</v>
      </c>
      <c r="D209" t="s">
        <v>6</v>
      </c>
      <c r="E209" s="2">
        <f t="shared" si="22"/>
        <v>29</v>
      </c>
      <c r="F209">
        <f t="shared" si="23"/>
        <v>1</v>
      </c>
      <c r="G209">
        <f t="shared" si="24"/>
        <v>0</v>
      </c>
      <c r="H209">
        <f t="shared" si="25"/>
        <v>0</v>
      </c>
      <c r="I209">
        <f t="shared" si="26"/>
        <v>0</v>
      </c>
      <c r="J209">
        <f t="shared" si="27"/>
        <v>0</v>
      </c>
      <c r="K209">
        <f t="shared" si="28"/>
        <v>0</v>
      </c>
    </row>
    <row r="210" spans="1:11" x14ac:dyDescent="0.25">
      <c r="A210" t="s">
        <v>299</v>
      </c>
      <c r="B210" t="s">
        <v>300</v>
      </c>
      <c r="C210" s="2">
        <v>34201</v>
      </c>
      <c r="D210" t="s">
        <v>12</v>
      </c>
      <c r="E210" s="2">
        <f t="shared" si="22"/>
        <v>23</v>
      </c>
      <c r="F210">
        <f t="shared" si="23"/>
        <v>1</v>
      </c>
      <c r="G210">
        <f t="shared" si="24"/>
        <v>0</v>
      </c>
      <c r="H210">
        <f t="shared" si="25"/>
        <v>1</v>
      </c>
      <c r="I210">
        <f t="shared" si="26"/>
        <v>0</v>
      </c>
      <c r="J210">
        <f t="shared" si="27"/>
        <v>0</v>
      </c>
      <c r="K210">
        <f t="shared" si="28"/>
        <v>0</v>
      </c>
    </row>
    <row r="211" spans="1:11" x14ac:dyDescent="0.25">
      <c r="A211" t="s">
        <v>301</v>
      </c>
      <c r="B211" t="s">
        <v>8</v>
      </c>
      <c r="C211" s="2">
        <v>27079</v>
      </c>
      <c r="D211" t="s">
        <v>9</v>
      </c>
      <c r="E211" s="2">
        <f t="shared" si="22"/>
        <v>42</v>
      </c>
      <c r="F211">
        <f t="shared" si="23"/>
        <v>0</v>
      </c>
      <c r="G211">
        <f t="shared" si="24"/>
        <v>0</v>
      </c>
      <c r="H211">
        <f t="shared" si="25"/>
        <v>0</v>
      </c>
      <c r="I211">
        <f t="shared" si="26"/>
        <v>0</v>
      </c>
      <c r="J211">
        <f t="shared" si="27"/>
        <v>1</v>
      </c>
      <c r="K211">
        <f t="shared" si="28"/>
        <v>0</v>
      </c>
    </row>
    <row r="212" spans="1:11" x14ac:dyDescent="0.25">
      <c r="A212" t="s">
        <v>302</v>
      </c>
      <c r="B212" t="s">
        <v>303</v>
      </c>
      <c r="C212" s="2">
        <v>18053</v>
      </c>
      <c r="D212" t="s">
        <v>9</v>
      </c>
      <c r="E212" s="2">
        <f t="shared" si="22"/>
        <v>67</v>
      </c>
      <c r="F212">
        <f t="shared" si="23"/>
        <v>0</v>
      </c>
      <c r="G212">
        <f t="shared" si="24"/>
        <v>0</v>
      </c>
      <c r="H212">
        <f t="shared" si="25"/>
        <v>1</v>
      </c>
      <c r="I212">
        <f t="shared" si="26"/>
        <v>0</v>
      </c>
      <c r="J212">
        <f t="shared" si="27"/>
        <v>0</v>
      </c>
      <c r="K212">
        <f t="shared" si="28"/>
        <v>0</v>
      </c>
    </row>
    <row r="213" spans="1:11" x14ac:dyDescent="0.25">
      <c r="A213" t="s">
        <v>304</v>
      </c>
      <c r="B213" t="s">
        <v>49</v>
      </c>
      <c r="C213" s="2">
        <v>27059</v>
      </c>
      <c r="D213" t="s">
        <v>12</v>
      </c>
      <c r="E213" s="2">
        <f t="shared" si="22"/>
        <v>42</v>
      </c>
      <c r="F213">
        <f t="shared" si="23"/>
        <v>0</v>
      </c>
      <c r="G213">
        <f t="shared" si="24"/>
        <v>0</v>
      </c>
      <c r="H213">
        <f t="shared" si="25"/>
        <v>0</v>
      </c>
      <c r="I213">
        <f t="shared" si="26"/>
        <v>0</v>
      </c>
      <c r="J213">
        <f t="shared" si="27"/>
        <v>0</v>
      </c>
      <c r="K213">
        <f t="shared" si="28"/>
        <v>0</v>
      </c>
    </row>
    <row r="214" spans="1:11" x14ac:dyDescent="0.25">
      <c r="A214" t="s">
        <v>305</v>
      </c>
      <c r="B214" t="s">
        <v>246</v>
      </c>
      <c r="C214" s="2">
        <v>31039</v>
      </c>
      <c r="D214" t="s">
        <v>6</v>
      </c>
      <c r="E214" s="2">
        <f t="shared" si="22"/>
        <v>32</v>
      </c>
      <c r="F214">
        <f t="shared" si="23"/>
        <v>0</v>
      </c>
      <c r="G214">
        <f t="shared" si="24"/>
        <v>1</v>
      </c>
      <c r="H214">
        <f t="shared" si="25"/>
        <v>0</v>
      </c>
      <c r="I214">
        <f t="shared" si="26"/>
        <v>0</v>
      </c>
      <c r="J214">
        <f t="shared" si="27"/>
        <v>0</v>
      </c>
      <c r="K214">
        <f t="shared" si="28"/>
        <v>0</v>
      </c>
    </row>
    <row r="215" spans="1:11" x14ac:dyDescent="0.25">
      <c r="A215" t="s">
        <v>306</v>
      </c>
      <c r="B215" t="s">
        <v>307</v>
      </c>
      <c r="C215" s="2">
        <v>34893</v>
      </c>
      <c r="D215" t="s">
        <v>12</v>
      </c>
      <c r="E215" s="2">
        <f t="shared" si="22"/>
        <v>21</v>
      </c>
      <c r="F215">
        <f t="shared" si="23"/>
        <v>1</v>
      </c>
      <c r="G215">
        <f t="shared" si="24"/>
        <v>0</v>
      </c>
      <c r="H215">
        <f t="shared" si="25"/>
        <v>0</v>
      </c>
      <c r="I215">
        <f t="shared" si="26"/>
        <v>1</v>
      </c>
      <c r="J215">
        <f t="shared" si="27"/>
        <v>0</v>
      </c>
      <c r="K215">
        <f t="shared" si="28"/>
        <v>0</v>
      </c>
    </row>
    <row r="216" spans="1:11" x14ac:dyDescent="0.25">
      <c r="A216" t="s">
        <v>308</v>
      </c>
      <c r="B216" t="s">
        <v>307</v>
      </c>
      <c r="C216" s="2">
        <v>22101</v>
      </c>
      <c r="D216" t="s">
        <v>6</v>
      </c>
      <c r="E216" s="2">
        <f t="shared" si="22"/>
        <v>56</v>
      </c>
      <c r="F216">
        <f t="shared" si="23"/>
        <v>0</v>
      </c>
      <c r="G216">
        <f t="shared" si="24"/>
        <v>0</v>
      </c>
      <c r="H216">
        <f t="shared" si="25"/>
        <v>0</v>
      </c>
      <c r="I216">
        <f t="shared" si="26"/>
        <v>0</v>
      </c>
      <c r="J216">
        <f t="shared" si="27"/>
        <v>0</v>
      </c>
      <c r="K216">
        <f t="shared" si="28"/>
        <v>1</v>
      </c>
    </row>
    <row r="217" spans="1:11" x14ac:dyDescent="0.25">
      <c r="A217" t="s">
        <v>309</v>
      </c>
      <c r="B217" t="s">
        <v>177</v>
      </c>
      <c r="C217" s="2">
        <v>16267</v>
      </c>
      <c r="D217" t="s">
        <v>12</v>
      </c>
      <c r="E217" s="2">
        <f t="shared" si="22"/>
        <v>72</v>
      </c>
      <c r="F217">
        <f t="shared" si="23"/>
        <v>0</v>
      </c>
      <c r="G217">
        <f t="shared" si="24"/>
        <v>0</v>
      </c>
      <c r="H217">
        <f t="shared" si="25"/>
        <v>0</v>
      </c>
      <c r="I217">
        <f t="shared" si="26"/>
        <v>0</v>
      </c>
      <c r="J217">
        <f t="shared" si="27"/>
        <v>0</v>
      </c>
      <c r="K217">
        <f t="shared" si="28"/>
        <v>0</v>
      </c>
    </row>
    <row r="218" spans="1:11" x14ac:dyDescent="0.25">
      <c r="A218" t="s">
        <v>310</v>
      </c>
      <c r="B218" t="s">
        <v>45</v>
      </c>
      <c r="C218" s="2">
        <v>32103</v>
      </c>
      <c r="D218" t="s">
        <v>12</v>
      </c>
      <c r="E218" s="2">
        <f t="shared" si="22"/>
        <v>29</v>
      </c>
      <c r="F218">
        <f t="shared" si="23"/>
        <v>1</v>
      </c>
      <c r="G218">
        <f t="shared" si="24"/>
        <v>0</v>
      </c>
      <c r="H218">
        <f t="shared" si="25"/>
        <v>1</v>
      </c>
      <c r="I218">
        <f t="shared" si="26"/>
        <v>0</v>
      </c>
      <c r="J218">
        <f t="shared" si="27"/>
        <v>0</v>
      </c>
      <c r="K218">
        <f t="shared" si="28"/>
        <v>0</v>
      </c>
    </row>
    <row r="219" spans="1:11" x14ac:dyDescent="0.25">
      <c r="A219" t="s">
        <v>311</v>
      </c>
      <c r="B219" t="s">
        <v>248</v>
      </c>
      <c r="C219" s="2">
        <v>25996</v>
      </c>
      <c r="D219" t="s">
        <v>9</v>
      </c>
      <c r="E219" s="2">
        <f t="shared" si="22"/>
        <v>45</v>
      </c>
      <c r="F219">
        <f t="shared" si="23"/>
        <v>0</v>
      </c>
      <c r="G219">
        <f t="shared" si="24"/>
        <v>0</v>
      </c>
      <c r="H219">
        <f t="shared" si="25"/>
        <v>0</v>
      </c>
      <c r="I219">
        <f t="shared" si="26"/>
        <v>0</v>
      </c>
      <c r="J219">
        <f t="shared" si="27"/>
        <v>0</v>
      </c>
      <c r="K219">
        <f t="shared" si="28"/>
        <v>0</v>
      </c>
    </row>
    <row r="220" spans="1:11" x14ac:dyDescent="0.25">
      <c r="A220" t="s">
        <v>312</v>
      </c>
      <c r="B220" t="s">
        <v>134</v>
      </c>
      <c r="C220" s="2">
        <v>33040</v>
      </c>
      <c r="D220" t="s">
        <v>12</v>
      </c>
      <c r="E220" s="2">
        <f t="shared" si="22"/>
        <v>26</v>
      </c>
      <c r="F220">
        <f t="shared" si="23"/>
        <v>1</v>
      </c>
      <c r="G220">
        <f t="shared" si="24"/>
        <v>0</v>
      </c>
      <c r="H220">
        <f t="shared" si="25"/>
        <v>0</v>
      </c>
      <c r="I220">
        <f t="shared" si="26"/>
        <v>0</v>
      </c>
      <c r="J220">
        <f t="shared" si="27"/>
        <v>0</v>
      </c>
      <c r="K220">
        <f t="shared" si="28"/>
        <v>0</v>
      </c>
    </row>
    <row r="221" spans="1:11" x14ac:dyDescent="0.25">
      <c r="A221" t="s">
        <v>313</v>
      </c>
      <c r="B221" t="s">
        <v>20</v>
      </c>
      <c r="C221" s="2">
        <v>30671</v>
      </c>
      <c r="D221" t="s">
        <v>9</v>
      </c>
      <c r="E221" s="2">
        <f t="shared" si="22"/>
        <v>33</v>
      </c>
      <c r="F221">
        <f t="shared" si="23"/>
        <v>0</v>
      </c>
      <c r="G221">
        <f t="shared" si="24"/>
        <v>1</v>
      </c>
      <c r="H221">
        <f t="shared" si="25"/>
        <v>1</v>
      </c>
      <c r="I221">
        <f t="shared" si="26"/>
        <v>0</v>
      </c>
      <c r="J221">
        <f t="shared" si="27"/>
        <v>0</v>
      </c>
      <c r="K221">
        <f t="shared" si="28"/>
        <v>0</v>
      </c>
    </row>
    <row r="222" spans="1:11" x14ac:dyDescent="0.25">
      <c r="A222" t="s">
        <v>314</v>
      </c>
      <c r="B222" t="s">
        <v>37</v>
      </c>
      <c r="C222" s="2">
        <v>25243</v>
      </c>
      <c r="D222" t="s">
        <v>12</v>
      </c>
      <c r="E222" s="2">
        <f t="shared" si="22"/>
        <v>47</v>
      </c>
      <c r="F222">
        <f t="shared" si="23"/>
        <v>0</v>
      </c>
      <c r="G222">
        <f t="shared" si="24"/>
        <v>0</v>
      </c>
      <c r="H222">
        <f t="shared" si="25"/>
        <v>1</v>
      </c>
      <c r="I222">
        <f t="shared" si="26"/>
        <v>0</v>
      </c>
      <c r="J222">
        <f t="shared" si="27"/>
        <v>0</v>
      </c>
      <c r="K222">
        <f t="shared" si="28"/>
        <v>0</v>
      </c>
    </row>
    <row r="223" spans="1:11" x14ac:dyDescent="0.25">
      <c r="A223" t="s">
        <v>315</v>
      </c>
      <c r="B223" t="s">
        <v>20</v>
      </c>
      <c r="C223" s="2">
        <v>27639</v>
      </c>
      <c r="D223" t="s">
        <v>12</v>
      </c>
      <c r="E223" s="2">
        <f t="shared" si="22"/>
        <v>41</v>
      </c>
      <c r="F223">
        <f t="shared" si="23"/>
        <v>0</v>
      </c>
      <c r="G223">
        <f t="shared" si="24"/>
        <v>0</v>
      </c>
      <c r="H223">
        <f t="shared" si="25"/>
        <v>1</v>
      </c>
      <c r="I223">
        <f t="shared" si="26"/>
        <v>0</v>
      </c>
      <c r="J223">
        <f t="shared" si="27"/>
        <v>0</v>
      </c>
      <c r="K223">
        <f t="shared" si="28"/>
        <v>0</v>
      </c>
    </row>
    <row r="224" spans="1:11" x14ac:dyDescent="0.25">
      <c r="A224" t="s">
        <v>316</v>
      </c>
      <c r="B224" t="s">
        <v>169</v>
      </c>
      <c r="C224" s="2">
        <v>25644</v>
      </c>
      <c r="D224" t="s">
        <v>12</v>
      </c>
      <c r="E224" s="2">
        <f t="shared" si="22"/>
        <v>46</v>
      </c>
      <c r="F224">
        <f t="shared" si="23"/>
        <v>0</v>
      </c>
      <c r="G224">
        <f t="shared" si="24"/>
        <v>0</v>
      </c>
      <c r="H224">
        <f t="shared" si="25"/>
        <v>1</v>
      </c>
      <c r="I224">
        <f t="shared" si="26"/>
        <v>0</v>
      </c>
      <c r="J224">
        <f t="shared" si="27"/>
        <v>0</v>
      </c>
      <c r="K224">
        <f t="shared" si="28"/>
        <v>0</v>
      </c>
    </row>
    <row r="225" spans="1:11" x14ac:dyDescent="0.25">
      <c r="A225" t="s">
        <v>317</v>
      </c>
      <c r="B225" t="s">
        <v>318</v>
      </c>
      <c r="C225" s="2">
        <v>27683</v>
      </c>
      <c r="D225" t="s">
        <v>6</v>
      </c>
      <c r="E225" s="2">
        <f t="shared" si="22"/>
        <v>41</v>
      </c>
      <c r="F225">
        <f t="shared" si="23"/>
        <v>0</v>
      </c>
      <c r="G225">
        <f t="shared" si="24"/>
        <v>0</v>
      </c>
      <c r="H225">
        <f t="shared" si="25"/>
        <v>0</v>
      </c>
      <c r="I225">
        <f t="shared" si="26"/>
        <v>0</v>
      </c>
      <c r="J225">
        <f t="shared" si="27"/>
        <v>0</v>
      </c>
      <c r="K225">
        <f t="shared" si="28"/>
        <v>0</v>
      </c>
    </row>
    <row r="226" spans="1:11" x14ac:dyDescent="0.25">
      <c r="A226" t="s">
        <v>174</v>
      </c>
      <c r="B226" t="s">
        <v>319</v>
      </c>
      <c r="C226" s="2">
        <v>32765</v>
      </c>
      <c r="D226" t="s">
        <v>9</v>
      </c>
      <c r="E226" s="2">
        <f t="shared" si="22"/>
        <v>27</v>
      </c>
      <c r="F226">
        <f t="shared" si="23"/>
        <v>1</v>
      </c>
      <c r="G226">
        <f t="shared" si="24"/>
        <v>0</v>
      </c>
      <c r="H226">
        <f t="shared" si="25"/>
        <v>1</v>
      </c>
      <c r="I226">
        <f t="shared" si="26"/>
        <v>0</v>
      </c>
      <c r="J226">
        <f t="shared" si="27"/>
        <v>0</v>
      </c>
      <c r="K226">
        <f t="shared" si="28"/>
        <v>0</v>
      </c>
    </row>
    <row r="227" spans="1:11" x14ac:dyDescent="0.25">
      <c r="A227" t="s">
        <v>243</v>
      </c>
      <c r="B227" t="s">
        <v>121</v>
      </c>
      <c r="C227" s="2">
        <v>26380</v>
      </c>
      <c r="D227" t="s">
        <v>9</v>
      </c>
      <c r="E227" s="2">
        <f t="shared" si="22"/>
        <v>44</v>
      </c>
      <c r="F227">
        <f t="shared" si="23"/>
        <v>0</v>
      </c>
      <c r="G227">
        <f t="shared" si="24"/>
        <v>0</v>
      </c>
      <c r="H227">
        <f t="shared" si="25"/>
        <v>0</v>
      </c>
      <c r="I227">
        <f t="shared" si="26"/>
        <v>1</v>
      </c>
      <c r="J227">
        <f t="shared" si="27"/>
        <v>0</v>
      </c>
      <c r="K227">
        <f t="shared" si="28"/>
        <v>0</v>
      </c>
    </row>
    <row r="228" spans="1:11" x14ac:dyDescent="0.25">
      <c r="A228" t="s">
        <v>320</v>
      </c>
      <c r="B228" t="s">
        <v>81</v>
      </c>
      <c r="C228" s="2">
        <v>21508</v>
      </c>
      <c r="D228" t="s">
        <v>6</v>
      </c>
      <c r="E228" s="2">
        <f t="shared" si="22"/>
        <v>58</v>
      </c>
      <c r="F228">
        <f t="shared" si="23"/>
        <v>0</v>
      </c>
      <c r="G228">
        <f t="shared" si="24"/>
        <v>0</v>
      </c>
      <c r="H228">
        <f t="shared" si="25"/>
        <v>0</v>
      </c>
      <c r="I228">
        <f t="shared" si="26"/>
        <v>0</v>
      </c>
      <c r="J228">
        <f t="shared" si="27"/>
        <v>0</v>
      </c>
      <c r="K228">
        <f t="shared" si="28"/>
        <v>0</v>
      </c>
    </row>
    <row r="229" spans="1:11" x14ac:dyDescent="0.25">
      <c r="A229" t="s">
        <v>321</v>
      </c>
      <c r="B229" t="s">
        <v>11</v>
      </c>
      <c r="C229" s="2">
        <v>32790</v>
      </c>
      <c r="D229" t="s">
        <v>6</v>
      </c>
      <c r="E229" s="2">
        <f t="shared" si="22"/>
        <v>27</v>
      </c>
      <c r="F229">
        <f t="shared" si="23"/>
        <v>1</v>
      </c>
      <c r="G229">
        <f t="shared" si="24"/>
        <v>0</v>
      </c>
      <c r="H229">
        <f t="shared" si="25"/>
        <v>0</v>
      </c>
      <c r="I229">
        <f t="shared" si="26"/>
        <v>1</v>
      </c>
      <c r="J229">
        <f t="shared" si="27"/>
        <v>0</v>
      </c>
      <c r="K229">
        <f t="shared" si="28"/>
        <v>0</v>
      </c>
    </row>
    <row r="230" spans="1:11" x14ac:dyDescent="0.25">
      <c r="A230" t="s">
        <v>164</v>
      </c>
      <c r="B230" t="s">
        <v>322</v>
      </c>
      <c r="C230" s="2">
        <v>24303</v>
      </c>
      <c r="D230" t="s">
        <v>6</v>
      </c>
      <c r="E230" s="2">
        <f t="shared" si="22"/>
        <v>50</v>
      </c>
      <c r="F230">
        <f t="shared" si="23"/>
        <v>0</v>
      </c>
      <c r="G230">
        <f t="shared" si="24"/>
        <v>0</v>
      </c>
      <c r="H230">
        <f t="shared" si="25"/>
        <v>0</v>
      </c>
      <c r="I230">
        <f t="shared" si="26"/>
        <v>0</v>
      </c>
      <c r="J230">
        <f t="shared" si="27"/>
        <v>0</v>
      </c>
      <c r="K230">
        <f t="shared" si="28"/>
        <v>0</v>
      </c>
    </row>
    <row r="231" spans="1:11" x14ac:dyDescent="0.25">
      <c r="A231" t="s">
        <v>323</v>
      </c>
      <c r="B231" t="s">
        <v>300</v>
      </c>
      <c r="C231" s="2">
        <v>30747</v>
      </c>
      <c r="D231" t="s">
        <v>9</v>
      </c>
      <c r="E231" s="2">
        <f t="shared" si="22"/>
        <v>32</v>
      </c>
      <c r="F231">
        <f t="shared" si="23"/>
        <v>0</v>
      </c>
      <c r="G231">
        <f t="shared" si="24"/>
        <v>1</v>
      </c>
      <c r="H231">
        <f t="shared" si="25"/>
        <v>0</v>
      </c>
      <c r="I231">
        <f t="shared" si="26"/>
        <v>0</v>
      </c>
      <c r="J231">
        <f t="shared" si="27"/>
        <v>1</v>
      </c>
      <c r="K231">
        <f t="shared" si="28"/>
        <v>0</v>
      </c>
    </row>
    <row r="232" spans="1:11" x14ac:dyDescent="0.25">
      <c r="A232" t="s">
        <v>324</v>
      </c>
      <c r="B232" t="s">
        <v>49</v>
      </c>
      <c r="C232" s="2">
        <v>19853</v>
      </c>
      <c r="D232" t="s">
        <v>12</v>
      </c>
      <c r="E232" s="2">
        <f t="shared" si="22"/>
        <v>62</v>
      </c>
      <c r="F232">
        <f t="shared" si="23"/>
        <v>0</v>
      </c>
      <c r="G232">
        <f t="shared" si="24"/>
        <v>0</v>
      </c>
      <c r="H232">
        <f t="shared" si="25"/>
        <v>0</v>
      </c>
      <c r="I232">
        <f t="shared" si="26"/>
        <v>0</v>
      </c>
      <c r="J232">
        <f t="shared" si="27"/>
        <v>0</v>
      </c>
      <c r="K232">
        <f t="shared" si="28"/>
        <v>0</v>
      </c>
    </row>
    <row r="233" spans="1:11" x14ac:dyDescent="0.25">
      <c r="A233" t="s">
        <v>325</v>
      </c>
      <c r="B233" t="s">
        <v>20</v>
      </c>
      <c r="C233" s="2">
        <v>32147</v>
      </c>
      <c r="D233" t="s">
        <v>12</v>
      </c>
      <c r="E233" s="2">
        <f t="shared" si="22"/>
        <v>28</v>
      </c>
      <c r="F233">
        <f t="shared" si="23"/>
        <v>1</v>
      </c>
      <c r="G233">
        <f t="shared" si="24"/>
        <v>0</v>
      </c>
      <c r="H233">
        <f t="shared" si="25"/>
        <v>0</v>
      </c>
      <c r="I233">
        <f t="shared" si="26"/>
        <v>0</v>
      </c>
      <c r="J233">
        <f t="shared" si="27"/>
        <v>1</v>
      </c>
      <c r="K233">
        <f t="shared" si="28"/>
        <v>0</v>
      </c>
    </row>
    <row r="234" spans="1:11" x14ac:dyDescent="0.25">
      <c r="A234" t="s">
        <v>326</v>
      </c>
      <c r="B234" t="s">
        <v>327</v>
      </c>
      <c r="C234" s="2">
        <v>17904</v>
      </c>
      <c r="D234" t="s">
        <v>12</v>
      </c>
      <c r="E234" s="2">
        <f t="shared" si="22"/>
        <v>67</v>
      </c>
      <c r="F234">
        <f t="shared" si="23"/>
        <v>0</v>
      </c>
      <c r="G234">
        <f t="shared" si="24"/>
        <v>0</v>
      </c>
      <c r="H234">
        <f t="shared" si="25"/>
        <v>0</v>
      </c>
      <c r="I234">
        <f t="shared" si="26"/>
        <v>0</v>
      </c>
      <c r="J234">
        <f t="shared" si="27"/>
        <v>1</v>
      </c>
      <c r="K234">
        <f t="shared" si="28"/>
        <v>0</v>
      </c>
    </row>
    <row r="235" spans="1:11" x14ac:dyDescent="0.25">
      <c r="A235" t="s">
        <v>328</v>
      </c>
      <c r="B235" t="s">
        <v>157</v>
      </c>
      <c r="C235" s="2">
        <v>20057</v>
      </c>
      <c r="D235" t="s">
        <v>12</v>
      </c>
      <c r="E235" s="2">
        <f t="shared" si="22"/>
        <v>62</v>
      </c>
      <c r="F235">
        <f t="shared" si="23"/>
        <v>0</v>
      </c>
      <c r="G235">
        <f t="shared" si="24"/>
        <v>0</v>
      </c>
      <c r="H235">
        <f t="shared" si="25"/>
        <v>0</v>
      </c>
      <c r="I235">
        <f t="shared" si="26"/>
        <v>0</v>
      </c>
      <c r="J235">
        <f t="shared" si="27"/>
        <v>0</v>
      </c>
      <c r="K235">
        <f t="shared" si="28"/>
        <v>0</v>
      </c>
    </row>
    <row r="236" spans="1:11" x14ac:dyDescent="0.25">
      <c r="A236" t="s">
        <v>329</v>
      </c>
      <c r="B236" t="s">
        <v>146</v>
      </c>
      <c r="C236" s="2">
        <v>30863</v>
      </c>
      <c r="D236" t="s">
        <v>9</v>
      </c>
      <c r="E236" s="2">
        <f t="shared" si="22"/>
        <v>32</v>
      </c>
      <c r="F236">
        <f t="shared" si="23"/>
        <v>0</v>
      </c>
      <c r="G236">
        <f t="shared" si="24"/>
        <v>1</v>
      </c>
      <c r="H236">
        <f t="shared" si="25"/>
        <v>0</v>
      </c>
      <c r="I236">
        <f t="shared" si="26"/>
        <v>1</v>
      </c>
      <c r="J236">
        <f t="shared" si="27"/>
        <v>0</v>
      </c>
      <c r="K236">
        <f t="shared" si="28"/>
        <v>0</v>
      </c>
    </row>
    <row r="237" spans="1:11" x14ac:dyDescent="0.25">
      <c r="A237" t="s">
        <v>330</v>
      </c>
      <c r="B237" t="s">
        <v>139</v>
      </c>
      <c r="C237" s="2">
        <v>22435</v>
      </c>
      <c r="D237" t="s">
        <v>6</v>
      </c>
      <c r="E237" s="2">
        <f t="shared" si="22"/>
        <v>55</v>
      </c>
      <c r="F237">
        <f t="shared" si="23"/>
        <v>0</v>
      </c>
      <c r="G237">
        <f t="shared" si="24"/>
        <v>0</v>
      </c>
      <c r="H237">
        <f t="shared" si="25"/>
        <v>0</v>
      </c>
      <c r="I237">
        <f t="shared" si="26"/>
        <v>0</v>
      </c>
      <c r="J237">
        <f t="shared" si="27"/>
        <v>0</v>
      </c>
      <c r="K237">
        <f t="shared" si="28"/>
        <v>1</v>
      </c>
    </row>
    <row r="238" spans="1:11" x14ac:dyDescent="0.25">
      <c r="A238" t="s">
        <v>130</v>
      </c>
      <c r="B238" t="s">
        <v>84</v>
      </c>
      <c r="C238" s="2">
        <v>17048</v>
      </c>
      <c r="D238" t="s">
        <v>12</v>
      </c>
      <c r="E238" s="2">
        <f t="shared" si="22"/>
        <v>70</v>
      </c>
      <c r="F238">
        <f t="shared" si="23"/>
        <v>0</v>
      </c>
      <c r="G238">
        <f t="shared" si="24"/>
        <v>0</v>
      </c>
      <c r="H238">
        <f t="shared" si="25"/>
        <v>1</v>
      </c>
      <c r="I238">
        <f t="shared" si="26"/>
        <v>0</v>
      </c>
      <c r="J238">
        <f t="shared" si="27"/>
        <v>0</v>
      </c>
      <c r="K238">
        <f t="shared" si="28"/>
        <v>0</v>
      </c>
    </row>
    <row r="239" spans="1:11" x14ac:dyDescent="0.25">
      <c r="A239" t="s">
        <v>331</v>
      </c>
      <c r="B239" t="s">
        <v>332</v>
      </c>
      <c r="C239" s="2">
        <v>24732</v>
      </c>
      <c r="D239" t="s">
        <v>6</v>
      </c>
      <c r="E239" s="2">
        <f t="shared" si="22"/>
        <v>49</v>
      </c>
      <c r="F239">
        <f t="shared" si="23"/>
        <v>0</v>
      </c>
      <c r="G239">
        <f t="shared" si="24"/>
        <v>0</v>
      </c>
      <c r="H239">
        <f t="shared" si="25"/>
        <v>0</v>
      </c>
      <c r="I239">
        <f t="shared" si="26"/>
        <v>0</v>
      </c>
      <c r="J239">
        <f t="shared" si="27"/>
        <v>1</v>
      </c>
      <c r="K239">
        <f t="shared" si="28"/>
        <v>0</v>
      </c>
    </row>
    <row r="240" spans="1:11" x14ac:dyDescent="0.25">
      <c r="A240" t="s">
        <v>333</v>
      </c>
      <c r="B240" t="s">
        <v>11</v>
      </c>
      <c r="C240" s="2">
        <v>18589</v>
      </c>
      <c r="D240" t="s">
        <v>6</v>
      </c>
      <c r="E240" s="2">
        <f t="shared" si="22"/>
        <v>66</v>
      </c>
      <c r="F240">
        <f t="shared" si="23"/>
        <v>0</v>
      </c>
      <c r="G240">
        <f t="shared" si="24"/>
        <v>0</v>
      </c>
      <c r="H240">
        <f t="shared" si="25"/>
        <v>0</v>
      </c>
      <c r="I240">
        <f t="shared" si="26"/>
        <v>0</v>
      </c>
      <c r="J240">
        <f t="shared" si="27"/>
        <v>1</v>
      </c>
      <c r="K240">
        <f t="shared" si="28"/>
        <v>0</v>
      </c>
    </row>
    <row r="241" spans="1:11" x14ac:dyDescent="0.25">
      <c r="A241" t="s">
        <v>334</v>
      </c>
      <c r="B241" t="s">
        <v>49</v>
      </c>
      <c r="C241" s="2">
        <v>20727</v>
      </c>
      <c r="D241" t="s">
        <v>12</v>
      </c>
      <c r="E241" s="2">
        <f t="shared" si="22"/>
        <v>60</v>
      </c>
      <c r="F241">
        <f t="shared" si="23"/>
        <v>0</v>
      </c>
      <c r="G241">
        <f t="shared" si="24"/>
        <v>0</v>
      </c>
      <c r="H241">
        <f t="shared" si="25"/>
        <v>0</v>
      </c>
      <c r="I241">
        <f t="shared" si="26"/>
        <v>1</v>
      </c>
      <c r="J241">
        <f t="shared" si="27"/>
        <v>0</v>
      </c>
      <c r="K241">
        <f t="shared" si="28"/>
        <v>0</v>
      </c>
    </row>
    <row r="242" spans="1:11" x14ac:dyDescent="0.25">
      <c r="A242" t="s">
        <v>335</v>
      </c>
      <c r="B242" t="s">
        <v>114</v>
      </c>
      <c r="C242" s="2">
        <v>23401</v>
      </c>
      <c r="D242" t="s">
        <v>6</v>
      </c>
      <c r="E242" s="2">
        <f t="shared" si="22"/>
        <v>52</v>
      </c>
      <c r="F242">
        <f t="shared" si="23"/>
        <v>0</v>
      </c>
      <c r="G242">
        <f t="shared" si="24"/>
        <v>0</v>
      </c>
      <c r="H242">
        <f t="shared" si="25"/>
        <v>0</v>
      </c>
      <c r="I242">
        <f t="shared" si="26"/>
        <v>0</v>
      </c>
      <c r="J242">
        <f t="shared" si="27"/>
        <v>0</v>
      </c>
      <c r="K242">
        <f t="shared" si="28"/>
        <v>1</v>
      </c>
    </row>
    <row r="243" spans="1:11" x14ac:dyDescent="0.25">
      <c r="A243" t="s">
        <v>336</v>
      </c>
      <c r="B243" t="s">
        <v>337</v>
      </c>
      <c r="C243" s="2">
        <v>17084</v>
      </c>
      <c r="D243" t="s">
        <v>6</v>
      </c>
      <c r="E243" s="2">
        <f t="shared" si="22"/>
        <v>70</v>
      </c>
      <c r="F243">
        <f t="shared" si="23"/>
        <v>0</v>
      </c>
      <c r="G243">
        <f t="shared" si="24"/>
        <v>0</v>
      </c>
      <c r="H243">
        <f t="shared" si="25"/>
        <v>0</v>
      </c>
      <c r="I243">
        <f t="shared" si="26"/>
        <v>0</v>
      </c>
      <c r="J243">
        <f t="shared" si="27"/>
        <v>0</v>
      </c>
      <c r="K243">
        <f t="shared" si="28"/>
        <v>0</v>
      </c>
    </row>
    <row r="244" spans="1:11" x14ac:dyDescent="0.25">
      <c r="A244" t="s">
        <v>338</v>
      </c>
      <c r="B244" t="s">
        <v>8</v>
      </c>
      <c r="C244" s="2">
        <v>30481</v>
      </c>
      <c r="D244" t="s">
        <v>12</v>
      </c>
      <c r="E244" s="2">
        <f t="shared" si="22"/>
        <v>33</v>
      </c>
      <c r="F244">
        <f t="shared" si="23"/>
        <v>0</v>
      </c>
      <c r="G244">
        <f t="shared" si="24"/>
        <v>1</v>
      </c>
      <c r="H244">
        <f t="shared" si="25"/>
        <v>0</v>
      </c>
      <c r="I244">
        <f t="shared" si="26"/>
        <v>0</v>
      </c>
      <c r="J244">
        <f t="shared" si="27"/>
        <v>1</v>
      </c>
      <c r="K244">
        <f t="shared" si="28"/>
        <v>0</v>
      </c>
    </row>
    <row r="245" spans="1:11" x14ac:dyDescent="0.25">
      <c r="A245" t="s">
        <v>339</v>
      </c>
      <c r="B245" t="s">
        <v>20</v>
      </c>
      <c r="C245" s="2">
        <v>20651</v>
      </c>
      <c r="D245" t="s">
        <v>12</v>
      </c>
      <c r="E245" s="2">
        <f t="shared" si="22"/>
        <v>60</v>
      </c>
      <c r="F245">
        <f t="shared" si="23"/>
        <v>0</v>
      </c>
      <c r="G245">
        <f t="shared" si="24"/>
        <v>0</v>
      </c>
      <c r="H245">
        <f t="shared" si="25"/>
        <v>0</v>
      </c>
      <c r="I245">
        <f t="shared" si="26"/>
        <v>0</v>
      </c>
      <c r="J245">
        <f t="shared" si="27"/>
        <v>0</v>
      </c>
      <c r="K245">
        <f t="shared" si="28"/>
        <v>0</v>
      </c>
    </row>
    <row r="246" spans="1:11" x14ac:dyDescent="0.25">
      <c r="A246" t="s">
        <v>340</v>
      </c>
      <c r="B246" t="s">
        <v>185</v>
      </c>
      <c r="C246" s="2">
        <v>32580</v>
      </c>
      <c r="D246" t="s">
        <v>12</v>
      </c>
      <c r="E246" s="2">
        <f t="shared" si="22"/>
        <v>27</v>
      </c>
      <c r="F246">
        <f t="shared" si="23"/>
        <v>1</v>
      </c>
      <c r="G246">
        <f t="shared" si="24"/>
        <v>0</v>
      </c>
      <c r="H246">
        <f t="shared" si="25"/>
        <v>0</v>
      </c>
      <c r="I246">
        <f t="shared" si="26"/>
        <v>0</v>
      </c>
      <c r="J246">
        <f t="shared" si="27"/>
        <v>1</v>
      </c>
      <c r="K246">
        <f t="shared" si="28"/>
        <v>0</v>
      </c>
    </row>
    <row r="247" spans="1:11" x14ac:dyDescent="0.25">
      <c r="A247" t="s">
        <v>341</v>
      </c>
      <c r="B247" t="s">
        <v>139</v>
      </c>
      <c r="C247" s="2">
        <v>18233</v>
      </c>
      <c r="D247" t="s">
        <v>12</v>
      </c>
      <c r="E247" s="2">
        <f t="shared" si="22"/>
        <v>67</v>
      </c>
      <c r="F247">
        <f t="shared" si="23"/>
        <v>0</v>
      </c>
      <c r="G247">
        <f t="shared" si="24"/>
        <v>0</v>
      </c>
      <c r="H247">
        <f t="shared" si="25"/>
        <v>0</v>
      </c>
      <c r="I247">
        <f t="shared" si="26"/>
        <v>1</v>
      </c>
      <c r="J247">
        <f t="shared" si="27"/>
        <v>0</v>
      </c>
      <c r="K247">
        <f t="shared" si="28"/>
        <v>0</v>
      </c>
    </row>
    <row r="248" spans="1:11" x14ac:dyDescent="0.25">
      <c r="A248" t="s">
        <v>342</v>
      </c>
      <c r="B248" t="s">
        <v>177</v>
      </c>
      <c r="C248" s="2">
        <v>24225</v>
      </c>
      <c r="D248" t="s">
        <v>6</v>
      </c>
      <c r="E248" s="2">
        <f t="shared" si="22"/>
        <v>50</v>
      </c>
      <c r="F248">
        <f t="shared" si="23"/>
        <v>0</v>
      </c>
      <c r="G248">
        <f t="shared" si="24"/>
        <v>0</v>
      </c>
      <c r="H248">
        <f t="shared" si="25"/>
        <v>1</v>
      </c>
      <c r="I248">
        <f t="shared" si="26"/>
        <v>0</v>
      </c>
      <c r="J248">
        <f t="shared" si="27"/>
        <v>0</v>
      </c>
      <c r="K248">
        <f t="shared" si="28"/>
        <v>0</v>
      </c>
    </row>
    <row r="249" spans="1:11" x14ac:dyDescent="0.25">
      <c r="A249" t="s">
        <v>343</v>
      </c>
      <c r="B249" t="s">
        <v>45</v>
      </c>
      <c r="C249" s="2">
        <v>27299</v>
      </c>
      <c r="D249" t="s">
        <v>6</v>
      </c>
      <c r="E249" s="2">
        <f t="shared" si="22"/>
        <v>42</v>
      </c>
      <c r="F249">
        <f t="shared" si="23"/>
        <v>0</v>
      </c>
      <c r="G249">
        <f t="shared" si="24"/>
        <v>0</v>
      </c>
      <c r="H249">
        <f t="shared" si="25"/>
        <v>0</v>
      </c>
      <c r="I249">
        <f t="shared" si="26"/>
        <v>0</v>
      </c>
      <c r="J249">
        <f t="shared" si="27"/>
        <v>1</v>
      </c>
      <c r="K249">
        <f t="shared" si="28"/>
        <v>0</v>
      </c>
    </row>
    <row r="250" spans="1:11" x14ac:dyDescent="0.25">
      <c r="A250" t="s">
        <v>344</v>
      </c>
      <c r="B250" t="s">
        <v>345</v>
      </c>
      <c r="C250" s="2">
        <v>18398</v>
      </c>
      <c r="D250" t="s">
        <v>12</v>
      </c>
      <c r="E250" s="2">
        <f t="shared" si="22"/>
        <v>66</v>
      </c>
      <c r="F250">
        <f t="shared" si="23"/>
        <v>0</v>
      </c>
      <c r="G250">
        <f t="shared" si="24"/>
        <v>0</v>
      </c>
      <c r="H250">
        <f t="shared" si="25"/>
        <v>0</v>
      </c>
      <c r="I250">
        <f t="shared" si="26"/>
        <v>0</v>
      </c>
      <c r="J250">
        <f t="shared" si="27"/>
        <v>0</v>
      </c>
      <c r="K250">
        <f t="shared" si="28"/>
        <v>0</v>
      </c>
    </row>
    <row r="251" spans="1:11" x14ac:dyDescent="0.25">
      <c r="A251" t="s">
        <v>329</v>
      </c>
      <c r="B251" t="s">
        <v>194</v>
      </c>
      <c r="C251" s="2">
        <v>34400</v>
      </c>
      <c r="D251" t="s">
        <v>12</v>
      </c>
      <c r="E251" s="2">
        <f t="shared" si="22"/>
        <v>22</v>
      </c>
      <c r="F251">
        <f t="shared" si="23"/>
        <v>1</v>
      </c>
      <c r="G251">
        <f t="shared" si="24"/>
        <v>0</v>
      </c>
      <c r="H251">
        <f t="shared" si="25"/>
        <v>0</v>
      </c>
      <c r="I251">
        <f t="shared" si="26"/>
        <v>1</v>
      </c>
      <c r="J251">
        <f t="shared" si="27"/>
        <v>0</v>
      </c>
      <c r="K251">
        <f t="shared" si="28"/>
        <v>0</v>
      </c>
    </row>
    <row r="252" spans="1:11" x14ac:dyDescent="0.25">
      <c r="A252" t="s">
        <v>51</v>
      </c>
      <c r="B252" t="s">
        <v>346</v>
      </c>
      <c r="C252" s="2">
        <v>21513</v>
      </c>
      <c r="D252" t="s">
        <v>12</v>
      </c>
      <c r="E252" s="2">
        <f t="shared" si="22"/>
        <v>58</v>
      </c>
      <c r="F252">
        <f t="shared" si="23"/>
        <v>0</v>
      </c>
      <c r="G252">
        <f t="shared" si="24"/>
        <v>0</v>
      </c>
      <c r="H252">
        <f t="shared" si="25"/>
        <v>0</v>
      </c>
      <c r="I252">
        <f t="shared" si="26"/>
        <v>0</v>
      </c>
      <c r="J252">
        <f t="shared" si="27"/>
        <v>0</v>
      </c>
      <c r="K252">
        <f t="shared" si="28"/>
        <v>0</v>
      </c>
    </row>
    <row r="253" spans="1:11" x14ac:dyDescent="0.25">
      <c r="A253" t="s">
        <v>347</v>
      </c>
      <c r="B253" t="s">
        <v>236</v>
      </c>
      <c r="C253" s="2">
        <v>31749</v>
      </c>
      <c r="D253" t="s">
        <v>6</v>
      </c>
      <c r="E253" s="2">
        <f t="shared" si="22"/>
        <v>30</v>
      </c>
      <c r="F253">
        <f t="shared" si="23"/>
        <v>0</v>
      </c>
      <c r="G253">
        <f t="shared" si="24"/>
        <v>1</v>
      </c>
      <c r="H253">
        <f t="shared" si="25"/>
        <v>0</v>
      </c>
      <c r="I253">
        <f t="shared" si="26"/>
        <v>0</v>
      </c>
      <c r="J253">
        <f t="shared" si="27"/>
        <v>0</v>
      </c>
      <c r="K253">
        <f t="shared" si="28"/>
        <v>0</v>
      </c>
    </row>
    <row r="254" spans="1:11" x14ac:dyDescent="0.25">
      <c r="A254" t="s">
        <v>348</v>
      </c>
      <c r="B254" t="s">
        <v>5</v>
      </c>
      <c r="C254" s="2">
        <v>34235</v>
      </c>
      <c r="D254" t="s">
        <v>6</v>
      </c>
      <c r="E254" s="2">
        <f t="shared" si="22"/>
        <v>23</v>
      </c>
      <c r="F254">
        <f t="shared" si="23"/>
        <v>1</v>
      </c>
      <c r="G254">
        <f t="shared" si="24"/>
        <v>0</v>
      </c>
      <c r="H254">
        <f t="shared" si="25"/>
        <v>0</v>
      </c>
      <c r="I254">
        <f t="shared" si="26"/>
        <v>0</v>
      </c>
      <c r="J254">
        <f t="shared" si="27"/>
        <v>1</v>
      </c>
      <c r="K254">
        <f t="shared" si="28"/>
        <v>0</v>
      </c>
    </row>
    <row r="255" spans="1:11" x14ac:dyDescent="0.25">
      <c r="A255" t="s">
        <v>349</v>
      </c>
      <c r="B255" t="s">
        <v>131</v>
      </c>
      <c r="C255" s="2">
        <v>19183</v>
      </c>
      <c r="D255" t="s">
        <v>9</v>
      </c>
      <c r="E255" s="2">
        <f t="shared" si="22"/>
        <v>64</v>
      </c>
      <c r="F255">
        <f t="shared" si="23"/>
        <v>0</v>
      </c>
      <c r="G255">
        <f t="shared" si="24"/>
        <v>0</v>
      </c>
      <c r="H255">
        <f t="shared" si="25"/>
        <v>1</v>
      </c>
      <c r="I255">
        <f t="shared" si="26"/>
        <v>0</v>
      </c>
      <c r="J255">
        <f t="shared" si="27"/>
        <v>0</v>
      </c>
      <c r="K255">
        <f t="shared" si="28"/>
        <v>0</v>
      </c>
    </row>
    <row r="256" spans="1:11" x14ac:dyDescent="0.25">
      <c r="A256" t="s">
        <v>350</v>
      </c>
      <c r="B256" t="s">
        <v>8</v>
      </c>
      <c r="C256" s="2">
        <v>27424</v>
      </c>
      <c r="D256" t="s">
        <v>12</v>
      </c>
      <c r="E256" s="2">
        <f t="shared" si="22"/>
        <v>41</v>
      </c>
      <c r="F256">
        <f t="shared" si="23"/>
        <v>0</v>
      </c>
      <c r="G256">
        <f t="shared" si="24"/>
        <v>0</v>
      </c>
      <c r="H256">
        <f t="shared" si="25"/>
        <v>0</v>
      </c>
      <c r="I256">
        <f t="shared" si="26"/>
        <v>1</v>
      </c>
      <c r="J256">
        <f t="shared" si="27"/>
        <v>0</v>
      </c>
      <c r="K256">
        <f t="shared" si="28"/>
        <v>0</v>
      </c>
    </row>
    <row r="257" spans="1:11" x14ac:dyDescent="0.25">
      <c r="A257" t="s">
        <v>351</v>
      </c>
      <c r="B257" t="s">
        <v>152</v>
      </c>
      <c r="C257" s="2">
        <v>23665</v>
      </c>
      <c r="D257" t="s">
        <v>12</v>
      </c>
      <c r="E257" s="2">
        <f t="shared" si="22"/>
        <v>52</v>
      </c>
      <c r="F257">
        <f t="shared" si="23"/>
        <v>0</v>
      </c>
      <c r="G257">
        <f t="shared" si="24"/>
        <v>0</v>
      </c>
      <c r="H257">
        <f t="shared" si="25"/>
        <v>0</v>
      </c>
      <c r="I257">
        <f t="shared" si="26"/>
        <v>0</v>
      </c>
      <c r="J257">
        <f t="shared" si="27"/>
        <v>1</v>
      </c>
      <c r="K257">
        <f t="shared" si="28"/>
        <v>0</v>
      </c>
    </row>
    <row r="258" spans="1:11" x14ac:dyDescent="0.25">
      <c r="A258" t="s">
        <v>352</v>
      </c>
      <c r="B258" t="s">
        <v>11</v>
      </c>
      <c r="C258" s="2">
        <v>17649</v>
      </c>
      <c r="D258" t="s">
        <v>6</v>
      </c>
      <c r="E258" s="2">
        <f t="shared" si="22"/>
        <v>68</v>
      </c>
      <c r="F258">
        <f t="shared" si="23"/>
        <v>0</v>
      </c>
      <c r="G258">
        <f t="shared" si="24"/>
        <v>0</v>
      </c>
      <c r="H258">
        <f t="shared" si="25"/>
        <v>1</v>
      </c>
      <c r="I258">
        <f t="shared" si="26"/>
        <v>0</v>
      </c>
      <c r="J258">
        <f t="shared" si="27"/>
        <v>0</v>
      </c>
      <c r="K258">
        <f t="shared" si="28"/>
        <v>0</v>
      </c>
    </row>
    <row r="259" spans="1:11" x14ac:dyDescent="0.25">
      <c r="A259" t="s">
        <v>353</v>
      </c>
      <c r="B259" t="s">
        <v>354</v>
      </c>
      <c r="C259" s="2">
        <v>25530</v>
      </c>
      <c r="D259" t="s">
        <v>6</v>
      </c>
      <c r="E259" s="2">
        <f t="shared" ref="E259:E322" si="29">2016-YEAR(C259)</f>
        <v>47</v>
      </c>
      <c r="F259">
        <f t="shared" ref="F259:F322" si="30">IF(AND(E259&gt;=20,E259&lt;=29),1,0)</f>
        <v>0</v>
      </c>
      <c r="G259">
        <f t="shared" ref="G259:G322" si="31">IF(AND(E259&gt;=30,E259&lt;=39),1,0)</f>
        <v>0</v>
      </c>
      <c r="H259">
        <f t="shared" ref="H259:H322" si="32">IF(AND(E260&gt;=40,E260&lt;=49),1,0)</f>
        <v>0</v>
      </c>
      <c r="I259">
        <f t="shared" ref="I259:I322" si="33">IF(AND(E260&gt;=50,E260&lt;=59),1,0)</f>
        <v>0</v>
      </c>
      <c r="J259">
        <f t="shared" ref="J259:J322" si="34">IF(AND(E260&gt;=60,E260&lt;=69),1,0)</f>
        <v>0</v>
      </c>
      <c r="K259">
        <f t="shared" ref="K259:K322" si="35">IF(AND(E260&gt;=70,E260&lt;=79),1,0)</f>
        <v>0</v>
      </c>
    </row>
    <row r="260" spans="1:11" x14ac:dyDescent="0.25">
      <c r="A260" t="s">
        <v>355</v>
      </c>
      <c r="B260" t="s">
        <v>356</v>
      </c>
      <c r="C260" s="2">
        <v>34758</v>
      </c>
      <c r="D260" t="s">
        <v>9</v>
      </c>
      <c r="E260" s="2">
        <f t="shared" si="29"/>
        <v>21</v>
      </c>
      <c r="F260">
        <f t="shared" si="30"/>
        <v>1</v>
      </c>
      <c r="G260">
        <f t="shared" si="31"/>
        <v>0</v>
      </c>
      <c r="H260">
        <f t="shared" si="32"/>
        <v>0</v>
      </c>
      <c r="I260">
        <f t="shared" si="33"/>
        <v>0</v>
      </c>
      <c r="J260">
        <f t="shared" si="34"/>
        <v>1</v>
      </c>
      <c r="K260">
        <f t="shared" si="35"/>
        <v>0</v>
      </c>
    </row>
    <row r="261" spans="1:11" x14ac:dyDescent="0.25">
      <c r="A261" t="s">
        <v>19</v>
      </c>
      <c r="B261" t="s">
        <v>357</v>
      </c>
      <c r="C261" s="2">
        <v>17531</v>
      </c>
      <c r="D261" t="s">
        <v>12</v>
      </c>
      <c r="E261" s="2">
        <f t="shared" si="29"/>
        <v>69</v>
      </c>
      <c r="F261">
        <f t="shared" si="30"/>
        <v>0</v>
      </c>
      <c r="G261">
        <f t="shared" si="31"/>
        <v>0</v>
      </c>
      <c r="H261">
        <f t="shared" si="32"/>
        <v>0</v>
      </c>
      <c r="I261">
        <f t="shared" si="33"/>
        <v>0</v>
      </c>
      <c r="J261">
        <f t="shared" si="34"/>
        <v>0</v>
      </c>
      <c r="K261">
        <f t="shared" si="35"/>
        <v>0</v>
      </c>
    </row>
    <row r="262" spans="1:11" x14ac:dyDescent="0.25">
      <c r="A262" t="s">
        <v>358</v>
      </c>
      <c r="B262" t="s">
        <v>8</v>
      </c>
      <c r="C262" s="2">
        <v>32482</v>
      </c>
      <c r="D262" t="s">
        <v>6</v>
      </c>
      <c r="E262" s="2">
        <f t="shared" si="29"/>
        <v>28</v>
      </c>
      <c r="F262">
        <f t="shared" si="30"/>
        <v>1</v>
      </c>
      <c r="G262">
        <f t="shared" si="31"/>
        <v>0</v>
      </c>
      <c r="H262">
        <f t="shared" si="32"/>
        <v>0</v>
      </c>
      <c r="I262">
        <f t="shared" si="33"/>
        <v>0</v>
      </c>
      <c r="J262">
        <f t="shared" si="34"/>
        <v>0</v>
      </c>
      <c r="K262">
        <f t="shared" si="35"/>
        <v>0</v>
      </c>
    </row>
    <row r="263" spans="1:11" x14ac:dyDescent="0.25">
      <c r="A263" t="s">
        <v>359</v>
      </c>
      <c r="B263" t="s">
        <v>246</v>
      </c>
      <c r="C263" s="2">
        <v>34533</v>
      </c>
      <c r="D263" t="s">
        <v>12</v>
      </c>
      <c r="E263" s="2">
        <f t="shared" si="29"/>
        <v>22</v>
      </c>
      <c r="F263">
        <f t="shared" si="30"/>
        <v>1</v>
      </c>
      <c r="G263">
        <f t="shared" si="31"/>
        <v>0</v>
      </c>
      <c r="H263">
        <f t="shared" si="32"/>
        <v>0</v>
      </c>
      <c r="I263">
        <f t="shared" si="33"/>
        <v>0</v>
      </c>
      <c r="J263">
        <f t="shared" si="34"/>
        <v>0</v>
      </c>
      <c r="K263">
        <f t="shared" si="35"/>
        <v>0</v>
      </c>
    </row>
    <row r="264" spans="1:11" x14ac:dyDescent="0.25">
      <c r="A264" t="s">
        <v>308</v>
      </c>
      <c r="B264" t="s">
        <v>79</v>
      </c>
      <c r="C264" s="2">
        <v>28491</v>
      </c>
      <c r="D264" t="s">
        <v>12</v>
      </c>
      <c r="E264" s="2">
        <f t="shared" si="29"/>
        <v>38</v>
      </c>
      <c r="F264">
        <f t="shared" si="30"/>
        <v>0</v>
      </c>
      <c r="G264">
        <f t="shared" si="31"/>
        <v>1</v>
      </c>
      <c r="H264">
        <f t="shared" si="32"/>
        <v>0</v>
      </c>
      <c r="I264">
        <f t="shared" si="33"/>
        <v>0</v>
      </c>
      <c r="J264">
        <f t="shared" si="34"/>
        <v>0</v>
      </c>
      <c r="K264">
        <f t="shared" si="35"/>
        <v>0</v>
      </c>
    </row>
    <row r="265" spans="1:11" x14ac:dyDescent="0.25">
      <c r="A265" t="s">
        <v>360</v>
      </c>
      <c r="B265" t="s">
        <v>361</v>
      </c>
      <c r="C265" s="2">
        <v>32689</v>
      </c>
      <c r="D265" t="s">
        <v>9</v>
      </c>
      <c r="E265" s="2">
        <f t="shared" si="29"/>
        <v>27</v>
      </c>
      <c r="F265">
        <f t="shared" si="30"/>
        <v>1</v>
      </c>
      <c r="G265">
        <f t="shared" si="31"/>
        <v>0</v>
      </c>
      <c r="H265">
        <f t="shared" si="32"/>
        <v>1</v>
      </c>
      <c r="I265">
        <f t="shared" si="33"/>
        <v>0</v>
      </c>
      <c r="J265">
        <f t="shared" si="34"/>
        <v>0</v>
      </c>
      <c r="K265">
        <f t="shared" si="35"/>
        <v>0</v>
      </c>
    </row>
    <row r="266" spans="1:11" x14ac:dyDescent="0.25">
      <c r="A266" t="s">
        <v>162</v>
      </c>
      <c r="B266" t="s">
        <v>362</v>
      </c>
      <c r="C266" s="2">
        <v>27112</v>
      </c>
      <c r="D266" t="s">
        <v>6</v>
      </c>
      <c r="E266" s="2">
        <f t="shared" si="29"/>
        <v>42</v>
      </c>
      <c r="F266">
        <f t="shared" si="30"/>
        <v>0</v>
      </c>
      <c r="G266">
        <f t="shared" si="31"/>
        <v>0</v>
      </c>
      <c r="H266">
        <f t="shared" si="32"/>
        <v>0</v>
      </c>
      <c r="I266">
        <f t="shared" si="33"/>
        <v>0</v>
      </c>
      <c r="J266">
        <f t="shared" si="34"/>
        <v>0</v>
      </c>
      <c r="K266">
        <f t="shared" si="35"/>
        <v>0</v>
      </c>
    </row>
    <row r="267" spans="1:11" x14ac:dyDescent="0.25">
      <c r="A267" t="s">
        <v>363</v>
      </c>
      <c r="B267" t="s">
        <v>16</v>
      </c>
      <c r="C267" s="2">
        <v>29259</v>
      </c>
      <c r="D267" t="s">
        <v>12</v>
      </c>
      <c r="E267" s="2">
        <f t="shared" si="29"/>
        <v>36</v>
      </c>
      <c r="F267">
        <f t="shared" si="30"/>
        <v>0</v>
      </c>
      <c r="G267">
        <f t="shared" si="31"/>
        <v>1</v>
      </c>
      <c r="H267">
        <f t="shared" si="32"/>
        <v>0</v>
      </c>
      <c r="I267">
        <f t="shared" si="33"/>
        <v>0</v>
      </c>
      <c r="J267">
        <f t="shared" si="34"/>
        <v>1</v>
      </c>
      <c r="K267">
        <f t="shared" si="35"/>
        <v>0</v>
      </c>
    </row>
    <row r="268" spans="1:11" x14ac:dyDescent="0.25">
      <c r="A268" t="s">
        <v>83</v>
      </c>
      <c r="B268" t="s">
        <v>123</v>
      </c>
      <c r="C268" s="2">
        <v>18437</v>
      </c>
      <c r="D268" t="s">
        <v>6</v>
      </c>
      <c r="E268" s="2">
        <f t="shared" si="29"/>
        <v>66</v>
      </c>
      <c r="F268">
        <f t="shared" si="30"/>
        <v>0</v>
      </c>
      <c r="G268">
        <f t="shared" si="31"/>
        <v>0</v>
      </c>
      <c r="H268">
        <f t="shared" si="32"/>
        <v>0</v>
      </c>
      <c r="I268">
        <f t="shared" si="33"/>
        <v>0</v>
      </c>
      <c r="J268">
        <f t="shared" si="34"/>
        <v>0</v>
      </c>
      <c r="K268">
        <f t="shared" si="35"/>
        <v>0</v>
      </c>
    </row>
    <row r="269" spans="1:11" x14ac:dyDescent="0.25">
      <c r="A269" t="s">
        <v>364</v>
      </c>
      <c r="B269" t="s">
        <v>194</v>
      </c>
      <c r="C269" s="2">
        <v>34406</v>
      </c>
      <c r="D269" t="s">
        <v>12</v>
      </c>
      <c r="E269" s="2">
        <f t="shared" si="29"/>
        <v>22</v>
      </c>
      <c r="F269">
        <f t="shared" si="30"/>
        <v>1</v>
      </c>
      <c r="G269">
        <f t="shared" si="31"/>
        <v>0</v>
      </c>
      <c r="H269">
        <f t="shared" si="32"/>
        <v>1</v>
      </c>
      <c r="I269">
        <f t="shared" si="33"/>
        <v>0</v>
      </c>
      <c r="J269">
        <f t="shared" si="34"/>
        <v>0</v>
      </c>
      <c r="K269">
        <f t="shared" si="35"/>
        <v>0</v>
      </c>
    </row>
    <row r="270" spans="1:11" x14ac:dyDescent="0.25">
      <c r="A270" t="s">
        <v>365</v>
      </c>
      <c r="B270" t="s">
        <v>366</v>
      </c>
      <c r="C270" s="2">
        <v>26689</v>
      </c>
      <c r="D270" t="s">
        <v>12</v>
      </c>
      <c r="E270" s="2">
        <f t="shared" si="29"/>
        <v>43</v>
      </c>
      <c r="F270">
        <f t="shared" si="30"/>
        <v>0</v>
      </c>
      <c r="G270">
        <f t="shared" si="31"/>
        <v>0</v>
      </c>
      <c r="H270">
        <f t="shared" si="32"/>
        <v>0</v>
      </c>
      <c r="I270">
        <f t="shared" si="33"/>
        <v>1</v>
      </c>
      <c r="J270">
        <f t="shared" si="34"/>
        <v>0</v>
      </c>
      <c r="K270">
        <f t="shared" si="35"/>
        <v>0</v>
      </c>
    </row>
    <row r="271" spans="1:11" x14ac:dyDescent="0.25">
      <c r="A271" t="s">
        <v>174</v>
      </c>
      <c r="B271" t="s">
        <v>52</v>
      </c>
      <c r="C271" s="2">
        <v>24391</v>
      </c>
      <c r="D271" t="s">
        <v>6</v>
      </c>
      <c r="E271" s="2">
        <f t="shared" si="29"/>
        <v>50</v>
      </c>
      <c r="F271">
        <f t="shared" si="30"/>
        <v>0</v>
      </c>
      <c r="G271">
        <f t="shared" si="31"/>
        <v>0</v>
      </c>
      <c r="H271">
        <f t="shared" si="32"/>
        <v>0</v>
      </c>
      <c r="I271">
        <f t="shared" si="33"/>
        <v>1</v>
      </c>
      <c r="J271">
        <f t="shared" si="34"/>
        <v>0</v>
      </c>
      <c r="K271">
        <f t="shared" si="35"/>
        <v>0</v>
      </c>
    </row>
    <row r="272" spans="1:11" x14ac:dyDescent="0.25">
      <c r="A272" t="s">
        <v>367</v>
      </c>
      <c r="B272" t="s">
        <v>368</v>
      </c>
      <c r="C272" s="2">
        <v>22010</v>
      </c>
      <c r="D272" t="s">
        <v>12</v>
      </c>
      <c r="E272" s="2">
        <f t="shared" si="29"/>
        <v>56</v>
      </c>
      <c r="F272">
        <f t="shared" si="30"/>
        <v>0</v>
      </c>
      <c r="G272">
        <f t="shared" si="31"/>
        <v>0</v>
      </c>
      <c r="H272">
        <f t="shared" si="32"/>
        <v>0</v>
      </c>
      <c r="I272">
        <f t="shared" si="33"/>
        <v>0</v>
      </c>
      <c r="J272">
        <f t="shared" si="34"/>
        <v>1</v>
      </c>
      <c r="K272">
        <f t="shared" si="35"/>
        <v>0</v>
      </c>
    </row>
    <row r="273" spans="1:11" x14ac:dyDescent="0.25">
      <c r="A273" t="s">
        <v>369</v>
      </c>
      <c r="B273" t="s">
        <v>332</v>
      </c>
      <c r="C273" s="2">
        <v>17207</v>
      </c>
      <c r="D273" t="s">
        <v>9</v>
      </c>
      <c r="E273" s="2">
        <f t="shared" si="29"/>
        <v>69</v>
      </c>
      <c r="F273">
        <f t="shared" si="30"/>
        <v>0</v>
      </c>
      <c r="G273">
        <f t="shared" si="31"/>
        <v>0</v>
      </c>
      <c r="H273">
        <f t="shared" si="32"/>
        <v>0</v>
      </c>
      <c r="I273">
        <f t="shared" si="33"/>
        <v>1</v>
      </c>
      <c r="J273">
        <f t="shared" si="34"/>
        <v>0</v>
      </c>
      <c r="K273">
        <f t="shared" si="35"/>
        <v>0</v>
      </c>
    </row>
    <row r="274" spans="1:11" x14ac:dyDescent="0.25">
      <c r="A274" t="s">
        <v>370</v>
      </c>
      <c r="B274" t="s">
        <v>160</v>
      </c>
      <c r="C274" s="2">
        <v>22547</v>
      </c>
      <c r="D274" t="s">
        <v>6</v>
      </c>
      <c r="E274" s="2">
        <f t="shared" si="29"/>
        <v>55</v>
      </c>
      <c r="F274">
        <f t="shared" si="30"/>
        <v>0</v>
      </c>
      <c r="G274">
        <f t="shared" si="31"/>
        <v>0</v>
      </c>
      <c r="H274">
        <f t="shared" si="32"/>
        <v>0</v>
      </c>
      <c r="I274">
        <f t="shared" si="33"/>
        <v>0</v>
      </c>
      <c r="J274">
        <f t="shared" si="34"/>
        <v>1</v>
      </c>
      <c r="K274">
        <f t="shared" si="35"/>
        <v>0</v>
      </c>
    </row>
    <row r="275" spans="1:11" x14ac:dyDescent="0.25">
      <c r="A275" t="s">
        <v>371</v>
      </c>
      <c r="B275" t="s">
        <v>372</v>
      </c>
      <c r="C275" s="2">
        <v>20722</v>
      </c>
      <c r="D275" t="s">
        <v>12</v>
      </c>
      <c r="E275" s="2">
        <f t="shared" si="29"/>
        <v>60</v>
      </c>
      <c r="F275">
        <f t="shared" si="30"/>
        <v>0</v>
      </c>
      <c r="G275">
        <f t="shared" si="31"/>
        <v>0</v>
      </c>
      <c r="H275">
        <f t="shared" si="32"/>
        <v>1</v>
      </c>
      <c r="I275">
        <f t="shared" si="33"/>
        <v>0</v>
      </c>
      <c r="J275">
        <f t="shared" si="34"/>
        <v>0</v>
      </c>
      <c r="K275">
        <f t="shared" si="35"/>
        <v>0</v>
      </c>
    </row>
    <row r="276" spans="1:11" x14ac:dyDescent="0.25">
      <c r="A276" t="s">
        <v>373</v>
      </c>
      <c r="B276" t="s">
        <v>29</v>
      </c>
      <c r="C276" s="2">
        <v>24900</v>
      </c>
      <c r="D276" t="s">
        <v>12</v>
      </c>
      <c r="E276" s="2">
        <f t="shared" si="29"/>
        <v>48</v>
      </c>
      <c r="F276">
        <f t="shared" si="30"/>
        <v>0</v>
      </c>
      <c r="G276">
        <f t="shared" si="31"/>
        <v>0</v>
      </c>
      <c r="H276">
        <f t="shared" si="32"/>
        <v>0</v>
      </c>
      <c r="I276">
        <f t="shared" si="33"/>
        <v>0</v>
      </c>
      <c r="J276">
        <f t="shared" si="34"/>
        <v>1</v>
      </c>
      <c r="K276">
        <f t="shared" si="35"/>
        <v>0</v>
      </c>
    </row>
    <row r="277" spans="1:11" x14ac:dyDescent="0.25">
      <c r="A277" t="s">
        <v>374</v>
      </c>
      <c r="B277" t="s">
        <v>37</v>
      </c>
      <c r="C277" s="2">
        <v>20808</v>
      </c>
      <c r="D277" t="s">
        <v>12</v>
      </c>
      <c r="E277" s="2">
        <f t="shared" si="29"/>
        <v>60</v>
      </c>
      <c r="F277">
        <f t="shared" si="30"/>
        <v>0</v>
      </c>
      <c r="G277">
        <f t="shared" si="31"/>
        <v>0</v>
      </c>
      <c r="H277">
        <f t="shared" si="32"/>
        <v>0</v>
      </c>
      <c r="I277">
        <f t="shared" si="33"/>
        <v>0</v>
      </c>
      <c r="J277">
        <f t="shared" si="34"/>
        <v>0</v>
      </c>
      <c r="K277">
        <f t="shared" si="35"/>
        <v>0</v>
      </c>
    </row>
    <row r="278" spans="1:11" x14ac:dyDescent="0.25">
      <c r="A278" t="s">
        <v>375</v>
      </c>
      <c r="B278" t="s">
        <v>131</v>
      </c>
      <c r="C278" s="2">
        <v>30235</v>
      </c>
      <c r="D278" t="s">
        <v>12</v>
      </c>
      <c r="E278" s="2">
        <f t="shared" si="29"/>
        <v>34</v>
      </c>
      <c r="F278">
        <f t="shared" si="30"/>
        <v>0</v>
      </c>
      <c r="G278">
        <f t="shared" si="31"/>
        <v>1</v>
      </c>
      <c r="H278">
        <f t="shared" si="32"/>
        <v>0</v>
      </c>
      <c r="I278">
        <f t="shared" si="33"/>
        <v>1</v>
      </c>
      <c r="J278">
        <f t="shared" si="34"/>
        <v>0</v>
      </c>
      <c r="K278">
        <f t="shared" si="35"/>
        <v>0</v>
      </c>
    </row>
    <row r="279" spans="1:11" x14ac:dyDescent="0.25">
      <c r="A279" t="s">
        <v>376</v>
      </c>
      <c r="B279" t="s">
        <v>257</v>
      </c>
      <c r="C279" s="2">
        <v>21221</v>
      </c>
      <c r="D279" t="s">
        <v>9</v>
      </c>
      <c r="E279" s="2">
        <f t="shared" si="29"/>
        <v>58</v>
      </c>
      <c r="F279">
        <f t="shared" si="30"/>
        <v>0</v>
      </c>
      <c r="G279">
        <f t="shared" si="31"/>
        <v>0</v>
      </c>
      <c r="H279">
        <f t="shared" si="32"/>
        <v>0</v>
      </c>
      <c r="I279">
        <f t="shared" si="33"/>
        <v>0</v>
      </c>
      <c r="J279">
        <f t="shared" si="34"/>
        <v>1</v>
      </c>
      <c r="K279">
        <f t="shared" si="35"/>
        <v>0</v>
      </c>
    </row>
    <row r="280" spans="1:11" x14ac:dyDescent="0.25">
      <c r="A280" t="s">
        <v>377</v>
      </c>
      <c r="B280" t="s">
        <v>45</v>
      </c>
      <c r="C280" s="2">
        <v>20193</v>
      </c>
      <c r="D280" t="s">
        <v>6</v>
      </c>
      <c r="E280" s="2">
        <f t="shared" si="29"/>
        <v>61</v>
      </c>
      <c r="F280">
        <f t="shared" si="30"/>
        <v>0</v>
      </c>
      <c r="G280">
        <f t="shared" si="31"/>
        <v>0</v>
      </c>
      <c r="H280">
        <f t="shared" si="32"/>
        <v>0</v>
      </c>
      <c r="I280">
        <f t="shared" si="33"/>
        <v>0</v>
      </c>
      <c r="J280">
        <f t="shared" si="34"/>
        <v>0</v>
      </c>
      <c r="K280">
        <f t="shared" si="35"/>
        <v>1</v>
      </c>
    </row>
    <row r="281" spans="1:11" x14ac:dyDescent="0.25">
      <c r="A281" t="s">
        <v>378</v>
      </c>
      <c r="B281" t="s">
        <v>141</v>
      </c>
      <c r="C281" s="2">
        <v>17137</v>
      </c>
      <c r="D281" t="s">
        <v>6</v>
      </c>
      <c r="E281" s="2">
        <f t="shared" si="29"/>
        <v>70</v>
      </c>
      <c r="F281">
        <f t="shared" si="30"/>
        <v>0</v>
      </c>
      <c r="G281">
        <f t="shared" si="31"/>
        <v>0</v>
      </c>
      <c r="H281">
        <f t="shared" si="32"/>
        <v>0</v>
      </c>
      <c r="I281">
        <f t="shared" si="33"/>
        <v>0</v>
      </c>
      <c r="J281">
        <f t="shared" si="34"/>
        <v>0</v>
      </c>
      <c r="K281">
        <f t="shared" si="35"/>
        <v>0</v>
      </c>
    </row>
    <row r="282" spans="1:11" x14ac:dyDescent="0.25">
      <c r="A282" t="s">
        <v>379</v>
      </c>
      <c r="B282" t="s">
        <v>49</v>
      </c>
      <c r="C282" s="2">
        <v>32802</v>
      </c>
      <c r="D282" t="s">
        <v>6</v>
      </c>
      <c r="E282" s="2">
        <f t="shared" si="29"/>
        <v>27</v>
      </c>
      <c r="F282">
        <f t="shared" si="30"/>
        <v>1</v>
      </c>
      <c r="G282">
        <f t="shared" si="31"/>
        <v>0</v>
      </c>
      <c r="H282">
        <f t="shared" si="32"/>
        <v>1</v>
      </c>
      <c r="I282">
        <f t="shared" si="33"/>
        <v>0</v>
      </c>
      <c r="J282">
        <f t="shared" si="34"/>
        <v>0</v>
      </c>
      <c r="K282">
        <f t="shared" si="35"/>
        <v>0</v>
      </c>
    </row>
    <row r="283" spans="1:11" x14ac:dyDescent="0.25">
      <c r="A283" t="s">
        <v>240</v>
      </c>
      <c r="B283" t="s">
        <v>20</v>
      </c>
      <c r="C283" s="2">
        <v>25839</v>
      </c>
      <c r="D283" t="s">
        <v>12</v>
      </c>
      <c r="E283" s="2">
        <f t="shared" si="29"/>
        <v>46</v>
      </c>
      <c r="F283">
        <f t="shared" si="30"/>
        <v>0</v>
      </c>
      <c r="G283">
        <f t="shared" si="31"/>
        <v>0</v>
      </c>
      <c r="H283">
        <f t="shared" si="32"/>
        <v>0</v>
      </c>
      <c r="I283">
        <f t="shared" si="33"/>
        <v>0</v>
      </c>
      <c r="J283">
        <f t="shared" si="34"/>
        <v>0</v>
      </c>
      <c r="K283">
        <f t="shared" si="35"/>
        <v>0</v>
      </c>
    </row>
    <row r="284" spans="1:11" x14ac:dyDescent="0.25">
      <c r="A284" t="s">
        <v>275</v>
      </c>
      <c r="B284" t="s">
        <v>380</v>
      </c>
      <c r="C284" s="2">
        <v>32028</v>
      </c>
      <c r="D284" t="s">
        <v>12</v>
      </c>
      <c r="E284" s="2">
        <f t="shared" si="29"/>
        <v>29</v>
      </c>
      <c r="F284">
        <f t="shared" si="30"/>
        <v>1</v>
      </c>
      <c r="G284">
        <f t="shared" si="31"/>
        <v>0</v>
      </c>
      <c r="H284">
        <f t="shared" si="32"/>
        <v>0</v>
      </c>
      <c r="I284">
        <f t="shared" si="33"/>
        <v>0</v>
      </c>
      <c r="J284">
        <f t="shared" si="34"/>
        <v>0</v>
      </c>
      <c r="K284">
        <f t="shared" si="35"/>
        <v>0</v>
      </c>
    </row>
    <row r="285" spans="1:11" x14ac:dyDescent="0.25">
      <c r="A285" t="s">
        <v>317</v>
      </c>
      <c r="B285" t="s">
        <v>192</v>
      </c>
      <c r="C285" s="2">
        <v>31556</v>
      </c>
      <c r="D285" t="s">
        <v>6</v>
      </c>
      <c r="E285" s="2">
        <f t="shared" si="29"/>
        <v>30</v>
      </c>
      <c r="F285">
        <f t="shared" si="30"/>
        <v>0</v>
      </c>
      <c r="G285">
        <f t="shared" si="31"/>
        <v>1</v>
      </c>
      <c r="H285">
        <f t="shared" si="32"/>
        <v>0</v>
      </c>
      <c r="I285">
        <f t="shared" si="33"/>
        <v>0</v>
      </c>
      <c r="J285">
        <f t="shared" si="34"/>
        <v>1</v>
      </c>
      <c r="K285">
        <f t="shared" si="35"/>
        <v>0</v>
      </c>
    </row>
    <row r="286" spans="1:11" x14ac:dyDescent="0.25">
      <c r="A286" t="s">
        <v>381</v>
      </c>
      <c r="B286" t="s">
        <v>54</v>
      </c>
      <c r="C286" s="2">
        <v>19153</v>
      </c>
      <c r="D286" t="s">
        <v>6</v>
      </c>
      <c r="E286" s="2">
        <f t="shared" si="29"/>
        <v>64</v>
      </c>
      <c r="F286">
        <f t="shared" si="30"/>
        <v>0</v>
      </c>
      <c r="G286">
        <f t="shared" si="31"/>
        <v>0</v>
      </c>
      <c r="H286">
        <f t="shared" si="32"/>
        <v>0</v>
      </c>
      <c r="I286">
        <f t="shared" si="33"/>
        <v>1</v>
      </c>
      <c r="J286">
        <f t="shared" si="34"/>
        <v>0</v>
      </c>
      <c r="K286">
        <f t="shared" si="35"/>
        <v>0</v>
      </c>
    </row>
    <row r="287" spans="1:11" x14ac:dyDescent="0.25">
      <c r="A287" t="s">
        <v>382</v>
      </c>
      <c r="B287" t="s">
        <v>383</v>
      </c>
      <c r="C287" s="2">
        <v>21934</v>
      </c>
      <c r="D287" t="s">
        <v>6</v>
      </c>
      <c r="E287" s="2">
        <f t="shared" si="29"/>
        <v>56</v>
      </c>
      <c r="F287">
        <f t="shared" si="30"/>
        <v>0</v>
      </c>
      <c r="G287">
        <f t="shared" si="31"/>
        <v>0</v>
      </c>
      <c r="H287">
        <f t="shared" si="32"/>
        <v>0</v>
      </c>
      <c r="I287">
        <f t="shared" si="33"/>
        <v>0</v>
      </c>
      <c r="J287">
        <f t="shared" si="34"/>
        <v>0</v>
      </c>
      <c r="K287">
        <f t="shared" si="35"/>
        <v>0</v>
      </c>
    </row>
    <row r="288" spans="1:11" x14ac:dyDescent="0.25">
      <c r="A288" t="s">
        <v>384</v>
      </c>
      <c r="B288" t="s">
        <v>361</v>
      </c>
      <c r="C288" s="2">
        <v>28187</v>
      </c>
      <c r="D288" t="s">
        <v>12</v>
      </c>
      <c r="E288" s="2">
        <f t="shared" si="29"/>
        <v>39</v>
      </c>
      <c r="F288">
        <f t="shared" si="30"/>
        <v>0</v>
      </c>
      <c r="G288">
        <f t="shared" si="31"/>
        <v>1</v>
      </c>
      <c r="H288">
        <f t="shared" si="32"/>
        <v>0</v>
      </c>
      <c r="I288">
        <f t="shared" si="33"/>
        <v>0</v>
      </c>
      <c r="J288">
        <f t="shared" si="34"/>
        <v>0</v>
      </c>
      <c r="K288">
        <f t="shared" si="35"/>
        <v>0</v>
      </c>
    </row>
    <row r="289" spans="1:11" x14ac:dyDescent="0.25">
      <c r="A289" t="s">
        <v>385</v>
      </c>
      <c r="B289" t="s">
        <v>252</v>
      </c>
      <c r="C289" s="2">
        <v>34291</v>
      </c>
      <c r="D289" t="s">
        <v>12</v>
      </c>
      <c r="E289" s="2">
        <f t="shared" si="29"/>
        <v>23</v>
      </c>
      <c r="F289">
        <f t="shared" si="30"/>
        <v>1</v>
      </c>
      <c r="G289">
        <f t="shared" si="31"/>
        <v>0</v>
      </c>
      <c r="H289">
        <f t="shared" si="32"/>
        <v>1</v>
      </c>
      <c r="I289">
        <f t="shared" si="33"/>
        <v>0</v>
      </c>
      <c r="J289">
        <f t="shared" si="34"/>
        <v>0</v>
      </c>
      <c r="K289">
        <f t="shared" si="35"/>
        <v>0</v>
      </c>
    </row>
    <row r="290" spans="1:11" x14ac:dyDescent="0.25">
      <c r="A290" t="s">
        <v>386</v>
      </c>
      <c r="B290" t="s">
        <v>107</v>
      </c>
      <c r="C290" s="2">
        <v>24652</v>
      </c>
      <c r="D290" t="s">
        <v>6</v>
      </c>
      <c r="E290" s="2">
        <f t="shared" si="29"/>
        <v>49</v>
      </c>
      <c r="F290">
        <f t="shared" si="30"/>
        <v>0</v>
      </c>
      <c r="G290">
        <f t="shared" si="31"/>
        <v>0</v>
      </c>
      <c r="H290">
        <f t="shared" si="32"/>
        <v>0</v>
      </c>
      <c r="I290">
        <f t="shared" si="33"/>
        <v>0</v>
      </c>
      <c r="J290">
        <f t="shared" si="34"/>
        <v>1</v>
      </c>
      <c r="K290">
        <f t="shared" si="35"/>
        <v>0</v>
      </c>
    </row>
    <row r="291" spans="1:11" x14ac:dyDescent="0.25">
      <c r="A291" t="s">
        <v>387</v>
      </c>
      <c r="B291" t="s">
        <v>121</v>
      </c>
      <c r="C291" s="2">
        <v>18010</v>
      </c>
      <c r="D291" t="s">
        <v>6</v>
      </c>
      <c r="E291" s="2">
        <f t="shared" si="29"/>
        <v>67</v>
      </c>
      <c r="F291">
        <f t="shared" si="30"/>
        <v>0</v>
      </c>
      <c r="G291">
        <f t="shared" si="31"/>
        <v>0</v>
      </c>
      <c r="H291">
        <f t="shared" si="32"/>
        <v>1</v>
      </c>
      <c r="I291">
        <f t="shared" si="33"/>
        <v>0</v>
      </c>
      <c r="J291">
        <f t="shared" si="34"/>
        <v>0</v>
      </c>
      <c r="K291">
        <f t="shared" si="35"/>
        <v>0</v>
      </c>
    </row>
    <row r="292" spans="1:11" x14ac:dyDescent="0.25">
      <c r="A292" t="s">
        <v>388</v>
      </c>
      <c r="B292" t="s">
        <v>368</v>
      </c>
      <c r="C292" s="2">
        <v>26506</v>
      </c>
      <c r="D292" t="s">
        <v>40</v>
      </c>
      <c r="E292" s="2">
        <f t="shared" si="29"/>
        <v>44</v>
      </c>
      <c r="F292">
        <f t="shared" si="30"/>
        <v>0</v>
      </c>
      <c r="G292">
        <f t="shared" si="31"/>
        <v>0</v>
      </c>
      <c r="H292">
        <f t="shared" si="32"/>
        <v>0</v>
      </c>
      <c r="I292">
        <f t="shared" si="33"/>
        <v>0</v>
      </c>
      <c r="J292">
        <f t="shared" si="34"/>
        <v>0</v>
      </c>
      <c r="K292">
        <f t="shared" si="35"/>
        <v>0</v>
      </c>
    </row>
    <row r="293" spans="1:11" x14ac:dyDescent="0.25">
      <c r="A293" t="s">
        <v>389</v>
      </c>
      <c r="B293" t="s">
        <v>160</v>
      </c>
      <c r="C293" s="2">
        <v>30368</v>
      </c>
      <c r="D293" t="s">
        <v>40</v>
      </c>
      <c r="E293" s="2">
        <f t="shared" si="29"/>
        <v>33</v>
      </c>
      <c r="F293">
        <f t="shared" si="30"/>
        <v>0</v>
      </c>
      <c r="G293">
        <f t="shared" si="31"/>
        <v>1</v>
      </c>
      <c r="H293">
        <f t="shared" si="32"/>
        <v>0</v>
      </c>
      <c r="I293">
        <f t="shared" si="33"/>
        <v>0</v>
      </c>
      <c r="J293">
        <f t="shared" si="34"/>
        <v>0</v>
      </c>
      <c r="K293">
        <f t="shared" si="35"/>
        <v>1</v>
      </c>
    </row>
    <row r="294" spans="1:11" x14ac:dyDescent="0.25">
      <c r="A294" t="s">
        <v>162</v>
      </c>
      <c r="B294" t="s">
        <v>54</v>
      </c>
      <c r="C294" s="2">
        <v>16991</v>
      </c>
      <c r="D294" t="s">
        <v>12</v>
      </c>
      <c r="E294" s="2">
        <f t="shared" si="29"/>
        <v>70</v>
      </c>
      <c r="F294">
        <f t="shared" si="30"/>
        <v>0</v>
      </c>
      <c r="G294">
        <f t="shared" si="31"/>
        <v>0</v>
      </c>
      <c r="H294">
        <f t="shared" si="32"/>
        <v>0</v>
      </c>
      <c r="I294">
        <f t="shared" si="33"/>
        <v>1</v>
      </c>
      <c r="J294">
        <f t="shared" si="34"/>
        <v>0</v>
      </c>
      <c r="K294">
        <f t="shared" si="35"/>
        <v>0</v>
      </c>
    </row>
    <row r="295" spans="1:11" x14ac:dyDescent="0.25">
      <c r="A295" t="s">
        <v>390</v>
      </c>
      <c r="B295" t="s">
        <v>152</v>
      </c>
      <c r="C295" s="2">
        <v>23950</v>
      </c>
      <c r="D295" t="s">
        <v>12</v>
      </c>
      <c r="E295" s="2">
        <f t="shared" si="29"/>
        <v>51</v>
      </c>
      <c r="F295">
        <f t="shared" si="30"/>
        <v>0</v>
      </c>
      <c r="G295">
        <f t="shared" si="31"/>
        <v>0</v>
      </c>
      <c r="H295">
        <f t="shared" si="32"/>
        <v>1</v>
      </c>
      <c r="I295">
        <f t="shared" si="33"/>
        <v>0</v>
      </c>
      <c r="J295">
        <f t="shared" si="34"/>
        <v>0</v>
      </c>
      <c r="K295">
        <f t="shared" si="35"/>
        <v>0</v>
      </c>
    </row>
    <row r="296" spans="1:11" x14ac:dyDescent="0.25">
      <c r="A296" t="s">
        <v>391</v>
      </c>
      <c r="B296" t="s">
        <v>47</v>
      </c>
      <c r="C296" s="2">
        <v>26871</v>
      </c>
      <c r="D296" t="s">
        <v>12</v>
      </c>
      <c r="E296" s="2">
        <f t="shared" si="29"/>
        <v>43</v>
      </c>
      <c r="F296">
        <f t="shared" si="30"/>
        <v>0</v>
      </c>
      <c r="G296">
        <f t="shared" si="31"/>
        <v>0</v>
      </c>
      <c r="H296">
        <f t="shared" si="32"/>
        <v>0</v>
      </c>
      <c r="I296">
        <f t="shared" si="33"/>
        <v>0</v>
      </c>
      <c r="J296">
        <f t="shared" si="34"/>
        <v>1</v>
      </c>
      <c r="K296">
        <f t="shared" si="35"/>
        <v>0</v>
      </c>
    </row>
    <row r="297" spans="1:11" x14ac:dyDescent="0.25">
      <c r="A297" t="s">
        <v>392</v>
      </c>
      <c r="B297" t="s">
        <v>260</v>
      </c>
      <c r="C297" s="2">
        <v>17268</v>
      </c>
      <c r="D297" t="s">
        <v>40</v>
      </c>
      <c r="E297" s="2">
        <f t="shared" si="29"/>
        <v>69</v>
      </c>
      <c r="F297">
        <f t="shared" si="30"/>
        <v>0</v>
      </c>
      <c r="G297">
        <f t="shared" si="31"/>
        <v>0</v>
      </c>
      <c r="H297">
        <f t="shared" si="32"/>
        <v>0</v>
      </c>
      <c r="I297">
        <f t="shared" si="33"/>
        <v>0</v>
      </c>
      <c r="J297">
        <f t="shared" si="34"/>
        <v>0</v>
      </c>
      <c r="K297">
        <f t="shared" si="35"/>
        <v>0</v>
      </c>
    </row>
    <row r="298" spans="1:11" x14ac:dyDescent="0.25">
      <c r="A298" t="s">
        <v>393</v>
      </c>
      <c r="B298" t="s">
        <v>394</v>
      </c>
      <c r="C298" s="2">
        <v>31612</v>
      </c>
      <c r="D298" t="s">
        <v>6</v>
      </c>
      <c r="E298" s="2">
        <f t="shared" si="29"/>
        <v>30</v>
      </c>
      <c r="F298">
        <f t="shared" si="30"/>
        <v>0</v>
      </c>
      <c r="G298">
        <f t="shared" si="31"/>
        <v>1</v>
      </c>
      <c r="H298">
        <f t="shared" si="32"/>
        <v>0</v>
      </c>
      <c r="I298">
        <f t="shared" si="33"/>
        <v>1</v>
      </c>
      <c r="J298">
        <f t="shared" si="34"/>
        <v>0</v>
      </c>
      <c r="K298">
        <f t="shared" si="35"/>
        <v>0</v>
      </c>
    </row>
    <row r="299" spans="1:11" x14ac:dyDescent="0.25">
      <c r="A299" t="s">
        <v>395</v>
      </c>
      <c r="B299" t="s">
        <v>131</v>
      </c>
      <c r="C299" s="2">
        <v>21264</v>
      </c>
      <c r="D299" t="s">
        <v>12</v>
      </c>
      <c r="E299" s="2">
        <f t="shared" si="29"/>
        <v>58</v>
      </c>
      <c r="F299">
        <f t="shared" si="30"/>
        <v>0</v>
      </c>
      <c r="G299">
        <f t="shared" si="31"/>
        <v>0</v>
      </c>
      <c r="H299">
        <f t="shared" si="32"/>
        <v>0</v>
      </c>
      <c r="I299">
        <f t="shared" si="33"/>
        <v>0</v>
      </c>
      <c r="J299">
        <f t="shared" si="34"/>
        <v>0</v>
      </c>
      <c r="K299">
        <f t="shared" si="35"/>
        <v>0</v>
      </c>
    </row>
    <row r="300" spans="1:11" x14ac:dyDescent="0.25">
      <c r="A300" t="s">
        <v>396</v>
      </c>
      <c r="B300" t="s">
        <v>236</v>
      </c>
      <c r="C300" s="2">
        <v>29622</v>
      </c>
      <c r="D300" t="s">
        <v>40</v>
      </c>
      <c r="E300" s="2">
        <f t="shared" si="29"/>
        <v>35</v>
      </c>
      <c r="F300">
        <f t="shared" si="30"/>
        <v>0</v>
      </c>
      <c r="G300">
        <f t="shared" si="31"/>
        <v>1</v>
      </c>
      <c r="H300">
        <f t="shared" si="32"/>
        <v>0</v>
      </c>
      <c r="I300">
        <f t="shared" si="33"/>
        <v>0</v>
      </c>
      <c r="J300">
        <f t="shared" si="34"/>
        <v>0</v>
      </c>
      <c r="K300">
        <f t="shared" si="35"/>
        <v>0</v>
      </c>
    </row>
    <row r="301" spans="1:11" x14ac:dyDescent="0.25">
      <c r="A301" t="s">
        <v>162</v>
      </c>
      <c r="B301" t="s">
        <v>20</v>
      </c>
      <c r="C301" s="2">
        <v>30875</v>
      </c>
      <c r="D301" t="s">
        <v>6</v>
      </c>
      <c r="E301" s="2">
        <f t="shared" si="29"/>
        <v>32</v>
      </c>
      <c r="F301">
        <f t="shared" si="30"/>
        <v>0</v>
      </c>
      <c r="G301">
        <f t="shared" si="31"/>
        <v>1</v>
      </c>
      <c r="H301">
        <f t="shared" si="32"/>
        <v>0</v>
      </c>
      <c r="I301">
        <f t="shared" si="33"/>
        <v>0</v>
      </c>
      <c r="J301">
        <f t="shared" si="34"/>
        <v>0</v>
      </c>
      <c r="K301">
        <f t="shared" si="35"/>
        <v>0</v>
      </c>
    </row>
    <row r="302" spans="1:11" x14ac:dyDescent="0.25">
      <c r="A302" t="s">
        <v>397</v>
      </c>
      <c r="B302" t="s">
        <v>107</v>
      </c>
      <c r="C302" s="2">
        <v>31924</v>
      </c>
      <c r="D302" t="s">
        <v>12</v>
      </c>
      <c r="E302" s="2">
        <f t="shared" si="29"/>
        <v>29</v>
      </c>
      <c r="F302">
        <f t="shared" si="30"/>
        <v>1</v>
      </c>
      <c r="G302">
        <f t="shared" si="31"/>
        <v>0</v>
      </c>
      <c r="H302">
        <f t="shared" si="32"/>
        <v>0</v>
      </c>
      <c r="I302">
        <f t="shared" si="33"/>
        <v>1</v>
      </c>
      <c r="J302">
        <f t="shared" si="34"/>
        <v>0</v>
      </c>
      <c r="K302">
        <f t="shared" si="35"/>
        <v>0</v>
      </c>
    </row>
    <row r="303" spans="1:11" x14ac:dyDescent="0.25">
      <c r="A303" t="s">
        <v>398</v>
      </c>
      <c r="B303" t="s">
        <v>399</v>
      </c>
      <c r="C303" s="2">
        <v>23384</v>
      </c>
      <c r="D303" t="s">
        <v>12</v>
      </c>
      <c r="E303" s="2">
        <f t="shared" si="29"/>
        <v>52</v>
      </c>
      <c r="F303">
        <f t="shared" si="30"/>
        <v>0</v>
      </c>
      <c r="G303">
        <f t="shared" si="31"/>
        <v>0</v>
      </c>
      <c r="H303">
        <f t="shared" si="32"/>
        <v>0</v>
      </c>
      <c r="I303">
        <f t="shared" si="33"/>
        <v>0</v>
      </c>
      <c r="J303">
        <f t="shared" si="34"/>
        <v>0</v>
      </c>
      <c r="K303">
        <f t="shared" si="35"/>
        <v>0</v>
      </c>
    </row>
    <row r="304" spans="1:11" x14ac:dyDescent="0.25">
      <c r="A304" t="s">
        <v>400</v>
      </c>
      <c r="B304" t="s">
        <v>401</v>
      </c>
      <c r="C304" s="2">
        <v>32097</v>
      </c>
      <c r="D304" t="s">
        <v>6</v>
      </c>
      <c r="E304" s="2">
        <f t="shared" si="29"/>
        <v>29</v>
      </c>
      <c r="F304">
        <f t="shared" si="30"/>
        <v>1</v>
      </c>
      <c r="G304">
        <f t="shared" si="31"/>
        <v>0</v>
      </c>
      <c r="H304">
        <f t="shared" si="32"/>
        <v>0</v>
      </c>
      <c r="I304">
        <f t="shared" si="33"/>
        <v>1</v>
      </c>
      <c r="J304">
        <f t="shared" si="34"/>
        <v>0</v>
      </c>
      <c r="K304">
        <f t="shared" si="35"/>
        <v>0</v>
      </c>
    </row>
    <row r="305" spans="1:11" x14ac:dyDescent="0.25">
      <c r="A305" t="s">
        <v>402</v>
      </c>
      <c r="B305" t="s">
        <v>403</v>
      </c>
      <c r="C305" s="2">
        <v>22555</v>
      </c>
      <c r="D305" t="s">
        <v>40</v>
      </c>
      <c r="E305" s="2">
        <f t="shared" si="29"/>
        <v>55</v>
      </c>
      <c r="F305">
        <f t="shared" si="30"/>
        <v>0</v>
      </c>
      <c r="G305">
        <f t="shared" si="31"/>
        <v>0</v>
      </c>
      <c r="H305">
        <f t="shared" si="32"/>
        <v>0</v>
      </c>
      <c r="I305">
        <f t="shared" si="33"/>
        <v>1</v>
      </c>
      <c r="J305">
        <f t="shared" si="34"/>
        <v>0</v>
      </c>
      <c r="K305">
        <f t="shared" si="35"/>
        <v>0</v>
      </c>
    </row>
    <row r="306" spans="1:11" x14ac:dyDescent="0.25">
      <c r="A306" t="s">
        <v>317</v>
      </c>
      <c r="B306" t="s">
        <v>20</v>
      </c>
      <c r="C306" s="2">
        <v>22508</v>
      </c>
      <c r="D306" t="s">
        <v>12</v>
      </c>
      <c r="E306" s="2">
        <f t="shared" si="29"/>
        <v>55</v>
      </c>
      <c r="F306">
        <f t="shared" si="30"/>
        <v>0</v>
      </c>
      <c r="G306">
        <f t="shared" si="31"/>
        <v>0</v>
      </c>
      <c r="H306">
        <f t="shared" si="32"/>
        <v>0</v>
      </c>
      <c r="I306">
        <f t="shared" si="33"/>
        <v>0</v>
      </c>
      <c r="J306">
        <f t="shared" si="34"/>
        <v>0</v>
      </c>
      <c r="K306">
        <f t="shared" si="35"/>
        <v>0</v>
      </c>
    </row>
    <row r="307" spans="1:11" x14ac:dyDescent="0.25">
      <c r="A307" t="s">
        <v>404</v>
      </c>
      <c r="B307" t="s">
        <v>72</v>
      </c>
      <c r="C307" s="2">
        <v>29510</v>
      </c>
      <c r="D307" t="s">
        <v>6</v>
      </c>
      <c r="E307" s="2">
        <f t="shared" si="29"/>
        <v>36</v>
      </c>
      <c r="F307">
        <f t="shared" si="30"/>
        <v>0</v>
      </c>
      <c r="G307">
        <f t="shared" si="31"/>
        <v>1</v>
      </c>
      <c r="H307">
        <f t="shared" si="32"/>
        <v>0</v>
      </c>
      <c r="I307">
        <f t="shared" si="33"/>
        <v>1</v>
      </c>
      <c r="J307">
        <f t="shared" si="34"/>
        <v>0</v>
      </c>
      <c r="K307">
        <f t="shared" si="35"/>
        <v>0</v>
      </c>
    </row>
    <row r="308" spans="1:11" x14ac:dyDescent="0.25">
      <c r="A308" t="s">
        <v>405</v>
      </c>
      <c r="B308" t="s">
        <v>406</v>
      </c>
      <c r="C308" s="2">
        <v>22398</v>
      </c>
      <c r="D308" t="s">
        <v>12</v>
      </c>
      <c r="E308" s="2">
        <f t="shared" si="29"/>
        <v>55</v>
      </c>
      <c r="F308">
        <f t="shared" si="30"/>
        <v>0</v>
      </c>
      <c r="G308">
        <f t="shared" si="31"/>
        <v>0</v>
      </c>
      <c r="H308">
        <f t="shared" si="32"/>
        <v>0</v>
      </c>
      <c r="I308">
        <f t="shared" si="33"/>
        <v>0</v>
      </c>
      <c r="J308">
        <f t="shared" si="34"/>
        <v>0</v>
      </c>
      <c r="K308">
        <f t="shared" si="35"/>
        <v>0</v>
      </c>
    </row>
    <row r="309" spans="1:11" x14ac:dyDescent="0.25">
      <c r="A309" t="s">
        <v>407</v>
      </c>
      <c r="B309" t="s">
        <v>20</v>
      </c>
      <c r="C309" s="2">
        <v>28394</v>
      </c>
      <c r="D309" t="s">
        <v>9</v>
      </c>
      <c r="E309" s="2">
        <f t="shared" si="29"/>
        <v>39</v>
      </c>
      <c r="F309">
        <f t="shared" si="30"/>
        <v>0</v>
      </c>
      <c r="G309">
        <f t="shared" si="31"/>
        <v>1</v>
      </c>
      <c r="H309">
        <f t="shared" si="32"/>
        <v>0</v>
      </c>
      <c r="I309">
        <f t="shared" si="33"/>
        <v>0</v>
      </c>
      <c r="J309">
        <f t="shared" si="34"/>
        <v>0</v>
      </c>
      <c r="K309">
        <f t="shared" si="35"/>
        <v>1</v>
      </c>
    </row>
    <row r="310" spans="1:11" x14ac:dyDescent="0.25">
      <c r="A310" t="s">
        <v>408</v>
      </c>
      <c r="B310" t="s">
        <v>139</v>
      </c>
      <c r="C310" s="2">
        <v>16244</v>
      </c>
      <c r="D310" t="s">
        <v>6</v>
      </c>
      <c r="E310" s="2">
        <f t="shared" si="29"/>
        <v>72</v>
      </c>
      <c r="F310">
        <f t="shared" si="30"/>
        <v>0</v>
      </c>
      <c r="G310">
        <f t="shared" si="31"/>
        <v>0</v>
      </c>
      <c r="H310">
        <f t="shared" si="32"/>
        <v>0</v>
      </c>
      <c r="I310">
        <f t="shared" si="33"/>
        <v>0</v>
      </c>
      <c r="J310">
        <f t="shared" si="34"/>
        <v>0</v>
      </c>
      <c r="K310">
        <f t="shared" si="35"/>
        <v>0</v>
      </c>
    </row>
    <row r="311" spans="1:11" x14ac:dyDescent="0.25">
      <c r="A311" t="s">
        <v>409</v>
      </c>
      <c r="B311" t="s">
        <v>167</v>
      </c>
      <c r="C311" s="2">
        <v>32836</v>
      </c>
      <c r="D311" t="s">
        <v>12</v>
      </c>
      <c r="E311" s="2">
        <f t="shared" si="29"/>
        <v>27</v>
      </c>
      <c r="F311">
        <f t="shared" si="30"/>
        <v>1</v>
      </c>
      <c r="G311">
        <f t="shared" si="31"/>
        <v>0</v>
      </c>
      <c r="H311">
        <f t="shared" si="32"/>
        <v>0</v>
      </c>
      <c r="I311">
        <f t="shared" si="33"/>
        <v>1</v>
      </c>
      <c r="J311">
        <f t="shared" si="34"/>
        <v>0</v>
      </c>
      <c r="K311">
        <f t="shared" si="35"/>
        <v>0</v>
      </c>
    </row>
    <row r="312" spans="1:11" x14ac:dyDescent="0.25">
      <c r="A312" t="s">
        <v>410</v>
      </c>
      <c r="B312" t="s">
        <v>141</v>
      </c>
      <c r="C312" s="2">
        <v>23528</v>
      </c>
      <c r="D312" t="s">
        <v>6</v>
      </c>
      <c r="E312" s="2">
        <f t="shared" si="29"/>
        <v>52</v>
      </c>
      <c r="F312">
        <f t="shared" si="30"/>
        <v>0</v>
      </c>
      <c r="G312">
        <f t="shared" si="31"/>
        <v>0</v>
      </c>
      <c r="H312">
        <f t="shared" si="32"/>
        <v>0</v>
      </c>
      <c r="I312">
        <f t="shared" si="33"/>
        <v>0</v>
      </c>
      <c r="J312">
        <f t="shared" si="34"/>
        <v>0</v>
      </c>
      <c r="K312">
        <f t="shared" si="35"/>
        <v>0</v>
      </c>
    </row>
    <row r="313" spans="1:11" x14ac:dyDescent="0.25">
      <c r="A313" t="s">
        <v>411</v>
      </c>
      <c r="B313" t="s">
        <v>412</v>
      </c>
      <c r="C313" s="2">
        <v>28489</v>
      </c>
      <c r="D313" t="s">
        <v>12</v>
      </c>
      <c r="E313" s="2">
        <f t="shared" si="29"/>
        <v>39</v>
      </c>
      <c r="F313">
        <f t="shared" si="30"/>
        <v>0</v>
      </c>
      <c r="G313">
        <f t="shared" si="31"/>
        <v>1</v>
      </c>
      <c r="H313">
        <f t="shared" si="32"/>
        <v>0</v>
      </c>
      <c r="I313">
        <f t="shared" si="33"/>
        <v>1</v>
      </c>
      <c r="J313">
        <f t="shared" si="34"/>
        <v>0</v>
      </c>
      <c r="K313">
        <f t="shared" si="35"/>
        <v>0</v>
      </c>
    </row>
    <row r="314" spans="1:11" x14ac:dyDescent="0.25">
      <c r="A314" t="s">
        <v>413</v>
      </c>
      <c r="B314" t="s">
        <v>399</v>
      </c>
      <c r="C314" s="2">
        <v>20920</v>
      </c>
      <c r="D314" t="s">
        <v>12</v>
      </c>
      <c r="E314" s="2">
        <f t="shared" si="29"/>
        <v>59</v>
      </c>
      <c r="F314">
        <f t="shared" si="30"/>
        <v>0</v>
      </c>
      <c r="G314">
        <f t="shared" si="31"/>
        <v>0</v>
      </c>
      <c r="H314">
        <f t="shared" si="32"/>
        <v>0</v>
      </c>
      <c r="I314">
        <f t="shared" si="33"/>
        <v>0</v>
      </c>
      <c r="J314">
        <f t="shared" si="34"/>
        <v>0</v>
      </c>
      <c r="K314">
        <f t="shared" si="35"/>
        <v>0</v>
      </c>
    </row>
    <row r="315" spans="1:11" x14ac:dyDescent="0.25">
      <c r="A315" t="s">
        <v>414</v>
      </c>
      <c r="B315" t="s">
        <v>11</v>
      </c>
      <c r="C315" s="2">
        <v>34164</v>
      </c>
      <c r="D315" t="s">
        <v>6</v>
      </c>
      <c r="E315" s="2">
        <f t="shared" si="29"/>
        <v>23</v>
      </c>
      <c r="F315">
        <f t="shared" si="30"/>
        <v>1</v>
      </c>
      <c r="G315">
        <f t="shared" si="31"/>
        <v>0</v>
      </c>
      <c r="H315">
        <f t="shared" si="32"/>
        <v>0</v>
      </c>
      <c r="I315">
        <f t="shared" si="33"/>
        <v>0</v>
      </c>
      <c r="J315">
        <f t="shared" si="34"/>
        <v>0</v>
      </c>
      <c r="K315">
        <f t="shared" si="35"/>
        <v>0</v>
      </c>
    </row>
    <row r="316" spans="1:11" x14ac:dyDescent="0.25">
      <c r="A316" t="s">
        <v>415</v>
      </c>
      <c r="B316" t="s">
        <v>246</v>
      </c>
      <c r="C316" s="2">
        <v>32341</v>
      </c>
      <c r="D316" t="s">
        <v>6</v>
      </c>
      <c r="E316" s="2">
        <f t="shared" si="29"/>
        <v>28</v>
      </c>
      <c r="F316">
        <f t="shared" si="30"/>
        <v>1</v>
      </c>
      <c r="G316">
        <f t="shared" si="31"/>
        <v>0</v>
      </c>
      <c r="H316">
        <f t="shared" si="32"/>
        <v>0</v>
      </c>
      <c r="I316">
        <f t="shared" si="33"/>
        <v>0</v>
      </c>
      <c r="J316">
        <f t="shared" si="34"/>
        <v>0</v>
      </c>
      <c r="K316">
        <f t="shared" si="35"/>
        <v>1</v>
      </c>
    </row>
    <row r="317" spans="1:11" x14ac:dyDescent="0.25">
      <c r="A317" t="s">
        <v>416</v>
      </c>
      <c r="B317" t="s">
        <v>194</v>
      </c>
      <c r="C317" s="2">
        <v>16640</v>
      </c>
      <c r="D317" t="s">
        <v>12</v>
      </c>
      <c r="E317" s="2">
        <f t="shared" si="29"/>
        <v>71</v>
      </c>
      <c r="F317">
        <f t="shared" si="30"/>
        <v>0</v>
      </c>
      <c r="G317">
        <f t="shared" si="31"/>
        <v>0</v>
      </c>
      <c r="H317">
        <f t="shared" si="32"/>
        <v>0</v>
      </c>
      <c r="I317">
        <f t="shared" si="33"/>
        <v>0</v>
      </c>
      <c r="J317">
        <f t="shared" si="34"/>
        <v>0</v>
      </c>
      <c r="K317">
        <f t="shared" si="35"/>
        <v>0</v>
      </c>
    </row>
    <row r="318" spans="1:11" x14ac:dyDescent="0.25">
      <c r="A318" t="s">
        <v>417</v>
      </c>
      <c r="B318" t="s">
        <v>418</v>
      </c>
      <c r="C318" s="2">
        <v>28217</v>
      </c>
      <c r="D318" t="s">
        <v>12</v>
      </c>
      <c r="E318" s="2">
        <f t="shared" si="29"/>
        <v>39</v>
      </c>
      <c r="F318">
        <f t="shared" si="30"/>
        <v>0</v>
      </c>
      <c r="G318">
        <f t="shared" si="31"/>
        <v>1</v>
      </c>
      <c r="H318">
        <f t="shared" si="32"/>
        <v>0</v>
      </c>
      <c r="I318">
        <f t="shared" si="33"/>
        <v>0</v>
      </c>
      <c r="J318">
        <f t="shared" si="34"/>
        <v>0</v>
      </c>
      <c r="K318">
        <f t="shared" si="35"/>
        <v>0</v>
      </c>
    </row>
    <row r="319" spans="1:11" x14ac:dyDescent="0.25">
      <c r="A319" t="s">
        <v>190</v>
      </c>
      <c r="B319" t="s">
        <v>419</v>
      </c>
      <c r="C319" s="2">
        <v>32646</v>
      </c>
      <c r="D319" t="s">
        <v>40</v>
      </c>
      <c r="E319" s="2">
        <f t="shared" si="29"/>
        <v>27</v>
      </c>
      <c r="F319">
        <f t="shared" si="30"/>
        <v>1</v>
      </c>
      <c r="G319">
        <f t="shared" si="31"/>
        <v>0</v>
      </c>
      <c r="H319">
        <f t="shared" si="32"/>
        <v>0</v>
      </c>
      <c r="I319">
        <f t="shared" si="33"/>
        <v>0</v>
      </c>
      <c r="J319">
        <f t="shared" si="34"/>
        <v>0</v>
      </c>
      <c r="K319">
        <f t="shared" si="35"/>
        <v>0</v>
      </c>
    </row>
    <row r="320" spans="1:11" x14ac:dyDescent="0.25">
      <c r="A320" t="s">
        <v>420</v>
      </c>
      <c r="B320" t="s">
        <v>5</v>
      </c>
      <c r="C320" s="2">
        <v>28636</v>
      </c>
      <c r="D320" t="s">
        <v>40</v>
      </c>
      <c r="E320" s="2">
        <f t="shared" si="29"/>
        <v>38</v>
      </c>
      <c r="F320">
        <f t="shared" si="30"/>
        <v>0</v>
      </c>
      <c r="G320">
        <f t="shared" si="31"/>
        <v>1</v>
      </c>
      <c r="H320">
        <f t="shared" si="32"/>
        <v>0</v>
      </c>
      <c r="I320">
        <f t="shared" si="33"/>
        <v>0</v>
      </c>
      <c r="J320">
        <f t="shared" si="34"/>
        <v>0</v>
      </c>
      <c r="K320">
        <f t="shared" si="35"/>
        <v>0</v>
      </c>
    </row>
    <row r="321" spans="1:11" x14ac:dyDescent="0.25">
      <c r="A321" t="s">
        <v>421</v>
      </c>
      <c r="B321" t="s">
        <v>8</v>
      </c>
      <c r="C321" s="2">
        <v>30418</v>
      </c>
      <c r="D321" t="s">
        <v>12</v>
      </c>
      <c r="E321" s="2">
        <f t="shared" si="29"/>
        <v>33</v>
      </c>
      <c r="F321">
        <f t="shared" si="30"/>
        <v>0</v>
      </c>
      <c r="G321">
        <f t="shared" si="31"/>
        <v>1</v>
      </c>
      <c r="H321">
        <f t="shared" si="32"/>
        <v>0</v>
      </c>
      <c r="I321">
        <f t="shared" si="33"/>
        <v>0</v>
      </c>
      <c r="J321">
        <f t="shared" si="34"/>
        <v>0</v>
      </c>
      <c r="K321">
        <f t="shared" si="35"/>
        <v>0</v>
      </c>
    </row>
    <row r="322" spans="1:11" x14ac:dyDescent="0.25">
      <c r="A322" t="s">
        <v>110</v>
      </c>
      <c r="B322" t="s">
        <v>368</v>
      </c>
      <c r="C322" s="2">
        <v>33971</v>
      </c>
      <c r="D322" t="s">
        <v>12</v>
      </c>
      <c r="E322" s="2">
        <f t="shared" si="29"/>
        <v>23</v>
      </c>
      <c r="F322">
        <f t="shared" si="30"/>
        <v>1</v>
      </c>
      <c r="G322">
        <f t="shared" si="31"/>
        <v>0</v>
      </c>
      <c r="H322">
        <f t="shared" si="32"/>
        <v>1</v>
      </c>
      <c r="I322">
        <f t="shared" si="33"/>
        <v>0</v>
      </c>
      <c r="J322">
        <f t="shared" si="34"/>
        <v>0</v>
      </c>
      <c r="K322">
        <f t="shared" si="35"/>
        <v>0</v>
      </c>
    </row>
    <row r="323" spans="1:11" x14ac:dyDescent="0.25">
      <c r="A323" t="s">
        <v>422</v>
      </c>
      <c r="B323" t="s">
        <v>52</v>
      </c>
      <c r="C323" s="2">
        <v>26974</v>
      </c>
      <c r="D323" t="s">
        <v>12</v>
      </c>
      <c r="E323" s="2">
        <f t="shared" ref="E323:E332" si="36">2016-YEAR(C323)</f>
        <v>43</v>
      </c>
      <c r="F323">
        <f t="shared" ref="F323:F332" si="37">IF(AND(E323&gt;=20,E323&lt;=29),1,0)</f>
        <v>0</v>
      </c>
      <c r="G323">
        <f t="shared" ref="G323:G332" si="38">IF(AND(E323&gt;=30,E323&lt;=39),1,0)</f>
        <v>0</v>
      </c>
      <c r="H323">
        <f t="shared" ref="H323:H332" si="39">IF(AND(E324&gt;=40,E324&lt;=49),1,0)</f>
        <v>0</v>
      </c>
      <c r="I323">
        <f t="shared" ref="I323:I332" si="40">IF(AND(E324&gt;=50,E324&lt;=59),1,0)</f>
        <v>1</v>
      </c>
      <c r="J323">
        <f t="shared" ref="J323:J332" si="41">IF(AND(E324&gt;=60,E324&lt;=69),1,0)</f>
        <v>0</v>
      </c>
      <c r="K323">
        <f t="shared" ref="K323:K332" si="42">IF(AND(E324&gt;=70,E324&lt;=79),1,0)</f>
        <v>0</v>
      </c>
    </row>
    <row r="324" spans="1:11" x14ac:dyDescent="0.25">
      <c r="A324" t="s">
        <v>423</v>
      </c>
      <c r="B324" t="s">
        <v>47</v>
      </c>
      <c r="C324" s="2">
        <v>21339</v>
      </c>
      <c r="D324" t="s">
        <v>12</v>
      </c>
      <c r="E324" s="2">
        <f t="shared" si="36"/>
        <v>58</v>
      </c>
      <c r="F324">
        <f t="shared" si="37"/>
        <v>0</v>
      </c>
      <c r="G324">
        <f t="shared" si="38"/>
        <v>0</v>
      </c>
      <c r="H324">
        <f t="shared" si="39"/>
        <v>1</v>
      </c>
      <c r="I324">
        <f t="shared" si="40"/>
        <v>0</v>
      </c>
      <c r="J324">
        <f t="shared" si="41"/>
        <v>0</v>
      </c>
      <c r="K324">
        <f t="shared" si="42"/>
        <v>0</v>
      </c>
    </row>
    <row r="325" spans="1:11" x14ac:dyDescent="0.25">
      <c r="A325" t="s">
        <v>424</v>
      </c>
      <c r="B325" t="s">
        <v>90</v>
      </c>
      <c r="C325" s="2">
        <v>25150</v>
      </c>
      <c r="D325" t="s">
        <v>6</v>
      </c>
      <c r="E325" s="2">
        <f t="shared" si="36"/>
        <v>48</v>
      </c>
      <c r="F325">
        <f t="shared" si="37"/>
        <v>0</v>
      </c>
      <c r="G325">
        <f t="shared" si="38"/>
        <v>0</v>
      </c>
      <c r="H325">
        <f t="shared" si="39"/>
        <v>0</v>
      </c>
      <c r="I325">
        <f t="shared" si="40"/>
        <v>0</v>
      </c>
      <c r="J325">
        <f t="shared" si="41"/>
        <v>1</v>
      </c>
      <c r="K325">
        <f t="shared" si="42"/>
        <v>0</v>
      </c>
    </row>
    <row r="326" spans="1:11" x14ac:dyDescent="0.25">
      <c r="A326" t="s">
        <v>425</v>
      </c>
      <c r="B326" t="s">
        <v>8</v>
      </c>
      <c r="C326" s="2">
        <v>20340</v>
      </c>
      <c r="D326" t="s">
        <v>12</v>
      </c>
      <c r="E326" s="2">
        <f t="shared" si="36"/>
        <v>61</v>
      </c>
      <c r="F326">
        <f t="shared" si="37"/>
        <v>0</v>
      </c>
      <c r="G326">
        <f t="shared" si="38"/>
        <v>0</v>
      </c>
      <c r="H326">
        <f t="shared" si="39"/>
        <v>0</v>
      </c>
      <c r="I326">
        <f t="shared" si="40"/>
        <v>0</v>
      </c>
      <c r="J326">
        <f t="shared" si="41"/>
        <v>0</v>
      </c>
      <c r="K326">
        <f t="shared" si="42"/>
        <v>1</v>
      </c>
    </row>
    <row r="327" spans="1:11" x14ac:dyDescent="0.25">
      <c r="A327" t="s">
        <v>426</v>
      </c>
      <c r="B327" t="s">
        <v>131</v>
      </c>
      <c r="C327" s="2">
        <v>16045</v>
      </c>
      <c r="D327" t="s">
        <v>6</v>
      </c>
      <c r="E327" s="2">
        <f t="shared" si="36"/>
        <v>73</v>
      </c>
      <c r="F327">
        <f t="shared" si="37"/>
        <v>0</v>
      </c>
      <c r="G327">
        <f t="shared" si="38"/>
        <v>0</v>
      </c>
      <c r="H327">
        <f t="shared" si="39"/>
        <v>0</v>
      </c>
      <c r="I327">
        <f t="shared" si="40"/>
        <v>0</v>
      </c>
      <c r="J327">
        <f t="shared" si="41"/>
        <v>1</v>
      </c>
      <c r="K327">
        <f t="shared" si="42"/>
        <v>0</v>
      </c>
    </row>
    <row r="328" spans="1:11" x14ac:dyDescent="0.25">
      <c r="A328" t="s">
        <v>427</v>
      </c>
      <c r="B328" t="s">
        <v>37</v>
      </c>
      <c r="C328" s="2">
        <v>18568</v>
      </c>
      <c r="D328" t="s">
        <v>12</v>
      </c>
      <c r="E328" s="2">
        <f t="shared" si="36"/>
        <v>66</v>
      </c>
      <c r="F328">
        <f t="shared" si="37"/>
        <v>0</v>
      </c>
      <c r="G328">
        <f t="shared" si="38"/>
        <v>0</v>
      </c>
      <c r="H328">
        <f t="shared" si="39"/>
        <v>0</v>
      </c>
      <c r="I328">
        <f t="shared" si="40"/>
        <v>0</v>
      </c>
      <c r="J328">
        <f t="shared" si="41"/>
        <v>0</v>
      </c>
      <c r="K328">
        <f t="shared" si="42"/>
        <v>0</v>
      </c>
    </row>
    <row r="329" spans="1:11" x14ac:dyDescent="0.25">
      <c r="A329" t="s">
        <v>311</v>
      </c>
      <c r="B329" t="s">
        <v>199</v>
      </c>
      <c r="C329" s="2">
        <v>33976</v>
      </c>
      <c r="D329" t="s">
        <v>12</v>
      </c>
      <c r="E329" s="2">
        <f t="shared" si="36"/>
        <v>23</v>
      </c>
      <c r="F329">
        <f t="shared" si="37"/>
        <v>1</v>
      </c>
      <c r="G329">
        <f t="shared" si="38"/>
        <v>0</v>
      </c>
      <c r="H329">
        <f t="shared" si="39"/>
        <v>0</v>
      </c>
      <c r="I329">
        <f t="shared" si="40"/>
        <v>0</v>
      </c>
      <c r="J329">
        <f t="shared" si="41"/>
        <v>0</v>
      </c>
      <c r="K329">
        <f t="shared" si="42"/>
        <v>0</v>
      </c>
    </row>
    <row r="330" spans="1:11" x14ac:dyDescent="0.25">
      <c r="A330" t="s">
        <v>428</v>
      </c>
      <c r="B330" t="s">
        <v>429</v>
      </c>
      <c r="C330" s="2">
        <v>30720</v>
      </c>
      <c r="D330" t="s">
        <v>12</v>
      </c>
      <c r="E330" s="2">
        <f t="shared" si="36"/>
        <v>32</v>
      </c>
      <c r="F330">
        <f t="shared" si="37"/>
        <v>0</v>
      </c>
      <c r="G330">
        <f t="shared" si="38"/>
        <v>1</v>
      </c>
      <c r="H330">
        <f t="shared" si="39"/>
        <v>0</v>
      </c>
      <c r="I330">
        <f t="shared" si="40"/>
        <v>1</v>
      </c>
      <c r="J330">
        <f t="shared" si="41"/>
        <v>0</v>
      </c>
      <c r="K330">
        <f t="shared" si="42"/>
        <v>0</v>
      </c>
    </row>
    <row r="331" spans="1:11" x14ac:dyDescent="0.25">
      <c r="A331" t="s">
        <v>430</v>
      </c>
      <c r="B331" t="s">
        <v>141</v>
      </c>
      <c r="C331" s="2">
        <v>22604</v>
      </c>
      <c r="D331" t="s">
        <v>9</v>
      </c>
      <c r="E331" s="2">
        <f t="shared" si="36"/>
        <v>55</v>
      </c>
      <c r="F331">
        <f t="shared" si="37"/>
        <v>0</v>
      </c>
      <c r="G331">
        <f t="shared" si="38"/>
        <v>0</v>
      </c>
      <c r="H331">
        <f t="shared" si="39"/>
        <v>0</v>
      </c>
      <c r="I331">
        <f t="shared" si="40"/>
        <v>0</v>
      </c>
      <c r="J331">
        <f t="shared" si="41"/>
        <v>1</v>
      </c>
      <c r="K331">
        <f t="shared" si="42"/>
        <v>0</v>
      </c>
    </row>
    <row r="332" spans="1:11" x14ac:dyDescent="0.25">
      <c r="A332" t="s">
        <v>431</v>
      </c>
      <c r="B332" t="s">
        <v>368</v>
      </c>
      <c r="C332" s="2">
        <v>19123</v>
      </c>
      <c r="D332" t="s">
        <v>12</v>
      </c>
      <c r="E332" s="2">
        <f t="shared" si="36"/>
        <v>64</v>
      </c>
      <c r="F332">
        <f t="shared" si="37"/>
        <v>0</v>
      </c>
      <c r="G332">
        <f t="shared" si="38"/>
        <v>0</v>
      </c>
      <c r="H332">
        <f t="shared" si="39"/>
        <v>0</v>
      </c>
      <c r="I332">
        <f t="shared" si="40"/>
        <v>0</v>
      </c>
      <c r="J332">
        <f t="shared" si="41"/>
        <v>0</v>
      </c>
      <c r="K332">
        <f t="shared" si="42"/>
        <v>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6.1</vt:lpstr>
      <vt:lpstr>6.2</vt:lpstr>
      <vt:lpstr>6.3</vt:lpstr>
      <vt:lpstr>6.4</vt:lpstr>
      <vt:lpstr>'6.1'!ubezpieczenia</vt:lpstr>
      <vt:lpstr>'6.2'!ubezpieczenia</vt:lpstr>
      <vt:lpstr>'6.3'!ubezpieczenia</vt:lpstr>
      <vt:lpstr>'6.4'!ubezpieczenia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Pawlik</dc:creator>
  <cp:lastModifiedBy>Oskar Pawlik</cp:lastModifiedBy>
  <dcterms:created xsi:type="dcterms:W3CDTF">2026-04-24T20:59:32Z</dcterms:created>
  <dcterms:modified xsi:type="dcterms:W3CDTF">2026-04-24T21:42:28Z</dcterms:modified>
</cp:coreProperties>
</file>