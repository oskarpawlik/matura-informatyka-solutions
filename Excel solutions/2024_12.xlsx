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69C0CA84-7393-479D-845F-C29026A052ED}" xr6:coauthVersionLast="47" xr6:coauthVersionMax="47" xr10:uidLastSave="{00000000-0000-0000-0000-000000000000}"/>
  <bookViews>
    <workbookView xWindow="-120" yWindow="-120" windowWidth="29040" windowHeight="15720" activeTab="4" xr2:uid="{DE1BCCAA-84B2-49F4-8A1C-3B37B0CC9CB3}"/>
  </bookViews>
  <sheets>
    <sheet name="dane" sheetId="2" r:id="rId1"/>
    <sheet name="7.1" sheetId="1" r:id="rId2"/>
    <sheet name="7.2" sheetId="3" r:id="rId3"/>
    <sheet name="7.3" sheetId="4" r:id="rId4"/>
    <sheet name="7.4" sheetId="5" r:id="rId5"/>
  </sheets>
  <definedNames>
    <definedName name="energia" localSheetId="1">'7.1'!$A$1:$D$721</definedName>
    <definedName name="energia" localSheetId="2">'7.2'!$A$1:$D$721</definedName>
    <definedName name="energia" localSheetId="3">'7.3'!$A$1:$D$721</definedName>
    <definedName name="energia" localSheetId="0">dane!$A$1:$D$721</definedName>
    <definedName name="energia_1" localSheetId="4">'7.4'!$A$1:$D$721</definedName>
    <definedName name="zapotrzebowanie_1" localSheetId="4">'7.4'!$F$1:$H$721</definedName>
  </definedNames>
  <calcPr calcId="191029"/>
  <pivotCaches>
    <pivotCache cacheId="3" r:id="rId6"/>
    <pivotCache cacheId="7" r:id="rId7"/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/>
  <c r="J2" i="5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2" i="5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H3" i="4"/>
  <c r="E4" i="4"/>
  <c r="E5" i="4" s="1"/>
  <c r="E6" i="4" s="1"/>
  <c r="E7" i="4"/>
  <c r="E8" i="4"/>
  <c r="E9" i="4"/>
  <c r="E10" i="4"/>
  <c r="E11" i="4"/>
  <c r="E12" i="4"/>
  <c r="E13" i="4" s="1"/>
  <c r="E14" i="4" s="1"/>
  <c r="E15" i="4" s="1"/>
  <c r="E16" i="4" s="1"/>
  <c r="E17" i="4" s="1"/>
  <c r="E18" i="4" s="1"/>
  <c r="E19" i="4"/>
  <c r="E20" i="4"/>
  <c r="E21" i="4"/>
  <c r="E22" i="4"/>
  <c r="E23" i="4"/>
  <c r="E24" i="4"/>
  <c r="E25" i="4"/>
  <c r="E26" i="4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/>
  <c r="E43" i="4"/>
  <c r="E44" i="4"/>
  <c r="E45" i="4"/>
  <c r="E46" i="4"/>
  <c r="E47" i="4"/>
  <c r="E48" i="4"/>
  <c r="E49" i="4" s="1"/>
  <c r="E50" i="4"/>
  <c r="E51" i="4"/>
  <c r="E52" i="4"/>
  <c r="E53" i="4"/>
  <c r="E54" i="4"/>
  <c r="E55" i="4"/>
  <c r="E56" i="4" s="1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 s="1"/>
  <c r="E76" i="4" s="1"/>
  <c r="E77" i="4" s="1"/>
  <c r="E78" i="4" s="1"/>
  <c r="E79" i="4" s="1"/>
  <c r="E80" i="4" s="1"/>
  <c r="E81" i="4" s="1"/>
  <c r="E82" i="4"/>
  <c r="E83" i="4"/>
  <c r="E84" i="4"/>
  <c r="E85" i="4"/>
  <c r="E86" i="4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/>
  <c r="E100" i="4"/>
  <c r="E101" i="4"/>
  <c r="E102" i="4"/>
  <c r="E103" i="4"/>
  <c r="E104" i="4"/>
  <c r="E105" i="4"/>
  <c r="E106" i="4"/>
  <c r="E107" i="4"/>
  <c r="E108" i="4"/>
  <c r="E109" i="4" s="1"/>
  <c r="E110" i="4" s="1"/>
  <c r="E111" i="4" s="1"/>
  <c r="E112" i="4"/>
  <c r="E113" i="4"/>
  <c r="E114" i="4" s="1"/>
  <c r="E115" i="4" s="1"/>
  <c r="E116" i="4" s="1"/>
  <c r="E117" i="4" s="1"/>
  <c r="E118" i="4" s="1"/>
  <c r="E119" i="4" s="1"/>
  <c r="E120" i="4" s="1"/>
  <c r="E121" i="4" s="1"/>
  <c r="E122" i="4"/>
  <c r="E123" i="4"/>
  <c r="E124" i="4"/>
  <c r="E125" i="4"/>
  <c r="E126" i="4"/>
  <c r="E127" i="4" s="1"/>
  <c r="E128" i="4"/>
  <c r="E129" i="4"/>
  <c r="E130" i="4"/>
  <c r="E131" i="4"/>
  <c r="E132" i="4"/>
  <c r="E133" i="4" s="1"/>
  <c r="E134" i="4" s="1"/>
  <c r="E135" i="4"/>
  <c r="E136" i="4"/>
  <c r="E137" i="4"/>
  <c r="E138" i="4"/>
  <c r="E139" i="4"/>
  <c r="E140" i="4"/>
  <c r="E141" i="4"/>
  <c r="E142" i="4"/>
  <c r="E143" i="4"/>
  <c r="E144" i="4"/>
  <c r="E145" i="4" s="1"/>
  <c r="E146" i="4" s="1"/>
  <c r="E147" i="4" s="1"/>
  <c r="E148" i="4" s="1"/>
  <c r="E149" i="4" s="1"/>
  <c r="E150" i="4" s="1"/>
  <c r="E151" i="4" s="1"/>
  <c r="E152" i="4" s="1"/>
  <c r="E153" i="4" s="1"/>
  <c r="E154" i="4"/>
  <c r="E155" i="4"/>
  <c r="E156" i="4"/>
  <c r="E157" i="4" s="1"/>
  <c r="E158" i="4" s="1"/>
  <c r="E159" i="4"/>
  <c r="E160" i="4"/>
  <c r="E161" i="4"/>
  <c r="E162" i="4"/>
  <c r="E163" i="4"/>
  <c r="E164" i="4"/>
  <c r="E165" i="4"/>
  <c r="E166" i="4"/>
  <c r="E167" i="4"/>
  <c r="E168" i="4"/>
  <c r="E169" i="4" s="1"/>
  <c r="E170" i="4" s="1"/>
  <c r="E171" i="4" s="1"/>
  <c r="E172" i="4" s="1"/>
  <c r="E173" i="4" s="1"/>
  <c r="E174" i="4" s="1"/>
  <c r="E175" i="4"/>
  <c r="E176" i="4"/>
  <c r="E177" i="4"/>
  <c r="E178" i="4"/>
  <c r="E179" i="4"/>
  <c r="E180" i="4"/>
  <c r="E181" i="4"/>
  <c r="E182" i="4"/>
  <c r="E183" i="4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/>
  <c r="E196" i="4"/>
  <c r="E197" i="4"/>
  <c r="E198" i="4"/>
  <c r="E199" i="4"/>
  <c r="E200" i="4"/>
  <c r="E201" i="4"/>
  <c r="E202" i="4"/>
  <c r="E203" i="4"/>
  <c r="E204" i="4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 s="1"/>
  <c r="E230" i="4"/>
  <c r="E231" i="4"/>
  <c r="E232" i="4"/>
  <c r="E233" i="4"/>
  <c r="E234" i="4" s="1"/>
  <c r="E235" i="4" s="1"/>
  <c r="E236" i="4"/>
  <c r="E237" i="4"/>
  <c r="E238" i="4"/>
  <c r="E239" i="4"/>
  <c r="E240" i="4"/>
  <c r="E241" i="4"/>
  <c r="E242" i="4"/>
  <c r="E243" i="4"/>
  <c r="E244" i="4" s="1"/>
  <c r="E245" i="4" s="1"/>
  <c r="E246" i="4" s="1"/>
  <c r="E247" i="4" s="1"/>
  <c r="E248" i="4" s="1"/>
  <c r="E249" i="4"/>
  <c r="E250" i="4"/>
  <c r="E251" i="4"/>
  <c r="E252" i="4"/>
  <c r="E253" i="4" s="1"/>
  <c r="E254" i="4" s="1"/>
  <c r="E255" i="4"/>
  <c r="E256" i="4"/>
  <c r="E257" i="4"/>
  <c r="E258" i="4"/>
  <c r="E259" i="4"/>
  <c r="E260" i="4"/>
  <c r="E261" i="4"/>
  <c r="E262" i="4"/>
  <c r="E263" i="4"/>
  <c r="E264" i="4"/>
  <c r="E265" i="4" s="1"/>
  <c r="E266" i="4" s="1"/>
  <c r="E267" i="4" s="1"/>
  <c r="E268" i="4"/>
  <c r="E269" i="4"/>
  <c r="E270" i="4"/>
  <c r="E271" i="4"/>
  <c r="E272" i="4"/>
  <c r="E273" i="4"/>
  <c r="E274" i="4"/>
  <c r="E275" i="4"/>
  <c r="E276" i="4"/>
  <c r="E277" i="4" s="1"/>
  <c r="E278" i="4" s="1"/>
  <c r="E279" i="4" s="1"/>
  <c r="E280" i="4" s="1"/>
  <c r="E281" i="4"/>
  <c r="E282" i="4"/>
  <c r="E283" i="4"/>
  <c r="E284" i="4"/>
  <c r="E285" i="4"/>
  <c r="E286" i="4"/>
  <c r="E287" i="4"/>
  <c r="E288" i="4"/>
  <c r="E289" i="4" s="1"/>
  <c r="E290" i="4" s="1"/>
  <c r="E291" i="4"/>
  <c r="E292" i="4"/>
  <c r="E293" i="4"/>
  <c r="E294" i="4"/>
  <c r="E295" i="4"/>
  <c r="E296" i="4"/>
  <c r="E297" i="4"/>
  <c r="E298" i="4"/>
  <c r="E299" i="4"/>
  <c r="E300" i="4"/>
  <c r="E301" i="4" s="1"/>
  <c r="E302" i="4" s="1"/>
  <c r="E303" i="4" s="1"/>
  <c r="E304" i="4" s="1"/>
  <c r="E305" i="4"/>
  <c r="E306" i="4"/>
  <c r="E307" i="4"/>
  <c r="E308" i="4"/>
  <c r="E309" i="4"/>
  <c r="E310" i="4"/>
  <c r="E311" i="4"/>
  <c r="E312" i="4"/>
  <c r="E313" i="4" s="1"/>
  <c r="E314" i="4" s="1"/>
  <c r="E315" i="4" s="1"/>
  <c r="E316" i="4" s="1"/>
  <c r="E317" i="4" s="1"/>
  <c r="E318" i="4" s="1"/>
  <c r="E319" i="4" s="1"/>
  <c r="E320" i="4" s="1"/>
  <c r="E321" i="4"/>
  <c r="E322" i="4"/>
  <c r="E323" i="4"/>
  <c r="E324" i="4"/>
  <c r="E325" i="4" s="1"/>
  <c r="E326" i="4" s="1"/>
  <c r="E327" i="4" s="1"/>
  <c r="E328" i="4"/>
  <c r="E329" i="4"/>
  <c r="E330" i="4" s="1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 s="1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 s="1"/>
  <c r="E357" i="4" s="1"/>
  <c r="E358" i="4" s="1"/>
  <c r="E359" i="4" s="1"/>
  <c r="E360" i="4" s="1"/>
  <c r="E361" i="4" s="1"/>
  <c r="E362" i="4" s="1"/>
  <c r="E363" i="4"/>
  <c r="E364" i="4" s="1"/>
  <c r="E365" i="4" s="1"/>
  <c r="E366" i="4" s="1"/>
  <c r="E367" i="4" s="1"/>
  <c r="E368" i="4" s="1"/>
  <c r="E369" i="4" s="1"/>
  <c r="E370" i="4" s="1"/>
  <c r="E371" i="4" s="1"/>
  <c r="E372" i="4" s="1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 s="1"/>
  <c r="E391" i="4"/>
  <c r="E392" i="4"/>
  <c r="E393" i="4"/>
  <c r="E394" i="4"/>
  <c r="E395" i="4"/>
  <c r="E396" i="4"/>
  <c r="E397" i="4"/>
  <c r="E398" i="4"/>
  <c r="E399" i="4"/>
  <c r="E400" i="4" s="1"/>
  <c r="E401" i="4"/>
  <c r="E402" i="4"/>
  <c r="E403" i="4"/>
  <c r="E404" i="4"/>
  <c r="E405" i="4"/>
  <c r="E406" i="4"/>
  <c r="E407" i="4"/>
  <c r="E408" i="4"/>
  <c r="E409" i="4"/>
  <c r="E410" i="4"/>
  <c r="E411" i="4" s="1"/>
  <c r="E412" i="4" s="1"/>
  <c r="E413" i="4" s="1"/>
  <c r="E414" i="4"/>
  <c r="E415" i="4"/>
  <c r="E416" i="4"/>
  <c r="E417" i="4"/>
  <c r="E418" i="4"/>
  <c r="E419" i="4"/>
  <c r="E420" i="4"/>
  <c r="E421" i="4" s="1"/>
  <c r="E422" i="4" s="1"/>
  <c r="E423" i="4" s="1"/>
  <c r="E424" i="4" s="1"/>
  <c r="E425" i="4" s="1"/>
  <c r="E426" i="4"/>
  <c r="E427" i="4"/>
  <c r="E428" i="4"/>
  <c r="E429" i="4"/>
  <c r="E430" i="4"/>
  <c r="E431" i="4"/>
  <c r="E432" i="4"/>
  <c r="E433" i="4" s="1"/>
  <c r="E434" i="4" s="1"/>
  <c r="E435" i="4" s="1"/>
  <c r="E436" i="4" s="1"/>
  <c r="E437" i="4" s="1"/>
  <c r="E438" i="4" s="1"/>
  <c r="E439" i="4"/>
  <c r="E440" i="4"/>
  <c r="E441" i="4"/>
  <c r="E442" i="4"/>
  <c r="E443" i="4"/>
  <c r="E444" i="4"/>
  <c r="E445" i="4" s="1"/>
  <c r="E446" i="4" s="1"/>
  <c r="E447" i="4" s="1"/>
  <c r="E448" i="4"/>
  <c r="E449" i="4"/>
  <c r="E450" i="4"/>
  <c r="E451" i="4"/>
  <c r="E452" i="4"/>
  <c r="E453" i="4"/>
  <c r="E454" i="4"/>
  <c r="E455" i="4"/>
  <c r="E456" i="4"/>
  <c r="E457" i="4" s="1"/>
  <c r="E458" i="4" s="1"/>
  <c r="E459" i="4" s="1"/>
  <c r="E460" i="4" s="1"/>
  <c r="E461" i="4" s="1"/>
  <c r="E462" i="4" s="1"/>
  <c r="E463" i="4"/>
  <c r="E464" i="4" s="1"/>
  <c r="E465" i="4" s="1"/>
  <c r="E466" i="4" s="1"/>
  <c r="E467" i="4" s="1"/>
  <c r="E468" i="4" s="1"/>
  <c r="E469" i="4" s="1"/>
  <c r="E470" i="4" s="1"/>
  <c r="E471" i="4" s="1"/>
  <c r="E472" i="4"/>
  <c r="E473" i="4"/>
  <c r="E474" i="4"/>
  <c r="E475" i="4"/>
  <c r="E476" i="4"/>
  <c r="E477" i="4"/>
  <c r="E478" i="4"/>
  <c r="E479" i="4"/>
  <c r="E480" i="4"/>
  <c r="E481" i="4"/>
  <c r="E482" i="4"/>
  <c r="E483" i="4" s="1"/>
  <c r="E484" i="4" s="1"/>
  <c r="E485" i="4" s="1"/>
  <c r="E486" i="4" s="1"/>
  <c r="E487" i="4" s="1"/>
  <c r="E488" i="4" s="1"/>
  <c r="E489" i="4"/>
  <c r="E490" i="4"/>
  <c r="E491" i="4"/>
  <c r="E492" i="4"/>
  <c r="E493" i="4" s="1"/>
  <c r="E494" i="4" s="1"/>
  <c r="E495" i="4" s="1"/>
  <c r="E496" i="4" s="1"/>
  <c r="E497" i="4" s="1"/>
  <c r="E498" i="4" s="1"/>
  <c r="E499" i="4"/>
  <c r="E500" i="4"/>
  <c r="E501" i="4"/>
  <c r="E502" i="4"/>
  <c r="E503" i="4"/>
  <c r="E504" i="4"/>
  <c r="E505" i="4"/>
  <c r="E506" i="4"/>
  <c r="E507" i="4"/>
  <c r="E508" i="4"/>
  <c r="E509" i="4"/>
  <c r="E510" i="4" s="1"/>
  <c r="E511" i="4" s="1"/>
  <c r="E512" i="4"/>
  <c r="E513" i="4"/>
  <c r="E514" i="4"/>
  <c r="E515" i="4"/>
  <c r="E516" i="4"/>
  <c r="E517" i="4" s="1"/>
  <c r="E518" i="4"/>
  <c r="E519" i="4"/>
  <c r="E520" i="4"/>
  <c r="E521" i="4"/>
  <c r="E522" i="4"/>
  <c r="E523" i="4"/>
  <c r="E524" i="4"/>
  <c r="E525" i="4"/>
  <c r="E526" i="4"/>
  <c r="E527" i="4"/>
  <c r="E528" i="4"/>
  <c r="E529" i="4" s="1"/>
  <c r="E530" i="4"/>
  <c r="E531" i="4"/>
  <c r="E532" i="4" s="1"/>
  <c r="E533" i="4" s="1"/>
  <c r="E534" i="4" s="1"/>
  <c r="E535" i="4" s="1"/>
  <c r="E536" i="4" s="1"/>
  <c r="E537" i="4"/>
  <c r="E538" i="4"/>
  <c r="E539" i="4"/>
  <c r="E540" i="4"/>
  <c r="E541" i="4" s="1"/>
  <c r="E542" i="4"/>
  <c r="E543" i="4"/>
  <c r="E544" i="4"/>
  <c r="E545" i="4"/>
  <c r="E546" i="4"/>
  <c r="E547" i="4"/>
  <c r="E548" i="4"/>
  <c r="E549" i="4"/>
  <c r="E550" i="4"/>
  <c r="E551" i="4"/>
  <c r="E552" i="4"/>
  <c r="E553" i="4" s="1"/>
  <c r="E554" i="4" s="1"/>
  <c r="E555" i="4" s="1"/>
  <c r="E556" i="4"/>
  <c r="E557" i="4"/>
  <c r="E558" i="4"/>
  <c r="E559" i="4"/>
  <c r="E560" i="4"/>
  <c r="E561" i="4"/>
  <c r="E562" i="4"/>
  <c r="E563" i="4"/>
  <c r="E564" i="4"/>
  <c r="E565" i="4" s="1"/>
  <c r="E566" i="4" s="1"/>
  <c r="E567" i="4" s="1"/>
  <c r="E568" i="4" s="1"/>
  <c r="E569" i="4" s="1"/>
  <c r="E570" i="4" s="1"/>
  <c r="E571" i="4" s="1"/>
  <c r="E572" i="4" s="1"/>
  <c r="E573" i="4"/>
  <c r="E574" i="4"/>
  <c r="E575" i="4"/>
  <c r="E576" i="4"/>
  <c r="E577" i="4"/>
  <c r="E578" i="4"/>
  <c r="E579" i="4"/>
  <c r="E580" i="4" s="1"/>
  <c r="E581" i="4"/>
  <c r="E582" i="4"/>
  <c r="E583" i="4"/>
  <c r="E584" i="4"/>
  <c r="E585" i="4"/>
  <c r="E586" i="4"/>
  <c r="E587" i="4"/>
  <c r="E588" i="4"/>
  <c r="E589" i="4" s="1"/>
  <c r="E590" i="4" s="1"/>
  <c r="E591" i="4" s="1"/>
  <c r="E592" i="4" s="1"/>
  <c r="E593" i="4" s="1"/>
  <c r="E594" i="4" s="1"/>
  <c r="E595" i="4"/>
  <c r="E596" i="4"/>
  <c r="E597" i="4"/>
  <c r="E598" i="4"/>
  <c r="E599" i="4"/>
  <c r="E600" i="4"/>
  <c r="E601" i="4" s="1"/>
  <c r="E602" i="4" s="1"/>
  <c r="E603" i="4" s="1"/>
  <c r="E604" i="4"/>
  <c r="E605" i="4"/>
  <c r="E606" i="4"/>
  <c r="E607" i="4"/>
  <c r="E608" i="4"/>
  <c r="E609" i="4"/>
  <c r="E610" i="4"/>
  <c r="E611" i="4"/>
  <c r="E612" i="4"/>
  <c r="E613" i="4" s="1"/>
  <c r="E614" i="4" s="1"/>
  <c r="E615" i="4" s="1"/>
  <c r="E616" i="4" s="1"/>
  <c r="E617" i="4" s="1"/>
  <c r="E618" i="4" s="1"/>
  <c r="E619" i="4"/>
  <c r="E620" i="4"/>
  <c r="E621" i="4"/>
  <c r="E622" i="4"/>
  <c r="E623" i="4"/>
  <c r="E624" i="4"/>
  <c r="E625" i="4" s="1"/>
  <c r="E626" i="4" s="1"/>
  <c r="E627" i="4"/>
  <c r="E628" i="4"/>
  <c r="E629" i="4"/>
  <c r="E630" i="4"/>
  <c r="E631" i="4"/>
  <c r="E632" i="4"/>
  <c r="E633" i="4"/>
  <c r="E634" i="4"/>
  <c r="E635" i="4"/>
  <c r="E636" i="4"/>
  <c r="E637" i="4" s="1"/>
  <c r="E638" i="4" s="1"/>
  <c r="E639" i="4"/>
  <c r="E640" i="4"/>
  <c r="E641" i="4"/>
  <c r="E642" i="4"/>
  <c r="E643" i="4" s="1"/>
  <c r="E644" i="4"/>
  <c r="E645" i="4"/>
  <c r="E646" i="4"/>
  <c r="E647" i="4"/>
  <c r="E648" i="4"/>
  <c r="E649" i="4" s="1"/>
  <c r="E650" i="4"/>
  <c r="E651" i="4"/>
  <c r="E652" i="4"/>
  <c r="E653" i="4"/>
  <c r="E654" i="4"/>
  <c r="E655" i="4"/>
  <c r="E656" i="4"/>
  <c r="E657" i="4"/>
  <c r="E658" i="4"/>
  <c r="E659" i="4"/>
  <c r="E660" i="4"/>
  <c r="E661" i="4" s="1"/>
  <c r="E662" i="4" s="1"/>
  <c r="E663" i="4"/>
  <c r="E664" i="4" s="1"/>
  <c r="E665" i="4"/>
  <c r="E666" i="4" s="1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 s="1"/>
  <c r="E688" i="4" s="1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 s="1"/>
  <c r="E704" i="4"/>
  <c r="E705" i="4"/>
  <c r="E706" i="4"/>
  <c r="E707" i="4"/>
  <c r="E708" i="4"/>
  <c r="E709" i="4"/>
  <c r="E710" i="4"/>
  <c r="E711" i="4" s="1"/>
  <c r="E712" i="4" s="1"/>
  <c r="E713" i="4" s="1"/>
  <c r="E714" i="4"/>
  <c r="E715" i="4" s="1"/>
  <c r="E716" i="4"/>
  <c r="E717" i="4"/>
  <c r="E718" i="4"/>
  <c r="E719" i="4"/>
  <c r="E720" i="4"/>
  <c r="E721" i="4"/>
  <c r="E3" i="4"/>
  <c r="K2" i="5" l="1"/>
  <c r="H3" i="5" s="1"/>
  <c r="I3" i="5" s="1"/>
  <c r="J3" i="5" s="1"/>
  <c r="K3" i="5" s="1"/>
  <c r="H4" i="5" s="1"/>
  <c r="I4" i="5" s="1"/>
  <c r="J4" i="5" s="1"/>
  <c r="K4" i="5" s="1"/>
  <c r="H5" i="5" s="1"/>
  <c r="I5" i="5" l="1"/>
  <c r="J5" i="5" l="1"/>
  <c r="K5" i="5" l="1"/>
  <c r="H6" i="5" s="1"/>
  <c r="I6" i="5" s="1"/>
  <c r="J6" i="5"/>
  <c r="K6" i="5" s="1"/>
  <c r="H7" i="5" s="1"/>
  <c r="I7" i="5" s="1"/>
  <c r="J7" i="5" l="1"/>
  <c r="K7" i="5" s="1"/>
  <c r="H8" i="5" s="1"/>
  <c r="I8" i="5"/>
  <c r="J8" i="5" l="1"/>
  <c r="K8" i="5" s="1"/>
  <c r="H9" i="5" s="1"/>
  <c r="I9" i="5" s="1"/>
  <c r="J9" i="5" l="1"/>
  <c r="K9" i="5" s="1"/>
  <c r="H10" i="5" s="1"/>
  <c r="I10" i="5"/>
  <c r="J10" i="5" l="1"/>
  <c r="K10" i="5" s="1"/>
  <c r="H11" i="5" s="1"/>
  <c r="I11" i="5"/>
  <c r="J11" i="5" l="1"/>
  <c r="K11" i="5" s="1"/>
  <c r="H12" i="5" s="1"/>
  <c r="I12" i="5"/>
  <c r="J12" i="5" l="1"/>
  <c r="K12" i="5" s="1"/>
  <c r="H13" i="5" s="1"/>
  <c r="I13" i="5"/>
  <c r="J13" i="5" l="1"/>
  <c r="K13" i="5" s="1"/>
  <c r="H14" i="5" s="1"/>
  <c r="I14" i="5" s="1"/>
  <c r="J14" i="5" l="1"/>
  <c r="K14" i="5" s="1"/>
  <c r="H15" i="5" s="1"/>
  <c r="I15" i="5" s="1"/>
  <c r="J15" i="5" l="1"/>
  <c r="K15" i="5" s="1"/>
  <c r="H16" i="5" s="1"/>
  <c r="I16" i="5"/>
  <c r="J16" i="5" l="1"/>
  <c r="K16" i="5" s="1"/>
  <c r="H17" i="5" s="1"/>
  <c r="I17" i="5"/>
  <c r="J17" i="5" l="1"/>
  <c r="K17" i="5" s="1"/>
  <c r="H18" i="5" s="1"/>
  <c r="I18" i="5"/>
  <c r="J18" i="5" l="1"/>
  <c r="K18" i="5" s="1"/>
  <c r="H19" i="5" s="1"/>
  <c r="I19" i="5"/>
  <c r="J19" i="5" l="1"/>
  <c r="K19" i="5" s="1"/>
  <c r="H20" i="5" s="1"/>
  <c r="I20" i="5"/>
  <c r="J20" i="5" l="1"/>
  <c r="K20" i="5" s="1"/>
  <c r="H21" i="5" s="1"/>
  <c r="I21" i="5"/>
  <c r="J21" i="5" l="1"/>
  <c r="K21" i="5" s="1"/>
  <c r="H22" i="5" s="1"/>
  <c r="I22" i="5"/>
  <c r="J22" i="5" l="1"/>
  <c r="K22" i="5" s="1"/>
  <c r="H23" i="5" s="1"/>
  <c r="I23" i="5"/>
  <c r="J23" i="5" l="1"/>
  <c r="K23" i="5" s="1"/>
  <c r="H24" i="5" s="1"/>
  <c r="I24" i="5" s="1"/>
  <c r="J24" i="5" l="1"/>
  <c r="K24" i="5" s="1"/>
  <c r="H25" i="5" s="1"/>
  <c r="I25" i="5" s="1"/>
  <c r="J25" i="5" l="1"/>
  <c r="K25" i="5" s="1"/>
  <c r="H26" i="5" s="1"/>
  <c r="I26" i="5"/>
  <c r="J26" i="5" l="1"/>
  <c r="K26" i="5" s="1"/>
  <c r="H27" i="5" s="1"/>
  <c r="I27" i="5"/>
  <c r="J27" i="5" l="1"/>
  <c r="K27" i="5" s="1"/>
  <c r="H28" i="5" s="1"/>
  <c r="I28" i="5"/>
  <c r="J28" i="5" l="1"/>
  <c r="K28" i="5" s="1"/>
  <c r="H29" i="5" s="1"/>
  <c r="I29" i="5" s="1"/>
  <c r="J29" i="5" l="1"/>
  <c r="K29" i="5" s="1"/>
  <c r="H30" i="5" s="1"/>
  <c r="I30" i="5" s="1"/>
  <c r="J30" i="5" l="1"/>
  <c r="K30" i="5" s="1"/>
  <c r="H31" i="5" s="1"/>
  <c r="I31" i="5"/>
  <c r="J31" i="5" l="1"/>
  <c r="K31" i="5" s="1"/>
  <c r="H32" i="5" s="1"/>
  <c r="I32" i="5"/>
  <c r="J32" i="5" l="1"/>
  <c r="K32" i="5" s="1"/>
  <c r="H33" i="5" s="1"/>
  <c r="I33" i="5"/>
  <c r="J33" i="5" l="1"/>
  <c r="K33" i="5" s="1"/>
  <c r="H34" i="5" s="1"/>
  <c r="I34" i="5" s="1"/>
  <c r="J34" i="5" l="1"/>
  <c r="K34" i="5" s="1"/>
  <c r="H35" i="5" s="1"/>
  <c r="I35" i="5" s="1"/>
  <c r="J35" i="5" l="1"/>
  <c r="K35" i="5" s="1"/>
  <c r="H36" i="5" s="1"/>
  <c r="I36" i="5"/>
  <c r="J36" i="5" l="1"/>
  <c r="K36" i="5" s="1"/>
  <c r="H37" i="5" s="1"/>
  <c r="I37" i="5"/>
  <c r="J37" i="5" l="1"/>
  <c r="K37" i="5" s="1"/>
  <c r="H38" i="5" s="1"/>
  <c r="I38" i="5"/>
  <c r="J38" i="5" l="1"/>
  <c r="K38" i="5" s="1"/>
  <c r="H39" i="5" s="1"/>
  <c r="I39" i="5"/>
  <c r="J39" i="5" l="1"/>
  <c r="K39" i="5" s="1"/>
  <c r="H40" i="5" s="1"/>
  <c r="I40" i="5"/>
  <c r="J40" i="5" l="1"/>
  <c r="K40" i="5" s="1"/>
  <c r="H41" i="5" s="1"/>
  <c r="I41" i="5" s="1"/>
  <c r="J41" i="5" l="1"/>
  <c r="K41" i="5" s="1"/>
  <c r="H42" i="5" s="1"/>
  <c r="I42" i="5"/>
  <c r="J42" i="5" l="1"/>
  <c r="K42" i="5" s="1"/>
  <c r="H43" i="5" s="1"/>
  <c r="I43" i="5"/>
  <c r="J43" i="5" l="1"/>
  <c r="K43" i="5" s="1"/>
  <c r="H44" i="5" s="1"/>
  <c r="I44" i="5"/>
  <c r="J44" i="5" l="1"/>
  <c r="K44" i="5" s="1"/>
  <c r="H45" i="5" s="1"/>
  <c r="I45" i="5"/>
  <c r="J45" i="5" l="1"/>
  <c r="K45" i="5" s="1"/>
  <c r="H46" i="5" s="1"/>
  <c r="I46" i="5"/>
  <c r="J46" i="5" l="1"/>
  <c r="K46" i="5" s="1"/>
  <c r="H47" i="5" s="1"/>
  <c r="I47" i="5"/>
  <c r="J47" i="5" l="1"/>
  <c r="K47" i="5" s="1"/>
  <c r="H48" i="5" s="1"/>
  <c r="I48" i="5"/>
  <c r="J48" i="5" l="1"/>
  <c r="K48" i="5" s="1"/>
  <c r="H49" i="5" s="1"/>
  <c r="I49" i="5"/>
  <c r="J49" i="5" l="1"/>
  <c r="K49" i="5" s="1"/>
  <c r="H50" i="5" s="1"/>
  <c r="I50" i="5"/>
  <c r="J50" i="5" l="1"/>
  <c r="K50" i="5" s="1"/>
  <c r="H51" i="5" s="1"/>
  <c r="I51" i="5"/>
  <c r="J51" i="5" l="1"/>
  <c r="K51" i="5" s="1"/>
  <c r="H52" i="5" s="1"/>
  <c r="I52" i="5"/>
  <c r="J52" i="5" l="1"/>
  <c r="K52" i="5" s="1"/>
  <c r="H53" i="5" s="1"/>
  <c r="I53" i="5" s="1"/>
  <c r="J53" i="5" l="1"/>
  <c r="K53" i="5" s="1"/>
  <c r="H54" i="5" s="1"/>
  <c r="I54" i="5" s="1"/>
  <c r="J54" i="5" l="1"/>
  <c r="K54" i="5" s="1"/>
  <c r="H55" i="5" s="1"/>
  <c r="I55" i="5" s="1"/>
  <c r="J55" i="5" l="1"/>
  <c r="K55" i="5" s="1"/>
  <c r="H56" i="5" s="1"/>
  <c r="I56" i="5" s="1"/>
  <c r="J56" i="5" l="1"/>
  <c r="K56" i="5" s="1"/>
  <c r="H57" i="5" s="1"/>
  <c r="I57" i="5"/>
  <c r="J57" i="5" l="1"/>
  <c r="K57" i="5" s="1"/>
  <c r="H58" i="5" s="1"/>
  <c r="I58" i="5" s="1"/>
  <c r="J58" i="5" l="1"/>
  <c r="K58" i="5" s="1"/>
  <c r="H59" i="5" s="1"/>
  <c r="I59" i="5" s="1"/>
  <c r="J59" i="5" l="1"/>
  <c r="K59" i="5" s="1"/>
  <c r="H60" i="5" s="1"/>
  <c r="I60" i="5" s="1"/>
  <c r="J60" i="5" l="1"/>
  <c r="K60" i="5" s="1"/>
  <c r="H61" i="5" s="1"/>
  <c r="I61" i="5" s="1"/>
  <c r="J61" i="5" l="1"/>
  <c r="K61" i="5" s="1"/>
  <c r="H62" i="5" s="1"/>
  <c r="I62" i="5"/>
  <c r="J62" i="5" l="1"/>
  <c r="K62" i="5" s="1"/>
  <c r="H63" i="5" s="1"/>
  <c r="I63" i="5" s="1"/>
  <c r="J63" i="5" l="1"/>
  <c r="K63" i="5" s="1"/>
  <c r="H64" i="5" s="1"/>
  <c r="I64" i="5"/>
  <c r="J64" i="5" l="1"/>
  <c r="K64" i="5" s="1"/>
  <c r="H65" i="5" s="1"/>
  <c r="I65" i="5"/>
  <c r="J65" i="5" l="1"/>
  <c r="K65" i="5" s="1"/>
  <c r="H66" i="5" s="1"/>
  <c r="I66" i="5"/>
  <c r="J66" i="5" l="1"/>
  <c r="K66" i="5" s="1"/>
  <c r="H67" i="5" s="1"/>
  <c r="I67" i="5"/>
  <c r="J67" i="5" l="1"/>
  <c r="K67" i="5" s="1"/>
  <c r="H68" i="5" s="1"/>
  <c r="I68" i="5"/>
  <c r="J68" i="5" l="1"/>
  <c r="K68" i="5" s="1"/>
  <c r="H69" i="5" s="1"/>
  <c r="I69" i="5" s="1"/>
  <c r="J69" i="5" l="1"/>
  <c r="K69" i="5" s="1"/>
  <c r="H70" i="5" s="1"/>
  <c r="I70" i="5" s="1"/>
  <c r="J70" i="5" l="1"/>
  <c r="K70" i="5" s="1"/>
  <c r="H71" i="5" s="1"/>
  <c r="I71" i="5"/>
  <c r="J71" i="5" l="1"/>
  <c r="K71" i="5" s="1"/>
  <c r="H72" i="5" s="1"/>
  <c r="I72" i="5"/>
  <c r="J72" i="5" l="1"/>
  <c r="K72" i="5" s="1"/>
  <c r="H73" i="5" s="1"/>
  <c r="I73" i="5" s="1"/>
  <c r="J73" i="5" l="1"/>
  <c r="K73" i="5" s="1"/>
  <c r="H74" i="5" s="1"/>
  <c r="I74" i="5"/>
  <c r="J74" i="5" l="1"/>
  <c r="K74" i="5" s="1"/>
  <c r="H75" i="5" s="1"/>
  <c r="I75" i="5"/>
  <c r="J75" i="5" l="1"/>
  <c r="K75" i="5" s="1"/>
  <c r="H76" i="5" s="1"/>
  <c r="I76" i="5"/>
  <c r="J76" i="5" l="1"/>
  <c r="K76" i="5" s="1"/>
  <c r="H77" i="5" s="1"/>
  <c r="I77" i="5"/>
  <c r="J77" i="5" l="1"/>
  <c r="K77" i="5" s="1"/>
  <c r="H78" i="5" s="1"/>
  <c r="I78" i="5" s="1"/>
  <c r="J78" i="5" l="1"/>
  <c r="K78" i="5" s="1"/>
  <c r="H79" i="5" s="1"/>
  <c r="I79" i="5" s="1"/>
  <c r="J79" i="5" l="1"/>
  <c r="K79" i="5" s="1"/>
  <c r="H80" i="5" s="1"/>
  <c r="I80" i="5" s="1"/>
  <c r="J80" i="5" l="1"/>
  <c r="K80" i="5" s="1"/>
  <c r="H81" i="5" s="1"/>
  <c r="I81" i="5" s="1"/>
  <c r="J81" i="5" l="1"/>
  <c r="K81" i="5" s="1"/>
  <c r="H82" i="5" s="1"/>
  <c r="I82" i="5" s="1"/>
  <c r="J82" i="5" l="1"/>
  <c r="K82" i="5" s="1"/>
  <c r="H83" i="5" s="1"/>
  <c r="I83" i="5" s="1"/>
  <c r="J83" i="5" l="1"/>
  <c r="K83" i="5" s="1"/>
  <c r="H84" i="5" s="1"/>
  <c r="I84" i="5"/>
  <c r="J84" i="5" l="1"/>
  <c r="K84" i="5" s="1"/>
  <c r="H85" i="5" s="1"/>
  <c r="I85" i="5" s="1"/>
  <c r="J85" i="5" l="1"/>
  <c r="K85" i="5" s="1"/>
  <c r="H86" i="5" s="1"/>
  <c r="I86" i="5"/>
  <c r="J86" i="5" l="1"/>
  <c r="K86" i="5" s="1"/>
  <c r="H87" i="5" s="1"/>
  <c r="I87" i="5"/>
  <c r="J87" i="5" l="1"/>
  <c r="K87" i="5" s="1"/>
  <c r="H88" i="5" s="1"/>
  <c r="I88" i="5"/>
  <c r="J88" i="5" l="1"/>
  <c r="K88" i="5" s="1"/>
  <c r="H89" i="5" s="1"/>
  <c r="I89" i="5"/>
  <c r="J89" i="5" l="1"/>
  <c r="K89" i="5" s="1"/>
  <c r="H90" i="5" s="1"/>
  <c r="I90" i="5" s="1"/>
  <c r="J90" i="5" l="1"/>
  <c r="K90" i="5" s="1"/>
  <c r="H91" i="5" s="1"/>
  <c r="I91" i="5"/>
  <c r="J91" i="5" l="1"/>
  <c r="K91" i="5" s="1"/>
  <c r="H92" i="5" s="1"/>
  <c r="I92" i="5" s="1"/>
  <c r="J92" i="5" l="1"/>
  <c r="K92" i="5" s="1"/>
  <c r="H93" i="5" s="1"/>
  <c r="I93" i="5" s="1"/>
  <c r="J93" i="5" l="1"/>
  <c r="K93" i="5" s="1"/>
  <c r="H94" i="5" s="1"/>
  <c r="I94" i="5" s="1"/>
  <c r="J94" i="5" l="1"/>
  <c r="K94" i="5" s="1"/>
  <c r="H95" i="5" s="1"/>
  <c r="I95" i="5"/>
  <c r="J95" i="5" l="1"/>
  <c r="K95" i="5" s="1"/>
  <c r="H96" i="5" s="1"/>
  <c r="I96" i="5" s="1"/>
  <c r="J96" i="5" l="1"/>
  <c r="K96" i="5" s="1"/>
  <c r="H97" i="5" s="1"/>
  <c r="I97" i="5" s="1"/>
  <c r="J97" i="5" l="1"/>
  <c r="K97" i="5" s="1"/>
  <c r="H98" i="5" s="1"/>
  <c r="I98" i="5"/>
  <c r="J98" i="5" l="1"/>
  <c r="K98" i="5" s="1"/>
  <c r="H99" i="5" s="1"/>
  <c r="I99" i="5"/>
  <c r="J99" i="5" l="1"/>
  <c r="K99" i="5" s="1"/>
  <c r="H100" i="5" s="1"/>
  <c r="I100" i="5"/>
  <c r="J100" i="5" l="1"/>
  <c r="K100" i="5" s="1"/>
  <c r="H101" i="5" s="1"/>
  <c r="I101" i="5"/>
  <c r="J101" i="5" l="1"/>
  <c r="K101" i="5" s="1"/>
  <c r="H102" i="5" s="1"/>
  <c r="I102" i="5" s="1"/>
  <c r="J102" i="5" l="1"/>
  <c r="K102" i="5" s="1"/>
  <c r="H103" i="5" s="1"/>
  <c r="I103" i="5" s="1"/>
  <c r="J103" i="5" l="1"/>
  <c r="K103" i="5" s="1"/>
  <c r="H104" i="5" s="1"/>
  <c r="I104" i="5" s="1"/>
  <c r="J104" i="5" l="1"/>
  <c r="K104" i="5" s="1"/>
  <c r="H105" i="5" s="1"/>
  <c r="I105" i="5" s="1"/>
  <c r="J105" i="5" l="1"/>
  <c r="K105" i="5" s="1"/>
  <c r="H106" i="5" s="1"/>
  <c r="I106" i="5"/>
  <c r="J106" i="5" l="1"/>
  <c r="K106" i="5" s="1"/>
  <c r="H107" i="5" s="1"/>
  <c r="I107" i="5"/>
  <c r="J107" i="5" l="1"/>
  <c r="K107" i="5" s="1"/>
  <c r="H108" i="5" s="1"/>
  <c r="I108" i="5"/>
  <c r="J108" i="5" l="1"/>
  <c r="K108" i="5" s="1"/>
  <c r="H109" i="5" s="1"/>
  <c r="I109" i="5" s="1"/>
  <c r="J109" i="5" l="1"/>
  <c r="K109" i="5" s="1"/>
  <c r="H110" i="5" s="1"/>
  <c r="I110" i="5"/>
  <c r="J110" i="5" l="1"/>
  <c r="K110" i="5" s="1"/>
  <c r="H111" i="5" s="1"/>
  <c r="I111" i="5"/>
  <c r="J111" i="5" l="1"/>
  <c r="K111" i="5" s="1"/>
  <c r="H112" i="5" s="1"/>
  <c r="I112" i="5"/>
  <c r="J112" i="5" l="1"/>
  <c r="K112" i="5" s="1"/>
  <c r="H113" i="5" s="1"/>
  <c r="I113" i="5" s="1"/>
  <c r="J113" i="5" l="1"/>
  <c r="K113" i="5" s="1"/>
  <c r="H114" i="5" s="1"/>
  <c r="I114" i="5"/>
  <c r="J114" i="5" l="1"/>
  <c r="K114" i="5" s="1"/>
  <c r="H115" i="5" s="1"/>
  <c r="I115" i="5"/>
  <c r="J115" i="5" l="1"/>
  <c r="K115" i="5" s="1"/>
  <c r="H116" i="5" s="1"/>
  <c r="I116" i="5" s="1"/>
  <c r="J116" i="5" l="1"/>
  <c r="K116" i="5" s="1"/>
  <c r="H117" i="5" s="1"/>
  <c r="I117" i="5"/>
  <c r="J117" i="5" l="1"/>
  <c r="K117" i="5" s="1"/>
  <c r="H118" i="5" s="1"/>
  <c r="I118" i="5" s="1"/>
  <c r="J118" i="5" l="1"/>
  <c r="K118" i="5" s="1"/>
  <c r="H119" i="5" s="1"/>
  <c r="I119" i="5"/>
  <c r="J119" i="5" l="1"/>
  <c r="K119" i="5" s="1"/>
  <c r="H120" i="5" s="1"/>
  <c r="I120" i="5"/>
  <c r="J120" i="5" l="1"/>
  <c r="K120" i="5" s="1"/>
  <c r="H121" i="5" s="1"/>
  <c r="I121" i="5"/>
  <c r="J121" i="5" l="1"/>
  <c r="K121" i="5" s="1"/>
  <c r="H122" i="5" s="1"/>
  <c r="I122" i="5"/>
  <c r="J122" i="5" l="1"/>
  <c r="K122" i="5" s="1"/>
  <c r="H123" i="5" s="1"/>
  <c r="I123" i="5"/>
  <c r="J123" i="5" l="1"/>
  <c r="K123" i="5" s="1"/>
  <c r="H124" i="5" s="1"/>
  <c r="I124" i="5"/>
  <c r="J124" i="5" l="1"/>
  <c r="K124" i="5" s="1"/>
  <c r="H125" i="5" s="1"/>
  <c r="I125" i="5"/>
  <c r="J125" i="5" l="1"/>
  <c r="K125" i="5" s="1"/>
  <c r="H126" i="5" s="1"/>
  <c r="I126" i="5"/>
  <c r="J126" i="5" l="1"/>
  <c r="K126" i="5" s="1"/>
  <c r="H127" i="5" s="1"/>
  <c r="I127" i="5" s="1"/>
  <c r="J127" i="5" l="1"/>
  <c r="K127" i="5" s="1"/>
  <c r="H128" i="5" s="1"/>
  <c r="I128" i="5"/>
  <c r="J128" i="5" l="1"/>
  <c r="K128" i="5" s="1"/>
  <c r="H129" i="5" s="1"/>
  <c r="I129" i="5" s="1"/>
  <c r="J129" i="5" l="1"/>
  <c r="K129" i="5" s="1"/>
  <c r="H130" i="5" s="1"/>
  <c r="I130" i="5" s="1"/>
  <c r="J130" i="5" l="1"/>
  <c r="K130" i="5" s="1"/>
  <c r="H131" i="5" s="1"/>
  <c r="I131" i="5" s="1"/>
  <c r="J131" i="5" l="1"/>
  <c r="K131" i="5" s="1"/>
  <c r="H132" i="5" s="1"/>
  <c r="I132" i="5" s="1"/>
  <c r="J132" i="5" l="1"/>
  <c r="K132" i="5" s="1"/>
  <c r="H133" i="5" s="1"/>
  <c r="I133" i="5"/>
  <c r="J133" i="5" l="1"/>
  <c r="K133" i="5" s="1"/>
  <c r="H134" i="5" s="1"/>
  <c r="I134" i="5" s="1"/>
  <c r="J134" i="5" l="1"/>
  <c r="K134" i="5" s="1"/>
  <c r="H135" i="5" s="1"/>
  <c r="I135" i="5"/>
  <c r="J135" i="5" l="1"/>
  <c r="K135" i="5" s="1"/>
  <c r="H136" i="5" s="1"/>
  <c r="I136" i="5"/>
  <c r="J136" i="5" l="1"/>
  <c r="K136" i="5" s="1"/>
  <c r="H137" i="5" s="1"/>
  <c r="I137" i="5"/>
  <c r="J137" i="5" l="1"/>
  <c r="K137" i="5" s="1"/>
  <c r="H138" i="5" s="1"/>
  <c r="I138" i="5" s="1"/>
  <c r="J138" i="5" l="1"/>
  <c r="K138" i="5" s="1"/>
  <c r="H139" i="5" s="1"/>
  <c r="I139" i="5"/>
  <c r="J139" i="5" l="1"/>
  <c r="K139" i="5" s="1"/>
  <c r="H140" i="5" s="1"/>
  <c r="I140" i="5"/>
  <c r="J140" i="5" l="1"/>
  <c r="K140" i="5" s="1"/>
  <c r="H141" i="5" s="1"/>
  <c r="I141" i="5" s="1"/>
  <c r="J141" i="5" l="1"/>
  <c r="K141" i="5" s="1"/>
  <c r="H142" i="5" s="1"/>
  <c r="I142" i="5"/>
  <c r="J142" i="5" l="1"/>
  <c r="K142" i="5" s="1"/>
  <c r="H143" i="5" s="1"/>
  <c r="I143" i="5" s="1"/>
  <c r="J143" i="5" l="1"/>
  <c r="K143" i="5" s="1"/>
  <c r="H144" i="5" s="1"/>
  <c r="I144" i="5" s="1"/>
  <c r="J144" i="5" l="1"/>
  <c r="K144" i="5" s="1"/>
  <c r="H145" i="5" s="1"/>
  <c r="I145" i="5" s="1"/>
  <c r="J145" i="5" l="1"/>
  <c r="K145" i="5" s="1"/>
  <c r="H146" i="5" s="1"/>
  <c r="I146" i="5"/>
  <c r="J146" i="5" l="1"/>
  <c r="K146" i="5" s="1"/>
  <c r="H147" i="5" s="1"/>
  <c r="I147" i="5" s="1"/>
  <c r="J147" i="5" l="1"/>
  <c r="K147" i="5" s="1"/>
  <c r="H148" i="5" s="1"/>
  <c r="I148" i="5"/>
  <c r="J148" i="5" l="1"/>
  <c r="K148" i="5" s="1"/>
  <c r="H149" i="5" s="1"/>
  <c r="I149" i="5" s="1"/>
  <c r="J149" i="5" l="1"/>
  <c r="K149" i="5" s="1"/>
  <c r="H150" i="5" s="1"/>
  <c r="I150" i="5"/>
  <c r="J150" i="5" l="1"/>
  <c r="K150" i="5" s="1"/>
  <c r="H151" i="5" s="1"/>
  <c r="I151" i="5"/>
  <c r="J151" i="5" l="1"/>
  <c r="K151" i="5" s="1"/>
  <c r="H152" i="5" s="1"/>
  <c r="I152" i="5"/>
  <c r="J152" i="5" l="1"/>
  <c r="K152" i="5" s="1"/>
  <c r="H153" i="5" s="1"/>
  <c r="I153" i="5"/>
  <c r="J153" i="5" l="1"/>
  <c r="K153" i="5" s="1"/>
  <c r="H154" i="5" s="1"/>
  <c r="I154" i="5" s="1"/>
  <c r="J154" i="5" l="1"/>
  <c r="K154" i="5" s="1"/>
  <c r="H155" i="5" s="1"/>
  <c r="I155" i="5"/>
  <c r="J155" i="5" l="1"/>
  <c r="K155" i="5" s="1"/>
  <c r="H156" i="5" s="1"/>
  <c r="I156" i="5"/>
  <c r="J156" i="5" l="1"/>
  <c r="K156" i="5" s="1"/>
  <c r="H157" i="5" s="1"/>
  <c r="I157" i="5"/>
  <c r="J157" i="5" l="1"/>
  <c r="K157" i="5" s="1"/>
  <c r="H158" i="5" s="1"/>
  <c r="I158" i="5" s="1"/>
  <c r="J158" i="5" l="1"/>
  <c r="K158" i="5" s="1"/>
  <c r="H159" i="5" s="1"/>
  <c r="I159" i="5"/>
  <c r="J159" i="5" l="1"/>
  <c r="K159" i="5" s="1"/>
  <c r="H160" i="5" s="1"/>
  <c r="I160" i="5"/>
  <c r="J160" i="5" l="1"/>
  <c r="K160" i="5" s="1"/>
  <c r="H161" i="5" s="1"/>
  <c r="I161" i="5"/>
  <c r="J161" i="5" l="1"/>
  <c r="K161" i="5" s="1"/>
  <c r="H162" i="5" s="1"/>
  <c r="I162" i="5"/>
  <c r="J162" i="5" l="1"/>
  <c r="K162" i="5" s="1"/>
  <c r="H163" i="5" s="1"/>
  <c r="I163" i="5"/>
  <c r="J163" i="5" l="1"/>
  <c r="K163" i="5" s="1"/>
  <c r="H164" i="5" s="1"/>
  <c r="I164" i="5"/>
  <c r="J164" i="5" l="1"/>
  <c r="K164" i="5" s="1"/>
  <c r="H165" i="5" s="1"/>
  <c r="I165" i="5" s="1"/>
  <c r="J165" i="5" l="1"/>
  <c r="K165" i="5" s="1"/>
  <c r="H166" i="5" s="1"/>
  <c r="I166" i="5"/>
  <c r="J166" i="5" l="1"/>
  <c r="K166" i="5" s="1"/>
  <c r="H167" i="5" s="1"/>
  <c r="I167" i="5"/>
  <c r="J167" i="5" l="1"/>
  <c r="K167" i="5" s="1"/>
  <c r="H168" i="5" s="1"/>
  <c r="I168" i="5"/>
  <c r="J168" i="5" l="1"/>
  <c r="K168" i="5" s="1"/>
  <c r="H169" i="5" s="1"/>
  <c r="I169" i="5"/>
  <c r="J169" i="5" l="1"/>
  <c r="K169" i="5" s="1"/>
  <c r="H170" i="5" s="1"/>
  <c r="I170" i="5"/>
  <c r="J170" i="5" l="1"/>
  <c r="K170" i="5" s="1"/>
  <c r="H171" i="5" s="1"/>
  <c r="I171" i="5"/>
  <c r="J171" i="5" l="1"/>
  <c r="K171" i="5" s="1"/>
  <c r="H172" i="5" s="1"/>
  <c r="I172" i="5" s="1"/>
  <c r="J172" i="5" l="1"/>
  <c r="K172" i="5" s="1"/>
  <c r="H173" i="5" s="1"/>
  <c r="I173" i="5" s="1"/>
  <c r="J173" i="5" l="1"/>
  <c r="K173" i="5" s="1"/>
  <c r="H174" i="5" s="1"/>
  <c r="I174" i="5"/>
  <c r="J174" i="5" l="1"/>
  <c r="K174" i="5" s="1"/>
  <c r="H175" i="5" s="1"/>
  <c r="I175" i="5"/>
  <c r="J175" i="5" l="1"/>
  <c r="K175" i="5" s="1"/>
  <c r="H176" i="5" s="1"/>
  <c r="I176" i="5"/>
  <c r="J176" i="5" l="1"/>
  <c r="K176" i="5" s="1"/>
  <c r="H177" i="5" s="1"/>
  <c r="I177" i="5"/>
  <c r="J177" i="5" l="1"/>
  <c r="K177" i="5" s="1"/>
  <c r="H178" i="5" s="1"/>
  <c r="I178" i="5"/>
  <c r="J178" i="5" l="1"/>
  <c r="K178" i="5" s="1"/>
  <c r="H179" i="5" s="1"/>
  <c r="I179" i="5"/>
  <c r="J179" i="5" l="1"/>
  <c r="K179" i="5" s="1"/>
  <c r="H180" i="5" s="1"/>
  <c r="I180" i="5"/>
  <c r="J180" i="5" l="1"/>
  <c r="K180" i="5" s="1"/>
  <c r="H181" i="5" s="1"/>
  <c r="I181" i="5"/>
  <c r="J181" i="5" l="1"/>
  <c r="K181" i="5" s="1"/>
  <c r="H182" i="5" s="1"/>
  <c r="I182" i="5"/>
  <c r="J182" i="5" l="1"/>
  <c r="K182" i="5" s="1"/>
  <c r="H183" i="5" s="1"/>
  <c r="I183" i="5" s="1"/>
  <c r="J183" i="5" l="1"/>
  <c r="K183" i="5" s="1"/>
  <c r="H184" i="5" s="1"/>
  <c r="I184" i="5"/>
  <c r="J184" i="5" l="1"/>
  <c r="K184" i="5" s="1"/>
  <c r="H185" i="5" s="1"/>
  <c r="I185" i="5"/>
  <c r="J185" i="5" l="1"/>
  <c r="K185" i="5" s="1"/>
  <c r="H186" i="5" s="1"/>
  <c r="I186" i="5"/>
  <c r="J186" i="5" l="1"/>
  <c r="K186" i="5" s="1"/>
  <c r="H187" i="5" s="1"/>
  <c r="I187" i="5"/>
  <c r="J187" i="5" l="1"/>
  <c r="K187" i="5" s="1"/>
  <c r="H188" i="5" s="1"/>
  <c r="I188" i="5"/>
  <c r="J188" i="5" l="1"/>
  <c r="K188" i="5" s="1"/>
  <c r="H189" i="5" s="1"/>
  <c r="I189" i="5"/>
  <c r="J189" i="5" l="1"/>
  <c r="K189" i="5" s="1"/>
  <c r="H190" i="5" s="1"/>
  <c r="I190" i="5"/>
  <c r="J190" i="5" l="1"/>
  <c r="K190" i="5" s="1"/>
  <c r="H191" i="5" s="1"/>
  <c r="I191" i="5"/>
  <c r="J191" i="5" l="1"/>
  <c r="K191" i="5" s="1"/>
  <c r="H192" i="5" s="1"/>
  <c r="I192" i="5"/>
  <c r="J192" i="5" l="1"/>
  <c r="K192" i="5" s="1"/>
  <c r="H193" i="5" s="1"/>
  <c r="I193" i="5"/>
  <c r="J193" i="5" l="1"/>
  <c r="K193" i="5" s="1"/>
  <c r="H194" i="5" s="1"/>
  <c r="I194" i="5"/>
  <c r="J194" i="5" l="1"/>
  <c r="K194" i="5" s="1"/>
  <c r="H195" i="5" s="1"/>
  <c r="I195" i="5"/>
  <c r="J195" i="5" l="1"/>
  <c r="K195" i="5" s="1"/>
  <c r="H196" i="5" s="1"/>
  <c r="I196" i="5"/>
  <c r="J196" i="5" l="1"/>
  <c r="K196" i="5" s="1"/>
  <c r="H197" i="5" s="1"/>
  <c r="I197" i="5"/>
  <c r="J197" i="5" l="1"/>
  <c r="K197" i="5" s="1"/>
  <c r="H198" i="5" s="1"/>
  <c r="I198" i="5"/>
  <c r="J198" i="5" l="1"/>
  <c r="K198" i="5" s="1"/>
  <c r="H199" i="5" s="1"/>
  <c r="I199" i="5"/>
  <c r="J199" i="5" l="1"/>
  <c r="K199" i="5" s="1"/>
  <c r="H200" i="5" s="1"/>
  <c r="I200" i="5"/>
  <c r="J200" i="5" l="1"/>
  <c r="K200" i="5" s="1"/>
  <c r="H201" i="5" s="1"/>
  <c r="I201" i="5"/>
  <c r="J201" i="5" l="1"/>
  <c r="K201" i="5" s="1"/>
  <c r="H202" i="5" s="1"/>
  <c r="I202" i="5"/>
  <c r="J202" i="5" l="1"/>
  <c r="K202" i="5" s="1"/>
  <c r="H203" i="5" s="1"/>
  <c r="I203" i="5"/>
  <c r="J203" i="5" l="1"/>
  <c r="K203" i="5" s="1"/>
  <c r="H204" i="5" s="1"/>
  <c r="I204" i="5"/>
  <c r="J204" i="5" l="1"/>
  <c r="K204" i="5" s="1"/>
  <c r="H205" i="5" s="1"/>
  <c r="I205" i="5"/>
  <c r="J205" i="5" l="1"/>
  <c r="K205" i="5" s="1"/>
  <c r="H206" i="5" s="1"/>
  <c r="I206" i="5"/>
  <c r="J206" i="5" l="1"/>
  <c r="K206" i="5" s="1"/>
  <c r="H207" i="5" s="1"/>
  <c r="I207" i="5"/>
  <c r="J207" i="5" l="1"/>
  <c r="K207" i="5" s="1"/>
  <c r="H208" i="5" s="1"/>
  <c r="I208" i="5"/>
  <c r="J208" i="5" l="1"/>
  <c r="K208" i="5" s="1"/>
  <c r="H209" i="5" s="1"/>
  <c r="I209" i="5"/>
  <c r="J209" i="5" l="1"/>
  <c r="K209" i="5" s="1"/>
  <c r="H210" i="5" s="1"/>
  <c r="I210" i="5"/>
  <c r="J210" i="5" l="1"/>
  <c r="K210" i="5" s="1"/>
  <c r="H211" i="5" s="1"/>
  <c r="I211" i="5"/>
  <c r="J211" i="5" l="1"/>
  <c r="K211" i="5" s="1"/>
  <c r="H212" i="5" s="1"/>
  <c r="I212" i="5"/>
  <c r="J212" i="5" l="1"/>
  <c r="K212" i="5" s="1"/>
  <c r="H213" i="5" s="1"/>
  <c r="I213" i="5"/>
  <c r="J213" i="5" l="1"/>
  <c r="K213" i="5" s="1"/>
  <c r="H214" i="5" s="1"/>
  <c r="I214" i="5"/>
  <c r="J214" i="5" l="1"/>
  <c r="K214" i="5" s="1"/>
  <c r="H215" i="5" s="1"/>
  <c r="I215" i="5"/>
  <c r="J215" i="5" l="1"/>
  <c r="K215" i="5" s="1"/>
  <c r="H216" i="5" s="1"/>
  <c r="I216" i="5"/>
  <c r="J216" i="5" l="1"/>
  <c r="K216" i="5" s="1"/>
  <c r="H217" i="5" s="1"/>
  <c r="I217" i="5"/>
  <c r="J217" i="5" l="1"/>
  <c r="K217" i="5" s="1"/>
  <c r="H218" i="5" s="1"/>
  <c r="I218" i="5"/>
  <c r="J218" i="5" l="1"/>
  <c r="K218" i="5" s="1"/>
  <c r="H219" i="5" s="1"/>
  <c r="I219" i="5"/>
  <c r="J219" i="5" l="1"/>
  <c r="K219" i="5" s="1"/>
  <c r="H220" i="5" s="1"/>
  <c r="I220" i="5"/>
  <c r="J220" i="5" l="1"/>
  <c r="K220" i="5" s="1"/>
  <c r="H221" i="5" s="1"/>
  <c r="I221" i="5"/>
  <c r="J221" i="5" l="1"/>
  <c r="K221" i="5" s="1"/>
  <c r="H222" i="5" s="1"/>
  <c r="I222" i="5"/>
  <c r="J222" i="5" l="1"/>
  <c r="K222" i="5" s="1"/>
  <c r="H223" i="5" s="1"/>
  <c r="I223" i="5"/>
  <c r="J223" i="5" l="1"/>
  <c r="K223" i="5" s="1"/>
  <c r="H224" i="5" s="1"/>
  <c r="I224" i="5" s="1"/>
  <c r="J224" i="5" l="1"/>
  <c r="K224" i="5" s="1"/>
  <c r="H225" i="5" s="1"/>
  <c r="I225" i="5"/>
  <c r="J225" i="5" l="1"/>
  <c r="K225" i="5" s="1"/>
  <c r="H226" i="5" s="1"/>
  <c r="I226" i="5"/>
  <c r="J226" i="5" l="1"/>
  <c r="K226" i="5" s="1"/>
  <c r="H227" i="5" s="1"/>
  <c r="I227" i="5"/>
  <c r="J227" i="5" l="1"/>
  <c r="K227" i="5" s="1"/>
  <c r="H228" i="5" s="1"/>
  <c r="I228" i="5"/>
  <c r="J228" i="5" l="1"/>
  <c r="K228" i="5" s="1"/>
  <c r="H229" i="5" s="1"/>
  <c r="I229" i="5" s="1"/>
  <c r="J229" i="5" l="1"/>
  <c r="K229" i="5" s="1"/>
  <c r="H230" i="5" s="1"/>
  <c r="I230" i="5"/>
  <c r="J230" i="5" l="1"/>
  <c r="K230" i="5" s="1"/>
  <c r="H231" i="5" s="1"/>
  <c r="I231" i="5" s="1"/>
  <c r="J231" i="5" l="1"/>
  <c r="K231" i="5" s="1"/>
  <c r="H232" i="5" s="1"/>
  <c r="I232" i="5"/>
  <c r="J232" i="5" l="1"/>
  <c r="K232" i="5" s="1"/>
  <c r="H233" i="5" s="1"/>
  <c r="I233" i="5"/>
  <c r="J233" i="5" l="1"/>
  <c r="K233" i="5" s="1"/>
  <c r="H234" i="5" s="1"/>
  <c r="I234" i="5"/>
  <c r="J234" i="5" l="1"/>
  <c r="K234" i="5" s="1"/>
  <c r="H235" i="5" s="1"/>
  <c r="I235" i="5"/>
  <c r="J235" i="5" l="1"/>
  <c r="K235" i="5" s="1"/>
  <c r="H236" i="5" s="1"/>
  <c r="I236" i="5"/>
  <c r="J236" i="5" l="1"/>
  <c r="K236" i="5" s="1"/>
  <c r="H237" i="5" s="1"/>
  <c r="I237" i="5"/>
  <c r="J237" i="5" l="1"/>
  <c r="K237" i="5" s="1"/>
  <c r="H238" i="5" s="1"/>
  <c r="I238" i="5" s="1"/>
  <c r="J238" i="5" l="1"/>
  <c r="K238" i="5" s="1"/>
  <c r="H239" i="5" s="1"/>
  <c r="I239" i="5" s="1"/>
  <c r="J239" i="5" l="1"/>
  <c r="K239" i="5" s="1"/>
  <c r="H240" i="5" s="1"/>
  <c r="I240" i="5"/>
  <c r="J240" i="5" l="1"/>
  <c r="K240" i="5" s="1"/>
  <c r="H241" i="5" s="1"/>
  <c r="I241" i="5"/>
  <c r="J241" i="5" l="1"/>
  <c r="K241" i="5" s="1"/>
  <c r="H242" i="5" s="1"/>
  <c r="I242" i="5" s="1"/>
  <c r="J242" i="5" l="1"/>
  <c r="K242" i="5" s="1"/>
  <c r="H243" i="5" s="1"/>
  <c r="I243" i="5"/>
  <c r="J243" i="5" l="1"/>
  <c r="K243" i="5" s="1"/>
  <c r="H244" i="5" s="1"/>
  <c r="I244" i="5"/>
  <c r="J244" i="5" l="1"/>
  <c r="K244" i="5" s="1"/>
  <c r="H245" i="5" s="1"/>
  <c r="I245" i="5"/>
  <c r="J245" i="5" l="1"/>
  <c r="K245" i="5" s="1"/>
  <c r="H246" i="5" s="1"/>
  <c r="I246" i="5"/>
  <c r="J246" i="5" l="1"/>
  <c r="K246" i="5" s="1"/>
  <c r="H247" i="5" s="1"/>
  <c r="I247" i="5"/>
  <c r="J247" i="5" l="1"/>
  <c r="K247" i="5" s="1"/>
  <c r="H248" i="5" s="1"/>
  <c r="I248" i="5"/>
  <c r="J248" i="5" l="1"/>
  <c r="K248" i="5" s="1"/>
  <c r="H249" i="5" s="1"/>
  <c r="I249" i="5"/>
  <c r="J249" i="5" l="1"/>
  <c r="K249" i="5" s="1"/>
  <c r="H250" i="5" s="1"/>
  <c r="I250" i="5"/>
  <c r="J250" i="5" l="1"/>
  <c r="K250" i="5" s="1"/>
  <c r="H251" i="5" s="1"/>
  <c r="I251" i="5" s="1"/>
  <c r="J251" i="5" l="1"/>
  <c r="K251" i="5" s="1"/>
  <c r="H252" i="5" s="1"/>
  <c r="I252" i="5"/>
  <c r="J252" i="5" l="1"/>
  <c r="K252" i="5" s="1"/>
  <c r="H253" i="5" s="1"/>
  <c r="I253" i="5"/>
  <c r="J253" i="5" l="1"/>
  <c r="K253" i="5" s="1"/>
  <c r="H254" i="5" s="1"/>
  <c r="I254" i="5" s="1"/>
  <c r="J254" i="5" l="1"/>
  <c r="K254" i="5" s="1"/>
  <c r="H255" i="5" s="1"/>
  <c r="I255" i="5"/>
  <c r="J255" i="5" l="1"/>
  <c r="K255" i="5" s="1"/>
  <c r="H256" i="5" s="1"/>
  <c r="I256" i="5"/>
  <c r="J256" i="5" l="1"/>
  <c r="K256" i="5" s="1"/>
  <c r="H257" i="5" s="1"/>
  <c r="I257" i="5"/>
  <c r="J257" i="5" l="1"/>
  <c r="K257" i="5" s="1"/>
  <c r="H258" i="5" s="1"/>
  <c r="I258" i="5"/>
  <c r="J258" i="5" l="1"/>
  <c r="K258" i="5" s="1"/>
  <c r="H259" i="5" s="1"/>
  <c r="I259" i="5" s="1"/>
  <c r="J259" i="5" l="1"/>
  <c r="K259" i="5" s="1"/>
  <c r="H260" i="5" s="1"/>
  <c r="I260" i="5"/>
  <c r="J260" i="5" l="1"/>
  <c r="K260" i="5" s="1"/>
  <c r="H261" i="5" s="1"/>
  <c r="I261" i="5"/>
  <c r="J261" i="5" l="1"/>
  <c r="K261" i="5" s="1"/>
  <c r="H262" i="5" s="1"/>
  <c r="I262" i="5"/>
  <c r="J262" i="5" l="1"/>
  <c r="K262" i="5" s="1"/>
  <c r="H263" i="5" s="1"/>
  <c r="I263" i="5" s="1"/>
  <c r="J263" i="5" l="1"/>
  <c r="K263" i="5" s="1"/>
  <c r="H264" i="5" s="1"/>
  <c r="I264" i="5"/>
  <c r="J264" i="5" l="1"/>
  <c r="K264" i="5" s="1"/>
  <c r="H265" i="5" s="1"/>
  <c r="I265" i="5"/>
  <c r="J265" i="5" l="1"/>
  <c r="K265" i="5" s="1"/>
  <c r="H266" i="5" s="1"/>
  <c r="I266" i="5"/>
  <c r="J266" i="5" l="1"/>
  <c r="K266" i="5" s="1"/>
  <c r="H267" i="5" s="1"/>
  <c r="I267" i="5"/>
  <c r="J267" i="5" l="1"/>
  <c r="K267" i="5" s="1"/>
  <c r="H268" i="5" s="1"/>
  <c r="I268" i="5"/>
  <c r="J268" i="5" l="1"/>
  <c r="K268" i="5" s="1"/>
  <c r="H269" i="5" s="1"/>
  <c r="I269" i="5"/>
  <c r="J269" i="5" l="1"/>
  <c r="K269" i="5" s="1"/>
  <c r="H270" i="5" s="1"/>
  <c r="I270" i="5"/>
  <c r="J270" i="5" l="1"/>
  <c r="K270" i="5" s="1"/>
  <c r="H271" i="5" s="1"/>
  <c r="I271" i="5"/>
  <c r="J271" i="5" l="1"/>
  <c r="K271" i="5" s="1"/>
  <c r="H272" i="5" s="1"/>
  <c r="I272" i="5"/>
  <c r="J272" i="5" l="1"/>
  <c r="K272" i="5" s="1"/>
  <c r="H273" i="5" s="1"/>
  <c r="I273" i="5"/>
  <c r="J273" i="5" l="1"/>
  <c r="K273" i="5" s="1"/>
  <c r="H274" i="5" s="1"/>
  <c r="I274" i="5"/>
  <c r="J274" i="5" l="1"/>
  <c r="K274" i="5" s="1"/>
  <c r="H275" i="5" s="1"/>
  <c r="I275" i="5"/>
  <c r="J275" i="5" l="1"/>
  <c r="K275" i="5" s="1"/>
  <c r="H276" i="5" s="1"/>
  <c r="I276" i="5"/>
  <c r="J276" i="5" l="1"/>
  <c r="K276" i="5" s="1"/>
  <c r="H277" i="5" s="1"/>
  <c r="I277" i="5"/>
  <c r="J277" i="5" l="1"/>
  <c r="K277" i="5" s="1"/>
  <c r="H278" i="5" s="1"/>
  <c r="I278" i="5"/>
  <c r="J278" i="5" l="1"/>
  <c r="K278" i="5" s="1"/>
  <c r="H279" i="5" s="1"/>
  <c r="I279" i="5"/>
  <c r="J279" i="5" l="1"/>
  <c r="K279" i="5" s="1"/>
  <c r="H280" i="5" s="1"/>
  <c r="I280" i="5"/>
  <c r="J280" i="5" l="1"/>
  <c r="K280" i="5" s="1"/>
  <c r="H281" i="5" s="1"/>
  <c r="I281" i="5"/>
  <c r="J281" i="5" l="1"/>
  <c r="K281" i="5" s="1"/>
  <c r="H282" i="5" s="1"/>
  <c r="I282" i="5"/>
  <c r="J282" i="5" l="1"/>
  <c r="K282" i="5" s="1"/>
  <c r="H283" i="5" s="1"/>
  <c r="I283" i="5"/>
  <c r="J283" i="5" l="1"/>
  <c r="K283" i="5" s="1"/>
  <c r="H284" i="5" s="1"/>
  <c r="I284" i="5" s="1"/>
  <c r="J284" i="5" l="1"/>
  <c r="K284" i="5" s="1"/>
  <c r="H285" i="5" s="1"/>
  <c r="I285" i="5"/>
  <c r="J285" i="5" l="1"/>
  <c r="K285" i="5" s="1"/>
  <c r="H286" i="5" s="1"/>
  <c r="I286" i="5"/>
  <c r="J286" i="5" l="1"/>
  <c r="K286" i="5" s="1"/>
  <c r="H287" i="5" s="1"/>
  <c r="I287" i="5"/>
  <c r="J287" i="5" l="1"/>
  <c r="K287" i="5" s="1"/>
  <c r="H288" i="5" s="1"/>
  <c r="I288" i="5"/>
  <c r="J288" i="5" l="1"/>
  <c r="K288" i="5" s="1"/>
  <c r="H289" i="5" s="1"/>
  <c r="I289" i="5"/>
  <c r="J289" i="5" l="1"/>
  <c r="K289" i="5" s="1"/>
  <c r="H290" i="5" s="1"/>
  <c r="I290" i="5"/>
  <c r="J290" i="5" l="1"/>
  <c r="K290" i="5" s="1"/>
  <c r="H291" i="5" s="1"/>
  <c r="I291" i="5"/>
  <c r="J291" i="5" l="1"/>
  <c r="K291" i="5" s="1"/>
  <c r="H292" i="5" s="1"/>
  <c r="I292" i="5"/>
  <c r="J292" i="5" l="1"/>
  <c r="K292" i="5" s="1"/>
  <c r="H293" i="5" s="1"/>
  <c r="I293" i="5"/>
  <c r="J293" i="5" l="1"/>
  <c r="K293" i="5" s="1"/>
  <c r="H294" i="5" s="1"/>
  <c r="I294" i="5"/>
  <c r="J294" i="5" l="1"/>
  <c r="K294" i="5" s="1"/>
  <c r="H295" i="5" s="1"/>
  <c r="I295" i="5"/>
  <c r="J295" i="5" l="1"/>
  <c r="K295" i="5" s="1"/>
  <c r="H296" i="5" s="1"/>
  <c r="I296" i="5"/>
  <c r="J296" i="5" l="1"/>
  <c r="K296" i="5" s="1"/>
  <c r="H297" i="5" s="1"/>
  <c r="I297" i="5"/>
  <c r="J297" i="5" l="1"/>
  <c r="K297" i="5" s="1"/>
  <c r="H298" i="5" s="1"/>
  <c r="I298" i="5"/>
  <c r="J298" i="5" l="1"/>
  <c r="K298" i="5" s="1"/>
  <c r="H299" i="5" s="1"/>
  <c r="I299" i="5"/>
  <c r="J299" i="5" l="1"/>
  <c r="K299" i="5" s="1"/>
  <c r="H300" i="5" s="1"/>
  <c r="I300" i="5" s="1"/>
  <c r="J300" i="5" l="1"/>
  <c r="K300" i="5" s="1"/>
  <c r="H301" i="5" s="1"/>
  <c r="I301" i="5"/>
  <c r="J301" i="5" l="1"/>
  <c r="K301" i="5" s="1"/>
  <c r="H302" i="5" s="1"/>
  <c r="I302" i="5"/>
  <c r="J302" i="5" l="1"/>
  <c r="K302" i="5" s="1"/>
  <c r="H303" i="5" s="1"/>
  <c r="I303" i="5"/>
  <c r="J303" i="5" l="1"/>
  <c r="K303" i="5" s="1"/>
  <c r="H304" i="5" s="1"/>
  <c r="I304" i="5"/>
  <c r="J304" i="5" l="1"/>
  <c r="K304" i="5" s="1"/>
  <c r="H305" i="5" s="1"/>
  <c r="I305" i="5"/>
  <c r="J305" i="5" l="1"/>
  <c r="K305" i="5" s="1"/>
  <c r="H306" i="5" s="1"/>
  <c r="I306" i="5"/>
  <c r="J306" i="5" l="1"/>
  <c r="K306" i="5" s="1"/>
  <c r="H307" i="5" s="1"/>
  <c r="I307" i="5"/>
  <c r="J307" i="5" l="1"/>
  <c r="K307" i="5" s="1"/>
  <c r="H308" i="5" s="1"/>
  <c r="I308" i="5" s="1"/>
  <c r="J308" i="5" l="1"/>
  <c r="K308" i="5" s="1"/>
  <c r="H309" i="5" s="1"/>
  <c r="I309" i="5"/>
  <c r="J309" i="5" l="1"/>
  <c r="K309" i="5" s="1"/>
  <c r="H310" i="5" s="1"/>
  <c r="I310" i="5"/>
  <c r="J310" i="5" l="1"/>
  <c r="K310" i="5" s="1"/>
  <c r="H311" i="5" s="1"/>
  <c r="I311" i="5"/>
  <c r="J311" i="5" l="1"/>
  <c r="K311" i="5" s="1"/>
  <c r="H312" i="5" s="1"/>
  <c r="I312" i="5"/>
  <c r="J312" i="5" l="1"/>
  <c r="K312" i="5" s="1"/>
  <c r="H313" i="5" s="1"/>
  <c r="I313" i="5"/>
  <c r="J313" i="5" l="1"/>
  <c r="K313" i="5" s="1"/>
  <c r="H314" i="5" s="1"/>
  <c r="I314" i="5"/>
  <c r="J314" i="5" l="1"/>
  <c r="K314" i="5" s="1"/>
  <c r="H315" i="5" s="1"/>
  <c r="I315" i="5"/>
  <c r="J315" i="5" l="1"/>
  <c r="K315" i="5" s="1"/>
  <c r="H316" i="5" s="1"/>
  <c r="I316" i="5"/>
  <c r="J316" i="5" l="1"/>
  <c r="K316" i="5" s="1"/>
  <c r="H317" i="5" s="1"/>
  <c r="I317" i="5"/>
  <c r="J317" i="5" l="1"/>
  <c r="K317" i="5" s="1"/>
  <c r="H318" i="5" s="1"/>
  <c r="I318" i="5"/>
  <c r="J318" i="5" l="1"/>
  <c r="K318" i="5" s="1"/>
  <c r="H319" i="5" s="1"/>
  <c r="I319" i="5"/>
  <c r="J319" i="5" l="1"/>
  <c r="K319" i="5" s="1"/>
  <c r="H320" i="5" s="1"/>
  <c r="I320" i="5"/>
  <c r="J320" i="5" l="1"/>
  <c r="K320" i="5" s="1"/>
  <c r="H321" i="5" s="1"/>
  <c r="I321" i="5"/>
  <c r="J321" i="5" l="1"/>
  <c r="K321" i="5" s="1"/>
  <c r="H322" i="5" s="1"/>
  <c r="I322" i="5"/>
  <c r="J322" i="5" l="1"/>
  <c r="K322" i="5" s="1"/>
  <c r="H323" i="5" s="1"/>
  <c r="I323" i="5"/>
  <c r="J323" i="5" l="1"/>
  <c r="K323" i="5" s="1"/>
  <c r="H324" i="5" s="1"/>
  <c r="I324" i="5"/>
  <c r="J324" i="5" l="1"/>
  <c r="K324" i="5" s="1"/>
  <c r="H325" i="5" s="1"/>
  <c r="I325" i="5" s="1"/>
  <c r="J325" i="5" l="1"/>
  <c r="K325" i="5" s="1"/>
  <c r="H326" i="5" s="1"/>
  <c r="I326" i="5"/>
  <c r="J326" i="5" l="1"/>
  <c r="K326" i="5" s="1"/>
  <c r="H327" i="5" s="1"/>
  <c r="I327" i="5" s="1"/>
  <c r="J327" i="5" l="1"/>
  <c r="K327" i="5" s="1"/>
  <c r="H328" i="5" s="1"/>
  <c r="I328" i="5" s="1"/>
  <c r="J328" i="5" l="1"/>
  <c r="K328" i="5" s="1"/>
  <c r="H329" i="5" s="1"/>
  <c r="I329" i="5"/>
  <c r="J329" i="5" l="1"/>
  <c r="K329" i="5" s="1"/>
  <c r="H330" i="5" s="1"/>
  <c r="I330" i="5"/>
  <c r="J330" i="5" l="1"/>
  <c r="K330" i="5" s="1"/>
  <c r="H331" i="5" s="1"/>
  <c r="I331" i="5"/>
  <c r="J331" i="5" l="1"/>
  <c r="K331" i="5" s="1"/>
  <c r="H332" i="5" s="1"/>
  <c r="I332" i="5"/>
  <c r="J332" i="5" l="1"/>
  <c r="K332" i="5" s="1"/>
  <c r="H333" i="5" s="1"/>
  <c r="I333" i="5"/>
  <c r="J333" i="5" l="1"/>
  <c r="K333" i="5" s="1"/>
  <c r="H334" i="5" s="1"/>
  <c r="I334" i="5"/>
  <c r="J334" i="5" l="1"/>
  <c r="K334" i="5" s="1"/>
  <c r="H335" i="5" s="1"/>
  <c r="I335" i="5"/>
  <c r="J335" i="5" l="1"/>
  <c r="K335" i="5" s="1"/>
  <c r="H336" i="5" s="1"/>
  <c r="I336" i="5"/>
  <c r="J336" i="5" l="1"/>
  <c r="K336" i="5" s="1"/>
  <c r="H337" i="5" s="1"/>
  <c r="I337" i="5"/>
  <c r="J337" i="5" l="1"/>
  <c r="K337" i="5" s="1"/>
  <c r="H338" i="5" s="1"/>
  <c r="I338" i="5" s="1"/>
  <c r="J338" i="5" l="1"/>
  <c r="K338" i="5" s="1"/>
  <c r="H339" i="5" s="1"/>
  <c r="I339" i="5" s="1"/>
  <c r="J339" i="5" l="1"/>
  <c r="K339" i="5" s="1"/>
  <c r="H340" i="5" s="1"/>
  <c r="I340" i="5"/>
  <c r="J340" i="5" l="1"/>
  <c r="K340" i="5" s="1"/>
  <c r="H341" i="5" s="1"/>
  <c r="I341" i="5"/>
  <c r="J341" i="5" l="1"/>
  <c r="K341" i="5" s="1"/>
  <c r="H342" i="5" s="1"/>
  <c r="I342" i="5"/>
  <c r="J342" i="5" l="1"/>
  <c r="K342" i="5" s="1"/>
  <c r="H343" i="5" s="1"/>
  <c r="I343" i="5"/>
  <c r="J343" i="5" l="1"/>
  <c r="K343" i="5" s="1"/>
  <c r="H344" i="5" s="1"/>
  <c r="I344" i="5"/>
  <c r="J344" i="5" l="1"/>
  <c r="K344" i="5" s="1"/>
  <c r="H345" i="5" s="1"/>
  <c r="I345" i="5"/>
  <c r="J345" i="5" l="1"/>
  <c r="K345" i="5" s="1"/>
  <c r="H346" i="5" s="1"/>
  <c r="I346" i="5"/>
  <c r="J346" i="5" l="1"/>
  <c r="K346" i="5" s="1"/>
  <c r="H347" i="5" s="1"/>
  <c r="I347" i="5"/>
  <c r="J347" i="5" l="1"/>
  <c r="K347" i="5" s="1"/>
  <c r="H348" i="5" s="1"/>
  <c r="I348" i="5"/>
  <c r="J348" i="5" l="1"/>
  <c r="K348" i="5" s="1"/>
  <c r="H349" i="5" s="1"/>
  <c r="I349" i="5"/>
  <c r="J349" i="5" l="1"/>
  <c r="K349" i="5" s="1"/>
  <c r="H350" i="5" s="1"/>
  <c r="I350" i="5"/>
  <c r="J350" i="5" l="1"/>
  <c r="K350" i="5" s="1"/>
  <c r="H351" i="5" s="1"/>
  <c r="I351" i="5"/>
  <c r="J351" i="5" l="1"/>
  <c r="K351" i="5" s="1"/>
  <c r="H352" i="5" s="1"/>
  <c r="I352" i="5"/>
  <c r="J352" i="5" l="1"/>
  <c r="K352" i="5" s="1"/>
  <c r="H353" i="5" s="1"/>
  <c r="I353" i="5"/>
  <c r="J353" i="5" l="1"/>
  <c r="K353" i="5" s="1"/>
  <c r="H354" i="5" s="1"/>
  <c r="I354" i="5"/>
  <c r="J354" i="5" l="1"/>
  <c r="K354" i="5" s="1"/>
  <c r="H355" i="5" s="1"/>
  <c r="I355" i="5"/>
  <c r="J355" i="5" l="1"/>
  <c r="K355" i="5" s="1"/>
  <c r="H356" i="5" s="1"/>
  <c r="I356" i="5"/>
  <c r="J356" i="5" l="1"/>
  <c r="K356" i="5" s="1"/>
  <c r="H357" i="5" s="1"/>
  <c r="I357" i="5"/>
  <c r="J357" i="5" l="1"/>
  <c r="K357" i="5" s="1"/>
  <c r="H358" i="5" s="1"/>
  <c r="I358" i="5"/>
  <c r="J358" i="5" l="1"/>
  <c r="K358" i="5" s="1"/>
  <c r="H359" i="5" s="1"/>
  <c r="I359" i="5"/>
  <c r="J359" i="5" l="1"/>
  <c r="K359" i="5" s="1"/>
  <c r="H360" i="5" s="1"/>
  <c r="I360" i="5"/>
  <c r="J360" i="5" l="1"/>
  <c r="K360" i="5" s="1"/>
  <c r="H361" i="5" s="1"/>
  <c r="I361" i="5" s="1"/>
  <c r="J361" i="5" l="1"/>
  <c r="K361" i="5" s="1"/>
  <c r="H362" i="5" s="1"/>
  <c r="I362" i="5"/>
  <c r="J362" i="5" l="1"/>
  <c r="K362" i="5" s="1"/>
  <c r="H363" i="5" s="1"/>
  <c r="I363" i="5"/>
  <c r="J363" i="5" l="1"/>
  <c r="K363" i="5" s="1"/>
  <c r="H364" i="5" s="1"/>
  <c r="I364" i="5"/>
  <c r="J364" i="5" l="1"/>
  <c r="K364" i="5" s="1"/>
  <c r="H365" i="5" s="1"/>
  <c r="I365" i="5" s="1"/>
  <c r="J365" i="5" l="1"/>
  <c r="K365" i="5" s="1"/>
  <c r="H366" i="5" s="1"/>
  <c r="I366" i="5"/>
  <c r="J366" i="5" l="1"/>
  <c r="K366" i="5" s="1"/>
  <c r="H367" i="5" s="1"/>
  <c r="I367" i="5"/>
  <c r="J367" i="5" l="1"/>
  <c r="K367" i="5" s="1"/>
  <c r="H368" i="5" s="1"/>
  <c r="I368" i="5"/>
  <c r="J368" i="5" l="1"/>
  <c r="K368" i="5" s="1"/>
  <c r="H369" i="5" s="1"/>
  <c r="I369" i="5"/>
  <c r="J369" i="5" l="1"/>
  <c r="K369" i="5" s="1"/>
  <c r="H370" i="5" s="1"/>
  <c r="I370" i="5"/>
  <c r="J370" i="5" l="1"/>
  <c r="K370" i="5" s="1"/>
  <c r="H371" i="5" s="1"/>
  <c r="I371" i="5"/>
  <c r="J371" i="5" l="1"/>
  <c r="K371" i="5" s="1"/>
  <c r="H372" i="5" s="1"/>
  <c r="I372" i="5"/>
  <c r="J372" i="5" l="1"/>
  <c r="K372" i="5" s="1"/>
  <c r="H373" i="5" s="1"/>
  <c r="I373" i="5"/>
  <c r="J373" i="5" l="1"/>
  <c r="K373" i="5" s="1"/>
  <c r="H374" i="5" s="1"/>
  <c r="I374" i="5"/>
  <c r="J374" i="5" l="1"/>
  <c r="K374" i="5" s="1"/>
  <c r="H375" i="5" s="1"/>
  <c r="I375" i="5"/>
  <c r="J375" i="5" l="1"/>
  <c r="K375" i="5" s="1"/>
  <c r="H376" i="5" s="1"/>
  <c r="I376" i="5"/>
  <c r="J376" i="5" l="1"/>
  <c r="K376" i="5" s="1"/>
  <c r="H377" i="5" s="1"/>
  <c r="I377" i="5"/>
  <c r="J377" i="5" l="1"/>
  <c r="K377" i="5" s="1"/>
  <c r="H378" i="5" s="1"/>
  <c r="I378" i="5" s="1"/>
  <c r="J378" i="5" l="1"/>
  <c r="K378" i="5" s="1"/>
  <c r="H379" i="5" s="1"/>
  <c r="I379" i="5"/>
  <c r="J379" i="5" l="1"/>
  <c r="K379" i="5" s="1"/>
  <c r="H380" i="5" s="1"/>
  <c r="I380" i="5"/>
  <c r="J380" i="5" l="1"/>
  <c r="K380" i="5" s="1"/>
  <c r="H381" i="5" s="1"/>
  <c r="I381" i="5" s="1"/>
  <c r="J381" i="5" l="1"/>
  <c r="K381" i="5" s="1"/>
  <c r="H382" i="5" s="1"/>
  <c r="I382" i="5"/>
  <c r="J382" i="5" l="1"/>
  <c r="K382" i="5" s="1"/>
  <c r="H383" i="5" s="1"/>
  <c r="I383" i="5"/>
  <c r="J383" i="5" l="1"/>
  <c r="K383" i="5" s="1"/>
  <c r="H384" i="5" s="1"/>
  <c r="I384" i="5"/>
  <c r="J384" i="5" l="1"/>
  <c r="K384" i="5" s="1"/>
  <c r="H385" i="5" s="1"/>
  <c r="I385" i="5"/>
  <c r="J385" i="5" l="1"/>
  <c r="K385" i="5" s="1"/>
  <c r="H386" i="5" s="1"/>
  <c r="I386" i="5"/>
  <c r="J386" i="5" l="1"/>
  <c r="K386" i="5" s="1"/>
  <c r="H387" i="5" s="1"/>
  <c r="I387" i="5"/>
  <c r="J387" i="5" l="1"/>
  <c r="K387" i="5" s="1"/>
  <c r="H388" i="5" s="1"/>
  <c r="I388" i="5"/>
  <c r="J388" i="5" l="1"/>
  <c r="K388" i="5" s="1"/>
  <c r="H389" i="5" s="1"/>
  <c r="I389" i="5"/>
  <c r="J389" i="5" l="1"/>
  <c r="K389" i="5" s="1"/>
  <c r="H390" i="5" s="1"/>
  <c r="I390" i="5"/>
  <c r="J390" i="5" l="1"/>
  <c r="K390" i="5" s="1"/>
  <c r="H391" i="5" s="1"/>
  <c r="I391" i="5"/>
  <c r="J391" i="5" l="1"/>
  <c r="K391" i="5" s="1"/>
  <c r="H392" i="5" s="1"/>
  <c r="I392" i="5" s="1"/>
  <c r="J392" i="5" l="1"/>
  <c r="K392" i="5" s="1"/>
  <c r="H393" i="5" s="1"/>
  <c r="I393" i="5"/>
  <c r="J393" i="5" l="1"/>
  <c r="K393" i="5" s="1"/>
  <c r="H394" i="5" s="1"/>
  <c r="I394" i="5"/>
  <c r="J394" i="5" l="1"/>
  <c r="K394" i="5" s="1"/>
  <c r="H395" i="5" s="1"/>
  <c r="I395" i="5"/>
  <c r="J395" i="5" l="1"/>
  <c r="K395" i="5" s="1"/>
  <c r="H396" i="5" s="1"/>
  <c r="I396" i="5"/>
  <c r="J396" i="5" l="1"/>
  <c r="K396" i="5" s="1"/>
  <c r="H397" i="5" s="1"/>
  <c r="I397" i="5"/>
  <c r="J397" i="5" l="1"/>
  <c r="K397" i="5" s="1"/>
  <c r="H398" i="5" s="1"/>
  <c r="I398" i="5"/>
  <c r="J398" i="5" l="1"/>
  <c r="K398" i="5" s="1"/>
  <c r="H399" i="5" s="1"/>
  <c r="I399" i="5"/>
  <c r="J399" i="5" l="1"/>
  <c r="K399" i="5" s="1"/>
  <c r="H400" i="5" s="1"/>
  <c r="I400" i="5"/>
  <c r="J400" i="5" l="1"/>
  <c r="K400" i="5" s="1"/>
  <c r="H401" i="5" s="1"/>
  <c r="I401" i="5"/>
  <c r="J401" i="5" l="1"/>
  <c r="K401" i="5" s="1"/>
  <c r="H402" i="5" s="1"/>
  <c r="I402" i="5"/>
  <c r="J402" i="5" l="1"/>
  <c r="K402" i="5" s="1"/>
  <c r="H403" i="5" s="1"/>
  <c r="I403" i="5"/>
  <c r="J403" i="5" l="1"/>
  <c r="K403" i="5" s="1"/>
  <c r="H404" i="5" s="1"/>
  <c r="I404" i="5"/>
  <c r="J404" i="5" l="1"/>
  <c r="K404" i="5" s="1"/>
  <c r="H405" i="5" s="1"/>
  <c r="I405" i="5"/>
  <c r="J405" i="5" l="1"/>
  <c r="K405" i="5" s="1"/>
  <c r="H406" i="5" s="1"/>
  <c r="I406" i="5"/>
  <c r="J406" i="5" l="1"/>
  <c r="K406" i="5" s="1"/>
  <c r="H407" i="5" s="1"/>
  <c r="I407" i="5"/>
  <c r="J407" i="5" l="1"/>
  <c r="K407" i="5" s="1"/>
  <c r="H408" i="5" s="1"/>
  <c r="I408" i="5"/>
  <c r="J408" i="5" l="1"/>
  <c r="K408" i="5" s="1"/>
  <c r="H409" i="5" s="1"/>
  <c r="I409" i="5"/>
  <c r="J409" i="5" l="1"/>
  <c r="K409" i="5" s="1"/>
  <c r="H410" i="5" s="1"/>
  <c r="I410" i="5"/>
  <c r="J410" i="5" l="1"/>
  <c r="K410" i="5" s="1"/>
  <c r="H411" i="5" s="1"/>
  <c r="I411" i="5"/>
  <c r="J411" i="5" l="1"/>
  <c r="K411" i="5" s="1"/>
  <c r="H412" i="5" s="1"/>
  <c r="I412" i="5"/>
  <c r="J412" i="5" l="1"/>
  <c r="K412" i="5" s="1"/>
  <c r="H413" i="5" s="1"/>
  <c r="I413" i="5"/>
  <c r="J413" i="5" l="1"/>
  <c r="K413" i="5" s="1"/>
  <c r="H414" i="5" s="1"/>
  <c r="I414" i="5"/>
  <c r="J414" i="5" l="1"/>
  <c r="K414" i="5" s="1"/>
  <c r="H415" i="5" s="1"/>
  <c r="I415" i="5"/>
  <c r="J415" i="5" l="1"/>
  <c r="K415" i="5" s="1"/>
  <c r="H416" i="5" s="1"/>
  <c r="I416" i="5"/>
  <c r="J416" i="5" l="1"/>
  <c r="K416" i="5" s="1"/>
  <c r="H417" i="5" s="1"/>
  <c r="I417" i="5"/>
  <c r="J417" i="5" l="1"/>
  <c r="K417" i="5" s="1"/>
  <c r="H418" i="5" s="1"/>
  <c r="I418" i="5"/>
  <c r="J418" i="5" l="1"/>
  <c r="K418" i="5" s="1"/>
  <c r="H419" i="5" s="1"/>
  <c r="I419" i="5"/>
  <c r="J419" i="5" l="1"/>
  <c r="K419" i="5" s="1"/>
  <c r="H420" i="5" s="1"/>
  <c r="I420" i="5"/>
  <c r="J420" i="5" l="1"/>
  <c r="K420" i="5" s="1"/>
  <c r="H421" i="5" s="1"/>
  <c r="I421" i="5"/>
  <c r="J421" i="5" l="1"/>
  <c r="K421" i="5" s="1"/>
  <c r="H422" i="5" s="1"/>
  <c r="I422" i="5" s="1"/>
  <c r="J422" i="5" l="1"/>
  <c r="K422" i="5" s="1"/>
  <c r="H423" i="5" s="1"/>
  <c r="I423" i="5"/>
  <c r="J423" i="5" l="1"/>
  <c r="K423" i="5" s="1"/>
  <c r="H424" i="5" s="1"/>
  <c r="I424" i="5" s="1"/>
  <c r="J424" i="5" l="1"/>
  <c r="K424" i="5" s="1"/>
  <c r="H425" i="5" s="1"/>
  <c r="I425" i="5" s="1"/>
  <c r="J425" i="5" l="1"/>
  <c r="K425" i="5" s="1"/>
  <c r="H426" i="5" s="1"/>
  <c r="I426" i="5"/>
  <c r="J426" i="5" l="1"/>
  <c r="K426" i="5" s="1"/>
  <c r="H427" i="5" s="1"/>
  <c r="I427" i="5"/>
  <c r="J427" i="5" l="1"/>
  <c r="K427" i="5" s="1"/>
  <c r="H428" i="5" s="1"/>
  <c r="I428" i="5" s="1"/>
  <c r="J428" i="5" l="1"/>
  <c r="K428" i="5" s="1"/>
  <c r="H429" i="5" s="1"/>
  <c r="I429" i="5"/>
  <c r="J429" i="5" l="1"/>
  <c r="K429" i="5" s="1"/>
  <c r="H430" i="5" s="1"/>
  <c r="I430" i="5"/>
  <c r="J430" i="5" l="1"/>
  <c r="K430" i="5" s="1"/>
  <c r="H431" i="5" s="1"/>
  <c r="I431" i="5"/>
  <c r="J431" i="5" l="1"/>
  <c r="K431" i="5" s="1"/>
  <c r="H432" i="5" s="1"/>
  <c r="I432" i="5"/>
  <c r="J432" i="5" l="1"/>
  <c r="K432" i="5" s="1"/>
  <c r="H433" i="5" s="1"/>
  <c r="I433" i="5"/>
  <c r="J433" i="5" l="1"/>
  <c r="K433" i="5" s="1"/>
  <c r="H434" i="5" s="1"/>
  <c r="I434" i="5"/>
  <c r="J434" i="5" l="1"/>
  <c r="K434" i="5" s="1"/>
  <c r="H435" i="5" s="1"/>
  <c r="I435" i="5"/>
  <c r="J435" i="5" l="1"/>
  <c r="K435" i="5" s="1"/>
  <c r="H436" i="5" s="1"/>
  <c r="I436" i="5"/>
  <c r="J436" i="5" l="1"/>
  <c r="K436" i="5" s="1"/>
  <c r="H437" i="5" s="1"/>
  <c r="I437" i="5"/>
  <c r="J437" i="5" l="1"/>
  <c r="K437" i="5" s="1"/>
  <c r="H438" i="5" s="1"/>
  <c r="I438" i="5"/>
  <c r="J438" i="5" l="1"/>
  <c r="K438" i="5" s="1"/>
  <c r="H439" i="5" s="1"/>
  <c r="I439" i="5"/>
  <c r="J439" i="5" l="1"/>
  <c r="K439" i="5" s="1"/>
  <c r="H440" i="5" s="1"/>
  <c r="I440" i="5"/>
  <c r="J440" i="5" l="1"/>
  <c r="K440" i="5" s="1"/>
  <c r="H441" i="5" s="1"/>
  <c r="I441" i="5"/>
  <c r="J441" i="5" l="1"/>
  <c r="K441" i="5" s="1"/>
  <c r="H442" i="5" s="1"/>
  <c r="I442" i="5"/>
  <c r="J442" i="5" l="1"/>
  <c r="K442" i="5" s="1"/>
  <c r="H443" i="5" s="1"/>
  <c r="I443" i="5"/>
  <c r="J443" i="5" l="1"/>
  <c r="K443" i="5" s="1"/>
  <c r="H444" i="5" s="1"/>
  <c r="I444" i="5" s="1"/>
  <c r="J444" i="5" l="1"/>
  <c r="K444" i="5" s="1"/>
  <c r="H445" i="5" s="1"/>
  <c r="I445" i="5"/>
  <c r="J445" i="5" l="1"/>
  <c r="K445" i="5" s="1"/>
  <c r="H446" i="5" s="1"/>
  <c r="I446" i="5"/>
  <c r="J446" i="5" l="1"/>
  <c r="K446" i="5" s="1"/>
  <c r="H447" i="5" s="1"/>
  <c r="I447" i="5" s="1"/>
  <c r="J447" i="5" l="1"/>
  <c r="K447" i="5" s="1"/>
  <c r="H448" i="5" s="1"/>
  <c r="I448" i="5"/>
  <c r="J448" i="5" l="1"/>
  <c r="K448" i="5" s="1"/>
  <c r="H449" i="5" s="1"/>
  <c r="I449" i="5"/>
  <c r="J449" i="5" l="1"/>
  <c r="K449" i="5" s="1"/>
  <c r="H450" i="5" s="1"/>
  <c r="I450" i="5" s="1"/>
  <c r="J450" i="5" l="1"/>
  <c r="K450" i="5" s="1"/>
  <c r="H451" i="5" s="1"/>
  <c r="I451" i="5"/>
  <c r="J451" i="5" l="1"/>
  <c r="K451" i="5" s="1"/>
  <c r="H452" i="5" s="1"/>
  <c r="I452" i="5"/>
  <c r="J452" i="5" l="1"/>
  <c r="K452" i="5" s="1"/>
  <c r="H453" i="5" s="1"/>
  <c r="I453" i="5"/>
  <c r="J453" i="5" l="1"/>
  <c r="K453" i="5" s="1"/>
  <c r="H454" i="5" s="1"/>
  <c r="I454" i="5"/>
  <c r="J454" i="5" l="1"/>
  <c r="K454" i="5" s="1"/>
  <c r="H455" i="5" s="1"/>
  <c r="I455" i="5"/>
  <c r="J455" i="5" l="1"/>
  <c r="K455" i="5" s="1"/>
  <c r="H456" i="5" s="1"/>
  <c r="I456" i="5"/>
  <c r="J456" i="5" l="1"/>
  <c r="K456" i="5" s="1"/>
  <c r="H457" i="5" s="1"/>
  <c r="I457" i="5"/>
  <c r="J457" i="5" l="1"/>
  <c r="K457" i="5" s="1"/>
  <c r="H458" i="5" s="1"/>
  <c r="I458" i="5"/>
  <c r="J458" i="5" l="1"/>
  <c r="K458" i="5" s="1"/>
  <c r="H459" i="5" s="1"/>
  <c r="I459" i="5" s="1"/>
  <c r="J459" i="5" l="1"/>
  <c r="K459" i="5" s="1"/>
  <c r="H460" i="5" s="1"/>
  <c r="I460" i="5"/>
  <c r="J460" i="5" l="1"/>
  <c r="K460" i="5" s="1"/>
  <c r="H461" i="5" s="1"/>
  <c r="I461" i="5" s="1"/>
  <c r="J461" i="5" l="1"/>
  <c r="K461" i="5" s="1"/>
  <c r="H462" i="5" s="1"/>
  <c r="I462" i="5"/>
  <c r="J462" i="5" l="1"/>
  <c r="K462" i="5" s="1"/>
  <c r="H463" i="5" s="1"/>
  <c r="I463" i="5" s="1"/>
  <c r="J463" i="5" l="1"/>
  <c r="K463" i="5" s="1"/>
  <c r="H464" i="5" s="1"/>
  <c r="I464" i="5"/>
  <c r="J464" i="5" l="1"/>
  <c r="K464" i="5" s="1"/>
  <c r="H465" i="5" s="1"/>
  <c r="I465" i="5" s="1"/>
  <c r="J465" i="5" l="1"/>
  <c r="K465" i="5" s="1"/>
  <c r="H466" i="5" s="1"/>
  <c r="I466" i="5"/>
  <c r="J466" i="5" l="1"/>
  <c r="K466" i="5" s="1"/>
  <c r="H467" i="5" s="1"/>
  <c r="I467" i="5"/>
  <c r="J467" i="5" l="1"/>
  <c r="K467" i="5" s="1"/>
  <c r="H468" i="5" s="1"/>
  <c r="I468" i="5"/>
  <c r="J468" i="5" l="1"/>
  <c r="K468" i="5" s="1"/>
  <c r="H469" i="5" s="1"/>
  <c r="I469" i="5"/>
  <c r="J469" i="5" l="1"/>
  <c r="K469" i="5" s="1"/>
  <c r="H470" i="5" s="1"/>
  <c r="I470" i="5"/>
  <c r="J470" i="5" l="1"/>
  <c r="K470" i="5" s="1"/>
  <c r="H471" i="5" s="1"/>
  <c r="I471" i="5"/>
  <c r="J471" i="5" l="1"/>
  <c r="K471" i="5" s="1"/>
  <c r="H472" i="5" s="1"/>
  <c r="I472" i="5"/>
  <c r="J472" i="5" l="1"/>
  <c r="K472" i="5" s="1"/>
  <c r="H473" i="5" s="1"/>
  <c r="I473" i="5"/>
  <c r="J473" i="5" l="1"/>
  <c r="K473" i="5" s="1"/>
  <c r="H474" i="5" s="1"/>
  <c r="I474" i="5"/>
  <c r="J474" i="5" l="1"/>
  <c r="K474" i="5" s="1"/>
  <c r="H475" i="5" s="1"/>
  <c r="I475" i="5"/>
  <c r="J475" i="5" l="1"/>
  <c r="K475" i="5" s="1"/>
  <c r="H476" i="5" s="1"/>
  <c r="I476" i="5"/>
  <c r="J476" i="5" l="1"/>
  <c r="K476" i="5" s="1"/>
  <c r="H477" i="5" s="1"/>
  <c r="I477" i="5" s="1"/>
  <c r="J477" i="5" l="1"/>
  <c r="K477" i="5" s="1"/>
  <c r="H478" i="5" s="1"/>
  <c r="I478" i="5"/>
  <c r="J478" i="5" l="1"/>
  <c r="K478" i="5" s="1"/>
  <c r="H479" i="5" s="1"/>
  <c r="I479" i="5"/>
  <c r="J479" i="5" l="1"/>
  <c r="K479" i="5" s="1"/>
  <c r="H480" i="5" s="1"/>
  <c r="I480" i="5"/>
  <c r="J480" i="5" l="1"/>
  <c r="K480" i="5" s="1"/>
  <c r="H481" i="5" s="1"/>
  <c r="I481" i="5"/>
  <c r="J481" i="5" l="1"/>
  <c r="K481" i="5" s="1"/>
  <c r="H482" i="5" s="1"/>
  <c r="I482" i="5"/>
  <c r="J482" i="5" l="1"/>
  <c r="K482" i="5" s="1"/>
  <c r="H483" i="5" s="1"/>
  <c r="I483" i="5"/>
  <c r="J483" i="5" l="1"/>
  <c r="K483" i="5" s="1"/>
  <c r="H484" i="5" s="1"/>
  <c r="I484" i="5"/>
  <c r="J484" i="5" l="1"/>
  <c r="K484" i="5" s="1"/>
  <c r="H485" i="5" s="1"/>
  <c r="I485" i="5"/>
  <c r="J485" i="5" l="1"/>
  <c r="K485" i="5" s="1"/>
  <c r="H486" i="5" s="1"/>
  <c r="I486" i="5"/>
  <c r="J486" i="5" l="1"/>
  <c r="K486" i="5" s="1"/>
  <c r="H487" i="5" s="1"/>
  <c r="I487" i="5"/>
  <c r="J487" i="5" l="1"/>
  <c r="K487" i="5" s="1"/>
  <c r="H488" i="5" s="1"/>
  <c r="I488" i="5"/>
  <c r="J488" i="5" l="1"/>
  <c r="K488" i="5" s="1"/>
  <c r="H489" i="5" s="1"/>
  <c r="I489" i="5"/>
  <c r="J489" i="5" l="1"/>
  <c r="K489" i="5" s="1"/>
  <c r="H490" i="5" s="1"/>
  <c r="I490" i="5"/>
  <c r="J490" i="5" l="1"/>
  <c r="K490" i="5" s="1"/>
  <c r="H491" i="5" s="1"/>
  <c r="I491" i="5"/>
  <c r="J491" i="5" l="1"/>
  <c r="K491" i="5" s="1"/>
  <c r="H492" i="5" s="1"/>
  <c r="I492" i="5"/>
  <c r="J492" i="5" l="1"/>
  <c r="K492" i="5" s="1"/>
  <c r="H493" i="5" s="1"/>
  <c r="I493" i="5"/>
  <c r="J493" i="5" l="1"/>
  <c r="K493" i="5" s="1"/>
  <c r="H494" i="5" s="1"/>
  <c r="I494" i="5"/>
  <c r="J494" i="5" l="1"/>
  <c r="K494" i="5" s="1"/>
  <c r="H495" i="5" s="1"/>
  <c r="I495" i="5"/>
  <c r="J495" i="5" l="1"/>
  <c r="K495" i="5" s="1"/>
  <c r="H496" i="5" s="1"/>
  <c r="I496" i="5"/>
  <c r="J496" i="5" l="1"/>
  <c r="K496" i="5" s="1"/>
  <c r="H497" i="5" s="1"/>
  <c r="I497" i="5"/>
  <c r="J497" i="5" l="1"/>
  <c r="K497" i="5" s="1"/>
  <c r="H498" i="5" s="1"/>
  <c r="I498" i="5"/>
  <c r="J498" i="5" l="1"/>
  <c r="K498" i="5" s="1"/>
  <c r="H499" i="5" s="1"/>
  <c r="I499" i="5" s="1"/>
  <c r="J499" i="5" l="1"/>
  <c r="K499" i="5" s="1"/>
  <c r="H500" i="5" s="1"/>
  <c r="I500" i="5"/>
  <c r="J500" i="5" l="1"/>
  <c r="K500" i="5" s="1"/>
  <c r="H501" i="5" s="1"/>
  <c r="I501" i="5" s="1"/>
  <c r="J501" i="5" l="1"/>
  <c r="K501" i="5" s="1"/>
  <c r="H502" i="5" s="1"/>
  <c r="I502" i="5"/>
  <c r="J502" i="5" l="1"/>
  <c r="K502" i="5" s="1"/>
  <c r="H503" i="5" s="1"/>
  <c r="I503" i="5"/>
  <c r="J503" i="5" l="1"/>
  <c r="K503" i="5" s="1"/>
  <c r="H504" i="5" s="1"/>
  <c r="I504" i="5" s="1"/>
  <c r="J504" i="5" l="1"/>
  <c r="K504" i="5" s="1"/>
  <c r="H505" i="5" s="1"/>
  <c r="I505" i="5" s="1"/>
  <c r="J505" i="5" l="1"/>
  <c r="K505" i="5" s="1"/>
  <c r="H506" i="5" s="1"/>
  <c r="I506" i="5"/>
  <c r="J506" i="5" l="1"/>
  <c r="K506" i="5" s="1"/>
  <c r="H507" i="5" s="1"/>
  <c r="I507" i="5" s="1"/>
  <c r="J507" i="5" l="1"/>
  <c r="K507" i="5" s="1"/>
  <c r="H508" i="5" s="1"/>
  <c r="I508" i="5"/>
  <c r="J508" i="5" l="1"/>
  <c r="K508" i="5" s="1"/>
  <c r="H509" i="5" s="1"/>
  <c r="I509" i="5"/>
  <c r="J509" i="5" l="1"/>
  <c r="K509" i="5" s="1"/>
  <c r="H510" i="5" s="1"/>
  <c r="I510" i="5" s="1"/>
  <c r="J510" i="5" l="1"/>
  <c r="K510" i="5" s="1"/>
  <c r="H511" i="5" s="1"/>
  <c r="I511" i="5" s="1"/>
  <c r="J511" i="5" l="1"/>
  <c r="K511" i="5" s="1"/>
  <c r="H512" i="5" s="1"/>
  <c r="I512" i="5" s="1"/>
  <c r="J512" i="5" l="1"/>
  <c r="K512" i="5" s="1"/>
  <c r="H513" i="5" s="1"/>
  <c r="I513" i="5"/>
  <c r="J513" i="5" l="1"/>
  <c r="K513" i="5" s="1"/>
  <c r="H514" i="5" s="1"/>
  <c r="I514" i="5"/>
  <c r="J514" i="5" l="1"/>
  <c r="K514" i="5" s="1"/>
  <c r="H515" i="5" s="1"/>
  <c r="I515" i="5"/>
  <c r="J515" i="5" l="1"/>
  <c r="K515" i="5" s="1"/>
  <c r="H516" i="5" s="1"/>
  <c r="I516" i="5"/>
  <c r="J516" i="5" l="1"/>
  <c r="K516" i="5" s="1"/>
  <c r="H517" i="5" s="1"/>
  <c r="I517" i="5" s="1"/>
  <c r="J517" i="5" l="1"/>
  <c r="K517" i="5" s="1"/>
  <c r="H518" i="5" s="1"/>
  <c r="I518" i="5" s="1"/>
  <c r="J518" i="5" l="1"/>
  <c r="K518" i="5" s="1"/>
  <c r="H519" i="5" s="1"/>
  <c r="I519" i="5"/>
  <c r="J519" i="5" l="1"/>
  <c r="K519" i="5" s="1"/>
  <c r="H520" i="5" s="1"/>
  <c r="I520" i="5" s="1"/>
  <c r="J520" i="5" l="1"/>
  <c r="K520" i="5" s="1"/>
  <c r="H521" i="5" s="1"/>
  <c r="I521" i="5" s="1"/>
  <c r="J521" i="5" l="1"/>
  <c r="K521" i="5" s="1"/>
  <c r="H522" i="5" s="1"/>
  <c r="I522" i="5" s="1"/>
  <c r="J522" i="5" l="1"/>
  <c r="K522" i="5" s="1"/>
  <c r="H523" i="5" s="1"/>
  <c r="I523" i="5"/>
  <c r="J523" i="5" l="1"/>
  <c r="K523" i="5" s="1"/>
  <c r="H524" i="5" s="1"/>
  <c r="I524" i="5"/>
  <c r="J524" i="5" l="1"/>
  <c r="K524" i="5" s="1"/>
  <c r="H525" i="5" s="1"/>
  <c r="I525" i="5"/>
  <c r="J525" i="5" l="1"/>
  <c r="K525" i="5" s="1"/>
  <c r="H526" i="5" s="1"/>
  <c r="I526" i="5"/>
  <c r="J526" i="5" l="1"/>
  <c r="K526" i="5" s="1"/>
  <c r="H527" i="5" s="1"/>
  <c r="I527" i="5" s="1"/>
  <c r="J527" i="5" l="1"/>
  <c r="K527" i="5" s="1"/>
  <c r="H528" i="5" s="1"/>
  <c r="I528" i="5"/>
  <c r="J528" i="5" l="1"/>
  <c r="K528" i="5" s="1"/>
  <c r="H529" i="5" s="1"/>
  <c r="I529" i="5"/>
  <c r="J529" i="5" l="1"/>
  <c r="K529" i="5" s="1"/>
  <c r="H530" i="5" s="1"/>
  <c r="I530" i="5"/>
  <c r="J530" i="5" l="1"/>
  <c r="K530" i="5" s="1"/>
  <c r="H531" i="5" s="1"/>
  <c r="I531" i="5"/>
  <c r="J531" i="5" l="1"/>
  <c r="K531" i="5" s="1"/>
  <c r="H532" i="5" s="1"/>
  <c r="I532" i="5" s="1"/>
  <c r="J532" i="5" l="1"/>
  <c r="K532" i="5" s="1"/>
  <c r="H533" i="5" s="1"/>
  <c r="I533" i="5" s="1"/>
  <c r="J533" i="5" l="1"/>
  <c r="K533" i="5" s="1"/>
  <c r="H534" i="5" s="1"/>
  <c r="I534" i="5"/>
  <c r="J534" i="5" l="1"/>
  <c r="K534" i="5" s="1"/>
  <c r="H535" i="5" s="1"/>
  <c r="I535" i="5" s="1"/>
  <c r="J535" i="5" l="1"/>
  <c r="K535" i="5" s="1"/>
  <c r="H536" i="5" s="1"/>
  <c r="I536" i="5"/>
  <c r="J536" i="5" l="1"/>
  <c r="K536" i="5" s="1"/>
  <c r="H537" i="5" s="1"/>
  <c r="I537" i="5"/>
  <c r="J537" i="5" l="1"/>
  <c r="K537" i="5" s="1"/>
  <c r="H538" i="5" s="1"/>
  <c r="I538" i="5" s="1"/>
  <c r="J538" i="5" l="1"/>
  <c r="K538" i="5" s="1"/>
  <c r="H539" i="5" s="1"/>
  <c r="I539" i="5"/>
  <c r="J539" i="5" l="1"/>
  <c r="K539" i="5" s="1"/>
  <c r="H540" i="5" s="1"/>
  <c r="I540" i="5"/>
  <c r="J540" i="5" l="1"/>
  <c r="K540" i="5" s="1"/>
  <c r="H541" i="5" s="1"/>
  <c r="I541" i="5"/>
  <c r="J541" i="5" l="1"/>
  <c r="K541" i="5" s="1"/>
  <c r="H542" i="5" s="1"/>
  <c r="I542" i="5"/>
  <c r="J542" i="5" l="1"/>
  <c r="K542" i="5" s="1"/>
  <c r="H543" i="5" s="1"/>
  <c r="I543" i="5"/>
  <c r="J543" i="5" l="1"/>
  <c r="K543" i="5" s="1"/>
  <c r="H544" i="5" s="1"/>
  <c r="I544" i="5"/>
  <c r="J544" i="5" l="1"/>
  <c r="K544" i="5" s="1"/>
  <c r="H545" i="5" s="1"/>
  <c r="I545" i="5"/>
  <c r="J545" i="5" l="1"/>
  <c r="K545" i="5" s="1"/>
  <c r="H546" i="5" s="1"/>
  <c r="I546" i="5"/>
  <c r="J546" i="5" l="1"/>
  <c r="K546" i="5" s="1"/>
  <c r="H547" i="5" s="1"/>
  <c r="I547" i="5"/>
  <c r="J547" i="5" l="1"/>
  <c r="K547" i="5" s="1"/>
  <c r="H548" i="5" s="1"/>
  <c r="I548" i="5"/>
  <c r="J548" i="5" l="1"/>
  <c r="K548" i="5" s="1"/>
  <c r="H549" i="5" s="1"/>
  <c r="I549" i="5"/>
  <c r="J549" i="5" l="1"/>
  <c r="K549" i="5" s="1"/>
  <c r="H550" i="5" s="1"/>
  <c r="I550" i="5"/>
  <c r="J550" i="5" l="1"/>
  <c r="K550" i="5" s="1"/>
  <c r="H551" i="5" s="1"/>
  <c r="I551" i="5"/>
  <c r="J551" i="5" l="1"/>
  <c r="K551" i="5" s="1"/>
  <c r="H552" i="5" s="1"/>
  <c r="I552" i="5"/>
  <c r="J552" i="5" l="1"/>
  <c r="K552" i="5" s="1"/>
  <c r="H553" i="5" s="1"/>
  <c r="I553" i="5"/>
  <c r="J553" i="5" l="1"/>
  <c r="K553" i="5" s="1"/>
  <c r="H554" i="5" s="1"/>
  <c r="I554" i="5"/>
  <c r="J554" i="5" l="1"/>
  <c r="K554" i="5" s="1"/>
  <c r="H555" i="5" s="1"/>
  <c r="I555" i="5"/>
  <c r="J555" i="5" l="1"/>
  <c r="K555" i="5" s="1"/>
  <c r="H556" i="5" s="1"/>
  <c r="I556" i="5"/>
  <c r="J556" i="5" l="1"/>
  <c r="K556" i="5" s="1"/>
  <c r="H557" i="5" s="1"/>
  <c r="I557" i="5"/>
  <c r="J557" i="5" l="1"/>
  <c r="K557" i="5" s="1"/>
  <c r="H558" i="5" s="1"/>
  <c r="I558" i="5"/>
  <c r="J558" i="5" l="1"/>
  <c r="K558" i="5" s="1"/>
  <c r="H559" i="5" s="1"/>
  <c r="I559" i="5"/>
  <c r="J559" i="5" l="1"/>
  <c r="K559" i="5" s="1"/>
  <c r="H560" i="5" s="1"/>
  <c r="I560" i="5"/>
  <c r="J560" i="5" l="1"/>
  <c r="K560" i="5" s="1"/>
  <c r="H561" i="5" s="1"/>
  <c r="I561" i="5"/>
  <c r="J561" i="5" l="1"/>
  <c r="K561" i="5" s="1"/>
  <c r="H562" i="5" s="1"/>
  <c r="I562" i="5"/>
  <c r="J562" i="5" l="1"/>
  <c r="K562" i="5" s="1"/>
  <c r="H563" i="5" s="1"/>
  <c r="I563" i="5"/>
  <c r="J563" i="5" l="1"/>
  <c r="K563" i="5" s="1"/>
  <c r="H564" i="5" s="1"/>
  <c r="I564" i="5"/>
  <c r="J564" i="5" l="1"/>
  <c r="K564" i="5" s="1"/>
  <c r="H565" i="5" s="1"/>
  <c r="I565" i="5"/>
  <c r="J565" i="5" l="1"/>
  <c r="K565" i="5" s="1"/>
  <c r="H566" i="5" s="1"/>
  <c r="I566" i="5"/>
  <c r="J566" i="5" l="1"/>
  <c r="K566" i="5" s="1"/>
  <c r="H567" i="5" s="1"/>
  <c r="I567" i="5"/>
  <c r="J567" i="5" l="1"/>
  <c r="K567" i="5" s="1"/>
  <c r="H568" i="5" s="1"/>
  <c r="I568" i="5"/>
  <c r="J568" i="5" l="1"/>
  <c r="K568" i="5" s="1"/>
  <c r="H569" i="5" s="1"/>
  <c r="I569" i="5"/>
  <c r="J569" i="5" l="1"/>
  <c r="K569" i="5" s="1"/>
  <c r="H570" i="5" s="1"/>
  <c r="I570" i="5"/>
  <c r="J570" i="5" l="1"/>
  <c r="K570" i="5" s="1"/>
  <c r="H571" i="5" s="1"/>
  <c r="I571" i="5"/>
  <c r="J571" i="5" l="1"/>
  <c r="K571" i="5" s="1"/>
  <c r="H572" i="5" s="1"/>
  <c r="I572" i="5"/>
  <c r="J572" i="5" l="1"/>
  <c r="K572" i="5" s="1"/>
  <c r="H573" i="5" s="1"/>
  <c r="I573" i="5"/>
  <c r="J573" i="5" l="1"/>
  <c r="K573" i="5" s="1"/>
  <c r="H574" i="5" s="1"/>
  <c r="I574" i="5"/>
  <c r="J574" i="5" l="1"/>
  <c r="K574" i="5" s="1"/>
  <c r="H575" i="5" s="1"/>
  <c r="I575" i="5"/>
  <c r="J575" i="5" l="1"/>
  <c r="K575" i="5" s="1"/>
  <c r="H576" i="5" s="1"/>
  <c r="I576" i="5"/>
  <c r="J576" i="5" l="1"/>
  <c r="K576" i="5" s="1"/>
  <c r="H577" i="5" s="1"/>
  <c r="I577" i="5"/>
  <c r="J577" i="5" l="1"/>
  <c r="K577" i="5" s="1"/>
  <c r="H578" i="5" s="1"/>
  <c r="I578" i="5"/>
  <c r="J578" i="5" l="1"/>
  <c r="K578" i="5" s="1"/>
  <c r="H579" i="5" s="1"/>
  <c r="I579" i="5" s="1"/>
  <c r="J579" i="5" l="1"/>
  <c r="K579" i="5" s="1"/>
  <c r="H580" i="5" s="1"/>
  <c r="I580" i="5"/>
  <c r="J580" i="5" l="1"/>
  <c r="K580" i="5" s="1"/>
  <c r="H581" i="5" s="1"/>
  <c r="I581" i="5"/>
  <c r="J581" i="5" l="1"/>
  <c r="K581" i="5" s="1"/>
  <c r="H582" i="5" s="1"/>
  <c r="I582" i="5"/>
  <c r="J582" i="5" l="1"/>
  <c r="K582" i="5" s="1"/>
  <c r="H583" i="5" s="1"/>
  <c r="I583" i="5"/>
  <c r="J583" i="5" l="1"/>
  <c r="K583" i="5" s="1"/>
  <c r="H584" i="5" s="1"/>
  <c r="I584" i="5"/>
  <c r="J584" i="5" l="1"/>
  <c r="K584" i="5" s="1"/>
  <c r="H585" i="5" s="1"/>
  <c r="I585" i="5"/>
  <c r="J585" i="5" l="1"/>
  <c r="K585" i="5" s="1"/>
  <c r="H586" i="5" s="1"/>
  <c r="I586" i="5"/>
  <c r="J586" i="5" l="1"/>
  <c r="K586" i="5" s="1"/>
  <c r="H587" i="5" s="1"/>
  <c r="I587" i="5"/>
  <c r="J587" i="5" l="1"/>
  <c r="K587" i="5" s="1"/>
  <c r="H588" i="5" s="1"/>
  <c r="I588" i="5"/>
  <c r="J588" i="5" l="1"/>
  <c r="K588" i="5" s="1"/>
  <c r="H589" i="5" s="1"/>
  <c r="I589" i="5" s="1"/>
  <c r="J589" i="5" l="1"/>
  <c r="K589" i="5" s="1"/>
  <c r="H590" i="5" s="1"/>
  <c r="I590" i="5"/>
  <c r="J590" i="5" l="1"/>
  <c r="K590" i="5" s="1"/>
  <c r="H591" i="5" s="1"/>
  <c r="I591" i="5"/>
  <c r="J591" i="5" l="1"/>
  <c r="K591" i="5" s="1"/>
  <c r="H592" i="5" s="1"/>
  <c r="I592" i="5"/>
  <c r="J592" i="5" l="1"/>
  <c r="K592" i="5" s="1"/>
  <c r="H593" i="5" s="1"/>
  <c r="I593" i="5"/>
  <c r="J593" i="5" l="1"/>
  <c r="K593" i="5" s="1"/>
  <c r="H594" i="5" s="1"/>
  <c r="I594" i="5"/>
  <c r="J594" i="5" l="1"/>
  <c r="K594" i="5" s="1"/>
  <c r="H595" i="5" s="1"/>
  <c r="I595" i="5"/>
  <c r="J595" i="5" l="1"/>
  <c r="K595" i="5" s="1"/>
  <c r="H596" i="5" s="1"/>
  <c r="I596" i="5" s="1"/>
  <c r="J596" i="5" l="1"/>
  <c r="K596" i="5" s="1"/>
  <c r="H597" i="5" s="1"/>
  <c r="I597" i="5"/>
  <c r="J597" i="5" l="1"/>
  <c r="K597" i="5" s="1"/>
  <c r="H598" i="5" s="1"/>
  <c r="I598" i="5"/>
  <c r="J598" i="5" l="1"/>
  <c r="K598" i="5" s="1"/>
  <c r="H599" i="5" s="1"/>
  <c r="I599" i="5"/>
  <c r="J599" i="5" l="1"/>
  <c r="K599" i="5" s="1"/>
  <c r="H600" i="5" s="1"/>
  <c r="I600" i="5"/>
  <c r="J600" i="5" l="1"/>
  <c r="K600" i="5" s="1"/>
  <c r="H601" i="5" s="1"/>
  <c r="I601" i="5"/>
  <c r="J601" i="5" l="1"/>
  <c r="K601" i="5" s="1"/>
  <c r="H602" i="5" s="1"/>
  <c r="I602" i="5"/>
  <c r="J602" i="5" l="1"/>
  <c r="K602" i="5" s="1"/>
  <c r="H603" i="5" s="1"/>
  <c r="I603" i="5"/>
  <c r="J603" i="5" l="1"/>
  <c r="K603" i="5" s="1"/>
  <c r="H604" i="5" s="1"/>
  <c r="I604" i="5"/>
  <c r="J604" i="5" l="1"/>
  <c r="K604" i="5" s="1"/>
  <c r="H605" i="5" s="1"/>
  <c r="I605" i="5"/>
  <c r="J605" i="5" l="1"/>
  <c r="K605" i="5" s="1"/>
  <c r="H606" i="5" s="1"/>
  <c r="I606" i="5" s="1"/>
  <c r="J606" i="5" l="1"/>
  <c r="K606" i="5" s="1"/>
  <c r="H607" i="5" s="1"/>
  <c r="I607" i="5"/>
  <c r="J607" i="5" l="1"/>
  <c r="K607" i="5" s="1"/>
  <c r="H608" i="5" s="1"/>
  <c r="I608" i="5"/>
  <c r="J608" i="5" l="1"/>
  <c r="K608" i="5" s="1"/>
  <c r="H609" i="5" s="1"/>
  <c r="I609" i="5"/>
  <c r="J609" i="5" l="1"/>
  <c r="K609" i="5" s="1"/>
  <c r="H610" i="5" s="1"/>
  <c r="I610" i="5"/>
  <c r="J610" i="5" l="1"/>
  <c r="K610" i="5" s="1"/>
  <c r="H611" i="5" s="1"/>
  <c r="I611" i="5"/>
  <c r="J611" i="5" l="1"/>
  <c r="K611" i="5" s="1"/>
  <c r="H612" i="5" s="1"/>
  <c r="I612" i="5"/>
  <c r="J612" i="5" l="1"/>
  <c r="K612" i="5" s="1"/>
  <c r="H613" i="5" s="1"/>
  <c r="I613" i="5"/>
  <c r="J613" i="5" l="1"/>
  <c r="K613" i="5" s="1"/>
  <c r="H614" i="5" s="1"/>
  <c r="I614" i="5"/>
  <c r="J614" i="5" l="1"/>
  <c r="K614" i="5" s="1"/>
  <c r="H615" i="5" s="1"/>
  <c r="I615" i="5"/>
  <c r="J615" i="5" l="1"/>
  <c r="K615" i="5" s="1"/>
  <c r="H616" i="5" s="1"/>
  <c r="I616" i="5"/>
  <c r="J616" i="5" l="1"/>
  <c r="K616" i="5" s="1"/>
  <c r="H617" i="5" s="1"/>
  <c r="I617" i="5"/>
  <c r="J617" i="5" l="1"/>
  <c r="K617" i="5" s="1"/>
  <c r="H618" i="5" s="1"/>
  <c r="I618" i="5"/>
  <c r="J618" i="5" l="1"/>
  <c r="K618" i="5" s="1"/>
  <c r="H619" i="5" s="1"/>
  <c r="I619" i="5"/>
  <c r="J619" i="5" l="1"/>
  <c r="K619" i="5" s="1"/>
  <c r="H620" i="5" s="1"/>
  <c r="I620" i="5"/>
  <c r="J620" i="5" l="1"/>
  <c r="K620" i="5" s="1"/>
  <c r="H621" i="5" s="1"/>
  <c r="I621" i="5"/>
  <c r="J621" i="5" l="1"/>
  <c r="K621" i="5" s="1"/>
  <c r="H622" i="5" s="1"/>
  <c r="I622" i="5"/>
  <c r="J622" i="5" l="1"/>
  <c r="K622" i="5" s="1"/>
  <c r="H623" i="5" s="1"/>
  <c r="I623" i="5"/>
  <c r="J623" i="5" l="1"/>
  <c r="K623" i="5" s="1"/>
  <c r="H624" i="5" s="1"/>
  <c r="I624" i="5"/>
  <c r="J624" i="5" l="1"/>
  <c r="K624" i="5" s="1"/>
  <c r="H625" i="5" s="1"/>
  <c r="I625" i="5"/>
  <c r="J625" i="5" l="1"/>
  <c r="K625" i="5" s="1"/>
  <c r="H626" i="5" s="1"/>
  <c r="I626" i="5"/>
  <c r="J626" i="5" l="1"/>
  <c r="K626" i="5" s="1"/>
  <c r="H627" i="5" s="1"/>
  <c r="I627" i="5"/>
  <c r="J627" i="5" l="1"/>
  <c r="K627" i="5" s="1"/>
  <c r="H628" i="5" s="1"/>
  <c r="I628" i="5"/>
  <c r="J628" i="5" l="1"/>
  <c r="K628" i="5" s="1"/>
  <c r="H629" i="5" s="1"/>
  <c r="I629" i="5"/>
  <c r="J629" i="5" l="1"/>
  <c r="K629" i="5" s="1"/>
  <c r="H630" i="5" s="1"/>
  <c r="I630" i="5"/>
  <c r="J630" i="5" l="1"/>
  <c r="K630" i="5" s="1"/>
  <c r="H631" i="5" s="1"/>
  <c r="I631" i="5"/>
  <c r="J631" i="5" l="1"/>
  <c r="K631" i="5" s="1"/>
  <c r="H632" i="5" s="1"/>
  <c r="I632" i="5" s="1"/>
  <c r="J632" i="5" l="1"/>
  <c r="K632" i="5" s="1"/>
  <c r="H633" i="5" s="1"/>
  <c r="I633" i="5"/>
  <c r="J633" i="5" l="1"/>
  <c r="K633" i="5" s="1"/>
  <c r="H634" i="5" s="1"/>
  <c r="I634" i="5"/>
  <c r="J634" i="5" l="1"/>
  <c r="K634" i="5" s="1"/>
  <c r="H635" i="5" s="1"/>
  <c r="I635" i="5"/>
  <c r="J635" i="5" l="1"/>
  <c r="K635" i="5" s="1"/>
  <c r="H636" i="5" s="1"/>
  <c r="I636" i="5" s="1"/>
  <c r="J636" i="5" l="1"/>
  <c r="K636" i="5" s="1"/>
  <c r="H637" i="5" s="1"/>
  <c r="I637" i="5" s="1"/>
  <c r="J637" i="5" l="1"/>
  <c r="K637" i="5" s="1"/>
  <c r="H638" i="5" s="1"/>
  <c r="I638" i="5"/>
  <c r="J638" i="5" l="1"/>
  <c r="K638" i="5" s="1"/>
  <c r="H639" i="5" s="1"/>
  <c r="I639" i="5"/>
  <c r="J639" i="5" l="1"/>
  <c r="K639" i="5" s="1"/>
  <c r="H640" i="5" s="1"/>
  <c r="I640" i="5"/>
  <c r="J640" i="5" l="1"/>
  <c r="K640" i="5" s="1"/>
  <c r="H641" i="5" s="1"/>
  <c r="I641" i="5" s="1"/>
  <c r="J641" i="5" l="1"/>
  <c r="K641" i="5" s="1"/>
  <c r="H642" i="5" s="1"/>
  <c r="I642" i="5"/>
  <c r="J642" i="5" l="1"/>
  <c r="K642" i="5" s="1"/>
  <c r="H643" i="5" s="1"/>
  <c r="I643" i="5"/>
  <c r="J643" i="5" l="1"/>
  <c r="K643" i="5" s="1"/>
  <c r="H644" i="5" s="1"/>
  <c r="I644" i="5"/>
  <c r="J644" i="5" l="1"/>
  <c r="K644" i="5" s="1"/>
  <c r="H645" i="5" s="1"/>
  <c r="I645" i="5"/>
  <c r="J645" i="5" l="1"/>
  <c r="K645" i="5" s="1"/>
  <c r="H646" i="5" s="1"/>
  <c r="I646" i="5"/>
  <c r="J646" i="5" l="1"/>
  <c r="K646" i="5" s="1"/>
  <c r="H647" i="5" s="1"/>
  <c r="I647" i="5"/>
  <c r="J647" i="5" l="1"/>
  <c r="K647" i="5" s="1"/>
  <c r="H648" i="5" s="1"/>
  <c r="I648" i="5"/>
  <c r="J648" i="5" l="1"/>
  <c r="K648" i="5" s="1"/>
  <c r="H649" i="5" s="1"/>
  <c r="I649" i="5"/>
  <c r="J649" i="5" l="1"/>
  <c r="K649" i="5" s="1"/>
  <c r="H650" i="5" s="1"/>
  <c r="I650" i="5"/>
  <c r="J650" i="5" l="1"/>
  <c r="K650" i="5" s="1"/>
  <c r="H651" i="5" s="1"/>
  <c r="I651" i="5"/>
  <c r="J651" i="5" l="1"/>
  <c r="K651" i="5" s="1"/>
  <c r="H652" i="5" s="1"/>
  <c r="I652" i="5"/>
  <c r="J652" i="5" l="1"/>
  <c r="K652" i="5" s="1"/>
  <c r="H653" i="5" s="1"/>
  <c r="I653" i="5"/>
  <c r="J653" i="5" l="1"/>
  <c r="K653" i="5" s="1"/>
  <c r="H654" i="5" s="1"/>
  <c r="I654" i="5"/>
  <c r="J654" i="5" l="1"/>
  <c r="K654" i="5" s="1"/>
  <c r="H655" i="5" s="1"/>
  <c r="I655" i="5"/>
  <c r="J655" i="5" l="1"/>
  <c r="K655" i="5" s="1"/>
  <c r="H656" i="5" s="1"/>
  <c r="I656" i="5" s="1"/>
  <c r="J656" i="5" l="1"/>
  <c r="K656" i="5" s="1"/>
  <c r="H657" i="5" s="1"/>
  <c r="I657" i="5"/>
  <c r="J657" i="5" l="1"/>
  <c r="K657" i="5" s="1"/>
  <c r="H658" i="5" s="1"/>
  <c r="I658" i="5" s="1"/>
  <c r="J658" i="5" l="1"/>
  <c r="K658" i="5" s="1"/>
  <c r="H659" i="5" s="1"/>
  <c r="I659" i="5" s="1"/>
  <c r="J659" i="5" l="1"/>
  <c r="K659" i="5" s="1"/>
  <c r="H660" i="5" s="1"/>
  <c r="I660" i="5"/>
  <c r="J660" i="5" l="1"/>
  <c r="K660" i="5" s="1"/>
  <c r="H661" i="5" s="1"/>
  <c r="I661" i="5"/>
  <c r="J661" i="5" l="1"/>
  <c r="K661" i="5" s="1"/>
  <c r="H662" i="5" s="1"/>
  <c r="I662" i="5"/>
  <c r="J662" i="5" l="1"/>
  <c r="K662" i="5" s="1"/>
  <c r="H663" i="5" s="1"/>
  <c r="I663" i="5"/>
  <c r="J663" i="5" l="1"/>
  <c r="K663" i="5" s="1"/>
  <c r="H664" i="5" s="1"/>
  <c r="I664" i="5"/>
  <c r="J664" i="5" l="1"/>
  <c r="K664" i="5" s="1"/>
  <c r="H665" i="5" s="1"/>
  <c r="I665" i="5"/>
  <c r="J665" i="5" l="1"/>
  <c r="K665" i="5" s="1"/>
  <c r="H666" i="5" s="1"/>
  <c r="I666" i="5"/>
  <c r="J666" i="5" l="1"/>
  <c r="K666" i="5" s="1"/>
  <c r="H667" i="5" s="1"/>
  <c r="I667" i="5"/>
  <c r="J667" i="5" l="1"/>
  <c r="K667" i="5" s="1"/>
  <c r="H668" i="5" s="1"/>
  <c r="I668" i="5"/>
  <c r="J668" i="5" l="1"/>
  <c r="K668" i="5" s="1"/>
  <c r="H669" i="5" s="1"/>
  <c r="I669" i="5" s="1"/>
  <c r="J669" i="5" l="1"/>
  <c r="K669" i="5" s="1"/>
  <c r="H670" i="5" s="1"/>
  <c r="I670" i="5"/>
  <c r="J670" i="5" l="1"/>
  <c r="K670" i="5" s="1"/>
  <c r="H671" i="5" s="1"/>
  <c r="I671" i="5" s="1"/>
  <c r="J671" i="5" l="1"/>
  <c r="K671" i="5" s="1"/>
  <c r="H672" i="5" s="1"/>
  <c r="I672" i="5"/>
  <c r="J672" i="5" l="1"/>
  <c r="K672" i="5" s="1"/>
  <c r="H673" i="5" s="1"/>
  <c r="I673" i="5"/>
  <c r="J673" i="5" l="1"/>
  <c r="K673" i="5" s="1"/>
  <c r="H674" i="5" s="1"/>
  <c r="I674" i="5"/>
  <c r="J674" i="5" l="1"/>
  <c r="K674" i="5" s="1"/>
  <c r="H675" i="5" s="1"/>
  <c r="I675" i="5"/>
  <c r="J675" i="5" l="1"/>
  <c r="K675" i="5" s="1"/>
  <c r="H676" i="5" s="1"/>
  <c r="I676" i="5"/>
  <c r="J676" i="5" l="1"/>
  <c r="K676" i="5" s="1"/>
  <c r="H677" i="5" s="1"/>
  <c r="I677" i="5"/>
  <c r="J677" i="5" l="1"/>
  <c r="K677" i="5" s="1"/>
  <c r="H678" i="5" s="1"/>
  <c r="I678" i="5"/>
  <c r="J678" i="5" l="1"/>
  <c r="K678" i="5" s="1"/>
  <c r="H679" i="5" s="1"/>
  <c r="I679" i="5"/>
  <c r="J679" i="5" l="1"/>
  <c r="K679" i="5" s="1"/>
  <c r="H680" i="5" s="1"/>
  <c r="I680" i="5"/>
  <c r="J680" i="5" l="1"/>
  <c r="K680" i="5" s="1"/>
  <c r="H681" i="5" s="1"/>
  <c r="I681" i="5"/>
  <c r="J681" i="5" l="1"/>
  <c r="K681" i="5" s="1"/>
  <c r="H682" i="5" s="1"/>
  <c r="I682" i="5"/>
  <c r="J682" i="5" l="1"/>
  <c r="K682" i="5" s="1"/>
  <c r="H683" i="5" s="1"/>
  <c r="I683" i="5"/>
  <c r="J683" i="5" l="1"/>
  <c r="K683" i="5" s="1"/>
  <c r="H684" i="5" s="1"/>
  <c r="I684" i="5"/>
  <c r="J684" i="5" l="1"/>
  <c r="K684" i="5" s="1"/>
  <c r="H685" i="5" s="1"/>
  <c r="I685" i="5"/>
  <c r="J685" i="5" l="1"/>
  <c r="K685" i="5" s="1"/>
  <c r="H686" i="5" s="1"/>
  <c r="I686" i="5"/>
  <c r="J686" i="5" l="1"/>
  <c r="K686" i="5" s="1"/>
  <c r="H687" i="5" s="1"/>
  <c r="I687" i="5"/>
  <c r="J687" i="5" l="1"/>
  <c r="K687" i="5" s="1"/>
  <c r="H688" i="5" s="1"/>
  <c r="I688" i="5" s="1"/>
  <c r="J688" i="5" l="1"/>
  <c r="K688" i="5" s="1"/>
  <c r="H689" i="5" s="1"/>
  <c r="I689" i="5"/>
  <c r="J689" i="5" l="1"/>
  <c r="K689" i="5" s="1"/>
  <c r="H690" i="5" s="1"/>
  <c r="I690" i="5" s="1"/>
  <c r="J690" i="5" l="1"/>
  <c r="K690" i="5" s="1"/>
  <c r="H691" i="5" s="1"/>
  <c r="I691" i="5"/>
  <c r="J691" i="5" l="1"/>
  <c r="K691" i="5" s="1"/>
  <c r="H692" i="5" s="1"/>
  <c r="I692" i="5" s="1"/>
  <c r="J692" i="5" l="1"/>
  <c r="K692" i="5" s="1"/>
  <c r="H693" i="5" s="1"/>
  <c r="I693" i="5"/>
  <c r="J693" i="5" l="1"/>
  <c r="K693" i="5" s="1"/>
  <c r="H694" i="5" s="1"/>
  <c r="I694" i="5"/>
  <c r="J694" i="5" l="1"/>
  <c r="K694" i="5" s="1"/>
  <c r="H695" i="5" s="1"/>
  <c r="I695" i="5"/>
  <c r="J695" i="5" l="1"/>
  <c r="K695" i="5" s="1"/>
  <c r="H696" i="5" s="1"/>
  <c r="I696" i="5" s="1"/>
  <c r="J696" i="5" l="1"/>
  <c r="K696" i="5" s="1"/>
  <c r="H697" i="5" s="1"/>
  <c r="I697" i="5"/>
  <c r="J697" i="5" l="1"/>
  <c r="K697" i="5" s="1"/>
  <c r="H698" i="5" s="1"/>
  <c r="I698" i="5"/>
  <c r="J698" i="5" l="1"/>
  <c r="K698" i="5" s="1"/>
  <c r="H699" i="5" s="1"/>
  <c r="I699" i="5"/>
  <c r="J699" i="5" l="1"/>
  <c r="K699" i="5" s="1"/>
  <c r="H700" i="5" s="1"/>
  <c r="I700" i="5"/>
  <c r="J700" i="5" l="1"/>
  <c r="K700" i="5" s="1"/>
  <c r="H701" i="5" s="1"/>
  <c r="I701" i="5"/>
  <c r="J701" i="5" l="1"/>
  <c r="K701" i="5" s="1"/>
  <c r="H702" i="5" s="1"/>
  <c r="I702" i="5"/>
  <c r="J702" i="5" l="1"/>
  <c r="K702" i="5" s="1"/>
  <c r="H703" i="5" s="1"/>
  <c r="I703" i="5"/>
  <c r="J703" i="5" l="1"/>
  <c r="K703" i="5" s="1"/>
  <c r="H704" i="5" s="1"/>
  <c r="I704" i="5"/>
  <c r="J704" i="5" l="1"/>
  <c r="K704" i="5" s="1"/>
  <c r="H705" i="5" s="1"/>
  <c r="I705" i="5"/>
  <c r="J705" i="5" l="1"/>
  <c r="K705" i="5" s="1"/>
  <c r="H706" i="5" s="1"/>
  <c r="I706" i="5"/>
  <c r="J706" i="5" l="1"/>
  <c r="K706" i="5" s="1"/>
  <c r="H707" i="5" s="1"/>
  <c r="I707" i="5"/>
  <c r="J707" i="5" l="1"/>
  <c r="K707" i="5" s="1"/>
  <c r="H708" i="5" s="1"/>
  <c r="I708" i="5"/>
  <c r="J708" i="5" l="1"/>
  <c r="K708" i="5" s="1"/>
  <c r="H709" i="5" s="1"/>
  <c r="I709" i="5"/>
  <c r="J709" i="5" l="1"/>
  <c r="K709" i="5" s="1"/>
  <c r="H710" i="5" s="1"/>
  <c r="I710" i="5"/>
  <c r="J710" i="5" l="1"/>
  <c r="K710" i="5" s="1"/>
  <c r="H711" i="5" s="1"/>
  <c r="I711" i="5"/>
  <c r="J711" i="5" l="1"/>
  <c r="K711" i="5" s="1"/>
  <c r="H712" i="5" s="1"/>
  <c r="I712" i="5"/>
  <c r="J712" i="5" l="1"/>
  <c r="K712" i="5" s="1"/>
  <c r="H713" i="5" s="1"/>
  <c r="I713" i="5"/>
  <c r="J713" i="5" l="1"/>
  <c r="K713" i="5" s="1"/>
  <c r="H714" i="5" s="1"/>
  <c r="I714" i="5"/>
  <c r="J714" i="5" l="1"/>
  <c r="K714" i="5" s="1"/>
  <c r="H715" i="5" s="1"/>
  <c r="I715" i="5"/>
  <c r="J715" i="5" l="1"/>
  <c r="K715" i="5" s="1"/>
  <c r="H716" i="5" s="1"/>
  <c r="I716" i="5"/>
  <c r="J716" i="5" l="1"/>
  <c r="K716" i="5" s="1"/>
  <c r="H717" i="5" s="1"/>
  <c r="I717" i="5"/>
  <c r="J717" i="5" l="1"/>
  <c r="K717" i="5" s="1"/>
  <c r="H718" i="5" s="1"/>
  <c r="I718" i="5"/>
  <c r="J718" i="5" l="1"/>
  <c r="K718" i="5" s="1"/>
  <c r="H719" i="5" s="1"/>
  <c r="I719" i="5"/>
  <c r="J719" i="5" l="1"/>
  <c r="K719" i="5" s="1"/>
  <c r="H720" i="5" s="1"/>
  <c r="I720" i="5"/>
  <c r="J720" i="5" l="1"/>
  <c r="K720" i="5" s="1"/>
  <c r="H721" i="5" s="1"/>
  <c r="I721" i="5" s="1"/>
  <c r="J721" i="5" s="1"/>
  <c r="K721" i="5" l="1"/>
  <c r="M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85CCE-5259-4673-903F-65BA13877F8A}" name="energia" type="6" refreshedVersion="8" background="1" saveData="1">
    <textPr codePage="852" sourceFile="C:\Users\oskar\Desktop\Dane-2412\energia.txt" decimal="," thousands=" ">
      <textFields count="4">
        <textField type="YMD"/>
        <textField/>
        <textField/>
        <textField/>
      </textFields>
    </textPr>
  </connection>
  <connection id="2" xr16:uid="{8ACC7151-3E56-4258-A674-509EA214E6DF}" name="energia1" type="6" refreshedVersion="8" background="1" saveData="1">
    <textPr codePage="852" sourceFile="C:\Users\oskar\Desktop\Dane-2412\energia.txt" decimal="," thousands=" ">
      <textFields count="4">
        <textField type="YMD"/>
        <textField/>
        <textField/>
        <textField/>
      </textFields>
    </textPr>
  </connection>
  <connection id="3" xr16:uid="{242A5C4D-F765-418A-B738-66857A798F33}" name="energia11" type="6" refreshedVersion="8" background="1" saveData="1">
    <textPr codePage="852" sourceFile="C:\Users\oskar\Desktop\Dane-2412\energia.txt" decimal="," thousands=" ">
      <textFields count="4">
        <textField type="YMD"/>
        <textField/>
        <textField/>
        <textField/>
      </textFields>
    </textPr>
  </connection>
  <connection id="4" xr16:uid="{34917AEC-E666-4D3D-B8AB-1214CCC410D0}" name="energia12" type="6" refreshedVersion="8" background="1" saveData="1">
    <textPr codePage="852" sourceFile="C:\Users\oskar\Desktop\Dane-2412\energia.txt" decimal="," thousands=" ">
      <textFields count="4">
        <textField type="YMD"/>
        <textField/>
        <textField/>
        <textField/>
      </textFields>
    </textPr>
  </connection>
  <connection id="5" xr16:uid="{24DDA7D5-B97F-4400-97E8-06B7D8BF752D}" name="energia13" type="6" refreshedVersion="8" background="1" saveData="1">
    <textPr codePage="852" sourceFile="C:\Users\oskar\Desktop\Dane-2412\energia.txt" decimal="," thousands=" ">
      <textFields count="4">
        <textField type="YMD"/>
        <textField/>
        <textField/>
        <textField/>
      </textFields>
    </textPr>
  </connection>
  <connection id="6" xr16:uid="{B82CC9BB-A30A-47AE-864F-BFB9F7B0E4CC}" name="zapotrzebowanie" type="6" refreshedVersion="8" background="1" saveData="1">
    <textPr codePage="852" sourceFile="C:\Users\oskar\Desktop\Dane-2412\zapotrzebowanie.txt" decimal="," thousands=" 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<sst xmlns="http://schemas.openxmlformats.org/spreadsheetml/2006/main" count="43" uniqueCount="23">
  <si>
    <t>Data</t>
  </si>
  <si>
    <t>Godzina</t>
  </si>
  <si>
    <t>Zrodla_wiatrowe</t>
  </si>
  <si>
    <t>Zrodla_fotowoltaiczne</t>
  </si>
  <si>
    <t>Etykiety wierszy</t>
  </si>
  <si>
    <t>Suma końcowa</t>
  </si>
  <si>
    <t>Suma z Zrodla_wiatrowe</t>
  </si>
  <si>
    <t>Suma z Zrodla_fotowoltaiczne</t>
  </si>
  <si>
    <t>wiatrowe-</t>
  </si>
  <si>
    <t>fotowoltaiczne-</t>
  </si>
  <si>
    <t>(puste)</t>
  </si>
  <si>
    <t>Średnia z Zrodla_fotowoltaiczne</t>
  </si>
  <si>
    <t>godzina</t>
  </si>
  <si>
    <t>ilosc</t>
  </si>
  <si>
    <t>maks przedzial</t>
  </si>
  <si>
    <t>Zapotrzebowanie</t>
  </si>
  <si>
    <t>razem</t>
  </si>
  <si>
    <t>do magazynu</t>
  </si>
  <si>
    <t>magazyn na poczatek</t>
  </si>
  <si>
    <t>na koniec</t>
  </si>
  <si>
    <t>braklo</t>
  </si>
  <si>
    <t>na koniec2</t>
  </si>
  <si>
    <t>ile razy brakuje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</si>
</sst>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" fillId="2" borderId="0" xfId="1"/>
    <xf numFmtId="14" fontId="1" fillId="2" borderId="0" xfId="1" applyNumberFormat="1" applyAlignment="1">
      <alignment horizontal="left"/>
    </xf>
    <xf numFmtId="0" fontId="1" fillId="2" borderId="0" xfId="1" applyNumberFormat="1"/>
    <xf numFmtId="0" fontId="0" fillId="0" borderId="0" xfId="0" applyAlignment="1">
      <alignment horizontal="left"/>
    </xf>
    <xf numFmtId="2" fontId="0" fillId="0" borderId="0" xfId="0" applyNumberFormat="1"/>
    <xf numFmtId="0" fontId="1" fillId="2" borderId="0" xfId="1" applyAlignment="1">
      <alignment horizontal="left"/>
    </xf>
    <xf numFmtId="2" fontId="1" fillId="2" borderId="0" xfId="1" applyNumberFormat="1"/>
    <xf numFmtId="14" fontId="1" fillId="2" borderId="0" xfId="1" applyNumberFormat="1"/>
  </cellXfs>
  <cellStyles count="2">
    <cellStyle name="Dobry" xfId="1" builtinId="26"/>
    <cellStyle name="Normalny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charset val="238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Srednia ilosc</a:t>
            </a:r>
            <a:r>
              <a:rPr lang="pl-PL" baseline="0"/>
              <a:t> wyprodukowanej energii ze zrodel fotowoltaicznych dla kazdej godziny w dobie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'7.2'!$M$2</c:f>
              <c:strCache>
                <c:ptCount val="1"/>
                <c:pt idx="0">
                  <c:v>ilosc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'7.2'!$L$3:$L$26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'7.2'!$M$3:$M$26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2.7933333333333331E-2</c:v>
                </c:pt>
                <c:pt idx="5">
                  <c:v>64.670633333333342</c:v>
                </c:pt>
                <c:pt idx="6">
                  <c:v>491.30063333333328</c:v>
                </c:pt>
                <c:pt idx="7">
                  <c:v>1723.6281333333332</c:v>
                </c:pt>
                <c:pt idx="8">
                  <c:v>3492.9265333333333</c:v>
                </c:pt>
                <c:pt idx="9">
                  <c:v>5164.2290666666668</c:v>
                </c:pt>
                <c:pt idx="10">
                  <c:v>6246.1545000000006</c:v>
                </c:pt>
                <c:pt idx="11">
                  <c:v>6623.0248333333329</c:v>
                </c:pt>
                <c:pt idx="12">
                  <c:v>6658.3849000000009</c:v>
                </c:pt>
                <c:pt idx="13">
                  <c:v>6489.5148000000008</c:v>
                </c:pt>
                <c:pt idx="14">
                  <c:v>6099.1731000000009</c:v>
                </c:pt>
                <c:pt idx="15">
                  <c:v>5410.7428000000009</c:v>
                </c:pt>
                <c:pt idx="16">
                  <c:v>4338.6940000000004</c:v>
                </c:pt>
                <c:pt idx="17">
                  <c:v>2796.1616000000004</c:v>
                </c:pt>
                <c:pt idx="18">
                  <c:v>1240.4914333333334</c:v>
                </c:pt>
                <c:pt idx="19">
                  <c:v>311.0299333333333</c:v>
                </c:pt>
                <c:pt idx="20">
                  <c:v>15.681766666666666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F-4A93-87A5-9F26C5E0F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56799"/>
        <c:axId val="596273119"/>
      </c:barChart>
      <c:catAx>
        <c:axId val="59625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273119"/>
        <c:crosses val="autoZero"/>
        <c:auto val="1"/>
        <c:lblAlgn val="ctr"/>
        <c:lblOffset val="100"/>
        <c:noMultiLvlLbl val="0"/>
      </c:catAx>
      <c:valAx>
        <c:axId val="59627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ilosc</a:t>
                </a:r>
                <a:r>
                  <a:rPr lang="pl-PL" baseline="0"/>
                  <a:t> MWh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25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32</xdr:row>
      <xdr:rowOff>71437</xdr:rowOff>
    </xdr:from>
    <xdr:to>
      <xdr:col>12</xdr:col>
      <xdr:colOff>466725</xdr:colOff>
      <xdr:row>52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BA9369E-1CC9-AA01-8169-B1BB0FCBD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54.852383101854" createdVersion="8" refreshedVersion="8" minRefreshableVersion="3" recordCount="720" xr:uid="{FA754EB5-160C-4B5B-A741-8A2670819870}">
  <cacheSource type="worksheet">
    <worksheetSource ref="A1:C721" sheet="7.1"/>
  </cacheSource>
  <cacheFields count="3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/>
    </cacheField>
    <cacheField name="Zrodla_wiatrowe" numFmtId="0">
      <sharedItems containsSemiMixedTypes="0" containsString="0" containsNumber="1" minValue="327.488" maxValue="7220.488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54.852875925928" createdVersion="8" refreshedVersion="8" minRefreshableVersion="3" recordCount="720" xr:uid="{E63B5617-9284-40F3-8AEA-03EDBEA11204}">
  <cacheSource type="worksheet">
    <worksheetSource ref="A1:D721" sheet="7.1"/>
  </cacheSource>
  <cacheFields count="4">
    <cacheField name="Data" numFmtId="14">
      <sharedItems containsSemiMixedTypes="0" containsNonDate="0" containsDate="1" containsString="0" minDate="2024-04-01T00:00:00" maxDate="2024-05-01T00:00:00" count="30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</sharedItems>
    </cacheField>
    <cacheField name="Godzina" numFmtId="0">
      <sharedItems containsSemiMixedTypes="0" containsString="0" containsNumber="1" containsInteger="1" minValue="1" maxValue="24"/>
    </cacheField>
    <cacheField name="Zrodla_wiatrowe" numFmtId="0">
      <sharedItems containsSemiMixedTypes="0" containsString="0" containsNumber="1" minValue="327.488" maxValue="7220.4880000000003"/>
    </cacheField>
    <cacheField name="Zrodla_fotowoltaiczne" numFmtId="0">
      <sharedItems containsSemiMixedTypes="0" containsString="0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54.854315046294" createdVersion="8" refreshedVersion="8" minRefreshableVersion="3" recordCount="721" xr:uid="{322718DC-55B2-4235-AA01-FA5FEA9B681D}">
  <cacheSource type="worksheet">
    <worksheetSource ref="A1:D1048576" sheet="7.2"/>
  </cacheSource>
  <cacheFields count="4">
    <cacheField name="Data" numFmtId="0">
      <sharedItems containsNonDate="0" containsDate="1" containsString="0" containsBlank="1" minDate="2024-04-01T00:00:00" maxDate="2024-05-01T00:00:00" count="31"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m/>
      </sharedItems>
    </cacheField>
    <cacheField name="Godzina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m/>
      </sharedItems>
    </cacheField>
    <cacheField name="Zrodla_wiatrowe" numFmtId="0">
      <sharedItems containsString="0" containsBlank="1" containsNumber="1" minValue="327.488" maxValue="7220.4880000000003"/>
    </cacheField>
    <cacheField name="Zrodla_fotowoltaiczne" numFmtId="0">
      <sharedItems containsString="0" containsBlank="1" containsNumber="1" minValue="0" maxValue="10529.9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n v="1"/>
    <n v="3130.2629999999999"/>
  </r>
  <r>
    <x v="0"/>
    <n v="2"/>
    <n v="2765.5880000000002"/>
  </r>
  <r>
    <x v="0"/>
    <n v="3"/>
    <n v="2555.4380000000001"/>
  </r>
  <r>
    <x v="0"/>
    <n v="4"/>
    <n v="2675.2379999999998"/>
  </r>
  <r>
    <x v="0"/>
    <n v="5"/>
    <n v="2681.1750000000002"/>
  </r>
  <r>
    <x v="0"/>
    <n v="6"/>
    <n v="2367.3249999999998"/>
  </r>
  <r>
    <x v="0"/>
    <n v="7"/>
    <n v="2525.2249999999999"/>
  </r>
  <r>
    <x v="0"/>
    <n v="8"/>
    <n v="2360.9879999999998"/>
  </r>
  <r>
    <x v="0"/>
    <n v="9"/>
    <n v="1940.838"/>
  </r>
  <r>
    <x v="0"/>
    <n v="10"/>
    <n v="1368.675"/>
  </r>
  <r>
    <x v="0"/>
    <n v="11"/>
    <n v="1140.463"/>
  </r>
  <r>
    <x v="0"/>
    <n v="12"/>
    <n v="1305.8630000000001"/>
  </r>
  <r>
    <x v="0"/>
    <n v="13"/>
    <n v="1511.4880000000001"/>
  </r>
  <r>
    <x v="0"/>
    <n v="14"/>
    <n v="1931.05"/>
  </r>
  <r>
    <x v="0"/>
    <n v="15"/>
    <n v="2229.25"/>
  </r>
  <r>
    <x v="0"/>
    <n v="16"/>
    <n v="2467.125"/>
  </r>
  <r>
    <x v="0"/>
    <n v="17"/>
    <n v="2655.85"/>
  </r>
  <r>
    <x v="0"/>
    <n v="18"/>
    <n v="2572.7629999999999"/>
  </r>
  <r>
    <x v="0"/>
    <n v="19"/>
    <n v="2891.1750000000002"/>
  </r>
  <r>
    <x v="0"/>
    <n v="20"/>
    <n v="3515.2"/>
  </r>
  <r>
    <x v="0"/>
    <n v="21"/>
    <n v="3941.538"/>
  </r>
  <r>
    <x v="0"/>
    <n v="22"/>
    <n v="4127.375"/>
  </r>
  <r>
    <x v="0"/>
    <n v="23"/>
    <n v="4248.55"/>
  </r>
  <r>
    <x v="0"/>
    <n v="24"/>
    <n v="4027.7249999999999"/>
  </r>
  <r>
    <x v="1"/>
    <n v="1"/>
    <n v="3346.5749999999998"/>
  </r>
  <r>
    <x v="1"/>
    <n v="2"/>
    <n v="3446.2379999999998"/>
  </r>
  <r>
    <x v="1"/>
    <n v="3"/>
    <n v="4149.3"/>
  </r>
  <r>
    <x v="1"/>
    <n v="4"/>
    <n v="4457.1750000000002"/>
  </r>
  <r>
    <x v="1"/>
    <n v="5"/>
    <n v="4588.4380000000001"/>
  </r>
  <r>
    <x v="1"/>
    <n v="6"/>
    <n v="4658.5"/>
  </r>
  <r>
    <x v="1"/>
    <n v="7"/>
    <n v="4732.9750000000004"/>
  </r>
  <r>
    <x v="1"/>
    <n v="8"/>
    <n v="4939.8249999999998"/>
  </r>
  <r>
    <x v="1"/>
    <n v="9"/>
    <n v="5218.9629999999997"/>
  </r>
  <r>
    <x v="1"/>
    <n v="10"/>
    <n v="5539.7749999999996"/>
  </r>
  <r>
    <x v="1"/>
    <n v="11"/>
    <n v="5927.375"/>
  </r>
  <r>
    <x v="1"/>
    <n v="12"/>
    <n v="6218.0749999999998"/>
  </r>
  <r>
    <x v="1"/>
    <n v="13"/>
    <n v="6813.6629999999996"/>
  </r>
  <r>
    <x v="1"/>
    <n v="14"/>
    <n v="7025.85"/>
  </r>
  <r>
    <x v="1"/>
    <n v="15"/>
    <n v="7180.7629999999999"/>
  </r>
  <r>
    <x v="1"/>
    <n v="16"/>
    <n v="7220.4880000000003"/>
  </r>
  <r>
    <x v="1"/>
    <n v="17"/>
    <n v="7167.5630000000001"/>
  </r>
  <r>
    <x v="1"/>
    <n v="18"/>
    <n v="6882.125"/>
  </r>
  <r>
    <x v="1"/>
    <n v="19"/>
    <n v="6806.5630000000001"/>
  </r>
  <r>
    <x v="1"/>
    <n v="20"/>
    <n v="7039.9629999999997"/>
  </r>
  <r>
    <x v="1"/>
    <n v="21"/>
    <n v="7089.2380000000003"/>
  </r>
  <r>
    <x v="1"/>
    <n v="22"/>
    <n v="6955.6379999999999"/>
  </r>
  <r>
    <x v="1"/>
    <n v="23"/>
    <n v="6667.7749999999996"/>
  </r>
  <r>
    <x v="1"/>
    <n v="24"/>
    <n v="6771.0879999999997"/>
  </r>
  <r>
    <x v="2"/>
    <n v="1"/>
    <n v="6683.55"/>
  </r>
  <r>
    <x v="2"/>
    <n v="2"/>
    <n v="6485.2250000000004"/>
  </r>
  <r>
    <x v="2"/>
    <n v="3"/>
    <n v="6362.625"/>
  </r>
  <r>
    <x v="2"/>
    <n v="4"/>
    <n v="5948.9250000000002"/>
  </r>
  <r>
    <x v="2"/>
    <n v="5"/>
    <n v="5874.1880000000001"/>
  </r>
  <r>
    <x v="2"/>
    <n v="6"/>
    <n v="5815.1629999999996"/>
  </r>
  <r>
    <x v="2"/>
    <n v="7"/>
    <n v="5951.2879999999996"/>
  </r>
  <r>
    <x v="2"/>
    <n v="8"/>
    <n v="5858.2879999999996"/>
  </r>
  <r>
    <x v="2"/>
    <n v="9"/>
    <n v="5839.8249999999998"/>
  </r>
  <r>
    <x v="2"/>
    <n v="10"/>
    <n v="5734.2629999999999"/>
  </r>
  <r>
    <x v="2"/>
    <n v="11"/>
    <n v="5387.15"/>
  </r>
  <r>
    <x v="2"/>
    <n v="12"/>
    <n v="5066.9380000000001"/>
  </r>
  <r>
    <x v="2"/>
    <n v="13"/>
    <n v="4827.9750000000004"/>
  </r>
  <r>
    <x v="2"/>
    <n v="14"/>
    <n v="4638.2129999999997"/>
  </r>
  <r>
    <x v="2"/>
    <n v="15"/>
    <n v="4444.0129999999999"/>
  </r>
  <r>
    <x v="2"/>
    <n v="16"/>
    <n v="4060.7249999999999"/>
  </r>
  <r>
    <x v="2"/>
    <n v="17"/>
    <n v="3365"/>
  </r>
  <r>
    <x v="2"/>
    <n v="18"/>
    <n v="2697.3380000000002"/>
  </r>
  <r>
    <x v="2"/>
    <n v="19"/>
    <n v="2075.5749999999998"/>
  </r>
  <r>
    <x v="2"/>
    <n v="20"/>
    <n v="1725.175"/>
  </r>
  <r>
    <x v="2"/>
    <n v="21"/>
    <n v="1506.8630000000001"/>
  </r>
  <r>
    <x v="2"/>
    <n v="22"/>
    <n v="1343.6"/>
  </r>
  <r>
    <x v="2"/>
    <n v="23"/>
    <n v="1320.5630000000001"/>
  </r>
  <r>
    <x v="2"/>
    <n v="24"/>
    <n v="1277.1379999999999"/>
  </r>
  <r>
    <x v="3"/>
    <n v="1"/>
    <n v="1296.9380000000001"/>
  </r>
  <r>
    <x v="3"/>
    <n v="2"/>
    <n v="1376.75"/>
  </r>
  <r>
    <x v="3"/>
    <n v="3"/>
    <n v="1459.925"/>
  </r>
  <r>
    <x v="3"/>
    <n v="4"/>
    <n v="1527.538"/>
  </r>
  <r>
    <x v="3"/>
    <n v="5"/>
    <n v="1725.0630000000001"/>
  </r>
  <r>
    <x v="3"/>
    <n v="6"/>
    <n v="1804.5630000000001"/>
  </r>
  <r>
    <x v="3"/>
    <n v="7"/>
    <n v="1882.8"/>
  </r>
  <r>
    <x v="3"/>
    <n v="8"/>
    <n v="1927.5"/>
  </r>
  <r>
    <x v="3"/>
    <n v="9"/>
    <n v="1803.0630000000001"/>
  </r>
  <r>
    <x v="3"/>
    <n v="10"/>
    <n v="1611.05"/>
  </r>
  <r>
    <x v="3"/>
    <n v="11"/>
    <n v="1517.413"/>
  </r>
  <r>
    <x v="3"/>
    <n v="12"/>
    <n v="1464.9380000000001"/>
  </r>
  <r>
    <x v="3"/>
    <n v="13"/>
    <n v="1616.9"/>
  </r>
  <r>
    <x v="3"/>
    <n v="14"/>
    <n v="1760.9880000000001"/>
  </r>
  <r>
    <x v="3"/>
    <n v="15"/>
    <n v="1910.588"/>
  </r>
  <r>
    <x v="3"/>
    <n v="16"/>
    <n v="2147.8380000000002"/>
  </r>
  <r>
    <x v="3"/>
    <n v="17"/>
    <n v="2389"/>
  </r>
  <r>
    <x v="3"/>
    <n v="18"/>
    <n v="2445.2249999999999"/>
  </r>
  <r>
    <x v="3"/>
    <n v="19"/>
    <n v="2756.4380000000001"/>
  </r>
  <r>
    <x v="3"/>
    <n v="20"/>
    <n v="3537.875"/>
  </r>
  <r>
    <x v="3"/>
    <n v="21"/>
    <n v="4276.8500000000004"/>
  </r>
  <r>
    <x v="3"/>
    <n v="22"/>
    <n v="4835.1750000000002"/>
  </r>
  <r>
    <x v="3"/>
    <n v="23"/>
    <n v="5044.7250000000004"/>
  </r>
  <r>
    <x v="3"/>
    <n v="24"/>
    <n v="5564.6750000000002"/>
  </r>
  <r>
    <x v="4"/>
    <n v="1"/>
    <n v="5803.1130000000003"/>
  </r>
  <r>
    <x v="4"/>
    <n v="2"/>
    <n v="5764.2749999999996"/>
  </r>
  <r>
    <x v="4"/>
    <n v="3"/>
    <n v="5571.0749999999998"/>
  </r>
  <r>
    <x v="4"/>
    <n v="4"/>
    <n v="5487.2380000000003"/>
  </r>
  <r>
    <x v="4"/>
    <n v="5"/>
    <n v="5289.1629999999996"/>
  </r>
  <r>
    <x v="4"/>
    <n v="6"/>
    <n v="4720.9750000000004"/>
  </r>
  <r>
    <x v="4"/>
    <n v="7"/>
    <n v="4460.4880000000003"/>
  </r>
  <r>
    <x v="4"/>
    <n v="8"/>
    <n v="4055.7249999999999"/>
  </r>
  <r>
    <x v="4"/>
    <n v="9"/>
    <n v="3390.5880000000002"/>
  </r>
  <r>
    <x v="4"/>
    <n v="10"/>
    <n v="3101.2249999999999"/>
  </r>
  <r>
    <x v="4"/>
    <n v="11"/>
    <n v="2969.0630000000001"/>
  </r>
  <r>
    <x v="4"/>
    <n v="12"/>
    <n v="3016.9749999999999"/>
  </r>
  <r>
    <x v="4"/>
    <n v="13"/>
    <n v="3085.65"/>
  </r>
  <r>
    <x v="4"/>
    <n v="14"/>
    <n v="3147"/>
  </r>
  <r>
    <x v="4"/>
    <n v="15"/>
    <n v="2894.8249999999998"/>
  </r>
  <r>
    <x v="4"/>
    <n v="16"/>
    <n v="2652.625"/>
  </r>
  <r>
    <x v="4"/>
    <n v="17"/>
    <n v="2686.5630000000001"/>
  </r>
  <r>
    <x v="4"/>
    <n v="18"/>
    <n v="2823.8879999999999"/>
  </r>
  <r>
    <x v="4"/>
    <n v="19"/>
    <n v="3079.1"/>
  </r>
  <r>
    <x v="4"/>
    <n v="20"/>
    <n v="3840.15"/>
  </r>
  <r>
    <x v="4"/>
    <n v="21"/>
    <n v="4883.0379999999996"/>
  </r>
  <r>
    <x v="4"/>
    <n v="22"/>
    <n v="5978.1379999999999"/>
  </r>
  <r>
    <x v="4"/>
    <n v="23"/>
    <n v="6598.9129999999996"/>
  </r>
  <r>
    <x v="4"/>
    <n v="24"/>
    <n v="6643.1130000000003"/>
  </r>
  <r>
    <x v="5"/>
    <n v="1"/>
    <n v="6379.6750000000002"/>
  </r>
  <r>
    <x v="5"/>
    <n v="2"/>
    <n v="6134.5129999999999"/>
  </r>
  <r>
    <x v="5"/>
    <n v="3"/>
    <n v="5890.1"/>
  </r>
  <r>
    <x v="5"/>
    <n v="4"/>
    <n v="5587.5249999999996"/>
  </r>
  <r>
    <x v="5"/>
    <n v="5"/>
    <n v="5163.8999999999996"/>
  </r>
  <r>
    <x v="5"/>
    <n v="6"/>
    <n v="5173.3879999999999"/>
  </r>
  <r>
    <x v="5"/>
    <n v="7"/>
    <n v="5060.5630000000001"/>
  </r>
  <r>
    <x v="5"/>
    <n v="8"/>
    <n v="4595.5879999999997"/>
  </r>
  <r>
    <x v="5"/>
    <n v="9"/>
    <n v="4078.0880000000002"/>
  </r>
  <r>
    <x v="5"/>
    <n v="10"/>
    <n v="3480.3879999999999"/>
  </r>
  <r>
    <x v="5"/>
    <n v="11"/>
    <n v="3477.2130000000002"/>
  </r>
  <r>
    <x v="5"/>
    <n v="12"/>
    <n v="3550.9380000000001"/>
  </r>
  <r>
    <x v="5"/>
    <n v="13"/>
    <n v="3686"/>
  </r>
  <r>
    <x v="5"/>
    <n v="14"/>
    <n v="3637.75"/>
  </r>
  <r>
    <x v="5"/>
    <n v="15"/>
    <n v="3250.6129999999998"/>
  </r>
  <r>
    <x v="5"/>
    <n v="16"/>
    <n v="2574.2379999999998"/>
  </r>
  <r>
    <x v="5"/>
    <n v="17"/>
    <n v="1815.1"/>
  </r>
  <r>
    <x v="5"/>
    <n v="18"/>
    <n v="1170.7629999999999"/>
  </r>
  <r>
    <x v="5"/>
    <n v="19"/>
    <n v="628.33799999999997"/>
  </r>
  <r>
    <x v="5"/>
    <n v="20"/>
    <n v="510.488"/>
  </r>
  <r>
    <x v="5"/>
    <n v="21"/>
    <n v="640.72500000000002"/>
  </r>
  <r>
    <x v="5"/>
    <n v="22"/>
    <n v="841.47500000000002"/>
  </r>
  <r>
    <x v="5"/>
    <n v="23"/>
    <n v="1385.2"/>
  </r>
  <r>
    <x v="5"/>
    <n v="24"/>
    <n v="2037.3130000000001"/>
  </r>
  <r>
    <x v="6"/>
    <n v="1"/>
    <n v="2619.7629999999999"/>
  </r>
  <r>
    <x v="6"/>
    <n v="2"/>
    <n v="3091.0129999999999"/>
  </r>
  <r>
    <x v="6"/>
    <n v="3"/>
    <n v="3662.3879999999999"/>
  </r>
  <r>
    <x v="6"/>
    <n v="4"/>
    <n v="4079.4250000000002"/>
  </r>
  <r>
    <x v="6"/>
    <n v="5"/>
    <n v="4390.8500000000004"/>
  </r>
  <r>
    <x v="6"/>
    <n v="6"/>
    <n v="4557.6130000000003"/>
  </r>
  <r>
    <x v="6"/>
    <n v="7"/>
    <n v="4803.3500000000004"/>
  </r>
  <r>
    <x v="6"/>
    <n v="8"/>
    <n v="4993.1880000000001"/>
  </r>
  <r>
    <x v="6"/>
    <n v="9"/>
    <n v="4525.8130000000001"/>
  </r>
  <r>
    <x v="6"/>
    <n v="10"/>
    <n v="3707.1880000000001"/>
  </r>
  <r>
    <x v="6"/>
    <n v="11"/>
    <n v="3536.3629999999998"/>
  </r>
  <r>
    <x v="6"/>
    <n v="12"/>
    <n v="3839.4250000000002"/>
  </r>
  <r>
    <x v="6"/>
    <n v="13"/>
    <n v="4186.2"/>
  </r>
  <r>
    <x v="6"/>
    <n v="14"/>
    <n v="3318.25"/>
  </r>
  <r>
    <x v="6"/>
    <n v="15"/>
    <n v="2636.8879999999999"/>
  </r>
  <r>
    <x v="6"/>
    <n v="16"/>
    <n v="2253.6999999999998"/>
  </r>
  <r>
    <x v="6"/>
    <n v="17"/>
    <n v="1804.35"/>
  </r>
  <r>
    <x v="6"/>
    <n v="18"/>
    <n v="1486.4749999999999"/>
  </r>
  <r>
    <x v="6"/>
    <n v="19"/>
    <n v="1384"/>
  </r>
  <r>
    <x v="6"/>
    <n v="20"/>
    <n v="1703.15"/>
  </r>
  <r>
    <x v="6"/>
    <n v="21"/>
    <n v="2095.3249999999998"/>
  </r>
  <r>
    <x v="6"/>
    <n v="22"/>
    <n v="2056.4380000000001"/>
  </r>
  <r>
    <x v="6"/>
    <n v="23"/>
    <n v="2193.1750000000002"/>
  </r>
  <r>
    <x v="6"/>
    <n v="24"/>
    <n v="2213.663"/>
  </r>
  <r>
    <x v="7"/>
    <n v="1"/>
    <n v="2449.7379999999998"/>
  </r>
  <r>
    <x v="7"/>
    <n v="2"/>
    <n v="2901.4879999999998"/>
  </r>
  <r>
    <x v="7"/>
    <n v="3"/>
    <n v="3262.35"/>
  </r>
  <r>
    <x v="7"/>
    <n v="4"/>
    <n v="3337.75"/>
  </r>
  <r>
    <x v="7"/>
    <n v="5"/>
    <n v="3526.95"/>
  </r>
  <r>
    <x v="7"/>
    <n v="6"/>
    <n v="3359.0880000000002"/>
  </r>
  <r>
    <x v="7"/>
    <n v="7"/>
    <n v="3238.2379999999998"/>
  </r>
  <r>
    <x v="7"/>
    <n v="8"/>
    <n v="2777.2130000000002"/>
  </r>
  <r>
    <x v="7"/>
    <n v="9"/>
    <n v="2223.1379999999999"/>
  </r>
  <r>
    <x v="7"/>
    <n v="10"/>
    <n v="1588.538"/>
  </r>
  <r>
    <x v="7"/>
    <n v="11"/>
    <n v="915.98800000000006"/>
  </r>
  <r>
    <x v="7"/>
    <n v="12"/>
    <n v="832.625"/>
  </r>
  <r>
    <x v="7"/>
    <n v="13"/>
    <n v="892.85"/>
  </r>
  <r>
    <x v="7"/>
    <n v="14"/>
    <n v="870.73800000000006"/>
  </r>
  <r>
    <x v="7"/>
    <n v="15"/>
    <n v="959.05"/>
  </r>
  <r>
    <x v="7"/>
    <n v="16"/>
    <n v="1044.413"/>
  </r>
  <r>
    <x v="7"/>
    <n v="17"/>
    <n v="1297.075"/>
  </r>
  <r>
    <x v="7"/>
    <n v="18"/>
    <n v="1413.0630000000001"/>
  </r>
  <r>
    <x v="7"/>
    <n v="19"/>
    <n v="1538.7249999999999"/>
  </r>
  <r>
    <x v="7"/>
    <n v="20"/>
    <n v="1852.038"/>
  </r>
  <r>
    <x v="7"/>
    <n v="21"/>
    <n v="2617.7249999999999"/>
  </r>
  <r>
    <x v="7"/>
    <n v="22"/>
    <n v="3282.9"/>
  </r>
  <r>
    <x v="7"/>
    <n v="23"/>
    <n v="3672.3"/>
  </r>
  <r>
    <x v="7"/>
    <n v="24"/>
    <n v="3816.875"/>
  </r>
  <r>
    <x v="8"/>
    <n v="1"/>
    <n v="3853.125"/>
  </r>
  <r>
    <x v="8"/>
    <n v="2"/>
    <n v="3738.3249999999998"/>
  </r>
  <r>
    <x v="8"/>
    <n v="3"/>
    <n v="3232.5749999999998"/>
  </r>
  <r>
    <x v="8"/>
    <n v="4"/>
    <n v="2819.7629999999999"/>
  </r>
  <r>
    <x v="8"/>
    <n v="5"/>
    <n v="2528.3130000000001"/>
  </r>
  <r>
    <x v="8"/>
    <n v="6"/>
    <n v="2277.6129999999998"/>
  </r>
  <r>
    <x v="8"/>
    <n v="7"/>
    <n v="1961.788"/>
  </r>
  <r>
    <x v="8"/>
    <n v="8"/>
    <n v="1698.2750000000001"/>
  </r>
  <r>
    <x v="8"/>
    <n v="9"/>
    <n v="1245.0999999999999"/>
  </r>
  <r>
    <x v="8"/>
    <n v="10"/>
    <n v="799.86300000000006"/>
  </r>
  <r>
    <x v="8"/>
    <n v="11"/>
    <n v="671"/>
  </r>
  <r>
    <x v="8"/>
    <n v="12"/>
    <n v="777.7"/>
  </r>
  <r>
    <x v="8"/>
    <n v="13"/>
    <n v="1114.325"/>
  </r>
  <r>
    <x v="8"/>
    <n v="14"/>
    <n v="1516.713"/>
  </r>
  <r>
    <x v="8"/>
    <n v="15"/>
    <n v="1790.7249999999999"/>
  </r>
  <r>
    <x v="8"/>
    <n v="16"/>
    <n v="2123.25"/>
  </r>
  <r>
    <x v="8"/>
    <n v="17"/>
    <n v="2324.5630000000001"/>
  </r>
  <r>
    <x v="8"/>
    <n v="18"/>
    <n v="2379.5500000000002"/>
  </r>
  <r>
    <x v="8"/>
    <n v="19"/>
    <n v="2677.45"/>
  </r>
  <r>
    <x v="8"/>
    <n v="20"/>
    <n v="3303.875"/>
  </r>
  <r>
    <x v="8"/>
    <n v="21"/>
    <n v="4048.4630000000002"/>
  </r>
  <r>
    <x v="8"/>
    <n v="22"/>
    <n v="4693.8379999999997"/>
  </r>
  <r>
    <x v="8"/>
    <n v="23"/>
    <n v="5564.8"/>
  </r>
  <r>
    <x v="8"/>
    <n v="24"/>
    <n v="5323.7250000000004"/>
  </r>
  <r>
    <x v="9"/>
    <n v="1"/>
    <n v="4951.875"/>
  </r>
  <r>
    <x v="9"/>
    <n v="2"/>
    <n v="4908.4129999999996"/>
  </r>
  <r>
    <x v="9"/>
    <n v="3"/>
    <n v="4634.95"/>
  </r>
  <r>
    <x v="9"/>
    <n v="4"/>
    <n v="4623.1130000000003"/>
  </r>
  <r>
    <x v="9"/>
    <n v="5"/>
    <n v="4552.6379999999999"/>
  </r>
  <r>
    <x v="9"/>
    <n v="6"/>
    <n v="4404.45"/>
  </r>
  <r>
    <x v="9"/>
    <n v="7"/>
    <n v="4126.7879999999996"/>
  </r>
  <r>
    <x v="9"/>
    <n v="8"/>
    <n v="4069.15"/>
  </r>
  <r>
    <x v="9"/>
    <n v="9"/>
    <n v="3913.0250000000001"/>
  </r>
  <r>
    <x v="9"/>
    <n v="10"/>
    <n v="3838.6750000000002"/>
  </r>
  <r>
    <x v="9"/>
    <n v="11"/>
    <n v="4091.8629999999998"/>
  </r>
  <r>
    <x v="9"/>
    <n v="12"/>
    <n v="4197.125"/>
  </r>
  <r>
    <x v="9"/>
    <n v="13"/>
    <n v="4160.1499999999996"/>
  </r>
  <r>
    <x v="9"/>
    <n v="14"/>
    <n v="3900.95"/>
  </r>
  <r>
    <x v="9"/>
    <n v="15"/>
    <n v="3837.4250000000002"/>
  </r>
  <r>
    <x v="9"/>
    <n v="16"/>
    <n v="3739.0630000000001"/>
  </r>
  <r>
    <x v="9"/>
    <n v="17"/>
    <n v="3906.1750000000002"/>
  </r>
  <r>
    <x v="9"/>
    <n v="18"/>
    <n v="3960.7629999999999"/>
  </r>
  <r>
    <x v="9"/>
    <n v="19"/>
    <n v="3623.4250000000002"/>
  </r>
  <r>
    <x v="9"/>
    <n v="20"/>
    <n v="3358"/>
  </r>
  <r>
    <x v="9"/>
    <n v="21"/>
    <n v="2812.4630000000002"/>
  </r>
  <r>
    <x v="9"/>
    <n v="22"/>
    <n v="2481.4879999999998"/>
  </r>
  <r>
    <x v="9"/>
    <n v="23"/>
    <n v="2211.875"/>
  </r>
  <r>
    <x v="9"/>
    <n v="24"/>
    <n v="1934.45"/>
  </r>
  <r>
    <x v="10"/>
    <n v="1"/>
    <n v="1638.913"/>
  </r>
  <r>
    <x v="10"/>
    <n v="2"/>
    <n v="1527.213"/>
  </r>
  <r>
    <x v="10"/>
    <n v="3"/>
    <n v="1750.7380000000001"/>
  </r>
  <r>
    <x v="10"/>
    <n v="4"/>
    <n v="1987.7750000000001"/>
  </r>
  <r>
    <x v="10"/>
    <n v="5"/>
    <n v="2160.15"/>
  </r>
  <r>
    <x v="10"/>
    <n v="6"/>
    <n v="2402.913"/>
  </r>
  <r>
    <x v="10"/>
    <n v="7"/>
    <n v="2549.5880000000002"/>
  </r>
  <r>
    <x v="10"/>
    <n v="8"/>
    <n v="2267.6880000000001"/>
  </r>
  <r>
    <x v="10"/>
    <n v="9"/>
    <n v="1581.6"/>
  </r>
  <r>
    <x v="10"/>
    <n v="10"/>
    <n v="1755.35"/>
  </r>
  <r>
    <x v="10"/>
    <n v="11"/>
    <n v="2822.663"/>
  </r>
  <r>
    <x v="10"/>
    <n v="12"/>
    <n v="3507.3879999999999"/>
  </r>
  <r>
    <x v="10"/>
    <n v="13"/>
    <n v="3629.288"/>
  </r>
  <r>
    <x v="10"/>
    <n v="14"/>
    <n v="3533.5749999999998"/>
  </r>
  <r>
    <x v="10"/>
    <n v="15"/>
    <n v="3454.413"/>
  </r>
  <r>
    <x v="10"/>
    <n v="16"/>
    <n v="3591.6129999999998"/>
  </r>
  <r>
    <x v="10"/>
    <n v="17"/>
    <n v="3269.375"/>
  </r>
  <r>
    <x v="10"/>
    <n v="18"/>
    <n v="2779.7249999999999"/>
  </r>
  <r>
    <x v="10"/>
    <n v="19"/>
    <n v="2522.7629999999999"/>
  </r>
  <r>
    <x v="10"/>
    <n v="20"/>
    <n v="2597.7249999999999"/>
  </r>
  <r>
    <x v="10"/>
    <n v="21"/>
    <n v="2912.288"/>
  </r>
  <r>
    <x v="10"/>
    <n v="22"/>
    <n v="2870.375"/>
  </r>
  <r>
    <x v="10"/>
    <n v="23"/>
    <n v="2862.6129999999998"/>
  </r>
  <r>
    <x v="10"/>
    <n v="24"/>
    <n v="3080.8629999999998"/>
  </r>
  <r>
    <x v="11"/>
    <n v="1"/>
    <n v="3101.038"/>
  </r>
  <r>
    <x v="11"/>
    <n v="2"/>
    <n v="3173.8380000000002"/>
  </r>
  <r>
    <x v="11"/>
    <n v="3"/>
    <n v="3074.85"/>
  </r>
  <r>
    <x v="11"/>
    <n v="4"/>
    <n v="2967.7"/>
  </r>
  <r>
    <x v="11"/>
    <n v="5"/>
    <n v="2681.7750000000001"/>
  </r>
  <r>
    <x v="11"/>
    <n v="6"/>
    <n v="2472.538"/>
  </r>
  <r>
    <x v="11"/>
    <n v="7"/>
    <n v="2407.9380000000001"/>
  </r>
  <r>
    <x v="11"/>
    <n v="8"/>
    <n v="2295.8380000000002"/>
  </r>
  <r>
    <x v="11"/>
    <n v="9"/>
    <n v="1778.85"/>
  </r>
  <r>
    <x v="11"/>
    <n v="10"/>
    <n v="1540.3130000000001"/>
  </r>
  <r>
    <x v="11"/>
    <n v="11"/>
    <n v="1619.088"/>
  </r>
  <r>
    <x v="11"/>
    <n v="12"/>
    <n v="2047.963"/>
  </r>
  <r>
    <x v="11"/>
    <n v="13"/>
    <n v="2346.5500000000002"/>
  </r>
  <r>
    <x v="11"/>
    <n v="14"/>
    <n v="2456.4749999999999"/>
  </r>
  <r>
    <x v="11"/>
    <n v="15"/>
    <n v="2641.05"/>
  </r>
  <r>
    <x v="11"/>
    <n v="16"/>
    <n v="2535.6999999999998"/>
  </r>
  <r>
    <x v="11"/>
    <n v="17"/>
    <n v="2506.4250000000002"/>
  </r>
  <r>
    <x v="11"/>
    <n v="18"/>
    <n v="2113.7629999999999"/>
  </r>
  <r>
    <x v="11"/>
    <n v="19"/>
    <n v="1639.45"/>
  </r>
  <r>
    <x v="11"/>
    <n v="20"/>
    <n v="1887.0630000000001"/>
  </r>
  <r>
    <x v="11"/>
    <n v="21"/>
    <n v="2483.0129999999999"/>
  </r>
  <r>
    <x v="11"/>
    <n v="22"/>
    <n v="3017.25"/>
  </r>
  <r>
    <x v="11"/>
    <n v="23"/>
    <n v="3583.2130000000002"/>
  </r>
  <r>
    <x v="11"/>
    <n v="24"/>
    <n v="4276.1000000000004"/>
  </r>
  <r>
    <x v="12"/>
    <n v="1"/>
    <n v="4388.3130000000001"/>
  </r>
  <r>
    <x v="12"/>
    <n v="2"/>
    <n v="4199.5129999999999"/>
  </r>
  <r>
    <x v="12"/>
    <n v="3"/>
    <n v="4164.5379999999996"/>
  </r>
  <r>
    <x v="12"/>
    <n v="4"/>
    <n v="3954.7750000000001"/>
  </r>
  <r>
    <x v="12"/>
    <n v="5"/>
    <n v="3833.3249999999998"/>
  </r>
  <r>
    <x v="12"/>
    <n v="6"/>
    <n v="3715.1750000000002"/>
  </r>
  <r>
    <x v="12"/>
    <n v="7"/>
    <n v="3703.163"/>
  </r>
  <r>
    <x v="12"/>
    <n v="8"/>
    <n v="3279.1"/>
  </r>
  <r>
    <x v="12"/>
    <n v="9"/>
    <n v="3139.8"/>
  </r>
  <r>
    <x v="12"/>
    <n v="10"/>
    <n v="3365.2249999999999"/>
  </r>
  <r>
    <x v="12"/>
    <n v="11"/>
    <n v="3626.2379999999998"/>
  </r>
  <r>
    <x v="12"/>
    <n v="12"/>
    <n v="3878.9630000000002"/>
  </r>
  <r>
    <x v="12"/>
    <n v="13"/>
    <n v="4186.2879999999996"/>
  </r>
  <r>
    <x v="12"/>
    <n v="14"/>
    <n v="4575.2629999999999"/>
  </r>
  <r>
    <x v="12"/>
    <n v="15"/>
    <n v="4728.1379999999999"/>
  </r>
  <r>
    <x v="12"/>
    <n v="16"/>
    <n v="4374.7879999999996"/>
  </r>
  <r>
    <x v="12"/>
    <n v="17"/>
    <n v="3919.3249999999998"/>
  </r>
  <r>
    <x v="12"/>
    <n v="18"/>
    <n v="3067.6880000000001"/>
  </r>
  <r>
    <x v="12"/>
    <n v="19"/>
    <n v="1823"/>
  </r>
  <r>
    <x v="12"/>
    <n v="20"/>
    <n v="1388.1880000000001"/>
  </r>
  <r>
    <x v="12"/>
    <n v="21"/>
    <n v="1684.8"/>
  </r>
  <r>
    <x v="12"/>
    <n v="22"/>
    <n v="2293.1379999999999"/>
  </r>
  <r>
    <x v="12"/>
    <n v="23"/>
    <n v="3020.6129999999998"/>
  </r>
  <r>
    <x v="12"/>
    <n v="24"/>
    <n v="3427.6"/>
  </r>
  <r>
    <x v="13"/>
    <n v="1"/>
    <n v="3845.3629999999998"/>
  </r>
  <r>
    <x v="13"/>
    <n v="2"/>
    <n v="4625.7749999999996"/>
  </r>
  <r>
    <x v="13"/>
    <n v="3"/>
    <n v="5458.9129999999996"/>
  </r>
  <r>
    <x v="13"/>
    <n v="4"/>
    <n v="5633.7629999999999"/>
  </r>
  <r>
    <x v="13"/>
    <n v="5"/>
    <n v="5972.5"/>
  </r>
  <r>
    <x v="13"/>
    <n v="6"/>
    <n v="6276"/>
  </r>
  <r>
    <x v="13"/>
    <n v="7"/>
    <n v="6597.65"/>
  </r>
  <r>
    <x v="13"/>
    <n v="8"/>
    <n v="6402.85"/>
  </r>
  <r>
    <x v="13"/>
    <n v="9"/>
    <n v="6034.7129999999997"/>
  </r>
  <r>
    <x v="13"/>
    <n v="10"/>
    <n v="6372.4250000000002"/>
  </r>
  <r>
    <x v="13"/>
    <n v="11"/>
    <n v="6298.8379999999997"/>
  </r>
  <r>
    <x v="13"/>
    <n v="12"/>
    <n v="6509.4380000000001"/>
  </r>
  <r>
    <x v="13"/>
    <n v="13"/>
    <n v="6538.3"/>
  </r>
  <r>
    <x v="13"/>
    <n v="14"/>
    <n v="6541.3379999999997"/>
  </r>
  <r>
    <x v="13"/>
    <n v="15"/>
    <n v="6461.2"/>
  </r>
  <r>
    <x v="13"/>
    <n v="16"/>
    <n v="6375.2129999999997"/>
  </r>
  <r>
    <x v="13"/>
    <n v="17"/>
    <n v="6976.7380000000003"/>
  </r>
  <r>
    <x v="13"/>
    <n v="18"/>
    <n v="6850.1880000000001"/>
  </r>
  <r>
    <x v="13"/>
    <n v="19"/>
    <n v="6512.7129999999997"/>
  </r>
  <r>
    <x v="13"/>
    <n v="20"/>
    <n v="5602.85"/>
  </r>
  <r>
    <x v="13"/>
    <n v="21"/>
    <n v="5012.5749999999998"/>
  </r>
  <r>
    <x v="13"/>
    <n v="22"/>
    <n v="4847.3879999999999"/>
  </r>
  <r>
    <x v="13"/>
    <n v="23"/>
    <n v="4398.375"/>
  </r>
  <r>
    <x v="13"/>
    <n v="24"/>
    <n v="3962.788"/>
  </r>
  <r>
    <x v="14"/>
    <n v="1"/>
    <n v="3412.875"/>
  </r>
  <r>
    <x v="14"/>
    <n v="2"/>
    <n v="2599.9250000000002"/>
  </r>
  <r>
    <x v="14"/>
    <n v="3"/>
    <n v="2349.8629999999998"/>
  </r>
  <r>
    <x v="14"/>
    <n v="4"/>
    <n v="2203.0880000000002"/>
  </r>
  <r>
    <x v="14"/>
    <n v="5"/>
    <n v="2138.9250000000002"/>
  </r>
  <r>
    <x v="14"/>
    <n v="6"/>
    <n v="2209.0880000000002"/>
  </r>
  <r>
    <x v="14"/>
    <n v="7"/>
    <n v="2132.9630000000002"/>
  </r>
  <r>
    <x v="14"/>
    <n v="8"/>
    <n v="1704.163"/>
  </r>
  <r>
    <x v="14"/>
    <n v="9"/>
    <n v="1390"/>
  </r>
  <r>
    <x v="14"/>
    <n v="10"/>
    <n v="1246.6500000000001"/>
  </r>
  <r>
    <x v="14"/>
    <n v="11"/>
    <n v="1263.1130000000001"/>
  </r>
  <r>
    <x v="14"/>
    <n v="12"/>
    <n v="1257.0129999999999"/>
  </r>
  <r>
    <x v="14"/>
    <n v="13"/>
    <n v="1076.1500000000001"/>
  </r>
  <r>
    <x v="14"/>
    <n v="14"/>
    <n v="842.32500000000005"/>
  </r>
  <r>
    <x v="14"/>
    <n v="15"/>
    <n v="685.6"/>
  </r>
  <r>
    <x v="14"/>
    <n v="16"/>
    <n v="696.32500000000005"/>
  </r>
  <r>
    <x v="14"/>
    <n v="17"/>
    <n v="668.73800000000006"/>
  </r>
  <r>
    <x v="14"/>
    <n v="18"/>
    <n v="613.68799999999999"/>
  </r>
  <r>
    <x v="14"/>
    <n v="19"/>
    <n v="666.21299999999997"/>
  </r>
  <r>
    <x v="14"/>
    <n v="20"/>
    <n v="1073.825"/>
  </r>
  <r>
    <x v="14"/>
    <n v="21"/>
    <n v="1802.7750000000001"/>
  </r>
  <r>
    <x v="14"/>
    <n v="22"/>
    <n v="2176.7379999999998"/>
  </r>
  <r>
    <x v="14"/>
    <n v="23"/>
    <n v="2737.8380000000002"/>
  </r>
  <r>
    <x v="14"/>
    <n v="24"/>
    <n v="2771.35"/>
  </r>
  <r>
    <x v="15"/>
    <n v="1"/>
    <n v="3206.038"/>
  </r>
  <r>
    <x v="15"/>
    <n v="2"/>
    <n v="3041.5749999999998"/>
  </r>
  <r>
    <x v="15"/>
    <n v="3"/>
    <n v="3059.288"/>
  </r>
  <r>
    <x v="15"/>
    <n v="4"/>
    <n v="3767.3"/>
  </r>
  <r>
    <x v="15"/>
    <n v="5"/>
    <n v="4547.4629999999997"/>
  </r>
  <r>
    <x v="15"/>
    <n v="6"/>
    <n v="4833.8500000000004"/>
  </r>
  <r>
    <x v="15"/>
    <n v="7"/>
    <n v="5403.1750000000002"/>
  </r>
  <r>
    <x v="15"/>
    <n v="8"/>
    <n v="5836.0249999999996"/>
  </r>
  <r>
    <x v="15"/>
    <n v="9"/>
    <n v="6202.0630000000001"/>
  </r>
  <r>
    <x v="15"/>
    <n v="10"/>
    <n v="6557.2129999999997"/>
  </r>
  <r>
    <x v="15"/>
    <n v="11"/>
    <n v="6800.7629999999999"/>
  </r>
  <r>
    <x v="15"/>
    <n v="12"/>
    <n v="6714.5"/>
  </r>
  <r>
    <x v="15"/>
    <n v="13"/>
    <n v="6545.4380000000001"/>
  </r>
  <r>
    <x v="15"/>
    <n v="14"/>
    <n v="6455.5749999999998"/>
  </r>
  <r>
    <x v="15"/>
    <n v="15"/>
    <n v="6052.4250000000002"/>
  </r>
  <r>
    <x v="15"/>
    <n v="16"/>
    <n v="5514.3249999999998"/>
  </r>
  <r>
    <x v="15"/>
    <n v="17"/>
    <n v="4683.6379999999999"/>
  </r>
  <r>
    <x v="15"/>
    <n v="18"/>
    <n v="4193.0249999999996"/>
  </r>
  <r>
    <x v="15"/>
    <n v="19"/>
    <n v="3605.6"/>
  </r>
  <r>
    <x v="15"/>
    <n v="20"/>
    <n v="3165.8130000000001"/>
  </r>
  <r>
    <x v="15"/>
    <n v="21"/>
    <n v="3181.3629999999998"/>
  </r>
  <r>
    <x v="15"/>
    <n v="22"/>
    <n v="3564.0129999999999"/>
  </r>
  <r>
    <x v="15"/>
    <n v="23"/>
    <n v="3475.4250000000002"/>
  </r>
  <r>
    <x v="15"/>
    <n v="24"/>
    <n v="3159.6379999999999"/>
  </r>
  <r>
    <x v="16"/>
    <n v="1"/>
    <n v="2878.875"/>
  </r>
  <r>
    <x v="16"/>
    <n v="2"/>
    <n v="2527.9749999999999"/>
  </r>
  <r>
    <x v="16"/>
    <n v="3"/>
    <n v="2261.4"/>
  </r>
  <r>
    <x v="16"/>
    <n v="4"/>
    <n v="2010.65"/>
  </r>
  <r>
    <x v="16"/>
    <n v="5"/>
    <n v="2118.9250000000002"/>
  </r>
  <r>
    <x v="16"/>
    <n v="6"/>
    <n v="1950.7750000000001"/>
  </r>
  <r>
    <x v="16"/>
    <n v="7"/>
    <n v="1878.15"/>
  </r>
  <r>
    <x v="16"/>
    <n v="8"/>
    <n v="1701.65"/>
  </r>
  <r>
    <x v="16"/>
    <n v="9"/>
    <n v="1884"/>
  </r>
  <r>
    <x v="16"/>
    <n v="10"/>
    <n v="1902.7629999999999"/>
  </r>
  <r>
    <x v="16"/>
    <n v="11"/>
    <n v="1701.713"/>
  </r>
  <r>
    <x v="16"/>
    <n v="12"/>
    <n v="1613.3"/>
  </r>
  <r>
    <x v="16"/>
    <n v="13"/>
    <n v="1565.875"/>
  </r>
  <r>
    <x v="16"/>
    <n v="14"/>
    <n v="1509.5"/>
  </r>
  <r>
    <x v="16"/>
    <n v="15"/>
    <n v="1533.288"/>
  </r>
  <r>
    <x v="16"/>
    <n v="16"/>
    <n v="1480.588"/>
  </r>
  <r>
    <x v="16"/>
    <n v="17"/>
    <n v="1392.4"/>
  </r>
  <r>
    <x v="16"/>
    <n v="18"/>
    <n v="1282.713"/>
  </r>
  <r>
    <x v="16"/>
    <n v="19"/>
    <n v="1154.8879999999999"/>
  </r>
  <r>
    <x v="16"/>
    <n v="20"/>
    <n v="1046.0129999999999"/>
  </r>
  <r>
    <x v="16"/>
    <n v="21"/>
    <n v="924.46299999999997"/>
  </r>
  <r>
    <x v="16"/>
    <n v="22"/>
    <n v="838.05"/>
  </r>
  <r>
    <x v="16"/>
    <n v="23"/>
    <n v="799.63800000000003"/>
  </r>
  <r>
    <x v="16"/>
    <n v="24"/>
    <n v="796.38800000000003"/>
  </r>
  <r>
    <x v="17"/>
    <n v="1"/>
    <n v="832.66300000000001"/>
  </r>
  <r>
    <x v="17"/>
    <n v="2"/>
    <n v="983.56299999999999"/>
  </r>
  <r>
    <x v="17"/>
    <n v="3"/>
    <n v="1133.9880000000001"/>
  </r>
  <r>
    <x v="17"/>
    <n v="4"/>
    <n v="1195.9000000000001"/>
  </r>
  <r>
    <x v="17"/>
    <n v="5"/>
    <n v="1108.713"/>
  </r>
  <r>
    <x v="17"/>
    <n v="6"/>
    <n v="1068.5250000000001"/>
  </r>
  <r>
    <x v="17"/>
    <n v="7"/>
    <n v="1048.038"/>
  </r>
  <r>
    <x v="17"/>
    <n v="8"/>
    <n v="944.56299999999999"/>
  </r>
  <r>
    <x v="17"/>
    <n v="9"/>
    <n v="970.76300000000003"/>
  </r>
  <r>
    <x v="17"/>
    <n v="10"/>
    <n v="1167.2750000000001"/>
  </r>
  <r>
    <x v="17"/>
    <n v="11"/>
    <n v="1420.288"/>
  </r>
  <r>
    <x v="17"/>
    <n v="12"/>
    <n v="1610.7629999999999"/>
  </r>
  <r>
    <x v="17"/>
    <n v="13"/>
    <n v="1773.963"/>
  </r>
  <r>
    <x v="17"/>
    <n v="14"/>
    <n v="2041.9380000000001"/>
  </r>
  <r>
    <x v="17"/>
    <n v="15"/>
    <n v="2218.8000000000002"/>
  </r>
  <r>
    <x v="17"/>
    <n v="16"/>
    <n v="2332.3249999999998"/>
  </r>
  <r>
    <x v="17"/>
    <n v="17"/>
    <n v="2170.6750000000002"/>
  </r>
  <r>
    <x v="17"/>
    <n v="18"/>
    <n v="1907.463"/>
  </r>
  <r>
    <x v="17"/>
    <n v="19"/>
    <n v="1663.9749999999999"/>
  </r>
  <r>
    <x v="17"/>
    <n v="20"/>
    <n v="1374.0630000000001"/>
  </r>
  <r>
    <x v="17"/>
    <n v="21"/>
    <n v="1570.6880000000001"/>
  </r>
  <r>
    <x v="17"/>
    <n v="22"/>
    <n v="1720.0129999999999"/>
  </r>
  <r>
    <x v="17"/>
    <n v="23"/>
    <n v="1954.838"/>
  </r>
  <r>
    <x v="17"/>
    <n v="24"/>
    <n v="2022.1880000000001"/>
  </r>
  <r>
    <x v="18"/>
    <n v="1"/>
    <n v="2147.4"/>
  </r>
  <r>
    <x v="18"/>
    <n v="2"/>
    <n v="2305.1999999999998"/>
  </r>
  <r>
    <x v="18"/>
    <n v="3"/>
    <n v="2501.9630000000002"/>
  </r>
  <r>
    <x v="18"/>
    <n v="4"/>
    <n v="2833.625"/>
  </r>
  <r>
    <x v="18"/>
    <n v="5"/>
    <n v="2877.9630000000002"/>
  </r>
  <r>
    <x v="18"/>
    <n v="6"/>
    <n v="2784.9879999999998"/>
  </r>
  <r>
    <x v="18"/>
    <n v="7"/>
    <n v="2484.5250000000001"/>
  </r>
  <r>
    <x v="18"/>
    <n v="8"/>
    <n v="2028.2380000000001"/>
  </r>
  <r>
    <x v="18"/>
    <n v="9"/>
    <n v="1521.088"/>
  </r>
  <r>
    <x v="18"/>
    <n v="10"/>
    <n v="1461.3130000000001"/>
  </r>
  <r>
    <x v="18"/>
    <n v="11"/>
    <n v="1696.35"/>
  </r>
  <r>
    <x v="18"/>
    <n v="12"/>
    <n v="1765.338"/>
  </r>
  <r>
    <x v="18"/>
    <n v="13"/>
    <n v="1944.213"/>
  </r>
  <r>
    <x v="18"/>
    <n v="14"/>
    <n v="1947.65"/>
  </r>
  <r>
    <x v="18"/>
    <n v="15"/>
    <n v="1829.925"/>
  </r>
  <r>
    <x v="18"/>
    <n v="16"/>
    <n v="1870.1379999999999"/>
  </r>
  <r>
    <x v="18"/>
    <n v="17"/>
    <n v="1758.125"/>
  </r>
  <r>
    <x v="18"/>
    <n v="18"/>
    <n v="1628.6379999999999"/>
  </r>
  <r>
    <x v="18"/>
    <n v="19"/>
    <n v="1580.4749999999999"/>
  </r>
  <r>
    <x v="18"/>
    <n v="20"/>
    <n v="1403.1880000000001"/>
  </r>
  <r>
    <x v="18"/>
    <n v="21"/>
    <n v="1497.7249999999999"/>
  </r>
  <r>
    <x v="18"/>
    <n v="22"/>
    <n v="1671.663"/>
  </r>
  <r>
    <x v="18"/>
    <n v="23"/>
    <n v="1720.963"/>
  </r>
  <r>
    <x v="18"/>
    <n v="24"/>
    <n v="1723.9"/>
  </r>
  <r>
    <x v="19"/>
    <n v="1"/>
    <n v="1948.213"/>
  </r>
  <r>
    <x v="19"/>
    <n v="2"/>
    <n v="2266.5630000000001"/>
  </r>
  <r>
    <x v="19"/>
    <n v="3"/>
    <n v="2522.8130000000001"/>
  </r>
  <r>
    <x v="19"/>
    <n v="4"/>
    <n v="2655.8879999999999"/>
  </r>
  <r>
    <x v="19"/>
    <n v="5"/>
    <n v="2681.55"/>
  </r>
  <r>
    <x v="19"/>
    <n v="6"/>
    <n v="2601.2750000000001"/>
  </r>
  <r>
    <x v="19"/>
    <n v="7"/>
    <n v="2638.5749999999998"/>
  </r>
  <r>
    <x v="19"/>
    <n v="8"/>
    <n v="2693.7379999999998"/>
  </r>
  <r>
    <x v="19"/>
    <n v="9"/>
    <n v="2936.288"/>
  </r>
  <r>
    <x v="19"/>
    <n v="10"/>
    <n v="3229.1880000000001"/>
  </r>
  <r>
    <x v="19"/>
    <n v="11"/>
    <n v="3333.2750000000001"/>
  </r>
  <r>
    <x v="19"/>
    <n v="12"/>
    <n v="3592.125"/>
  </r>
  <r>
    <x v="19"/>
    <n v="13"/>
    <n v="3842.413"/>
  </r>
  <r>
    <x v="19"/>
    <n v="14"/>
    <n v="3900.3380000000002"/>
  </r>
  <r>
    <x v="19"/>
    <n v="15"/>
    <n v="3871.4879999999998"/>
  </r>
  <r>
    <x v="19"/>
    <n v="16"/>
    <n v="3587.1880000000001"/>
  </r>
  <r>
    <x v="19"/>
    <n v="17"/>
    <n v="3293.0129999999999"/>
  </r>
  <r>
    <x v="19"/>
    <n v="18"/>
    <n v="2748.3879999999999"/>
  </r>
  <r>
    <x v="19"/>
    <n v="19"/>
    <n v="2197.9250000000002"/>
  </r>
  <r>
    <x v="19"/>
    <n v="20"/>
    <n v="1794.8130000000001"/>
  </r>
  <r>
    <x v="19"/>
    <n v="21"/>
    <n v="1357.075"/>
  </r>
  <r>
    <x v="19"/>
    <n v="22"/>
    <n v="1288.213"/>
  </r>
  <r>
    <x v="19"/>
    <n v="23"/>
    <n v="1273.3630000000001"/>
  </r>
  <r>
    <x v="19"/>
    <n v="24"/>
    <n v="1262.5250000000001"/>
  </r>
  <r>
    <x v="20"/>
    <n v="1"/>
    <n v="1398.838"/>
  </r>
  <r>
    <x v="20"/>
    <n v="2"/>
    <n v="1532.7249999999999"/>
  </r>
  <r>
    <x v="20"/>
    <n v="3"/>
    <n v="1704.1880000000001"/>
  </r>
  <r>
    <x v="20"/>
    <n v="4"/>
    <n v="1849.1"/>
  </r>
  <r>
    <x v="20"/>
    <n v="5"/>
    <n v="1937.375"/>
  </r>
  <r>
    <x v="20"/>
    <n v="6"/>
    <n v="2067.2629999999999"/>
  </r>
  <r>
    <x v="20"/>
    <n v="7"/>
    <n v="2184.8380000000002"/>
  </r>
  <r>
    <x v="20"/>
    <n v="8"/>
    <n v="1934.588"/>
  </r>
  <r>
    <x v="20"/>
    <n v="9"/>
    <n v="1946.1130000000001"/>
  </r>
  <r>
    <x v="20"/>
    <n v="10"/>
    <n v="2419.8380000000002"/>
  </r>
  <r>
    <x v="20"/>
    <n v="11"/>
    <n v="2898.95"/>
  </r>
  <r>
    <x v="20"/>
    <n v="12"/>
    <n v="3274.163"/>
  </r>
  <r>
    <x v="20"/>
    <n v="13"/>
    <n v="3595.8380000000002"/>
  </r>
  <r>
    <x v="20"/>
    <n v="14"/>
    <n v="3973.15"/>
  </r>
  <r>
    <x v="20"/>
    <n v="15"/>
    <n v="4240.5249999999996"/>
  </r>
  <r>
    <x v="20"/>
    <n v="16"/>
    <n v="4450.5879999999997"/>
  </r>
  <r>
    <x v="20"/>
    <n v="17"/>
    <n v="4511.9629999999997"/>
  </r>
  <r>
    <x v="20"/>
    <n v="18"/>
    <n v="4392.3630000000003"/>
  </r>
  <r>
    <x v="20"/>
    <n v="19"/>
    <n v="4057.6880000000001"/>
  </r>
  <r>
    <x v="20"/>
    <n v="20"/>
    <n v="3567.875"/>
  </r>
  <r>
    <x v="20"/>
    <n v="21"/>
    <n v="3013.4380000000001"/>
  </r>
  <r>
    <x v="20"/>
    <n v="22"/>
    <n v="2788.8130000000001"/>
  </r>
  <r>
    <x v="20"/>
    <n v="23"/>
    <n v="2913.0880000000002"/>
  </r>
  <r>
    <x v="20"/>
    <n v="24"/>
    <n v="2756.2"/>
  </r>
  <r>
    <x v="21"/>
    <n v="1"/>
    <n v="2444.663"/>
  </r>
  <r>
    <x v="21"/>
    <n v="2"/>
    <n v="2285.6880000000001"/>
  </r>
  <r>
    <x v="21"/>
    <n v="3"/>
    <n v="2196.663"/>
  </r>
  <r>
    <x v="21"/>
    <n v="4"/>
    <n v="2105.1379999999999"/>
  </r>
  <r>
    <x v="21"/>
    <n v="5"/>
    <n v="2107.9250000000002"/>
  </r>
  <r>
    <x v="21"/>
    <n v="6"/>
    <n v="2172.9380000000001"/>
  </r>
  <r>
    <x v="21"/>
    <n v="7"/>
    <n v="2164.1129999999998"/>
  </r>
  <r>
    <x v="21"/>
    <n v="8"/>
    <n v="2141"/>
  </r>
  <r>
    <x v="21"/>
    <n v="9"/>
    <n v="2122.288"/>
  </r>
  <r>
    <x v="21"/>
    <n v="10"/>
    <n v="2205.788"/>
  </r>
  <r>
    <x v="21"/>
    <n v="11"/>
    <n v="2236.8130000000001"/>
  </r>
  <r>
    <x v="21"/>
    <n v="12"/>
    <n v="2309.5500000000002"/>
  </r>
  <r>
    <x v="21"/>
    <n v="13"/>
    <n v="2168.6129999999998"/>
  </r>
  <r>
    <x v="21"/>
    <n v="14"/>
    <n v="2051.375"/>
  </r>
  <r>
    <x v="21"/>
    <n v="15"/>
    <n v="1815.825"/>
  </r>
  <r>
    <x v="21"/>
    <n v="16"/>
    <n v="1594.1379999999999"/>
  </r>
  <r>
    <x v="21"/>
    <n v="17"/>
    <n v="1369.25"/>
  </r>
  <r>
    <x v="21"/>
    <n v="18"/>
    <n v="1099.7249999999999"/>
  </r>
  <r>
    <x v="21"/>
    <n v="19"/>
    <n v="862.26300000000003"/>
  </r>
  <r>
    <x v="21"/>
    <n v="20"/>
    <n v="603.875"/>
  </r>
  <r>
    <x v="21"/>
    <n v="21"/>
    <n v="531.21299999999997"/>
  </r>
  <r>
    <x v="21"/>
    <n v="22"/>
    <n v="493.91300000000001"/>
  </r>
  <r>
    <x v="21"/>
    <n v="23"/>
    <n v="434.97500000000002"/>
  </r>
  <r>
    <x v="21"/>
    <n v="24"/>
    <n v="443.738"/>
  </r>
  <r>
    <x v="22"/>
    <n v="1"/>
    <n v="421.71300000000002"/>
  </r>
  <r>
    <x v="22"/>
    <n v="2"/>
    <n v="421.41300000000001"/>
  </r>
  <r>
    <x v="22"/>
    <n v="3"/>
    <n v="424.32499999999999"/>
  </r>
  <r>
    <x v="22"/>
    <n v="4"/>
    <n v="475.82499999999999"/>
  </r>
  <r>
    <x v="22"/>
    <n v="5"/>
    <n v="548.22500000000002"/>
  </r>
  <r>
    <x v="22"/>
    <n v="6"/>
    <n v="646.76300000000003"/>
  </r>
  <r>
    <x v="22"/>
    <n v="7"/>
    <n v="730.15"/>
  </r>
  <r>
    <x v="22"/>
    <n v="8"/>
    <n v="611.51300000000003"/>
  </r>
  <r>
    <x v="22"/>
    <n v="9"/>
    <n v="560.81299999999999"/>
  </r>
  <r>
    <x v="22"/>
    <n v="10"/>
    <n v="604.07500000000005"/>
  </r>
  <r>
    <x v="22"/>
    <n v="11"/>
    <n v="771.81299999999999"/>
  </r>
  <r>
    <x v="22"/>
    <n v="12"/>
    <n v="884"/>
  </r>
  <r>
    <x v="22"/>
    <n v="13"/>
    <n v="869.46299999999997"/>
  </r>
  <r>
    <x v="22"/>
    <n v="14"/>
    <n v="865.21299999999997"/>
  </r>
  <r>
    <x v="22"/>
    <n v="15"/>
    <n v="796.05"/>
  </r>
  <r>
    <x v="22"/>
    <n v="16"/>
    <n v="676.75"/>
  </r>
  <r>
    <x v="22"/>
    <n v="17"/>
    <n v="512.625"/>
  </r>
  <r>
    <x v="22"/>
    <n v="18"/>
    <n v="417.5"/>
  </r>
  <r>
    <x v="22"/>
    <n v="19"/>
    <n v="377.32499999999999"/>
  </r>
  <r>
    <x v="22"/>
    <n v="20"/>
    <n v="552.58799999999997"/>
  </r>
  <r>
    <x v="22"/>
    <n v="21"/>
    <n v="849.4"/>
  </r>
  <r>
    <x v="22"/>
    <n v="22"/>
    <n v="1143.675"/>
  </r>
  <r>
    <x v="22"/>
    <n v="23"/>
    <n v="1355.6379999999999"/>
  </r>
  <r>
    <x v="22"/>
    <n v="24"/>
    <n v="1587.25"/>
  </r>
  <r>
    <x v="23"/>
    <n v="1"/>
    <n v="1856.2249999999999"/>
  </r>
  <r>
    <x v="23"/>
    <n v="2"/>
    <n v="2004.8630000000001"/>
  </r>
  <r>
    <x v="23"/>
    <n v="3"/>
    <n v="1942.425"/>
  </r>
  <r>
    <x v="23"/>
    <n v="4"/>
    <n v="1797.0250000000001"/>
  </r>
  <r>
    <x v="23"/>
    <n v="5"/>
    <n v="1627.1130000000001"/>
  </r>
  <r>
    <x v="23"/>
    <n v="6"/>
    <n v="1479.425"/>
  </r>
  <r>
    <x v="23"/>
    <n v="7"/>
    <n v="1272.9880000000001"/>
  </r>
  <r>
    <x v="23"/>
    <n v="8"/>
    <n v="820.93799999999999"/>
  </r>
  <r>
    <x v="23"/>
    <n v="9"/>
    <n v="444.613"/>
  </r>
  <r>
    <x v="23"/>
    <n v="10"/>
    <n v="346.07499999999999"/>
  </r>
  <r>
    <x v="23"/>
    <n v="11"/>
    <n v="400.25"/>
  </r>
  <r>
    <x v="23"/>
    <n v="12"/>
    <n v="468.875"/>
  </r>
  <r>
    <x v="23"/>
    <n v="13"/>
    <n v="546.43799999999999"/>
  </r>
  <r>
    <x v="23"/>
    <n v="14"/>
    <n v="667.36300000000006"/>
  </r>
  <r>
    <x v="23"/>
    <n v="15"/>
    <n v="822.86300000000006"/>
  </r>
  <r>
    <x v="23"/>
    <n v="16"/>
    <n v="922.45"/>
  </r>
  <r>
    <x v="23"/>
    <n v="17"/>
    <n v="1021.088"/>
  </r>
  <r>
    <x v="23"/>
    <n v="18"/>
    <n v="1162.538"/>
  </r>
  <r>
    <x v="23"/>
    <n v="19"/>
    <n v="1165.1379999999999"/>
  </r>
  <r>
    <x v="23"/>
    <n v="20"/>
    <n v="1097.3"/>
  </r>
  <r>
    <x v="23"/>
    <n v="21"/>
    <n v="1061.6500000000001"/>
  </r>
  <r>
    <x v="23"/>
    <n v="22"/>
    <n v="1075.3630000000001"/>
  </r>
  <r>
    <x v="23"/>
    <n v="23"/>
    <n v="1059.625"/>
  </r>
  <r>
    <x v="23"/>
    <n v="24"/>
    <n v="943.01300000000003"/>
  </r>
  <r>
    <x v="24"/>
    <n v="1"/>
    <n v="916.68799999999999"/>
  </r>
  <r>
    <x v="24"/>
    <n v="2"/>
    <n v="812.21299999999997"/>
  </r>
  <r>
    <x v="24"/>
    <n v="3"/>
    <n v="826.8"/>
  </r>
  <r>
    <x v="24"/>
    <n v="4"/>
    <n v="789.55"/>
  </r>
  <r>
    <x v="24"/>
    <n v="5"/>
    <n v="709.35"/>
  </r>
  <r>
    <x v="24"/>
    <n v="6"/>
    <n v="649.67499999999995"/>
  </r>
  <r>
    <x v="24"/>
    <n v="7"/>
    <n v="643.02499999999998"/>
  </r>
  <r>
    <x v="24"/>
    <n v="8"/>
    <n v="498.13799999999998"/>
  </r>
  <r>
    <x v="24"/>
    <n v="9"/>
    <n v="327.488"/>
  </r>
  <r>
    <x v="24"/>
    <n v="10"/>
    <n v="334.21300000000002"/>
  </r>
  <r>
    <x v="24"/>
    <n v="11"/>
    <n v="454.28800000000001"/>
  </r>
  <r>
    <x v="24"/>
    <n v="12"/>
    <n v="566.375"/>
  </r>
  <r>
    <x v="24"/>
    <n v="13"/>
    <n v="840.11300000000006"/>
  </r>
  <r>
    <x v="24"/>
    <n v="14"/>
    <n v="1195.9380000000001"/>
  </r>
  <r>
    <x v="24"/>
    <n v="15"/>
    <n v="1197.925"/>
  </r>
  <r>
    <x v="24"/>
    <n v="16"/>
    <n v="1209.425"/>
  </r>
  <r>
    <x v="24"/>
    <n v="17"/>
    <n v="1406.4880000000001"/>
  </r>
  <r>
    <x v="24"/>
    <n v="18"/>
    <n v="1202.213"/>
  </r>
  <r>
    <x v="24"/>
    <n v="19"/>
    <n v="812.52499999999998"/>
  </r>
  <r>
    <x v="24"/>
    <n v="20"/>
    <n v="826.71299999999997"/>
  </r>
  <r>
    <x v="24"/>
    <n v="21"/>
    <n v="986.92499999999995"/>
  </r>
  <r>
    <x v="24"/>
    <n v="22"/>
    <n v="1386.2"/>
  </r>
  <r>
    <x v="24"/>
    <n v="23"/>
    <n v="1638.1"/>
  </r>
  <r>
    <x v="24"/>
    <n v="24"/>
    <n v="2046.35"/>
  </r>
  <r>
    <x v="25"/>
    <n v="1"/>
    <n v="2263.875"/>
  </r>
  <r>
    <x v="25"/>
    <n v="2"/>
    <n v="2458.625"/>
  </r>
  <r>
    <x v="25"/>
    <n v="3"/>
    <n v="2301.0749999999998"/>
  </r>
  <r>
    <x v="25"/>
    <n v="4"/>
    <n v="2109.3380000000002"/>
  </r>
  <r>
    <x v="25"/>
    <n v="5"/>
    <n v="2023.55"/>
  </r>
  <r>
    <x v="25"/>
    <n v="6"/>
    <n v="1784.9749999999999"/>
  </r>
  <r>
    <x v="25"/>
    <n v="7"/>
    <n v="1567.675"/>
  </r>
  <r>
    <x v="25"/>
    <n v="8"/>
    <n v="964.16300000000001"/>
  </r>
  <r>
    <x v="25"/>
    <n v="9"/>
    <n v="340.32499999999999"/>
  </r>
  <r>
    <x v="25"/>
    <n v="10"/>
    <n v="347.58800000000002"/>
  </r>
  <r>
    <x v="25"/>
    <n v="11"/>
    <n v="794.97500000000002"/>
  </r>
  <r>
    <x v="25"/>
    <n v="12"/>
    <n v="1097.7"/>
  </r>
  <r>
    <x v="25"/>
    <n v="13"/>
    <n v="1180.2380000000001"/>
  </r>
  <r>
    <x v="25"/>
    <n v="14"/>
    <n v="1288.9000000000001"/>
  </r>
  <r>
    <x v="25"/>
    <n v="15"/>
    <n v="1493.075"/>
  </r>
  <r>
    <x v="25"/>
    <n v="16"/>
    <n v="1700.825"/>
  </r>
  <r>
    <x v="25"/>
    <n v="17"/>
    <n v="1787.45"/>
  </r>
  <r>
    <x v="25"/>
    <n v="18"/>
    <n v="1652.0250000000001"/>
  </r>
  <r>
    <x v="25"/>
    <n v="19"/>
    <n v="1363.95"/>
  </r>
  <r>
    <x v="25"/>
    <n v="20"/>
    <n v="1101.9000000000001"/>
  </r>
  <r>
    <x v="25"/>
    <n v="21"/>
    <n v="1571.6379999999999"/>
  </r>
  <r>
    <x v="25"/>
    <n v="22"/>
    <n v="2538.8380000000002"/>
  </r>
  <r>
    <x v="25"/>
    <n v="23"/>
    <n v="3423.9"/>
  </r>
  <r>
    <x v="25"/>
    <n v="24"/>
    <n v="3971.375"/>
  </r>
  <r>
    <x v="26"/>
    <n v="1"/>
    <n v="4154.6499999999996"/>
  </r>
  <r>
    <x v="26"/>
    <n v="2"/>
    <n v="4045.5630000000001"/>
  </r>
  <r>
    <x v="26"/>
    <n v="3"/>
    <n v="3708.0630000000001"/>
  </r>
  <r>
    <x v="26"/>
    <n v="4"/>
    <n v="3345.4630000000002"/>
  </r>
  <r>
    <x v="26"/>
    <n v="5"/>
    <n v="3113.6750000000002"/>
  </r>
  <r>
    <x v="26"/>
    <n v="6"/>
    <n v="2879.9879999999998"/>
  </r>
  <r>
    <x v="26"/>
    <n v="7"/>
    <n v="2648.2750000000001"/>
  </r>
  <r>
    <x v="26"/>
    <n v="8"/>
    <n v="1875.2"/>
  </r>
  <r>
    <x v="26"/>
    <n v="9"/>
    <n v="988.23800000000006"/>
  </r>
  <r>
    <x v="26"/>
    <n v="10"/>
    <n v="623.72500000000002"/>
  </r>
  <r>
    <x v="26"/>
    <n v="11"/>
    <n v="789.15"/>
  </r>
  <r>
    <x v="26"/>
    <n v="12"/>
    <n v="1219.3130000000001"/>
  </r>
  <r>
    <x v="26"/>
    <n v="13"/>
    <n v="1398.75"/>
  </r>
  <r>
    <x v="26"/>
    <n v="14"/>
    <n v="1283.0630000000001"/>
  </r>
  <r>
    <x v="26"/>
    <n v="15"/>
    <n v="1164.413"/>
  </r>
  <r>
    <x v="26"/>
    <n v="16"/>
    <n v="1047.3630000000001"/>
  </r>
  <r>
    <x v="26"/>
    <n v="17"/>
    <n v="1025.1500000000001"/>
  </r>
  <r>
    <x v="26"/>
    <n v="18"/>
    <n v="1086.4880000000001"/>
  </r>
  <r>
    <x v="26"/>
    <n v="19"/>
    <n v="1000.438"/>
  </r>
  <r>
    <x v="26"/>
    <n v="20"/>
    <n v="1175.338"/>
  </r>
  <r>
    <x v="26"/>
    <n v="21"/>
    <n v="1868.4380000000001"/>
  </r>
  <r>
    <x v="26"/>
    <n v="22"/>
    <n v="3060.3"/>
  </r>
  <r>
    <x v="26"/>
    <n v="23"/>
    <n v="4255.8999999999996"/>
  </r>
  <r>
    <x v="26"/>
    <n v="24"/>
    <n v="5003.4250000000002"/>
  </r>
  <r>
    <x v="27"/>
    <n v="1"/>
    <n v="4937.6379999999999"/>
  </r>
  <r>
    <x v="27"/>
    <n v="2"/>
    <n v="4861.2129999999997"/>
  </r>
  <r>
    <x v="27"/>
    <n v="3"/>
    <n v="4697.5630000000001"/>
  </r>
  <r>
    <x v="27"/>
    <n v="4"/>
    <n v="4528.9129999999996"/>
  </r>
  <r>
    <x v="27"/>
    <n v="5"/>
    <n v="4417.8379999999997"/>
  </r>
  <r>
    <x v="27"/>
    <n v="6"/>
    <n v="4356.125"/>
  </r>
  <r>
    <x v="27"/>
    <n v="7"/>
    <n v="4266.1629999999996"/>
  </r>
  <r>
    <x v="27"/>
    <n v="8"/>
    <n v="3305.3130000000001"/>
  </r>
  <r>
    <x v="27"/>
    <n v="9"/>
    <n v="2211.1129999999998"/>
  </r>
  <r>
    <x v="27"/>
    <n v="10"/>
    <n v="2445.8130000000001"/>
  </r>
  <r>
    <x v="27"/>
    <n v="11"/>
    <n v="3334.0250000000001"/>
  </r>
  <r>
    <x v="27"/>
    <n v="12"/>
    <n v="3987.3"/>
  </r>
  <r>
    <x v="27"/>
    <n v="13"/>
    <n v="4037.15"/>
  </r>
  <r>
    <x v="27"/>
    <n v="14"/>
    <n v="3850.6129999999998"/>
  </r>
  <r>
    <x v="27"/>
    <n v="15"/>
    <n v="3850.9380000000001"/>
  </r>
  <r>
    <x v="27"/>
    <n v="16"/>
    <n v="3784.788"/>
  </r>
  <r>
    <x v="27"/>
    <n v="17"/>
    <n v="3922.8"/>
  </r>
  <r>
    <x v="27"/>
    <n v="18"/>
    <n v="3755.6750000000002"/>
  </r>
  <r>
    <x v="27"/>
    <n v="19"/>
    <n v="3201.7379999999998"/>
  </r>
  <r>
    <x v="27"/>
    <n v="20"/>
    <n v="2948.0749999999998"/>
  </r>
  <r>
    <x v="27"/>
    <n v="21"/>
    <n v="3687.0880000000002"/>
  </r>
  <r>
    <x v="27"/>
    <n v="22"/>
    <n v="4782.7129999999997"/>
  </r>
  <r>
    <x v="27"/>
    <n v="23"/>
    <n v="5291.0630000000001"/>
  </r>
  <r>
    <x v="27"/>
    <n v="24"/>
    <n v="5382.25"/>
  </r>
  <r>
    <x v="28"/>
    <n v="1"/>
    <n v="5231.8130000000001"/>
  </r>
  <r>
    <x v="28"/>
    <n v="2"/>
    <n v="5017.125"/>
  </r>
  <r>
    <x v="28"/>
    <n v="3"/>
    <n v="4546.3999999999996"/>
  </r>
  <r>
    <x v="28"/>
    <n v="4"/>
    <n v="4131.4629999999997"/>
  </r>
  <r>
    <x v="28"/>
    <n v="5"/>
    <n v="3843.0749999999998"/>
  </r>
  <r>
    <x v="28"/>
    <n v="6"/>
    <n v="3584.4"/>
  </r>
  <r>
    <x v="28"/>
    <n v="7"/>
    <n v="3275.375"/>
  </r>
  <r>
    <x v="28"/>
    <n v="8"/>
    <n v="2384.5880000000002"/>
  </r>
  <r>
    <x v="28"/>
    <n v="9"/>
    <n v="1347.375"/>
  </r>
  <r>
    <x v="28"/>
    <n v="10"/>
    <n v="1094.95"/>
  </r>
  <r>
    <x v="28"/>
    <n v="11"/>
    <n v="1180.338"/>
  </r>
  <r>
    <x v="28"/>
    <n v="12"/>
    <n v="1330.15"/>
  </r>
  <r>
    <x v="28"/>
    <n v="13"/>
    <n v="1515.0250000000001"/>
  </r>
  <r>
    <x v="28"/>
    <n v="14"/>
    <n v="1608.875"/>
  </r>
  <r>
    <x v="28"/>
    <n v="15"/>
    <n v="1706.5"/>
  </r>
  <r>
    <x v="28"/>
    <n v="16"/>
    <n v="1699.413"/>
  </r>
  <r>
    <x v="28"/>
    <n v="17"/>
    <n v="1678.7629999999999"/>
  </r>
  <r>
    <x v="28"/>
    <n v="18"/>
    <n v="1672.45"/>
  </r>
  <r>
    <x v="28"/>
    <n v="19"/>
    <n v="1669.963"/>
  </r>
  <r>
    <x v="28"/>
    <n v="20"/>
    <n v="1912.2"/>
  </r>
  <r>
    <x v="28"/>
    <n v="21"/>
    <n v="2709.538"/>
  </r>
  <r>
    <x v="28"/>
    <n v="22"/>
    <n v="3575.3130000000001"/>
  </r>
  <r>
    <x v="28"/>
    <n v="23"/>
    <n v="4097.6750000000002"/>
  </r>
  <r>
    <x v="28"/>
    <n v="24"/>
    <n v="4326.8379999999997"/>
  </r>
  <r>
    <x v="29"/>
    <n v="1"/>
    <n v="4272.6629999999996"/>
  </r>
  <r>
    <x v="29"/>
    <n v="2"/>
    <n v="4037"/>
  </r>
  <r>
    <x v="29"/>
    <n v="3"/>
    <n v="3760.9380000000001"/>
  </r>
  <r>
    <x v="29"/>
    <n v="4"/>
    <n v="3717.3130000000001"/>
  </r>
  <r>
    <x v="29"/>
    <n v="5"/>
    <n v="3945.7379999999998"/>
  </r>
  <r>
    <x v="29"/>
    <n v="6"/>
    <n v="4228.6000000000004"/>
  </r>
  <r>
    <x v="29"/>
    <n v="7"/>
    <n v="4063.1129999999998"/>
  </r>
  <r>
    <x v="29"/>
    <n v="8"/>
    <n v="3116.538"/>
  </r>
  <r>
    <x v="29"/>
    <n v="9"/>
    <n v="1871.9"/>
  </r>
  <r>
    <x v="29"/>
    <n v="10"/>
    <n v="1349.9380000000001"/>
  </r>
  <r>
    <x v="29"/>
    <n v="11"/>
    <n v="1425.5"/>
  </r>
  <r>
    <x v="29"/>
    <n v="12"/>
    <n v="1697.8630000000001"/>
  </r>
  <r>
    <x v="29"/>
    <n v="13"/>
    <n v="1998.0630000000001"/>
  </r>
  <r>
    <x v="29"/>
    <n v="14"/>
    <n v="2532.5500000000002"/>
  </r>
  <r>
    <x v="29"/>
    <n v="15"/>
    <n v="2994.6750000000002"/>
  </r>
  <r>
    <x v="29"/>
    <n v="16"/>
    <n v="3244.65"/>
  </r>
  <r>
    <x v="29"/>
    <n v="17"/>
    <n v="3232.6129999999998"/>
  </r>
  <r>
    <x v="29"/>
    <n v="18"/>
    <n v="3254.4749999999999"/>
  </r>
  <r>
    <x v="29"/>
    <n v="19"/>
    <n v="3098.8"/>
  </r>
  <r>
    <x v="29"/>
    <n v="20"/>
    <n v="3200.6129999999998"/>
  </r>
  <r>
    <x v="29"/>
    <n v="21"/>
    <n v="4075.2629999999999"/>
  </r>
  <r>
    <x v="29"/>
    <n v="22"/>
    <n v="5190.4250000000002"/>
  </r>
  <r>
    <x v="29"/>
    <n v="23"/>
    <n v="5414.4750000000004"/>
  </r>
  <r>
    <x v="29"/>
    <n v="24"/>
    <n v="5379.9129999999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x v="0"/>
    <n v="1"/>
    <n v="3130.2629999999999"/>
    <n v="0"/>
  </r>
  <r>
    <x v="0"/>
    <n v="2"/>
    <n v="2765.5880000000002"/>
    <n v="0"/>
  </r>
  <r>
    <x v="0"/>
    <n v="3"/>
    <n v="2555.4380000000001"/>
    <n v="0"/>
  </r>
  <r>
    <x v="0"/>
    <n v="4"/>
    <n v="2675.2379999999998"/>
    <n v="0"/>
  </r>
  <r>
    <x v="0"/>
    <n v="5"/>
    <n v="2681.1750000000002"/>
    <n v="0"/>
  </r>
  <r>
    <x v="0"/>
    <n v="6"/>
    <n v="2367.3249999999998"/>
    <n v="0.21299999999999999"/>
  </r>
  <r>
    <x v="0"/>
    <n v="7"/>
    <n v="2525.2249999999999"/>
    <n v="117.075"/>
  </r>
  <r>
    <x v="0"/>
    <n v="8"/>
    <n v="2360.9879999999998"/>
    <n v="1162.075"/>
  </r>
  <r>
    <x v="0"/>
    <n v="9"/>
    <n v="1940.838"/>
    <n v="2680.5129999999999"/>
  </r>
  <r>
    <x v="0"/>
    <n v="10"/>
    <n v="1368.675"/>
    <n v="4416"/>
  </r>
  <r>
    <x v="0"/>
    <n v="11"/>
    <n v="1140.463"/>
    <n v="5331.5749999999998"/>
  </r>
  <r>
    <x v="0"/>
    <n v="12"/>
    <n v="1305.8630000000001"/>
    <n v="5812.2250000000004"/>
  </r>
  <r>
    <x v="0"/>
    <n v="13"/>
    <n v="1511.4880000000001"/>
    <n v="5846.6130000000003"/>
  </r>
  <r>
    <x v="0"/>
    <n v="14"/>
    <n v="1931.05"/>
    <n v="5471.4250000000002"/>
  </r>
  <r>
    <x v="0"/>
    <n v="15"/>
    <n v="2229.25"/>
    <n v="5661.8249999999998"/>
  </r>
  <r>
    <x v="0"/>
    <n v="16"/>
    <n v="2467.125"/>
    <n v="5067.9880000000003"/>
  </r>
  <r>
    <x v="0"/>
    <n v="17"/>
    <n v="2655.85"/>
    <n v="3458.1379999999999"/>
  </r>
  <r>
    <x v="0"/>
    <n v="18"/>
    <n v="2572.7629999999999"/>
    <n v="1719.088"/>
  </r>
  <r>
    <x v="0"/>
    <n v="19"/>
    <n v="2891.1750000000002"/>
    <n v="560.76300000000003"/>
  </r>
  <r>
    <x v="0"/>
    <n v="20"/>
    <n v="3515.2"/>
    <n v="51.438000000000002"/>
  </r>
  <r>
    <x v="0"/>
    <n v="21"/>
    <n v="3941.538"/>
    <n v="0"/>
  </r>
  <r>
    <x v="0"/>
    <n v="22"/>
    <n v="4127.375"/>
    <n v="0"/>
  </r>
  <r>
    <x v="0"/>
    <n v="23"/>
    <n v="4248.55"/>
    <n v="0"/>
  </r>
  <r>
    <x v="0"/>
    <n v="24"/>
    <n v="4027.7249999999999"/>
    <n v="0"/>
  </r>
  <r>
    <x v="1"/>
    <n v="1"/>
    <n v="3346.5749999999998"/>
    <n v="0"/>
  </r>
  <r>
    <x v="1"/>
    <n v="2"/>
    <n v="3446.2379999999998"/>
    <n v="0"/>
  </r>
  <r>
    <x v="1"/>
    <n v="3"/>
    <n v="4149.3"/>
    <n v="0"/>
  </r>
  <r>
    <x v="1"/>
    <n v="4"/>
    <n v="4457.1750000000002"/>
    <n v="0"/>
  </r>
  <r>
    <x v="1"/>
    <n v="5"/>
    <n v="4588.4380000000001"/>
    <n v="0"/>
  </r>
  <r>
    <x v="1"/>
    <n v="6"/>
    <n v="4658.5"/>
    <n v="1.075"/>
  </r>
  <r>
    <x v="1"/>
    <n v="7"/>
    <n v="4732.9750000000004"/>
    <n v="61.274999999999999"/>
  </r>
  <r>
    <x v="1"/>
    <n v="8"/>
    <n v="4939.8249999999998"/>
    <n v="440.625"/>
  </r>
  <r>
    <x v="1"/>
    <n v="9"/>
    <n v="5218.9629999999997"/>
    <n v="1086.2750000000001"/>
  </r>
  <r>
    <x v="1"/>
    <n v="10"/>
    <n v="5539.7749999999996"/>
    <n v="1915.2629999999999"/>
  </r>
  <r>
    <x v="1"/>
    <n v="11"/>
    <n v="5927.375"/>
    <n v="2442.2629999999999"/>
  </r>
  <r>
    <x v="1"/>
    <n v="12"/>
    <n v="6218.0749999999998"/>
    <n v="2724.6379999999999"/>
  </r>
  <r>
    <x v="1"/>
    <n v="13"/>
    <n v="6813.6629999999996"/>
    <n v="2673.2629999999999"/>
  </r>
  <r>
    <x v="1"/>
    <n v="14"/>
    <n v="7025.85"/>
    <n v="2775.5880000000002"/>
  </r>
  <r>
    <x v="1"/>
    <n v="15"/>
    <n v="7180.7629999999999"/>
    <n v="2810.9380000000001"/>
  </r>
  <r>
    <x v="1"/>
    <n v="16"/>
    <n v="7220.4880000000003"/>
    <n v="2744.5250000000001"/>
  </r>
  <r>
    <x v="1"/>
    <n v="17"/>
    <n v="7167.5630000000001"/>
    <n v="2404.7750000000001"/>
  </r>
  <r>
    <x v="1"/>
    <n v="18"/>
    <n v="6882.125"/>
    <n v="1488.125"/>
  </r>
  <r>
    <x v="1"/>
    <n v="19"/>
    <n v="6806.5630000000001"/>
    <n v="581.4"/>
  </r>
  <r>
    <x v="1"/>
    <n v="20"/>
    <n v="7039.9629999999997"/>
    <n v="56.85"/>
  </r>
  <r>
    <x v="1"/>
    <n v="21"/>
    <n v="7089.2380000000003"/>
    <n v="0"/>
  </r>
  <r>
    <x v="1"/>
    <n v="22"/>
    <n v="6955.6379999999999"/>
    <n v="0"/>
  </r>
  <r>
    <x v="1"/>
    <n v="23"/>
    <n v="6667.7749999999996"/>
    <n v="0"/>
  </r>
  <r>
    <x v="1"/>
    <n v="24"/>
    <n v="6771.0879999999997"/>
    <n v="0"/>
  </r>
  <r>
    <x v="2"/>
    <n v="1"/>
    <n v="6683.55"/>
    <n v="0"/>
  </r>
  <r>
    <x v="2"/>
    <n v="2"/>
    <n v="6485.2250000000004"/>
    <n v="0"/>
  </r>
  <r>
    <x v="2"/>
    <n v="3"/>
    <n v="6362.625"/>
    <n v="0"/>
  </r>
  <r>
    <x v="2"/>
    <n v="4"/>
    <n v="5948.9250000000002"/>
    <n v="0"/>
  </r>
  <r>
    <x v="2"/>
    <n v="5"/>
    <n v="5874.1880000000001"/>
    <n v="0"/>
  </r>
  <r>
    <x v="2"/>
    <n v="6"/>
    <n v="5815.1629999999996"/>
    <n v="0.625"/>
  </r>
  <r>
    <x v="2"/>
    <n v="7"/>
    <n v="5951.2879999999996"/>
    <n v="76.875"/>
  </r>
  <r>
    <x v="2"/>
    <n v="8"/>
    <n v="5858.2879999999996"/>
    <n v="704.4"/>
  </r>
  <r>
    <x v="2"/>
    <n v="9"/>
    <n v="5839.8249999999998"/>
    <n v="1911"/>
  </r>
  <r>
    <x v="2"/>
    <n v="10"/>
    <n v="5734.2629999999999"/>
    <n v="3500"/>
  </r>
  <r>
    <x v="2"/>
    <n v="11"/>
    <n v="5387.15"/>
    <n v="4405.4129999999996"/>
  </r>
  <r>
    <x v="2"/>
    <n v="12"/>
    <n v="5066.9380000000001"/>
    <n v="4657.0379999999996"/>
  </r>
  <r>
    <x v="2"/>
    <n v="13"/>
    <n v="4827.9750000000004"/>
    <n v="5127.7879999999996"/>
  </r>
  <r>
    <x v="2"/>
    <n v="14"/>
    <n v="4638.2129999999997"/>
    <n v="5204.4750000000004"/>
  </r>
  <r>
    <x v="2"/>
    <n v="15"/>
    <n v="4444.0129999999999"/>
    <n v="5284.65"/>
  </r>
  <r>
    <x v="2"/>
    <n v="16"/>
    <n v="4060.7249999999999"/>
    <n v="4440.7879999999996"/>
  </r>
  <r>
    <x v="2"/>
    <n v="17"/>
    <n v="3365"/>
    <n v="3380.625"/>
  </r>
  <r>
    <x v="2"/>
    <n v="18"/>
    <n v="2697.3380000000002"/>
    <n v="1752.175"/>
  </r>
  <r>
    <x v="2"/>
    <n v="19"/>
    <n v="2075.5749999999998"/>
    <n v="515.93799999999999"/>
  </r>
  <r>
    <x v="2"/>
    <n v="20"/>
    <n v="1725.175"/>
    <n v="98.513000000000005"/>
  </r>
  <r>
    <x v="2"/>
    <n v="21"/>
    <n v="1506.8630000000001"/>
    <n v="0"/>
  </r>
  <r>
    <x v="2"/>
    <n v="22"/>
    <n v="1343.6"/>
    <n v="0"/>
  </r>
  <r>
    <x v="2"/>
    <n v="23"/>
    <n v="1320.5630000000001"/>
    <n v="0"/>
  </r>
  <r>
    <x v="2"/>
    <n v="24"/>
    <n v="1277.1379999999999"/>
    <n v="0"/>
  </r>
  <r>
    <x v="3"/>
    <n v="1"/>
    <n v="1296.9380000000001"/>
    <n v="0"/>
  </r>
  <r>
    <x v="3"/>
    <n v="2"/>
    <n v="1376.75"/>
    <n v="0"/>
  </r>
  <r>
    <x v="3"/>
    <n v="3"/>
    <n v="1459.925"/>
    <n v="0"/>
  </r>
  <r>
    <x v="3"/>
    <n v="4"/>
    <n v="1527.538"/>
    <n v="0"/>
  </r>
  <r>
    <x v="3"/>
    <n v="5"/>
    <n v="1725.0630000000001"/>
    <n v="0"/>
  </r>
  <r>
    <x v="3"/>
    <n v="6"/>
    <n v="1804.5630000000001"/>
    <n v="0.52500000000000002"/>
  </r>
  <r>
    <x v="3"/>
    <n v="7"/>
    <n v="1882.8"/>
    <n v="182.78800000000001"/>
  </r>
  <r>
    <x v="3"/>
    <n v="8"/>
    <n v="1927.5"/>
    <n v="903.98800000000006"/>
  </r>
  <r>
    <x v="3"/>
    <n v="9"/>
    <n v="1803.0630000000001"/>
    <n v="2087.2249999999999"/>
  </r>
  <r>
    <x v="3"/>
    <n v="10"/>
    <n v="1611.05"/>
    <n v="3579.6"/>
  </r>
  <r>
    <x v="3"/>
    <n v="11"/>
    <n v="1517.413"/>
    <n v="4306.8379999999997"/>
  </r>
  <r>
    <x v="3"/>
    <n v="12"/>
    <n v="1464.9380000000001"/>
    <n v="5172.3"/>
  </r>
  <r>
    <x v="3"/>
    <n v="13"/>
    <n v="1616.9"/>
    <n v="5723.5129999999999"/>
  </r>
  <r>
    <x v="3"/>
    <n v="14"/>
    <n v="1760.9880000000001"/>
    <n v="5583.875"/>
  </r>
  <r>
    <x v="3"/>
    <n v="15"/>
    <n v="1910.588"/>
    <n v="5109.6000000000004"/>
  </r>
  <r>
    <x v="3"/>
    <n v="16"/>
    <n v="2147.8380000000002"/>
    <n v="4166.7"/>
  </r>
  <r>
    <x v="3"/>
    <n v="17"/>
    <n v="2389"/>
    <n v="3069.4630000000002"/>
  </r>
  <r>
    <x v="3"/>
    <n v="18"/>
    <n v="2445.2249999999999"/>
    <n v="1544.663"/>
  </r>
  <r>
    <x v="3"/>
    <n v="19"/>
    <n v="2756.4380000000001"/>
    <n v="540.16300000000001"/>
  </r>
  <r>
    <x v="3"/>
    <n v="20"/>
    <n v="3537.875"/>
    <n v="97.013000000000005"/>
  </r>
  <r>
    <x v="3"/>
    <n v="21"/>
    <n v="4276.8500000000004"/>
    <n v="0"/>
  </r>
  <r>
    <x v="3"/>
    <n v="22"/>
    <n v="4835.1750000000002"/>
    <n v="0"/>
  </r>
  <r>
    <x v="3"/>
    <n v="23"/>
    <n v="5044.7250000000004"/>
    <n v="0"/>
  </r>
  <r>
    <x v="3"/>
    <n v="24"/>
    <n v="5564.6750000000002"/>
    <n v="0"/>
  </r>
  <r>
    <x v="4"/>
    <n v="1"/>
    <n v="5803.1130000000003"/>
    <n v="0"/>
  </r>
  <r>
    <x v="4"/>
    <n v="2"/>
    <n v="5764.2749999999996"/>
    <n v="0"/>
  </r>
  <r>
    <x v="4"/>
    <n v="3"/>
    <n v="5571.0749999999998"/>
    <n v="0"/>
  </r>
  <r>
    <x v="4"/>
    <n v="4"/>
    <n v="5487.2380000000003"/>
    <n v="0"/>
  </r>
  <r>
    <x v="4"/>
    <n v="5"/>
    <n v="5289.1629999999996"/>
    <n v="0"/>
  </r>
  <r>
    <x v="4"/>
    <n v="6"/>
    <n v="4720.9750000000004"/>
    <n v="2.6880000000000002"/>
  </r>
  <r>
    <x v="4"/>
    <n v="7"/>
    <n v="4460.4880000000003"/>
    <n v="207.26300000000001"/>
  </r>
  <r>
    <x v="4"/>
    <n v="8"/>
    <n v="4055.7249999999999"/>
    <n v="1171.5999999999999"/>
  </r>
  <r>
    <x v="4"/>
    <n v="9"/>
    <n v="3390.5880000000002"/>
    <n v="2805.5250000000001"/>
  </r>
  <r>
    <x v="4"/>
    <n v="10"/>
    <n v="3101.2249999999999"/>
    <n v="4478.6379999999999"/>
  </r>
  <r>
    <x v="4"/>
    <n v="11"/>
    <n v="2969.0630000000001"/>
    <n v="6019.9129999999996"/>
  </r>
  <r>
    <x v="4"/>
    <n v="12"/>
    <n v="3016.9749999999999"/>
    <n v="6657.3249999999998"/>
  </r>
  <r>
    <x v="4"/>
    <n v="13"/>
    <n v="3085.65"/>
    <n v="6455.375"/>
  </r>
  <r>
    <x v="4"/>
    <n v="14"/>
    <n v="3147"/>
    <n v="6064.8"/>
  </r>
  <r>
    <x v="4"/>
    <n v="15"/>
    <n v="2894.8249999999998"/>
    <n v="5635.875"/>
  </r>
  <r>
    <x v="4"/>
    <n v="16"/>
    <n v="2652.625"/>
    <n v="5442.65"/>
  </r>
  <r>
    <x v="4"/>
    <n v="17"/>
    <n v="2686.5630000000001"/>
    <n v="4334.0749999999998"/>
  </r>
  <r>
    <x v="4"/>
    <n v="18"/>
    <n v="2823.8879999999999"/>
    <n v="2446.5129999999999"/>
  </r>
  <r>
    <x v="4"/>
    <n v="19"/>
    <n v="3079.1"/>
    <n v="770"/>
  </r>
  <r>
    <x v="4"/>
    <n v="20"/>
    <n v="3840.15"/>
    <n v="128.93799999999999"/>
  </r>
  <r>
    <x v="4"/>
    <n v="21"/>
    <n v="4883.0379999999996"/>
    <n v="0"/>
  </r>
  <r>
    <x v="4"/>
    <n v="22"/>
    <n v="5978.1379999999999"/>
    <n v="0"/>
  </r>
  <r>
    <x v="4"/>
    <n v="23"/>
    <n v="6598.9129999999996"/>
    <n v="0"/>
  </r>
  <r>
    <x v="4"/>
    <n v="24"/>
    <n v="6643.1130000000003"/>
    <n v="0"/>
  </r>
  <r>
    <x v="5"/>
    <n v="1"/>
    <n v="6379.6750000000002"/>
    <n v="0"/>
  </r>
  <r>
    <x v="5"/>
    <n v="2"/>
    <n v="6134.5129999999999"/>
    <n v="0"/>
  </r>
  <r>
    <x v="5"/>
    <n v="3"/>
    <n v="5890.1"/>
    <n v="0"/>
  </r>
  <r>
    <x v="5"/>
    <n v="4"/>
    <n v="5587.5249999999996"/>
    <n v="0"/>
  </r>
  <r>
    <x v="5"/>
    <n v="5"/>
    <n v="5163.8999999999996"/>
    <n v="0"/>
  </r>
  <r>
    <x v="5"/>
    <n v="6"/>
    <n v="5173.3879999999999"/>
    <n v="10.95"/>
  </r>
  <r>
    <x v="5"/>
    <n v="7"/>
    <n v="5060.5630000000001"/>
    <n v="302.375"/>
  </r>
  <r>
    <x v="5"/>
    <n v="8"/>
    <n v="4595.5879999999997"/>
    <n v="1375.088"/>
  </r>
  <r>
    <x v="5"/>
    <n v="9"/>
    <n v="4078.0880000000002"/>
    <n v="3297.1379999999999"/>
  </r>
  <r>
    <x v="5"/>
    <n v="10"/>
    <n v="3480.3879999999999"/>
    <n v="5189.4380000000001"/>
  </r>
  <r>
    <x v="5"/>
    <n v="11"/>
    <n v="3477.2130000000002"/>
    <n v="6562.7629999999999"/>
  </r>
  <r>
    <x v="5"/>
    <n v="12"/>
    <n v="3550.9380000000001"/>
    <n v="8038.3"/>
  </r>
  <r>
    <x v="5"/>
    <n v="13"/>
    <n v="3686"/>
    <n v="8002.6379999999999"/>
  </r>
  <r>
    <x v="5"/>
    <n v="14"/>
    <n v="3637.75"/>
    <n v="7691.7380000000003"/>
  </r>
  <r>
    <x v="5"/>
    <n v="15"/>
    <n v="3250.6129999999998"/>
    <n v="7518.45"/>
  </r>
  <r>
    <x v="5"/>
    <n v="16"/>
    <n v="2574.2379999999998"/>
    <n v="6545.4380000000001"/>
  </r>
  <r>
    <x v="5"/>
    <n v="17"/>
    <n v="1815.1"/>
    <n v="5289.75"/>
  </r>
  <r>
    <x v="5"/>
    <n v="18"/>
    <n v="1170.7629999999999"/>
    <n v="3107.4630000000002"/>
  </r>
  <r>
    <x v="5"/>
    <n v="19"/>
    <n v="628.33799999999997"/>
    <n v="1035.1379999999999"/>
  </r>
  <r>
    <x v="5"/>
    <n v="20"/>
    <n v="510.488"/>
    <n v="152.863"/>
  </r>
  <r>
    <x v="5"/>
    <n v="21"/>
    <n v="640.72500000000002"/>
    <n v="0"/>
  </r>
  <r>
    <x v="5"/>
    <n v="22"/>
    <n v="841.47500000000002"/>
    <n v="0"/>
  </r>
  <r>
    <x v="5"/>
    <n v="23"/>
    <n v="1385.2"/>
    <n v="0"/>
  </r>
  <r>
    <x v="5"/>
    <n v="24"/>
    <n v="2037.3130000000001"/>
    <n v="0"/>
  </r>
  <r>
    <x v="6"/>
    <n v="1"/>
    <n v="2619.7629999999999"/>
    <n v="0"/>
  </r>
  <r>
    <x v="6"/>
    <n v="2"/>
    <n v="3091.0129999999999"/>
    <n v="0"/>
  </r>
  <r>
    <x v="6"/>
    <n v="3"/>
    <n v="3662.3879999999999"/>
    <n v="0"/>
  </r>
  <r>
    <x v="6"/>
    <n v="4"/>
    <n v="4079.4250000000002"/>
    <n v="0"/>
  </r>
  <r>
    <x v="6"/>
    <n v="5"/>
    <n v="4390.8500000000004"/>
    <n v="0"/>
  </r>
  <r>
    <x v="6"/>
    <n v="6"/>
    <n v="4557.6130000000003"/>
    <n v="6.7880000000000003"/>
  </r>
  <r>
    <x v="6"/>
    <n v="7"/>
    <n v="4803.3500000000004"/>
    <n v="327.39999999999998"/>
  </r>
  <r>
    <x v="6"/>
    <n v="8"/>
    <n v="4993.1880000000001"/>
    <n v="1778.9380000000001"/>
  </r>
  <r>
    <x v="6"/>
    <n v="9"/>
    <n v="4525.8130000000001"/>
    <n v="3994.5250000000001"/>
  </r>
  <r>
    <x v="6"/>
    <n v="10"/>
    <n v="3707.1880000000001"/>
    <n v="5784.4880000000003"/>
  </r>
  <r>
    <x v="6"/>
    <n v="11"/>
    <n v="3536.3629999999998"/>
    <n v="7371.8379999999997"/>
  </r>
  <r>
    <x v="6"/>
    <n v="12"/>
    <n v="3839.4250000000002"/>
    <n v="7463.9750000000004"/>
  </r>
  <r>
    <x v="6"/>
    <n v="13"/>
    <n v="4186.2"/>
    <n v="7302.5"/>
  </r>
  <r>
    <x v="6"/>
    <n v="14"/>
    <n v="3318.25"/>
    <n v="7102.75"/>
  </r>
  <r>
    <x v="6"/>
    <n v="15"/>
    <n v="2636.8879999999999"/>
    <n v="6636.6"/>
  </r>
  <r>
    <x v="6"/>
    <n v="16"/>
    <n v="2253.6999999999998"/>
    <n v="5685.6880000000001"/>
  </r>
  <r>
    <x v="6"/>
    <n v="17"/>
    <n v="1804.35"/>
    <n v="5050.8500000000004"/>
  </r>
  <r>
    <x v="6"/>
    <n v="18"/>
    <n v="1486.4749999999999"/>
    <n v="3331.9630000000002"/>
  </r>
  <r>
    <x v="6"/>
    <n v="19"/>
    <n v="1384"/>
    <n v="1437.3"/>
  </r>
  <r>
    <x v="6"/>
    <n v="20"/>
    <n v="1703.15"/>
    <n v="184.92500000000001"/>
  </r>
  <r>
    <x v="6"/>
    <n v="21"/>
    <n v="2095.3249999999998"/>
    <n v="0"/>
  </r>
  <r>
    <x v="6"/>
    <n v="22"/>
    <n v="2056.4380000000001"/>
    <n v="0"/>
  </r>
  <r>
    <x v="6"/>
    <n v="23"/>
    <n v="2193.1750000000002"/>
    <n v="0"/>
  </r>
  <r>
    <x v="6"/>
    <n v="24"/>
    <n v="2213.663"/>
    <n v="0"/>
  </r>
  <r>
    <x v="7"/>
    <n v="1"/>
    <n v="2449.7379999999998"/>
    <n v="0"/>
  </r>
  <r>
    <x v="7"/>
    <n v="2"/>
    <n v="2901.4879999999998"/>
    <n v="0"/>
  </r>
  <r>
    <x v="7"/>
    <n v="3"/>
    <n v="3262.35"/>
    <n v="0"/>
  </r>
  <r>
    <x v="7"/>
    <n v="4"/>
    <n v="3337.75"/>
    <n v="0"/>
  </r>
  <r>
    <x v="7"/>
    <n v="5"/>
    <n v="3526.95"/>
    <n v="0"/>
  </r>
  <r>
    <x v="7"/>
    <n v="6"/>
    <n v="3359.0880000000002"/>
    <n v="5.45"/>
  </r>
  <r>
    <x v="7"/>
    <n v="7"/>
    <n v="3238.2379999999998"/>
    <n v="252.85"/>
  </r>
  <r>
    <x v="7"/>
    <n v="8"/>
    <n v="2777.2130000000002"/>
    <n v="1385.5250000000001"/>
  </r>
  <r>
    <x v="7"/>
    <n v="9"/>
    <n v="2223.1379999999999"/>
    <n v="3341.9250000000002"/>
  </r>
  <r>
    <x v="7"/>
    <n v="10"/>
    <n v="1588.538"/>
    <n v="5432.875"/>
  </r>
  <r>
    <x v="7"/>
    <n v="11"/>
    <n v="915.98800000000006"/>
    <n v="7068.7129999999997"/>
  </r>
  <r>
    <x v="7"/>
    <n v="12"/>
    <n v="832.625"/>
    <n v="8205.9"/>
  </r>
  <r>
    <x v="7"/>
    <n v="13"/>
    <n v="892.85"/>
    <n v="8629.9750000000004"/>
  </r>
  <r>
    <x v="7"/>
    <n v="14"/>
    <n v="870.73800000000006"/>
    <n v="8919.8880000000008"/>
  </r>
  <r>
    <x v="7"/>
    <n v="15"/>
    <n v="959.05"/>
    <n v="8460.6630000000005"/>
  </r>
  <r>
    <x v="7"/>
    <n v="16"/>
    <n v="1044.413"/>
    <n v="7095.7250000000004"/>
  </r>
  <r>
    <x v="7"/>
    <n v="17"/>
    <n v="1297.075"/>
    <n v="5410.875"/>
  </r>
  <r>
    <x v="7"/>
    <n v="18"/>
    <n v="1413.0630000000001"/>
    <n v="3017.8629999999998"/>
  </r>
  <r>
    <x v="7"/>
    <n v="19"/>
    <n v="1538.7249999999999"/>
    <n v="1106.213"/>
  </r>
  <r>
    <x v="7"/>
    <n v="20"/>
    <n v="1852.038"/>
    <n v="256.01299999999998"/>
  </r>
  <r>
    <x v="7"/>
    <n v="21"/>
    <n v="2617.7249999999999"/>
    <n v="0"/>
  </r>
  <r>
    <x v="7"/>
    <n v="22"/>
    <n v="3282.9"/>
    <n v="0"/>
  </r>
  <r>
    <x v="7"/>
    <n v="23"/>
    <n v="3672.3"/>
    <n v="0"/>
  </r>
  <r>
    <x v="7"/>
    <n v="24"/>
    <n v="3816.875"/>
    <n v="0"/>
  </r>
  <r>
    <x v="8"/>
    <n v="1"/>
    <n v="3853.125"/>
    <n v="0"/>
  </r>
  <r>
    <x v="8"/>
    <n v="2"/>
    <n v="3738.3249999999998"/>
    <n v="0"/>
  </r>
  <r>
    <x v="8"/>
    <n v="3"/>
    <n v="3232.5749999999998"/>
    <n v="0"/>
  </r>
  <r>
    <x v="8"/>
    <n v="4"/>
    <n v="2819.7629999999999"/>
    <n v="0"/>
  </r>
  <r>
    <x v="8"/>
    <n v="5"/>
    <n v="2528.3130000000001"/>
    <n v="0"/>
  </r>
  <r>
    <x v="8"/>
    <n v="6"/>
    <n v="2277.6129999999998"/>
    <n v="49.713000000000001"/>
  </r>
  <r>
    <x v="8"/>
    <n v="7"/>
    <n v="1961.788"/>
    <n v="451.45"/>
  </r>
  <r>
    <x v="8"/>
    <n v="8"/>
    <n v="1698.2750000000001"/>
    <n v="1940.575"/>
  </r>
  <r>
    <x v="8"/>
    <n v="9"/>
    <n v="1245.0999999999999"/>
    <n v="4466.875"/>
  </r>
  <r>
    <x v="8"/>
    <n v="10"/>
    <n v="799.86300000000006"/>
    <n v="7182.9750000000004"/>
  </r>
  <r>
    <x v="8"/>
    <n v="11"/>
    <n v="671"/>
    <n v="8564.7250000000004"/>
  </r>
  <r>
    <x v="8"/>
    <n v="12"/>
    <n v="777.7"/>
    <n v="9683.5750000000007"/>
  </r>
  <r>
    <x v="8"/>
    <n v="13"/>
    <n v="1114.325"/>
    <n v="10529.963"/>
  </r>
  <r>
    <x v="8"/>
    <n v="14"/>
    <n v="1516.713"/>
    <n v="10167.013000000001"/>
  </r>
  <r>
    <x v="8"/>
    <n v="15"/>
    <n v="1790.7249999999999"/>
    <n v="9447.0249999999996"/>
  </r>
  <r>
    <x v="8"/>
    <n v="16"/>
    <n v="2123.25"/>
    <n v="8104.0129999999999"/>
  </r>
  <r>
    <x v="8"/>
    <n v="17"/>
    <n v="2324.5630000000001"/>
    <n v="5836.4750000000004"/>
  </r>
  <r>
    <x v="8"/>
    <n v="18"/>
    <n v="2379.5500000000002"/>
    <n v="3212.9879999999998"/>
  </r>
  <r>
    <x v="8"/>
    <n v="19"/>
    <n v="2677.45"/>
    <n v="1144.95"/>
  </r>
  <r>
    <x v="8"/>
    <n v="20"/>
    <n v="3303.875"/>
    <n v="249.01300000000001"/>
  </r>
  <r>
    <x v="8"/>
    <n v="21"/>
    <n v="4048.4630000000002"/>
    <n v="0"/>
  </r>
  <r>
    <x v="8"/>
    <n v="22"/>
    <n v="4693.8379999999997"/>
    <n v="0"/>
  </r>
  <r>
    <x v="8"/>
    <n v="23"/>
    <n v="5564.8"/>
    <n v="0"/>
  </r>
  <r>
    <x v="8"/>
    <n v="24"/>
    <n v="5323.7250000000004"/>
    <n v="0"/>
  </r>
  <r>
    <x v="9"/>
    <n v="1"/>
    <n v="4951.875"/>
    <n v="0"/>
  </r>
  <r>
    <x v="9"/>
    <n v="2"/>
    <n v="4908.4129999999996"/>
    <n v="0"/>
  </r>
  <r>
    <x v="9"/>
    <n v="3"/>
    <n v="4634.95"/>
    <n v="0"/>
  </r>
  <r>
    <x v="9"/>
    <n v="4"/>
    <n v="4623.1130000000003"/>
    <n v="0"/>
  </r>
  <r>
    <x v="9"/>
    <n v="5"/>
    <n v="4552.6379999999999"/>
    <n v="0"/>
  </r>
  <r>
    <x v="9"/>
    <n v="6"/>
    <n v="4404.45"/>
    <n v="51.438000000000002"/>
  </r>
  <r>
    <x v="9"/>
    <n v="7"/>
    <n v="4126.7879999999996"/>
    <n v="383.1"/>
  </r>
  <r>
    <x v="9"/>
    <n v="8"/>
    <n v="4069.15"/>
    <n v="1176.413"/>
  </r>
  <r>
    <x v="9"/>
    <n v="9"/>
    <n v="3913.0250000000001"/>
    <n v="2085.15"/>
  </r>
  <r>
    <x v="9"/>
    <n v="10"/>
    <n v="3838.6750000000002"/>
    <n v="2938.3380000000002"/>
  </r>
  <r>
    <x v="9"/>
    <n v="11"/>
    <n v="4091.8629999999998"/>
    <n v="4072.788"/>
  </r>
  <r>
    <x v="9"/>
    <n v="12"/>
    <n v="4197.125"/>
    <n v="4948.7"/>
  </r>
  <r>
    <x v="9"/>
    <n v="13"/>
    <n v="4160.1499999999996"/>
    <n v="5479.7250000000004"/>
  </r>
  <r>
    <x v="9"/>
    <n v="14"/>
    <n v="3900.95"/>
    <n v="5619"/>
  </r>
  <r>
    <x v="9"/>
    <n v="15"/>
    <n v="3837.4250000000002"/>
    <n v="5315.4250000000002"/>
  </r>
  <r>
    <x v="9"/>
    <n v="16"/>
    <n v="3739.0630000000001"/>
    <n v="4515.6379999999999"/>
  </r>
  <r>
    <x v="9"/>
    <n v="17"/>
    <n v="3906.1750000000002"/>
    <n v="3256.5880000000002"/>
  </r>
  <r>
    <x v="9"/>
    <n v="18"/>
    <n v="3960.7629999999999"/>
    <n v="1974.6130000000001"/>
  </r>
  <r>
    <x v="9"/>
    <n v="19"/>
    <n v="3623.4250000000002"/>
    <n v="886.15"/>
  </r>
  <r>
    <x v="9"/>
    <n v="20"/>
    <n v="3358"/>
    <n v="246.68799999999999"/>
  </r>
  <r>
    <x v="9"/>
    <n v="21"/>
    <n v="2812.4630000000002"/>
    <n v="0"/>
  </r>
  <r>
    <x v="9"/>
    <n v="22"/>
    <n v="2481.4879999999998"/>
    <n v="0"/>
  </r>
  <r>
    <x v="9"/>
    <n v="23"/>
    <n v="2211.875"/>
    <n v="0"/>
  </r>
  <r>
    <x v="9"/>
    <n v="24"/>
    <n v="1934.45"/>
    <n v="0"/>
  </r>
  <r>
    <x v="10"/>
    <n v="1"/>
    <n v="1638.913"/>
    <n v="0"/>
  </r>
  <r>
    <x v="10"/>
    <n v="2"/>
    <n v="1527.213"/>
    <n v="0"/>
  </r>
  <r>
    <x v="10"/>
    <n v="3"/>
    <n v="1750.7380000000001"/>
    <n v="0"/>
  </r>
  <r>
    <x v="10"/>
    <n v="4"/>
    <n v="1987.7750000000001"/>
    <n v="0"/>
  </r>
  <r>
    <x v="10"/>
    <n v="5"/>
    <n v="2160.15"/>
    <n v="0"/>
  </r>
  <r>
    <x v="10"/>
    <n v="6"/>
    <n v="2402.913"/>
    <n v="88.174999999999997"/>
  </r>
  <r>
    <x v="10"/>
    <n v="7"/>
    <n v="2549.5880000000002"/>
    <n v="582.45000000000005"/>
  </r>
  <r>
    <x v="10"/>
    <n v="8"/>
    <n v="2267.6880000000001"/>
    <n v="2271.6"/>
  </r>
  <r>
    <x v="10"/>
    <n v="9"/>
    <n v="1581.6"/>
    <n v="5042.7749999999996"/>
  </r>
  <r>
    <x v="10"/>
    <n v="10"/>
    <n v="1755.35"/>
    <n v="7490.9129999999996"/>
  </r>
  <r>
    <x v="10"/>
    <n v="11"/>
    <n v="2822.663"/>
    <n v="9037.7749999999996"/>
  </r>
  <r>
    <x v="10"/>
    <n v="12"/>
    <n v="3507.3879999999999"/>
    <n v="9569.2880000000005"/>
  </r>
  <r>
    <x v="10"/>
    <n v="13"/>
    <n v="3629.288"/>
    <n v="8547.5249999999996"/>
  </r>
  <r>
    <x v="10"/>
    <n v="14"/>
    <n v="3533.5749999999998"/>
    <n v="8090.6"/>
  </r>
  <r>
    <x v="10"/>
    <n v="15"/>
    <n v="3454.413"/>
    <n v="7545.5749999999998"/>
  </r>
  <r>
    <x v="10"/>
    <n v="16"/>
    <n v="3591.6129999999998"/>
    <n v="6990.2250000000004"/>
  </r>
  <r>
    <x v="10"/>
    <n v="17"/>
    <n v="3269.375"/>
    <n v="5827.9629999999997"/>
  </r>
  <r>
    <x v="10"/>
    <n v="18"/>
    <n v="2779.7249999999999"/>
    <n v="3712.3249999999998"/>
  </r>
  <r>
    <x v="10"/>
    <n v="19"/>
    <n v="2522.7629999999999"/>
    <n v="1590.8"/>
  </r>
  <r>
    <x v="10"/>
    <n v="20"/>
    <n v="2597.7249999999999"/>
    <n v="252.31299999999999"/>
  </r>
  <r>
    <x v="10"/>
    <n v="21"/>
    <n v="2912.288"/>
    <n v="0"/>
  </r>
  <r>
    <x v="10"/>
    <n v="22"/>
    <n v="2870.375"/>
    <n v="0"/>
  </r>
  <r>
    <x v="10"/>
    <n v="23"/>
    <n v="2862.6129999999998"/>
    <n v="0"/>
  </r>
  <r>
    <x v="10"/>
    <n v="24"/>
    <n v="3080.8629999999998"/>
    <n v="0"/>
  </r>
  <r>
    <x v="11"/>
    <n v="1"/>
    <n v="3101.038"/>
    <n v="0"/>
  </r>
  <r>
    <x v="11"/>
    <n v="2"/>
    <n v="3173.8380000000002"/>
    <n v="0"/>
  </r>
  <r>
    <x v="11"/>
    <n v="3"/>
    <n v="3074.85"/>
    <n v="0"/>
  </r>
  <r>
    <x v="11"/>
    <n v="4"/>
    <n v="2967.7"/>
    <n v="0"/>
  </r>
  <r>
    <x v="11"/>
    <n v="5"/>
    <n v="2681.7750000000001"/>
    <n v="0"/>
  </r>
  <r>
    <x v="11"/>
    <n v="6"/>
    <n v="2472.538"/>
    <n v="6.7"/>
  </r>
  <r>
    <x v="11"/>
    <n v="7"/>
    <n v="2407.9380000000001"/>
    <n v="319.18799999999999"/>
  </r>
  <r>
    <x v="11"/>
    <n v="8"/>
    <n v="2295.8380000000002"/>
    <n v="1527.6"/>
  </r>
  <r>
    <x v="11"/>
    <n v="9"/>
    <n v="1778.85"/>
    <n v="3144.538"/>
  </r>
  <r>
    <x v="11"/>
    <n v="10"/>
    <n v="1540.3130000000001"/>
    <n v="4851.7129999999997"/>
  </r>
  <r>
    <x v="11"/>
    <n v="11"/>
    <n v="1619.088"/>
    <n v="6000.0879999999997"/>
  </r>
  <r>
    <x v="11"/>
    <n v="12"/>
    <n v="2047.963"/>
    <n v="6624.1"/>
  </r>
  <r>
    <x v="11"/>
    <n v="13"/>
    <n v="2346.5500000000002"/>
    <n v="7019.0129999999999"/>
  </r>
  <r>
    <x v="11"/>
    <n v="14"/>
    <n v="2456.4749999999999"/>
    <n v="7136.65"/>
  </r>
  <r>
    <x v="11"/>
    <n v="15"/>
    <n v="2641.05"/>
    <n v="6773.8130000000001"/>
  </r>
  <r>
    <x v="11"/>
    <n v="16"/>
    <n v="2535.6999999999998"/>
    <n v="6178.1750000000002"/>
  </r>
  <r>
    <x v="11"/>
    <n v="17"/>
    <n v="2506.4250000000002"/>
    <n v="4660.6379999999999"/>
  </r>
  <r>
    <x v="11"/>
    <n v="18"/>
    <n v="2113.7629999999999"/>
    <n v="2813.1880000000001"/>
  </r>
  <r>
    <x v="11"/>
    <n v="19"/>
    <n v="1639.45"/>
    <n v="1075.4880000000001"/>
  </r>
  <r>
    <x v="11"/>
    <n v="20"/>
    <n v="1887.0630000000001"/>
    <n v="273.91300000000001"/>
  </r>
  <r>
    <x v="11"/>
    <n v="21"/>
    <n v="2483.0129999999999"/>
    <n v="0"/>
  </r>
  <r>
    <x v="11"/>
    <n v="22"/>
    <n v="3017.25"/>
    <n v="0"/>
  </r>
  <r>
    <x v="11"/>
    <n v="23"/>
    <n v="3583.2130000000002"/>
    <n v="0"/>
  </r>
  <r>
    <x v="11"/>
    <n v="24"/>
    <n v="4276.1000000000004"/>
    <n v="0"/>
  </r>
  <r>
    <x v="12"/>
    <n v="1"/>
    <n v="4388.3130000000001"/>
    <n v="0"/>
  </r>
  <r>
    <x v="12"/>
    <n v="2"/>
    <n v="4199.5129999999999"/>
    <n v="0"/>
  </r>
  <r>
    <x v="12"/>
    <n v="3"/>
    <n v="4164.5379999999996"/>
    <n v="0"/>
  </r>
  <r>
    <x v="12"/>
    <n v="4"/>
    <n v="3954.7750000000001"/>
    <n v="0"/>
  </r>
  <r>
    <x v="12"/>
    <n v="5"/>
    <n v="3833.3249999999998"/>
    <n v="0"/>
  </r>
  <r>
    <x v="12"/>
    <n v="6"/>
    <n v="3715.1750000000002"/>
    <n v="45.475000000000001"/>
  </r>
  <r>
    <x v="12"/>
    <n v="7"/>
    <n v="3703.163"/>
    <n v="473.51299999999998"/>
  </r>
  <r>
    <x v="12"/>
    <n v="8"/>
    <n v="3279.1"/>
    <n v="1814.3"/>
  </r>
  <r>
    <x v="12"/>
    <n v="9"/>
    <n v="3139.8"/>
    <n v="3936.6750000000002"/>
  </r>
  <r>
    <x v="12"/>
    <n v="10"/>
    <n v="3365.2249999999999"/>
    <n v="5956.6130000000003"/>
  </r>
  <r>
    <x v="12"/>
    <n v="11"/>
    <n v="3626.2379999999998"/>
    <n v="7713.0379999999996"/>
  </r>
  <r>
    <x v="12"/>
    <n v="12"/>
    <n v="3878.9630000000002"/>
    <n v="8376.7630000000008"/>
  </r>
  <r>
    <x v="12"/>
    <n v="13"/>
    <n v="4186.2879999999996"/>
    <n v="8718.6"/>
  </r>
  <r>
    <x v="12"/>
    <n v="14"/>
    <n v="4575.2629999999999"/>
    <n v="9145.2880000000005"/>
  </r>
  <r>
    <x v="12"/>
    <n v="15"/>
    <n v="4728.1379999999999"/>
    <n v="8144.0749999999998"/>
  </r>
  <r>
    <x v="12"/>
    <n v="16"/>
    <n v="4374.7879999999996"/>
    <n v="6291.4750000000004"/>
  </r>
  <r>
    <x v="12"/>
    <n v="17"/>
    <n v="3919.3249999999998"/>
    <n v="4863.9380000000001"/>
  </r>
  <r>
    <x v="12"/>
    <n v="18"/>
    <n v="3067.6880000000001"/>
    <n v="3051.0880000000002"/>
  </r>
  <r>
    <x v="12"/>
    <n v="19"/>
    <n v="1823"/>
    <n v="1224.5250000000001"/>
  </r>
  <r>
    <x v="12"/>
    <n v="20"/>
    <n v="1388.1880000000001"/>
    <n v="241.863"/>
  </r>
  <r>
    <x v="12"/>
    <n v="21"/>
    <n v="1684.8"/>
    <n v="0"/>
  </r>
  <r>
    <x v="12"/>
    <n v="22"/>
    <n v="2293.1379999999999"/>
    <n v="0"/>
  </r>
  <r>
    <x v="12"/>
    <n v="23"/>
    <n v="3020.6129999999998"/>
    <n v="0"/>
  </r>
  <r>
    <x v="12"/>
    <n v="24"/>
    <n v="3427.6"/>
    <n v="0"/>
  </r>
  <r>
    <x v="13"/>
    <n v="1"/>
    <n v="3845.3629999999998"/>
    <n v="0"/>
  </r>
  <r>
    <x v="13"/>
    <n v="2"/>
    <n v="4625.7749999999996"/>
    <n v="0"/>
  </r>
  <r>
    <x v="13"/>
    <n v="3"/>
    <n v="5458.9129999999996"/>
    <n v="0"/>
  </r>
  <r>
    <x v="13"/>
    <n v="4"/>
    <n v="5633.7629999999999"/>
    <n v="0"/>
  </r>
  <r>
    <x v="13"/>
    <n v="5"/>
    <n v="5972.5"/>
    <n v="0"/>
  </r>
  <r>
    <x v="13"/>
    <n v="6"/>
    <n v="6276"/>
    <n v="22.763000000000002"/>
  </r>
  <r>
    <x v="13"/>
    <n v="7"/>
    <n v="6597.65"/>
    <n v="393.1"/>
  </r>
  <r>
    <x v="13"/>
    <n v="8"/>
    <n v="6402.85"/>
    <n v="1521.95"/>
  </r>
  <r>
    <x v="13"/>
    <n v="9"/>
    <n v="6034.7129999999997"/>
    <n v="2818.1129999999998"/>
  </r>
  <r>
    <x v="13"/>
    <n v="10"/>
    <n v="6372.4250000000002"/>
    <n v="3986.95"/>
  </r>
  <r>
    <x v="13"/>
    <n v="11"/>
    <n v="6298.8379999999997"/>
    <n v="5170.5"/>
  </r>
  <r>
    <x v="13"/>
    <n v="12"/>
    <n v="6509.4380000000001"/>
    <n v="5239.8999999999996"/>
  </r>
  <r>
    <x v="13"/>
    <n v="13"/>
    <n v="6538.3"/>
    <n v="5970"/>
  </r>
  <r>
    <x v="13"/>
    <n v="14"/>
    <n v="6541.3379999999997"/>
    <n v="6004.3379999999997"/>
  </r>
  <r>
    <x v="13"/>
    <n v="15"/>
    <n v="6461.2"/>
    <n v="5506.875"/>
  </r>
  <r>
    <x v="13"/>
    <n v="16"/>
    <n v="6375.2129999999997"/>
    <n v="5212.8630000000003"/>
  </r>
  <r>
    <x v="13"/>
    <n v="17"/>
    <n v="6976.7380000000003"/>
    <n v="4309.4629999999997"/>
  </r>
  <r>
    <x v="13"/>
    <n v="18"/>
    <n v="6850.1880000000001"/>
    <n v="2943.1"/>
  </r>
  <r>
    <x v="13"/>
    <n v="19"/>
    <n v="6512.7129999999997"/>
    <n v="1639.95"/>
  </r>
  <r>
    <x v="13"/>
    <n v="20"/>
    <n v="5602.85"/>
    <n v="401.43799999999999"/>
  </r>
  <r>
    <x v="13"/>
    <n v="21"/>
    <n v="5012.5749999999998"/>
    <n v="0"/>
  </r>
  <r>
    <x v="13"/>
    <n v="22"/>
    <n v="4847.3879999999999"/>
    <n v="0"/>
  </r>
  <r>
    <x v="13"/>
    <n v="23"/>
    <n v="4398.375"/>
    <n v="0"/>
  </r>
  <r>
    <x v="13"/>
    <n v="24"/>
    <n v="3962.788"/>
    <n v="0"/>
  </r>
  <r>
    <x v="14"/>
    <n v="1"/>
    <n v="3412.875"/>
    <n v="0"/>
  </r>
  <r>
    <x v="14"/>
    <n v="2"/>
    <n v="2599.9250000000002"/>
    <n v="0"/>
  </r>
  <r>
    <x v="14"/>
    <n v="3"/>
    <n v="2349.8629999999998"/>
    <n v="0"/>
  </r>
  <r>
    <x v="14"/>
    <n v="4"/>
    <n v="2203.0880000000002"/>
    <n v="0"/>
  </r>
  <r>
    <x v="14"/>
    <n v="5"/>
    <n v="2138.9250000000002"/>
    <n v="0"/>
  </r>
  <r>
    <x v="14"/>
    <n v="6"/>
    <n v="2209.0880000000002"/>
    <n v="41.738"/>
  </r>
  <r>
    <x v="14"/>
    <n v="7"/>
    <n v="2132.9630000000002"/>
    <n v="265.21300000000002"/>
  </r>
  <r>
    <x v="14"/>
    <n v="8"/>
    <n v="1704.163"/>
    <n v="872.42499999999995"/>
  </r>
  <r>
    <x v="14"/>
    <n v="9"/>
    <n v="1390"/>
    <n v="2106.913"/>
  </r>
  <r>
    <x v="14"/>
    <n v="10"/>
    <n v="1246.6500000000001"/>
    <n v="4120.8879999999999"/>
  </r>
  <r>
    <x v="14"/>
    <n v="11"/>
    <n v="1263.1130000000001"/>
    <n v="5402.05"/>
  </r>
  <r>
    <x v="14"/>
    <n v="12"/>
    <n v="1257.0129999999999"/>
    <n v="6184.7879999999996"/>
  </r>
  <r>
    <x v="14"/>
    <n v="13"/>
    <n v="1076.1500000000001"/>
    <n v="6366.5379999999996"/>
  </r>
  <r>
    <x v="14"/>
    <n v="14"/>
    <n v="842.32500000000005"/>
    <n v="5958.9880000000003"/>
  </r>
  <r>
    <x v="14"/>
    <n v="15"/>
    <n v="685.6"/>
    <n v="5267.6379999999999"/>
  </r>
  <r>
    <x v="14"/>
    <n v="16"/>
    <n v="696.32500000000005"/>
    <n v="4558.4250000000002"/>
  </r>
  <r>
    <x v="14"/>
    <n v="17"/>
    <n v="668.73800000000006"/>
    <n v="3536.1129999999998"/>
  </r>
  <r>
    <x v="14"/>
    <n v="18"/>
    <n v="613.68799999999999"/>
    <n v="2229.5129999999999"/>
  </r>
  <r>
    <x v="14"/>
    <n v="19"/>
    <n v="666.21299999999997"/>
    <n v="1019.625"/>
  </r>
  <r>
    <x v="14"/>
    <n v="20"/>
    <n v="1073.825"/>
    <n v="275.10000000000002"/>
  </r>
  <r>
    <x v="14"/>
    <n v="21"/>
    <n v="1802.7750000000001"/>
    <n v="16.899999999999999"/>
  </r>
  <r>
    <x v="14"/>
    <n v="22"/>
    <n v="2176.7379999999998"/>
    <n v="0"/>
  </r>
  <r>
    <x v="14"/>
    <n v="23"/>
    <n v="2737.8380000000002"/>
    <n v="0"/>
  </r>
  <r>
    <x v="14"/>
    <n v="24"/>
    <n v="2771.35"/>
    <n v="0"/>
  </r>
  <r>
    <x v="15"/>
    <n v="1"/>
    <n v="3206.038"/>
    <n v="0"/>
  </r>
  <r>
    <x v="15"/>
    <n v="2"/>
    <n v="3041.5749999999998"/>
    <n v="0"/>
  </r>
  <r>
    <x v="15"/>
    <n v="3"/>
    <n v="3059.288"/>
    <n v="0"/>
  </r>
  <r>
    <x v="15"/>
    <n v="4"/>
    <n v="3767.3"/>
    <n v="0"/>
  </r>
  <r>
    <x v="15"/>
    <n v="5"/>
    <n v="4547.4629999999997"/>
    <n v="0"/>
  </r>
  <r>
    <x v="15"/>
    <n v="6"/>
    <n v="4833.8500000000004"/>
    <n v="54.274999999999999"/>
  </r>
  <r>
    <x v="15"/>
    <n v="7"/>
    <n v="5403.1750000000002"/>
    <n v="325.81299999999999"/>
  </r>
  <r>
    <x v="15"/>
    <n v="8"/>
    <n v="5836.0249999999996"/>
    <n v="1107.075"/>
  </r>
  <r>
    <x v="15"/>
    <n v="9"/>
    <n v="6202.0630000000001"/>
    <n v="2157.1129999999998"/>
  </r>
  <r>
    <x v="15"/>
    <n v="10"/>
    <n v="6557.2129999999997"/>
    <n v="3077.663"/>
  </r>
  <r>
    <x v="15"/>
    <n v="11"/>
    <n v="6800.7629999999999"/>
    <n v="4139.2"/>
  </r>
  <r>
    <x v="15"/>
    <n v="12"/>
    <n v="6714.5"/>
    <n v="4771.8879999999999"/>
  </r>
  <r>
    <x v="15"/>
    <n v="13"/>
    <n v="6545.4380000000001"/>
    <n v="5342.2749999999996"/>
  </r>
  <r>
    <x v="15"/>
    <n v="14"/>
    <n v="6455.5749999999998"/>
    <n v="5622.8379999999997"/>
  </r>
  <r>
    <x v="15"/>
    <n v="15"/>
    <n v="6052.4250000000002"/>
    <n v="5443.7629999999999"/>
  </r>
  <r>
    <x v="15"/>
    <n v="16"/>
    <n v="5514.3249999999998"/>
    <n v="4813.0129999999999"/>
  </r>
  <r>
    <x v="15"/>
    <n v="17"/>
    <n v="4683.6379999999999"/>
    <n v="3809.9879999999998"/>
  </r>
  <r>
    <x v="15"/>
    <n v="18"/>
    <n v="4193.0249999999996"/>
    <n v="2631.1880000000001"/>
  </r>
  <r>
    <x v="15"/>
    <n v="19"/>
    <n v="3605.6"/>
    <n v="1189.2750000000001"/>
  </r>
  <r>
    <x v="15"/>
    <n v="20"/>
    <n v="3165.8130000000001"/>
    <n v="346.08800000000002"/>
  </r>
  <r>
    <x v="15"/>
    <n v="21"/>
    <n v="3181.3629999999998"/>
    <n v="30.324999999999999"/>
  </r>
  <r>
    <x v="15"/>
    <n v="22"/>
    <n v="3564.0129999999999"/>
    <n v="0"/>
  </r>
  <r>
    <x v="15"/>
    <n v="23"/>
    <n v="3475.4250000000002"/>
    <n v="0"/>
  </r>
  <r>
    <x v="15"/>
    <n v="24"/>
    <n v="3159.6379999999999"/>
    <n v="0"/>
  </r>
  <r>
    <x v="16"/>
    <n v="1"/>
    <n v="2878.875"/>
    <n v="0"/>
  </r>
  <r>
    <x v="16"/>
    <n v="2"/>
    <n v="2527.9749999999999"/>
    <n v="0"/>
  </r>
  <r>
    <x v="16"/>
    <n v="3"/>
    <n v="2261.4"/>
    <n v="0"/>
  </r>
  <r>
    <x v="16"/>
    <n v="4"/>
    <n v="2010.65"/>
    <n v="0"/>
  </r>
  <r>
    <x v="16"/>
    <n v="5"/>
    <n v="2118.9250000000002"/>
    <n v="0"/>
  </r>
  <r>
    <x v="16"/>
    <n v="6"/>
    <n v="1950.7750000000001"/>
    <n v="93.263000000000005"/>
  </r>
  <r>
    <x v="16"/>
    <n v="7"/>
    <n v="1878.15"/>
    <n v="431.625"/>
  </r>
  <r>
    <x v="16"/>
    <n v="8"/>
    <n v="1701.65"/>
    <n v="1212.6379999999999"/>
  </r>
  <r>
    <x v="16"/>
    <n v="9"/>
    <n v="1884"/>
    <n v="2365.538"/>
  </r>
  <r>
    <x v="16"/>
    <n v="10"/>
    <n v="1902.7629999999999"/>
    <n v="3505.5129999999999"/>
  </r>
  <r>
    <x v="16"/>
    <n v="11"/>
    <n v="1701.713"/>
    <n v="4333.3999999999996"/>
  </r>
  <r>
    <x v="16"/>
    <n v="12"/>
    <n v="1613.3"/>
    <n v="4681.125"/>
  </r>
  <r>
    <x v="16"/>
    <n v="13"/>
    <n v="1565.875"/>
    <n v="4732.4629999999997"/>
  </r>
  <r>
    <x v="16"/>
    <n v="14"/>
    <n v="1509.5"/>
    <n v="4975.9250000000002"/>
  </r>
  <r>
    <x v="16"/>
    <n v="15"/>
    <n v="1533.288"/>
    <n v="4614.1130000000003"/>
  </r>
  <r>
    <x v="16"/>
    <n v="16"/>
    <n v="1480.588"/>
    <n v="4263.0129999999999"/>
  </r>
  <r>
    <x v="16"/>
    <n v="17"/>
    <n v="1392.4"/>
    <n v="3740.45"/>
  </r>
  <r>
    <x v="16"/>
    <n v="18"/>
    <n v="1282.713"/>
    <n v="2461.4499999999998"/>
  </r>
  <r>
    <x v="16"/>
    <n v="19"/>
    <n v="1154.8879999999999"/>
    <n v="1051.2380000000001"/>
  </r>
  <r>
    <x v="16"/>
    <n v="20"/>
    <n v="1046.0129999999999"/>
    <n v="227.42500000000001"/>
  </r>
  <r>
    <x v="16"/>
    <n v="21"/>
    <n v="924.46299999999997"/>
    <n v="5.5250000000000004"/>
  </r>
  <r>
    <x v="16"/>
    <n v="22"/>
    <n v="838.05"/>
    <n v="0"/>
  </r>
  <r>
    <x v="16"/>
    <n v="23"/>
    <n v="799.63800000000003"/>
    <n v="0"/>
  </r>
  <r>
    <x v="16"/>
    <n v="24"/>
    <n v="796.38800000000003"/>
    <n v="0"/>
  </r>
  <r>
    <x v="17"/>
    <n v="1"/>
    <n v="832.66300000000001"/>
    <n v="0"/>
  </r>
  <r>
    <x v="17"/>
    <n v="2"/>
    <n v="983.56299999999999"/>
    <n v="0"/>
  </r>
  <r>
    <x v="17"/>
    <n v="3"/>
    <n v="1133.9880000000001"/>
    <n v="0"/>
  </r>
  <r>
    <x v="17"/>
    <n v="4"/>
    <n v="1195.9000000000001"/>
    <n v="0"/>
  </r>
  <r>
    <x v="17"/>
    <n v="5"/>
    <n v="1108.713"/>
    <n v="0"/>
  </r>
  <r>
    <x v="17"/>
    <n v="6"/>
    <n v="1068.5250000000001"/>
    <n v="23.388000000000002"/>
  </r>
  <r>
    <x v="17"/>
    <n v="7"/>
    <n v="1048.038"/>
    <n v="454.05"/>
  </r>
  <r>
    <x v="17"/>
    <n v="8"/>
    <n v="944.56299999999999"/>
    <n v="1750.7380000000001"/>
  </r>
  <r>
    <x v="17"/>
    <n v="9"/>
    <n v="970.76300000000003"/>
    <n v="3414.125"/>
  </r>
  <r>
    <x v="17"/>
    <n v="10"/>
    <n v="1167.2750000000001"/>
    <n v="4769.3879999999999"/>
  </r>
  <r>
    <x v="17"/>
    <n v="11"/>
    <n v="1420.288"/>
    <n v="5606.7380000000003"/>
  </r>
  <r>
    <x v="17"/>
    <n v="12"/>
    <n v="1610.7629999999999"/>
    <n v="6108"/>
  </r>
  <r>
    <x v="17"/>
    <n v="13"/>
    <n v="1773.963"/>
    <n v="6099.8630000000003"/>
  </r>
  <r>
    <x v="17"/>
    <n v="14"/>
    <n v="2041.9380000000001"/>
    <n v="5979.2129999999997"/>
  </r>
  <r>
    <x v="17"/>
    <n v="15"/>
    <n v="2218.8000000000002"/>
    <n v="6035.7380000000003"/>
  </r>
  <r>
    <x v="17"/>
    <n v="16"/>
    <n v="2332.3249999999998"/>
    <n v="5759.7879999999996"/>
  </r>
  <r>
    <x v="17"/>
    <n v="17"/>
    <n v="2170.6750000000002"/>
    <n v="4938.2129999999997"/>
  </r>
  <r>
    <x v="17"/>
    <n v="18"/>
    <n v="1907.463"/>
    <n v="3262.375"/>
  </r>
  <r>
    <x v="17"/>
    <n v="19"/>
    <n v="1663.9749999999999"/>
    <n v="1365.9"/>
  </r>
  <r>
    <x v="17"/>
    <n v="20"/>
    <n v="1374.0630000000001"/>
    <n v="343.58800000000002"/>
  </r>
  <r>
    <x v="17"/>
    <n v="21"/>
    <n v="1570.6880000000001"/>
    <n v="9.7750000000000004"/>
  </r>
  <r>
    <x v="17"/>
    <n v="22"/>
    <n v="1720.0129999999999"/>
    <n v="0"/>
  </r>
  <r>
    <x v="17"/>
    <n v="23"/>
    <n v="1954.838"/>
    <n v="0"/>
  </r>
  <r>
    <x v="17"/>
    <n v="24"/>
    <n v="2022.1880000000001"/>
    <n v="0"/>
  </r>
  <r>
    <x v="18"/>
    <n v="1"/>
    <n v="2147.4"/>
    <n v="0"/>
  </r>
  <r>
    <x v="18"/>
    <n v="2"/>
    <n v="2305.1999999999998"/>
    <n v="0"/>
  </r>
  <r>
    <x v="18"/>
    <n v="3"/>
    <n v="2501.9630000000002"/>
    <n v="0"/>
  </r>
  <r>
    <x v="18"/>
    <n v="4"/>
    <n v="2833.625"/>
    <n v="0"/>
  </r>
  <r>
    <x v="18"/>
    <n v="5"/>
    <n v="2877.9630000000002"/>
    <n v="0"/>
  </r>
  <r>
    <x v="18"/>
    <n v="6"/>
    <n v="2784.9879999999998"/>
    <n v="132.125"/>
  </r>
  <r>
    <x v="18"/>
    <n v="7"/>
    <n v="2484.5250000000001"/>
    <n v="723.76300000000003"/>
  </r>
  <r>
    <x v="18"/>
    <n v="8"/>
    <n v="2028.2380000000001"/>
    <n v="2284.4250000000002"/>
  </r>
  <r>
    <x v="18"/>
    <n v="9"/>
    <n v="1521.088"/>
    <n v="4433.2749999999996"/>
  </r>
  <r>
    <x v="18"/>
    <n v="10"/>
    <n v="1461.3130000000001"/>
    <n v="6028.0379999999996"/>
  </r>
  <r>
    <x v="18"/>
    <n v="11"/>
    <n v="1696.35"/>
    <n v="6467.6880000000001"/>
  </r>
  <r>
    <x v="18"/>
    <n v="12"/>
    <n v="1765.338"/>
    <n v="6435.5630000000001"/>
  </r>
  <r>
    <x v="18"/>
    <n v="13"/>
    <n v="1944.213"/>
    <n v="6565.6130000000003"/>
  </r>
  <r>
    <x v="18"/>
    <n v="14"/>
    <n v="1947.65"/>
    <n v="6601.0379999999996"/>
  </r>
  <r>
    <x v="18"/>
    <n v="15"/>
    <n v="1829.925"/>
    <n v="5915.05"/>
  </r>
  <r>
    <x v="18"/>
    <n v="16"/>
    <n v="1870.1379999999999"/>
    <n v="4890.9750000000004"/>
  </r>
  <r>
    <x v="18"/>
    <n v="17"/>
    <n v="1758.125"/>
    <n v="3690.0129999999999"/>
  </r>
  <r>
    <x v="18"/>
    <n v="18"/>
    <n v="1628.6379999999999"/>
    <n v="2319.663"/>
  </r>
  <r>
    <x v="18"/>
    <n v="19"/>
    <n v="1580.4749999999999"/>
    <n v="1186.9000000000001"/>
  </r>
  <r>
    <x v="18"/>
    <n v="20"/>
    <n v="1403.1880000000001"/>
    <n v="457.76299999999998"/>
  </r>
  <r>
    <x v="18"/>
    <n v="21"/>
    <n v="1497.7249999999999"/>
    <n v="12.788"/>
  </r>
  <r>
    <x v="18"/>
    <n v="22"/>
    <n v="1671.663"/>
    <n v="0"/>
  </r>
  <r>
    <x v="18"/>
    <n v="23"/>
    <n v="1720.963"/>
    <n v="0"/>
  </r>
  <r>
    <x v="18"/>
    <n v="24"/>
    <n v="1723.9"/>
    <n v="0"/>
  </r>
  <r>
    <x v="19"/>
    <n v="1"/>
    <n v="1948.213"/>
    <n v="0"/>
  </r>
  <r>
    <x v="19"/>
    <n v="2"/>
    <n v="2266.5630000000001"/>
    <n v="0"/>
  </r>
  <r>
    <x v="19"/>
    <n v="3"/>
    <n v="2522.8130000000001"/>
    <n v="0"/>
  </r>
  <r>
    <x v="19"/>
    <n v="4"/>
    <n v="2655.8879999999999"/>
    <n v="0"/>
  </r>
  <r>
    <x v="19"/>
    <n v="5"/>
    <n v="2681.55"/>
    <n v="0"/>
  </r>
  <r>
    <x v="19"/>
    <n v="6"/>
    <n v="2601.2750000000001"/>
    <n v="260.22500000000002"/>
  </r>
  <r>
    <x v="19"/>
    <n v="7"/>
    <n v="2638.5749999999998"/>
    <n v="681.01300000000003"/>
  </r>
  <r>
    <x v="19"/>
    <n v="8"/>
    <n v="2693.7379999999998"/>
    <n v="1367.7249999999999"/>
  </r>
  <r>
    <x v="19"/>
    <n v="9"/>
    <n v="2936.288"/>
    <n v="2244.9879999999998"/>
  </r>
  <r>
    <x v="19"/>
    <n v="10"/>
    <n v="3229.1880000000001"/>
    <n v="3289.05"/>
  </r>
  <r>
    <x v="19"/>
    <n v="11"/>
    <n v="3333.2750000000001"/>
    <n v="3780.8"/>
  </r>
  <r>
    <x v="19"/>
    <n v="12"/>
    <n v="3592.125"/>
    <n v="4266.5379999999996"/>
  </r>
  <r>
    <x v="19"/>
    <n v="13"/>
    <n v="3842.413"/>
    <n v="4328.0379999999996"/>
  </r>
  <r>
    <x v="19"/>
    <n v="14"/>
    <n v="3900.3380000000002"/>
    <n v="4282.625"/>
  </r>
  <r>
    <x v="19"/>
    <n v="15"/>
    <n v="3871.4879999999998"/>
    <n v="3939.6"/>
  </r>
  <r>
    <x v="19"/>
    <n v="16"/>
    <n v="3587.1880000000001"/>
    <n v="3408.8380000000002"/>
  </r>
  <r>
    <x v="19"/>
    <n v="17"/>
    <n v="3293.0129999999999"/>
    <n v="2702.4749999999999"/>
  </r>
  <r>
    <x v="19"/>
    <n v="18"/>
    <n v="2748.3879999999999"/>
    <n v="1841.338"/>
  </r>
  <r>
    <x v="19"/>
    <n v="19"/>
    <n v="2197.9250000000002"/>
    <n v="893.51300000000003"/>
  </r>
  <r>
    <x v="19"/>
    <n v="20"/>
    <n v="1794.8130000000001"/>
    <n v="211.27500000000001"/>
  </r>
  <r>
    <x v="19"/>
    <n v="21"/>
    <n v="1357.075"/>
    <n v="6.0880000000000001"/>
  </r>
  <r>
    <x v="19"/>
    <n v="22"/>
    <n v="1288.213"/>
    <n v="0"/>
  </r>
  <r>
    <x v="19"/>
    <n v="23"/>
    <n v="1273.3630000000001"/>
    <n v="0"/>
  </r>
  <r>
    <x v="19"/>
    <n v="24"/>
    <n v="1262.5250000000001"/>
    <n v="0"/>
  </r>
  <r>
    <x v="20"/>
    <n v="1"/>
    <n v="1398.838"/>
    <n v="0"/>
  </r>
  <r>
    <x v="20"/>
    <n v="2"/>
    <n v="1532.7249999999999"/>
    <n v="0"/>
  </r>
  <r>
    <x v="20"/>
    <n v="3"/>
    <n v="1704.1880000000001"/>
    <n v="0"/>
  </r>
  <r>
    <x v="20"/>
    <n v="4"/>
    <n v="1849.1"/>
    <n v="0"/>
  </r>
  <r>
    <x v="20"/>
    <n v="5"/>
    <n v="1937.375"/>
    <n v="0"/>
  </r>
  <r>
    <x v="20"/>
    <n v="6"/>
    <n v="2067.2629999999999"/>
    <n v="38.700000000000003"/>
  </r>
  <r>
    <x v="20"/>
    <n v="7"/>
    <n v="2184.8380000000002"/>
    <n v="474.45"/>
  </r>
  <r>
    <x v="20"/>
    <n v="8"/>
    <n v="1934.588"/>
    <n v="1766.1880000000001"/>
  </r>
  <r>
    <x v="20"/>
    <n v="9"/>
    <n v="1946.1130000000001"/>
    <n v="3378.413"/>
  </r>
  <r>
    <x v="20"/>
    <n v="10"/>
    <n v="2419.8380000000002"/>
    <n v="4721.9629999999997"/>
  </r>
  <r>
    <x v="20"/>
    <n v="11"/>
    <n v="2898.95"/>
    <n v="5160.4629999999997"/>
  </r>
  <r>
    <x v="20"/>
    <n v="12"/>
    <n v="3274.163"/>
    <n v="5038.2629999999999"/>
  </r>
  <r>
    <x v="20"/>
    <n v="13"/>
    <n v="3595.8380000000002"/>
    <n v="4713.7879999999996"/>
  </r>
  <r>
    <x v="20"/>
    <n v="14"/>
    <n v="3973.15"/>
    <n v="4531.9250000000002"/>
  </r>
  <r>
    <x v="20"/>
    <n v="15"/>
    <n v="4240.5249999999996"/>
    <n v="4170.3500000000004"/>
  </r>
  <r>
    <x v="20"/>
    <n v="16"/>
    <n v="4450.5879999999997"/>
    <n v="3515.0630000000001"/>
  </r>
  <r>
    <x v="20"/>
    <n v="17"/>
    <n v="4511.9629999999997"/>
    <n v="2743.9879999999998"/>
  </r>
  <r>
    <x v="20"/>
    <n v="18"/>
    <n v="4392.3630000000003"/>
    <n v="1887.788"/>
  </r>
  <r>
    <x v="20"/>
    <n v="19"/>
    <n v="4057.6880000000001"/>
    <n v="909.85"/>
  </r>
  <r>
    <x v="20"/>
    <n v="20"/>
    <n v="3567.875"/>
    <n v="212.28800000000001"/>
  </r>
  <r>
    <x v="20"/>
    <n v="21"/>
    <n v="3013.4380000000001"/>
    <n v="6.1"/>
  </r>
  <r>
    <x v="20"/>
    <n v="22"/>
    <n v="2788.8130000000001"/>
    <n v="0"/>
  </r>
  <r>
    <x v="20"/>
    <n v="23"/>
    <n v="2913.0880000000002"/>
    <n v="0"/>
  </r>
  <r>
    <x v="20"/>
    <n v="24"/>
    <n v="2756.2"/>
    <n v="0"/>
  </r>
  <r>
    <x v="21"/>
    <n v="1"/>
    <n v="2444.663"/>
    <n v="0"/>
  </r>
  <r>
    <x v="21"/>
    <n v="2"/>
    <n v="2285.6880000000001"/>
    <n v="0"/>
  </r>
  <r>
    <x v="21"/>
    <n v="3"/>
    <n v="2196.663"/>
    <n v="0"/>
  </r>
  <r>
    <x v="21"/>
    <n v="4"/>
    <n v="2105.1379999999999"/>
    <n v="0"/>
  </r>
  <r>
    <x v="21"/>
    <n v="5"/>
    <n v="2107.9250000000002"/>
    <n v="0"/>
  </r>
  <r>
    <x v="21"/>
    <n v="6"/>
    <n v="2172.9380000000001"/>
    <n v="56.024999999999999"/>
  </r>
  <r>
    <x v="21"/>
    <n v="7"/>
    <n v="2164.1129999999998"/>
    <n v="442.78800000000001"/>
  </r>
  <r>
    <x v="21"/>
    <n v="8"/>
    <n v="2141"/>
    <n v="1446.9"/>
  </r>
  <r>
    <x v="21"/>
    <n v="9"/>
    <n v="2122.288"/>
    <n v="2735.5880000000002"/>
  </r>
  <r>
    <x v="21"/>
    <n v="10"/>
    <n v="2205.788"/>
    <n v="3847.4630000000002"/>
  </r>
  <r>
    <x v="21"/>
    <n v="11"/>
    <n v="2236.8130000000001"/>
    <n v="4368.1379999999999"/>
  </r>
  <r>
    <x v="21"/>
    <n v="12"/>
    <n v="2309.5500000000002"/>
    <n v="4245.9380000000001"/>
  </r>
  <r>
    <x v="21"/>
    <n v="13"/>
    <n v="2168.6129999999998"/>
    <n v="4059.038"/>
  </r>
  <r>
    <x v="21"/>
    <n v="14"/>
    <n v="2051.375"/>
    <n v="3880.1750000000002"/>
  </r>
  <r>
    <x v="21"/>
    <n v="15"/>
    <n v="1815.825"/>
    <n v="3558.1129999999998"/>
  </r>
  <r>
    <x v="21"/>
    <n v="16"/>
    <n v="1594.1379999999999"/>
    <n v="3103.875"/>
  </r>
  <r>
    <x v="21"/>
    <n v="17"/>
    <n v="1369.25"/>
    <n v="2497.6129999999998"/>
  </r>
  <r>
    <x v="21"/>
    <n v="18"/>
    <n v="1099.7249999999999"/>
    <n v="1671.1130000000001"/>
  </r>
  <r>
    <x v="21"/>
    <n v="19"/>
    <n v="862.26300000000003"/>
    <n v="807.27499999999998"/>
  </r>
  <r>
    <x v="21"/>
    <n v="20"/>
    <n v="603.875"/>
    <n v="205.08799999999999"/>
  </r>
  <r>
    <x v="21"/>
    <n v="21"/>
    <n v="531.21299999999997"/>
    <n v="38.024999999999999"/>
  </r>
  <r>
    <x v="21"/>
    <n v="22"/>
    <n v="493.91300000000001"/>
    <n v="0"/>
  </r>
  <r>
    <x v="21"/>
    <n v="23"/>
    <n v="434.97500000000002"/>
    <n v="0"/>
  </r>
  <r>
    <x v="21"/>
    <n v="24"/>
    <n v="443.738"/>
    <n v="0"/>
  </r>
  <r>
    <x v="22"/>
    <n v="1"/>
    <n v="421.71300000000002"/>
    <n v="0"/>
  </r>
  <r>
    <x v="22"/>
    <n v="2"/>
    <n v="421.41300000000001"/>
    <n v="0"/>
  </r>
  <r>
    <x v="22"/>
    <n v="3"/>
    <n v="424.32499999999999"/>
    <n v="0"/>
  </r>
  <r>
    <x v="22"/>
    <n v="4"/>
    <n v="475.82499999999999"/>
    <n v="0"/>
  </r>
  <r>
    <x v="22"/>
    <n v="5"/>
    <n v="548.22500000000002"/>
    <n v="0"/>
  </r>
  <r>
    <x v="22"/>
    <n v="6"/>
    <n v="646.76300000000003"/>
    <n v="66.75"/>
  </r>
  <r>
    <x v="22"/>
    <n v="7"/>
    <n v="730.15"/>
    <n v="624.79999999999995"/>
  </r>
  <r>
    <x v="22"/>
    <n v="8"/>
    <n v="611.51300000000003"/>
    <n v="2220.038"/>
  </r>
  <r>
    <x v="22"/>
    <n v="9"/>
    <n v="560.81299999999999"/>
    <n v="4509.7629999999999"/>
  </r>
  <r>
    <x v="22"/>
    <n v="10"/>
    <n v="604.07500000000005"/>
    <n v="6009.375"/>
  </r>
  <r>
    <x v="22"/>
    <n v="11"/>
    <n v="771.81299999999999"/>
    <n v="6756.8130000000001"/>
  </r>
  <r>
    <x v="22"/>
    <n v="12"/>
    <n v="884"/>
    <n v="6561.5379999999996"/>
  </r>
  <r>
    <x v="22"/>
    <n v="13"/>
    <n v="869.46299999999997"/>
    <n v="6942.3130000000001"/>
  </r>
  <r>
    <x v="22"/>
    <n v="14"/>
    <n v="865.21299999999997"/>
    <n v="7253.5379999999996"/>
  </r>
  <r>
    <x v="22"/>
    <n v="15"/>
    <n v="796.05"/>
    <n v="7172.7380000000003"/>
  </r>
  <r>
    <x v="22"/>
    <n v="16"/>
    <n v="676.75"/>
    <n v="6145.2879999999996"/>
  </r>
  <r>
    <x v="22"/>
    <n v="17"/>
    <n v="512.625"/>
    <n v="4845.6000000000004"/>
  </r>
  <r>
    <x v="22"/>
    <n v="18"/>
    <n v="417.5"/>
    <n v="3004.7629999999999"/>
  </r>
  <r>
    <x v="22"/>
    <n v="19"/>
    <n v="377.32499999999999"/>
    <n v="1426.675"/>
  </r>
  <r>
    <x v="22"/>
    <n v="20"/>
    <n v="552.58799999999997"/>
    <n v="450.125"/>
  </r>
  <r>
    <x v="22"/>
    <n v="21"/>
    <n v="849.4"/>
    <n v="49.463000000000001"/>
  </r>
  <r>
    <x v="22"/>
    <n v="22"/>
    <n v="1143.675"/>
    <n v="0"/>
  </r>
  <r>
    <x v="22"/>
    <n v="23"/>
    <n v="1355.6379999999999"/>
    <n v="0"/>
  </r>
  <r>
    <x v="22"/>
    <n v="24"/>
    <n v="1587.25"/>
    <n v="0"/>
  </r>
  <r>
    <x v="23"/>
    <n v="1"/>
    <n v="1856.2249999999999"/>
    <n v="0"/>
  </r>
  <r>
    <x v="23"/>
    <n v="2"/>
    <n v="2004.8630000000001"/>
    <n v="0"/>
  </r>
  <r>
    <x v="23"/>
    <n v="3"/>
    <n v="1942.425"/>
    <n v="0"/>
  </r>
  <r>
    <x v="23"/>
    <n v="4"/>
    <n v="1797.0250000000001"/>
    <n v="0"/>
  </r>
  <r>
    <x v="23"/>
    <n v="5"/>
    <n v="1627.1130000000001"/>
    <n v="0"/>
  </r>
  <r>
    <x v="23"/>
    <n v="6"/>
    <n v="1479.425"/>
    <n v="114.77500000000001"/>
  </r>
  <r>
    <x v="23"/>
    <n v="7"/>
    <n v="1272.9880000000001"/>
    <n v="633.08799999999997"/>
  </r>
  <r>
    <x v="23"/>
    <n v="8"/>
    <n v="820.93799999999999"/>
    <n v="1677.075"/>
  </r>
  <r>
    <x v="23"/>
    <n v="9"/>
    <n v="444.613"/>
    <n v="2961.3629999999998"/>
  </r>
  <r>
    <x v="23"/>
    <n v="10"/>
    <n v="346.07499999999999"/>
    <n v="4438.3630000000003"/>
  </r>
  <r>
    <x v="23"/>
    <n v="11"/>
    <n v="400.25"/>
    <n v="5538.8249999999998"/>
  </r>
  <r>
    <x v="23"/>
    <n v="12"/>
    <n v="468.875"/>
    <n v="5703.8379999999997"/>
  </r>
  <r>
    <x v="23"/>
    <n v="13"/>
    <n v="546.43799999999999"/>
    <n v="5460.4750000000004"/>
  </r>
  <r>
    <x v="23"/>
    <n v="14"/>
    <n v="667.36300000000006"/>
    <n v="5304.3630000000003"/>
  </r>
  <r>
    <x v="23"/>
    <n v="15"/>
    <n v="822.86300000000006"/>
    <n v="4556.125"/>
  </r>
  <r>
    <x v="23"/>
    <n v="16"/>
    <n v="922.45"/>
    <n v="3752.7379999999998"/>
  </r>
  <r>
    <x v="23"/>
    <n v="17"/>
    <n v="1021.088"/>
    <n v="2874.7249999999999"/>
  </r>
  <r>
    <x v="23"/>
    <n v="18"/>
    <n v="1162.538"/>
    <n v="1860.8630000000001"/>
  </r>
  <r>
    <x v="23"/>
    <n v="19"/>
    <n v="1165.1379999999999"/>
    <n v="979.18799999999999"/>
  </r>
  <r>
    <x v="23"/>
    <n v="20"/>
    <n v="1097.3"/>
    <n v="281"/>
  </r>
  <r>
    <x v="23"/>
    <n v="21"/>
    <n v="1061.6500000000001"/>
    <n v="20.524999999999999"/>
  </r>
  <r>
    <x v="23"/>
    <n v="22"/>
    <n v="1075.3630000000001"/>
    <n v="0"/>
  </r>
  <r>
    <x v="23"/>
    <n v="23"/>
    <n v="1059.625"/>
    <n v="0"/>
  </r>
  <r>
    <x v="23"/>
    <n v="24"/>
    <n v="943.01300000000003"/>
    <n v="0"/>
  </r>
  <r>
    <x v="24"/>
    <n v="1"/>
    <n v="916.68799999999999"/>
    <n v="0"/>
  </r>
  <r>
    <x v="24"/>
    <n v="2"/>
    <n v="812.21299999999997"/>
    <n v="0"/>
  </r>
  <r>
    <x v="24"/>
    <n v="3"/>
    <n v="826.8"/>
    <n v="0"/>
  </r>
  <r>
    <x v="24"/>
    <n v="4"/>
    <n v="789.55"/>
    <n v="0"/>
  </r>
  <r>
    <x v="24"/>
    <n v="5"/>
    <n v="709.35"/>
    <n v="0"/>
  </r>
  <r>
    <x v="24"/>
    <n v="6"/>
    <n v="649.67499999999995"/>
    <n v="70.738"/>
  </r>
  <r>
    <x v="24"/>
    <n v="7"/>
    <n v="643.02499999999998"/>
    <n v="588.23800000000006"/>
  </r>
  <r>
    <x v="24"/>
    <n v="8"/>
    <n v="498.13799999999998"/>
    <n v="1954.5129999999999"/>
  </r>
  <r>
    <x v="24"/>
    <n v="9"/>
    <n v="327.488"/>
    <n v="3962.5880000000002"/>
  </r>
  <r>
    <x v="24"/>
    <n v="10"/>
    <n v="334.21300000000002"/>
    <n v="5705.2129999999997"/>
  </r>
  <r>
    <x v="24"/>
    <n v="11"/>
    <n v="454.28800000000001"/>
    <n v="6661.0630000000001"/>
  </r>
  <r>
    <x v="24"/>
    <n v="12"/>
    <n v="566.375"/>
    <n v="7085.5129999999999"/>
  </r>
  <r>
    <x v="24"/>
    <n v="13"/>
    <n v="840.11300000000006"/>
    <n v="7051.4880000000003"/>
  </r>
  <r>
    <x v="24"/>
    <n v="14"/>
    <n v="1195.9380000000001"/>
    <n v="6787.8249999999998"/>
  </r>
  <r>
    <x v="24"/>
    <n v="15"/>
    <n v="1197.925"/>
    <n v="6747.8"/>
  </r>
  <r>
    <x v="24"/>
    <n v="16"/>
    <n v="1209.425"/>
    <n v="6309.6379999999999"/>
  </r>
  <r>
    <x v="24"/>
    <n v="17"/>
    <n v="1406.4880000000001"/>
    <n v="4961.95"/>
  </r>
  <r>
    <x v="24"/>
    <n v="18"/>
    <n v="1202.213"/>
    <n v="3556.375"/>
  </r>
  <r>
    <x v="24"/>
    <n v="19"/>
    <n v="812.52499999999998"/>
    <n v="1637.338"/>
  </r>
  <r>
    <x v="24"/>
    <n v="20"/>
    <n v="826.71299999999997"/>
    <n v="483.93799999999999"/>
  </r>
  <r>
    <x v="24"/>
    <n v="21"/>
    <n v="986.92499999999995"/>
    <n v="43.338000000000001"/>
  </r>
  <r>
    <x v="24"/>
    <n v="22"/>
    <n v="1386.2"/>
    <n v="0"/>
  </r>
  <r>
    <x v="24"/>
    <n v="23"/>
    <n v="1638.1"/>
    <n v="0"/>
  </r>
  <r>
    <x v="24"/>
    <n v="24"/>
    <n v="2046.35"/>
    <n v="0"/>
  </r>
  <r>
    <x v="25"/>
    <n v="1"/>
    <n v="2263.875"/>
    <n v="0"/>
  </r>
  <r>
    <x v="25"/>
    <n v="2"/>
    <n v="2458.625"/>
    <n v="0"/>
  </r>
  <r>
    <x v="25"/>
    <n v="3"/>
    <n v="2301.0749999999998"/>
    <n v="0"/>
  </r>
  <r>
    <x v="25"/>
    <n v="4"/>
    <n v="2109.3380000000002"/>
    <n v="0"/>
  </r>
  <r>
    <x v="25"/>
    <n v="5"/>
    <n v="2023.55"/>
    <n v="0"/>
  </r>
  <r>
    <x v="25"/>
    <n v="6"/>
    <n v="1784.9749999999999"/>
    <n v="161.97499999999999"/>
  </r>
  <r>
    <x v="25"/>
    <n v="7"/>
    <n v="1567.675"/>
    <n v="1019.7380000000001"/>
  </r>
  <r>
    <x v="25"/>
    <n v="8"/>
    <n v="964.16300000000001"/>
    <n v="3401.7379999999998"/>
  </r>
  <r>
    <x v="25"/>
    <n v="9"/>
    <n v="340.32499999999999"/>
    <n v="6584.1629999999996"/>
  </r>
  <r>
    <x v="25"/>
    <n v="10"/>
    <n v="347.58800000000002"/>
    <n v="9175.8250000000007"/>
  </r>
  <r>
    <x v="25"/>
    <n v="11"/>
    <n v="794.97500000000002"/>
    <n v="10221.475"/>
  </r>
  <r>
    <x v="25"/>
    <n v="12"/>
    <n v="1097.7"/>
    <n v="9122.9249999999993"/>
  </r>
  <r>
    <x v="25"/>
    <n v="13"/>
    <n v="1180.2380000000001"/>
    <n v="8306.6380000000008"/>
  </r>
  <r>
    <x v="25"/>
    <n v="14"/>
    <n v="1288.9000000000001"/>
    <n v="7050.75"/>
  </r>
  <r>
    <x v="25"/>
    <n v="15"/>
    <n v="1493.075"/>
    <n v="6062.5749999999998"/>
  </r>
  <r>
    <x v="25"/>
    <n v="16"/>
    <n v="1700.825"/>
    <n v="5928.65"/>
  </r>
  <r>
    <x v="25"/>
    <n v="17"/>
    <n v="1787.45"/>
    <n v="4994.0129999999999"/>
  </r>
  <r>
    <x v="25"/>
    <n v="18"/>
    <n v="1652.0250000000001"/>
    <n v="3616.875"/>
  </r>
  <r>
    <x v="25"/>
    <n v="19"/>
    <n v="1363.95"/>
    <n v="1739.125"/>
  </r>
  <r>
    <x v="25"/>
    <n v="20"/>
    <n v="1101.9000000000001"/>
    <n v="467.45"/>
  </r>
  <r>
    <x v="25"/>
    <n v="21"/>
    <n v="1571.6379999999999"/>
    <n v="36.088000000000001"/>
  </r>
  <r>
    <x v="25"/>
    <n v="22"/>
    <n v="2538.8380000000002"/>
    <n v="0"/>
  </r>
  <r>
    <x v="25"/>
    <n v="23"/>
    <n v="3423.9"/>
    <n v="0"/>
  </r>
  <r>
    <x v="25"/>
    <n v="24"/>
    <n v="3971.375"/>
    <n v="0"/>
  </r>
  <r>
    <x v="26"/>
    <n v="1"/>
    <n v="4154.6499999999996"/>
    <n v="0"/>
  </r>
  <r>
    <x v="26"/>
    <n v="2"/>
    <n v="4045.5630000000001"/>
    <n v="0"/>
  </r>
  <r>
    <x v="26"/>
    <n v="3"/>
    <n v="3708.0630000000001"/>
    <n v="0"/>
  </r>
  <r>
    <x v="26"/>
    <n v="4"/>
    <n v="3345.4630000000002"/>
    <n v="0"/>
  </r>
  <r>
    <x v="26"/>
    <n v="5"/>
    <n v="3113.6750000000002"/>
    <n v="0"/>
  </r>
  <r>
    <x v="26"/>
    <n v="6"/>
    <n v="2879.9879999999998"/>
    <n v="119.71299999999999"/>
  </r>
  <r>
    <x v="26"/>
    <n v="7"/>
    <n v="2648.2750000000001"/>
    <n v="805.07500000000005"/>
  </r>
  <r>
    <x v="26"/>
    <n v="8"/>
    <n v="1875.2"/>
    <n v="2531.3629999999998"/>
  </r>
  <r>
    <x v="26"/>
    <n v="9"/>
    <n v="988.23800000000006"/>
    <n v="5034.7749999999996"/>
  </r>
  <r>
    <x v="26"/>
    <n v="10"/>
    <n v="623.72500000000002"/>
    <n v="7472.6"/>
  </r>
  <r>
    <x v="26"/>
    <n v="11"/>
    <n v="789.15"/>
    <n v="9395.8880000000008"/>
  </r>
  <r>
    <x v="26"/>
    <n v="12"/>
    <n v="1219.3130000000001"/>
    <n v="9911.1129999999994"/>
  </r>
  <r>
    <x v="26"/>
    <n v="13"/>
    <n v="1398.75"/>
    <n v="8829.7749999999996"/>
  </r>
  <r>
    <x v="26"/>
    <n v="14"/>
    <n v="1283.0630000000001"/>
    <n v="7911.3"/>
  </r>
  <r>
    <x v="26"/>
    <n v="15"/>
    <n v="1164.413"/>
    <n v="7714.4"/>
  </r>
  <r>
    <x v="26"/>
    <n v="16"/>
    <n v="1047.3630000000001"/>
    <n v="7125.4129999999996"/>
  </r>
  <r>
    <x v="26"/>
    <n v="17"/>
    <n v="1025.1500000000001"/>
    <n v="5647.45"/>
  </r>
  <r>
    <x v="26"/>
    <n v="18"/>
    <n v="1086.4880000000001"/>
    <n v="4101.1379999999999"/>
  </r>
  <r>
    <x v="26"/>
    <n v="19"/>
    <n v="1000.438"/>
    <n v="1819"/>
  </r>
  <r>
    <x v="26"/>
    <n v="20"/>
    <n v="1175.338"/>
    <n v="490.83800000000002"/>
  </r>
  <r>
    <x v="26"/>
    <n v="21"/>
    <n v="1868.4380000000001"/>
    <n v="29.363"/>
  </r>
  <r>
    <x v="26"/>
    <n v="22"/>
    <n v="3060.3"/>
    <n v="0"/>
  </r>
  <r>
    <x v="26"/>
    <n v="23"/>
    <n v="4255.8999999999996"/>
    <n v="0"/>
  </r>
  <r>
    <x v="26"/>
    <n v="24"/>
    <n v="5003.4250000000002"/>
    <n v="0"/>
  </r>
  <r>
    <x v="27"/>
    <n v="1"/>
    <n v="4937.6379999999999"/>
    <n v="0"/>
  </r>
  <r>
    <x v="27"/>
    <n v="2"/>
    <n v="4861.2129999999997"/>
    <n v="0"/>
  </r>
  <r>
    <x v="27"/>
    <n v="3"/>
    <n v="4697.5630000000001"/>
    <n v="0"/>
  </r>
  <r>
    <x v="27"/>
    <n v="4"/>
    <n v="4528.9129999999996"/>
    <n v="0"/>
  </r>
  <r>
    <x v="27"/>
    <n v="5"/>
    <n v="4417.8379999999997"/>
    <n v="0"/>
  </r>
  <r>
    <x v="27"/>
    <n v="6"/>
    <n v="4356.125"/>
    <n v="168.47499999999999"/>
  </r>
  <r>
    <x v="27"/>
    <n v="7"/>
    <n v="4266.1629999999996"/>
    <n v="1088.675"/>
  </r>
  <r>
    <x v="27"/>
    <n v="8"/>
    <n v="3305.3130000000001"/>
    <n v="2829.788"/>
  </r>
  <r>
    <x v="27"/>
    <n v="9"/>
    <n v="2211.1129999999998"/>
    <n v="4604.8379999999997"/>
  </r>
  <r>
    <x v="27"/>
    <n v="10"/>
    <n v="2445.8130000000001"/>
    <n v="5843.4380000000001"/>
  </r>
  <r>
    <x v="27"/>
    <n v="11"/>
    <n v="3334.0250000000001"/>
    <n v="6848.5879999999997"/>
  </r>
  <r>
    <x v="27"/>
    <n v="12"/>
    <n v="3987.3"/>
    <n v="7276.5"/>
  </r>
  <r>
    <x v="27"/>
    <n v="13"/>
    <n v="4037.15"/>
    <n v="7053.0379999999996"/>
  </r>
  <r>
    <x v="27"/>
    <n v="14"/>
    <n v="3850.6129999999998"/>
    <n v="5970.6"/>
  </r>
  <r>
    <x v="27"/>
    <n v="15"/>
    <n v="3850.9380000000001"/>
    <n v="5464.1"/>
  </r>
  <r>
    <x v="27"/>
    <n v="16"/>
    <n v="3784.788"/>
    <n v="4990.8"/>
  </r>
  <r>
    <x v="27"/>
    <n v="17"/>
    <n v="3922.8"/>
    <n v="4352.375"/>
  </r>
  <r>
    <x v="27"/>
    <n v="18"/>
    <n v="3755.6750000000002"/>
    <n v="3567.15"/>
  </r>
  <r>
    <x v="27"/>
    <n v="19"/>
    <n v="3201.7379999999998"/>
    <n v="2078.913"/>
  </r>
  <r>
    <x v="27"/>
    <n v="20"/>
    <n v="2948.0749999999998"/>
    <n v="692.42499999999995"/>
  </r>
  <r>
    <x v="27"/>
    <n v="21"/>
    <n v="3687.0880000000002"/>
    <n v="36.174999999999997"/>
  </r>
  <r>
    <x v="27"/>
    <n v="22"/>
    <n v="4782.7129999999997"/>
    <n v="0"/>
  </r>
  <r>
    <x v="27"/>
    <n v="23"/>
    <n v="5291.0630000000001"/>
    <n v="0"/>
  </r>
  <r>
    <x v="27"/>
    <n v="24"/>
    <n v="5382.25"/>
    <n v="0"/>
  </r>
  <r>
    <x v="28"/>
    <n v="1"/>
    <n v="5231.8130000000001"/>
    <n v="0"/>
  </r>
  <r>
    <x v="28"/>
    <n v="2"/>
    <n v="5017.125"/>
    <n v="0"/>
  </r>
  <r>
    <x v="28"/>
    <n v="3"/>
    <n v="4546.3999999999996"/>
    <n v="0"/>
  </r>
  <r>
    <x v="28"/>
    <n v="4"/>
    <n v="4131.4629999999997"/>
    <n v="0"/>
  </r>
  <r>
    <x v="28"/>
    <n v="5"/>
    <n v="3843.0749999999998"/>
    <n v="0.35"/>
  </r>
  <r>
    <x v="28"/>
    <n v="6"/>
    <n v="3584.4"/>
    <n v="118.938"/>
  </r>
  <r>
    <x v="28"/>
    <n v="7"/>
    <n v="3275.375"/>
    <n v="937.13800000000003"/>
  </r>
  <r>
    <x v="28"/>
    <n v="8"/>
    <n v="2384.5880000000002"/>
    <n v="2822.6379999999999"/>
  </r>
  <r>
    <x v="28"/>
    <n v="9"/>
    <n v="1347.375"/>
    <n v="5446.0379999999996"/>
  </r>
  <r>
    <x v="28"/>
    <n v="10"/>
    <n v="1094.95"/>
    <n v="7641.9750000000004"/>
  </r>
  <r>
    <x v="28"/>
    <n v="11"/>
    <n v="1180.338"/>
    <n v="9545.7630000000008"/>
  </r>
  <r>
    <x v="28"/>
    <n v="12"/>
    <n v="1330.15"/>
    <n v="9180.5380000000005"/>
  </r>
  <r>
    <x v="28"/>
    <n v="13"/>
    <n v="1515.0250000000001"/>
    <n v="8799.4500000000007"/>
  </r>
  <r>
    <x v="28"/>
    <n v="14"/>
    <n v="1608.875"/>
    <n v="8568.4750000000004"/>
  </r>
  <r>
    <x v="28"/>
    <n v="15"/>
    <n v="1706.5"/>
    <n v="7865.4380000000001"/>
  </r>
  <r>
    <x v="28"/>
    <n v="16"/>
    <n v="1699.413"/>
    <n v="7673.0379999999996"/>
  </r>
  <r>
    <x v="28"/>
    <n v="17"/>
    <n v="1678.7629999999999"/>
    <n v="6558.375"/>
  </r>
  <r>
    <x v="28"/>
    <n v="18"/>
    <n v="1672.45"/>
    <n v="4528.4629999999997"/>
  </r>
  <r>
    <x v="28"/>
    <n v="19"/>
    <n v="1669.963"/>
    <n v="2260.35"/>
  </r>
  <r>
    <x v="28"/>
    <n v="20"/>
    <n v="1912.2"/>
    <n v="688.36300000000006"/>
  </r>
  <r>
    <x v="28"/>
    <n v="21"/>
    <n v="2709.538"/>
    <n v="64.45"/>
  </r>
  <r>
    <x v="28"/>
    <n v="22"/>
    <n v="3575.3130000000001"/>
    <n v="0"/>
  </r>
  <r>
    <x v="28"/>
    <n v="23"/>
    <n v="4097.6750000000002"/>
    <n v="0"/>
  </r>
  <r>
    <x v="28"/>
    <n v="24"/>
    <n v="4326.8379999999997"/>
    <n v="0"/>
  </r>
  <r>
    <x v="29"/>
    <n v="1"/>
    <n v="4272.6629999999996"/>
    <n v="0"/>
  </r>
  <r>
    <x v="29"/>
    <n v="2"/>
    <n v="4037"/>
    <n v="0"/>
  </r>
  <r>
    <x v="29"/>
    <n v="3"/>
    <n v="3760.9380000000001"/>
    <n v="0"/>
  </r>
  <r>
    <x v="29"/>
    <n v="4"/>
    <n v="3717.3130000000001"/>
    <n v="0"/>
  </r>
  <r>
    <x v="29"/>
    <n v="5"/>
    <n v="3945.7379999999998"/>
    <n v="0.48799999999999999"/>
  </r>
  <r>
    <x v="29"/>
    <n v="6"/>
    <n v="4228.6000000000004"/>
    <n v="126.438"/>
  </r>
  <r>
    <x v="29"/>
    <n v="7"/>
    <n v="4063.1129999999998"/>
    <n v="1112.8499999999999"/>
  </r>
  <r>
    <x v="29"/>
    <n v="8"/>
    <n v="3116.538"/>
    <n v="3288.9"/>
  </r>
  <r>
    <x v="29"/>
    <n v="9"/>
    <n v="1871.9"/>
    <n v="6150.0630000000001"/>
  </r>
  <r>
    <x v="29"/>
    <n v="10"/>
    <n v="1349.9380000000001"/>
    <n v="8576.3130000000001"/>
  </r>
  <r>
    <x v="29"/>
    <n v="11"/>
    <n v="1425.5"/>
    <n v="9089.5130000000008"/>
  </r>
  <r>
    <x v="29"/>
    <n v="12"/>
    <n v="1697.8630000000001"/>
    <n v="8942.65"/>
  </r>
  <r>
    <x v="29"/>
    <n v="13"/>
    <n v="1998.0630000000001"/>
    <n v="9074.2630000000008"/>
  </r>
  <r>
    <x v="29"/>
    <n v="14"/>
    <n v="2532.5500000000002"/>
    <n v="9028.4380000000001"/>
  </r>
  <r>
    <x v="29"/>
    <n v="15"/>
    <n v="2994.6750000000002"/>
    <n v="8596.2630000000008"/>
  </r>
  <r>
    <x v="29"/>
    <n v="16"/>
    <n v="3244.65"/>
    <n v="7601.8379999999997"/>
  </r>
  <r>
    <x v="29"/>
    <n v="17"/>
    <n v="3232.6129999999998"/>
    <n v="7113.8630000000003"/>
  </r>
  <r>
    <x v="29"/>
    <n v="18"/>
    <n v="3254.4749999999999"/>
    <n v="5229.6379999999999"/>
  </r>
  <r>
    <x v="29"/>
    <n v="19"/>
    <n v="3098.8"/>
    <n v="2741.8"/>
  </r>
  <r>
    <x v="29"/>
    <n v="20"/>
    <n v="3200.6129999999998"/>
    <n v="806.36300000000006"/>
  </r>
  <r>
    <x v="29"/>
    <n v="21"/>
    <n v="4075.2629999999999"/>
    <n v="65.525000000000006"/>
  </r>
  <r>
    <x v="29"/>
    <n v="22"/>
    <n v="5190.4250000000002"/>
    <n v="0"/>
  </r>
  <r>
    <x v="29"/>
    <n v="23"/>
    <n v="5414.4750000000004"/>
    <n v="0"/>
  </r>
  <r>
    <x v="29"/>
    <n v="24"/>
    <n v="5379.9129999999996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">
  <r>
    <x v="0"/>
    <x v="0"/>
    <n v="3130.2629999999999"/>
    <n v="0"/>
  </r>
  <r>
    <x v="0"/>
    <x v="1"/>
    <n v="2765.5880000000002"/>
    <n v="0"/>
  </r>
  <r>
    <x v="0"/>
    <x v="2"/>
    <n v="2555.4380000000001"/>
    <n v="0"/>
  </r>
  <r>
    <x v="0"/>
    <x v="3"/>
    <n v="2675.2379999999998"/>
    <n v="0"/>
  </r>
  <r>
    <x v="0"/>
    <x v="4"/>
    <n v="2681.1750000000002"/>
    <n v="0"/>
  </r>
  <r>
    <x v="0"/>
    <x v="5"/>
    <n v="2367.3249999999998"/>
    <n v="0.21299999999999999"/>
  </r>
  <r>
    <x v="0"/>
    <x v="6"/>
    <n v="2525.2249999999999"/>
    <n v="117.075"/>
  </r>
  <r>
    <x v="0"/>
    <x v="7"/>
    <n v="2360.9879999999998"/>
    <n v="1162.075"/>
  </r>
  <r>
    <x v="0"/>
    <x v="8"/>
    <n v="1940.838"/>
    <n v="2680.5129999999999"/>
  </r>
  <r>
    <x v="0"/>
    <x v="9"/>
    <n v="1368.675"/>
    <n v="4416"/>
  </r>
  <r>
    <x v="0"/>
    <x v="10"/>
    <n v="1140.463"/>
    <n v="5331.5749999999998"/>
  </r>
  <r>
    <x v="0"/>
    <x v="11"/>
    <n v="1305.8630000000001"/>
    <n v="5812.2250000000004"/>
  </r>
  <r>
    <x v="0"/>
    <x v="12"/>
    <n v="1511.4880000000001"/>
    <n v="5846.6130000000003"/>
  </r>
  <r>
    <x v="0"/>
    <x v="13"/>
    <n v="1931.05"/>
    <n v="5471.4250000000002"/>
  </r>
  <r>
    <x v="0"/>
    <x v="14"/>
    <n v="2229.25"/>
    <n v="5661.8249999999998"/>
  </r>
  <r>
    <x v="0"/>
    <x v="15"/>
    <n v="2467.125"/>
    <n v="5067.9880000000003"/>
  </r>
  <r>
    <x v="0"/>
    <x v="16"/>
    <n v="2655.85"/>
    <n v="3458.1379999999999"/>
  </r>
  <r>
    <x v="0"/>
    <x v="17"/>
    <n v="2572.7629999999999"/>
    <n v="1719.088"/>
  </r>
  <r>
    <x v="0"/>
    <x v="18"/>
    <n v="2891.1750000000002"/>
    <n v="560.76300000000003"/>
  </r>
  <r>
    <x v="0"/>
    <x v="19"/>
    <n v="3515.2"/>
    <n v="51.438000000000002"/>
  </r>
  <r>
    <x v="0"/>
    <x v="20"/>
    <n v="3941.538"/>
    <n v="0"/>
  </r>
  <r>
    <x v="0"/>
    <x v="21"/>
    <n v="4127.375"/>
    <n v="0"/>
  </r>
  <r>
    <x v="0"/>
    <x v="22"/>
    <n v="4248.55"/>
    <n v="0"/>
  </r>
  <r>
    <x v="0"/>
    <x v="23"/>
    <n v="4027.7249999999999"/>
    <n v="0"/>
  </r>
  <r>
    <x v="1"/>
    <x v="0"/>
    <n v="3346.5749999999998"/>
    <n v="0"/>
  </r>
  <r>
    <x v="1"/>
    <x v="1"/>
    <n v="3446.2379999999998"/>
    <n v="0"/>
  </r>
  <r>
    <x v="1"/>
    <x v="2"/>
    <n v="4149.3"/>
    <n v="0"/>
  </r>
  <r>
    <x v="1"/>
    <x v="3"/>
    <n v="4457.1750000000002"/>
    <n v="0"/>
  </r>
  <r>
    <x v="1"/>
    <x v="4"/>
    <n v="4588.4380000000001"/>
    <n v="0"/>
  </r>
  <r>
    <x v="1"/>
    <x v="5"/>
    <n v="4658.5"/>
    <n v="1.075"/>
  </r>
  <r>
    <x v="1"/>
    <x v="6"/>
    <n v="4732.9750000000004"/>
    <n v="61.274999999999999"/>
  </r>
  <r>
    <x v="1"/>
    <x v="7"/>
    <n v="4939.8249999999998"/>
    <n v="440.625"/>
  </r>
  <r>
    <x v="1"/>
    <x v="8"/>
    <n v="5218.9629999999997"/>
    <n v="1086.2750000000001"/>
  </r>
  <r>
    <x v="1"/>
    <x v="9"/>
    <n v="5539.7749999999996"/>
    <n v="1915.2629999999999"/>
  </r>
  <r>
    <x v="1"/>
    <x v="10"/>
    <n v="5927.375"/>
    <n v="2442.2629999999999"/>
  </r>
  <r>
    <x v="1"/>
    <x v="11"/>
    <n v="6218.0749999999998"/>
    <n v="2724.6379999999999"/>
  </r>
  <r>
    <x v="1"/>
    <x v="12"/>
    <n v="6813.6629999999996"/>
    <n v="2673.2629999999999"/>
  </r>
  <r>
    <x v="1"/>
    <x v="13"/>
    <n v="7025.85"/>
    <n v="2775.5880000000002"/>
  </r>
  <r>
    <x v="1"/>
    <x v="14"/>
    <n v="7180.7629999999999"/>
    <n v="2810.9380000000001"/>
  </r>
  <r>
    <x v="1"/>
    <x v="15"/>
    <n v="7220.4880000000003"/>
    <n v="2744.5250000000001"/>
  </r>
  <r>
    <x v="1"/>
    <x v="16"/>
    <n v="7167.5630000000001"/>
    <n v="2404.7750000000001"/>
  </r>
  <r>
    <x v="1"/>
    <x v="17"/>
    <n v="6882.125"/>
    <n v="1488.125"/>
  </r>
  <r>
    <x v="1"/>
    <x v="18"/>
    <n v="6806.5630000000001"/>
    <n v="581.4"/>
  </r>
  <r>
    <x v="1"/>
    <x v="19"/>
    <n v="7039.9629999999997"/>
    <n v="56.85"/>
  </r>
  <r>
    <x v="1"/>
    <x v="20"/>
    <n v="7089.2380000000003"/>
    <n v="0"/>
  </r>
  <r>
    <x v="1"/>
    <x v="21"/>
    <n v="6955.6379999999999"/>
    <n v="0"/>
  </r>
  <r>
    <x v="1"/>
    <x v="22"/>
    <n v="6667.7749999999996"/>
    <n v="0"/>
  </r>
  <r>
    <x v="1"/>
    <x v="23"/>
    <n v="6771.0879999999997"/>
    <n v="0"/>
  </r>
  <r>
    <x v="2"/>
    <x v="0"/>
    <n v="6683.55"/>
    <n v="0"/>
  </r>
  <r>
    <x v="2"/>
    <x v="1"/>
    <n v="6485.2250000000004"/>
    <n v="0"/>
  </r>
  <r>
    <x v="2"/>
    <x v="2"/>
    <n v="6362.625"/>
    <n v="0"/>
  </r>
  <r>
    <x v="2"/>
    <x v="3"/>
    <n v="5948.9250000000002"/>
    <n v="0"/>
  </r>
  <r>
    <x v="2"/>
    <x v="4"/>
    <n v="5874.1880000000001"/>
    <n v="0"/>
  </r>
  <r>
    <x v="2"/>
    <x v="5"/>
    <n v="5815.1629999999996"/>
    <n v="0.625"/>
  </r>
  <r>
    <x v="2"/>
    <x v="6"/>
    <n v="5951.2879999999996"/>
    <n v="76.875"/>
  </r>
  <r>
    <x v="2"/>
    <x v="7"/>
    <n v="5858.2879999999996"/>
    <n v="704.4"/>
  </r>
  <r>
    <x v="2"/>
    <x v="8"/>
    <n v="5839.8249999999998"/>
    <n v="1911"/>
  </r>
  <r>
    <x v="2"/>
    <x v="9"/>
    <n v="5734.2629999999999"/>
    <n v="3500"/>
  </r>
  <r>
    <x v="2"/>
    <x v="10"/>
    <n v="5387.15"/>
    <n v="4405.4129999999996"/>
  </r>
  <r>
    <x v="2"/>
    <x v="11"/>
    <n v="5066.9380000000001"/>
    <n v="4657.0379999999996"/>
  </r>
  <r>
    <x v="2"/>
    <x v="12"/>
    <n v="4827.9750000000004"/>
    <n v="5127.7879999999996"/>
  </r>
  <r>
    <x v="2"/>
    <x v="13"/>
    <n v="4638.2129999999997"/>
    <n v="5204.4750000000004"/>
  </r>
  <r>
    <x v="2"/>
    <x v="14"/>
    <n v="4444.0129999999999"/>
    <n v="5284.65"/>
  </r>
  <r>
    <x v="2"/>
    <x v="15"/>
    <n v="4060.7249999999999"/>
    <n v="4440.7879999999996"/>
  </r>
  <r>
    <x v="2"/>
    <x v="16"/>
    <n v="3365"/>
    <n v="3380.625"/>
  </r>
  <r>
    <x v="2"/>
    <x v="17"/>
    <n v="2697.3380000000002"/>
    <n v="1752.175"/>
  </r>
  <r>
    <x v="2"/>
    <x v="18"/>
    <n v="2075.5749999999998"/>
    <n v="515.93799999999999"/>
  </r>
  <r>
    <x v="2"/>
    <x v="19"/>
    <n v="1725.175"/>
    <n v="98.513000000000005"/>
  </r>
  <r>
    <x v="2"/>
    <x v="20"/>
    <n v="1506.8630000000001"/>
    <n v="0"/>
  </r>
  <r>
    <x v="2"/>
    <x v="21"/>
    <n v="1343.6"/>
    <n v="0"/>
  </r>
  <r>
    <x v="2"/>
    <x v="22"/>
    <n v="1320.5630000000001"/>
    <n v="0"/>
  </r>
  <r>
    <x v="2"/>
    <x v="23"/>
    <n v="1277.1379999999999"/>
    <n v="0"/>
  </r>
  <r>
    <x v="3"/>
    <x v="0"/>
    <n v="1296.9380000000001"/>
    <n v="0"/>
  </r>
  <r>
    <x v="3"/>
    <x v="1"/>
    <n v="1376.75"/>
    <n v="0"/>
  </r>
  <r>
    <x v="3"/>
    <x v="2"/>
    <n v="1459.925"/>
    <n v="0"/>
  </r>
  <r>
    <x v="3"/>
    <x v="3"/>
    <n v="1527.538"/>
    <n v="0"/>
  </r>
  <r>
    <x v="3"/>
    <x v="4"/>
    <n v="1725.0630000000001"/>
    <n v="0"/>
  </r>
  <r>
    <x v="3"/>
    <x v="5"/>
    <n v="1804.5630000000001"/>
    <n v="0.52500000000000002"/>
  </r>
  <r>
    <x v="3"/>
    <x v="6"/>
    <n v="1882.8"/>
    <n v="182.78800000000001"/>
  </r>
  <r>
    <x v="3"/>
    <x v="7"/>
    <n v="1927.5"/>
    <n v="903.98800000000006"/>
  </r>
  <r>
    <x v="3"/>
    <x v="8"/>
    <n v="1803.0630000000001"/>
    <n v="2087.2249999999999"/>
  </r>
  <r>
    <x v="3"/>
    <x v="9"/>
    <n v="1611.05"/>
    <n v="3579.6"/>
  </r>
  <r>
    <x v="3"/>
    <x v="10"/>
    <n v="1517.413"/>
    <n v="4306.8379999999997"/>
  </r>
  <r>
    <x v="3"/>
    <x v="11"/>
    <n v="1464.9380000000001"/>
    <n v="5172.3"/>
  </r>
  <r>
    <x v="3"/>
    <x v="12"/>
    <n v="1616.9"/>
    <n v="5723.5129999999999"/>
  </r>
  <r>
    <x v="3"/>
    <x v="13"/>
    <n v="1760.9880000000001"/>
    <n v="5583.875"/>
  </r>
  <r>
    <x v="3"/>
    <x v="14"/>
    <n v="1910.588"/>
    <n v="5109.6000000000004"/>
  </r>
  <r>
    <x v="3"/>
    <x v="15"/>
    <n v="2147.8380000000002"/>
    <n v="4166.7"/>
  </r>
  <r>
    <x v="3"/>
    <x v="16"/>
    <n v="2389"/>
    <n v="3069.4630000000002"/>
  </r>
  <r>
    <x v="3"/>
    <x v="17"/>
    <n v="2445.2249999999999"/>
    <n v="1544.663"/>
  </r>
  <r>
    <x v="3"/>
    <x v="18"/>
    <n v="2756.4380000000001"/>
    <n v="540.16300000000001"/>
  </r>
  <r>
    <x v="3"/>
    <x v="19"/>
    <n v="3537.875"/>
    <n v="97.013000000000005"/>
  </r>
  <r>
    <x v="3"/>
    <x v="20"/>
    <n v="4276.8500000000004"/>
    <n v="0"/>
  </r>
  <r>
    <x v="3"/>
    <x v="21"/>
    <n v="4835.1750000000002"/>
    <n v="0"/>
  </r>
  <r>
    <x v="3"/>
    <x v="22"/>
    <n v="5044.7250000000004"/>
    <n v="0"/>
  </r>
  <r>
    <x v="3"/>
    <x v="23"/>
    <n v="5564.6750000000002"/>
    <n v="0"/>
  </r>
  <r>
    <x v="4"/>
    <x v="0"/>
    <n v="5803.1130000000003"/>
    <n v="0"/>
  </r>
  <r>
    <x v="4"/>
    <x v="1"/>
    <n v="5764.2749999999996"/>
    <n v="0"/>
  </r>
  <r>
    <x v="4"/>
    <x v="2"/>
    <n v="5571.0749999999998"/>
    <n v="0"/>
  </r>
  <r>
    <x v="4"/>
    <x v="3"/>
    <n v="5487.2380000000003"/>
    <n v="0"/>
  </r>
  <r>
    <x v="4"/>
    <x v="4"/>
    <n v="5289.1629999999996"/>
    <n v="0"/>
  </r>
  <r>
    <x v="4"/>
    <x v="5"/>
    <n v="4720.9750000000004"/>
    <n v="2.6880000000000002"/>
  </r>
  <r>
    <x v="4"/>
    <x v="6"/>
    <n v="4460.4880000000003"/>
    <n v="207.26300000000001"/>
  </r>
  <r>
    <x v="4"/>
    <x v="7"/>
    <n v="4055.7249999999999"/>
    <n v="1171.5999999999999"/>
  </r>
  <r>
    <x v="4"/>
    <x v="8"/>
    <n v="3390.5880000000002"/>
    <n v="2805.5250000000001"/>
  </r>
  <r>
    <x v="4"/>
    <x v="9"/>
    <n v="3101.2249999999999"/>
    <n v="4478.6379999999999"/>
  </r>
  <r>
    <x v="4"/>
    <x v="10"/>
    <n v="2969.0630000000001"/>
    <n v="6019.9129999999996"/>
  </r>
  <r>
    <x v="4"/>
    <x v="11"/>
    <n v="3016.9749999999999"/>
    <n v="6657.3249999999998"/>
  </r>
  <r>
    <x v="4"/>
    <x v="12"/>
    <n v="3085.65"/>
    <n v="6455.375"/>
  </r>
  <r>
    <x v="4"/>
    <x v="13"/>
    <n v="3147"/>
    <n v="6064.8"/>
  </r>
  <r>
    <x v="4"/>
    <x v="14"/>
    <n v="2894.8249999999998"/>
    <n v="5635.875"/>
  </r>
  <r>
    <x v="4"/>
    <x v="15"/>
    <n v="2652.625"/>
    <n v="5442.65"/>
  </r>
  <r>
    <x v="4"/>
    <x v="16"/>
    <n v="2686.5630000000001"/>
    <n v="4334.0749999999998"/>
  </r>
  <r>
    <x v="4"/>
    <x v="17"/>
    <n v="2823.8879999999999"/>
    <n v="2446.5129999999999"/>
  </r>
  <r>
    <x v="4"/>
    <x v="18"/>
    <n v="3079.1"/>
    <n v="770"/>
  </r>
  <r>
    <x v="4"/>
    <x v="19"/>
    <n v="3840.15"/>
    <n v="128.93799999999999"/>
  </r>
  <r>
    <x v="4"/>
    <x v="20"/>
    <n v="4883.0379999999996"/>
    <n v="0"/>
  </r>
  <r>
    <x v="4"/>
    <x v="21"/>
    <n v="5978.1379999999999"/>
    <n v="0"/>
  </r>
  <r>
    <x v="4"/>
    <x v="22"/>
    <n v="6598.9129999999996"/>
    <n v="0"/>
  </r>
  <r>
    <x v="4"/>
    <x v="23"/>
    <n v="6643.1130000000003"/>
    <n v="0"/>
  </r>
  <r>
    <x v="5"/>
    <x v="0"/>
    <n v="6379.6750000000002"/>
    <n v="0"/>
  </r>
  <r>
    <x v="5"/>
    <x v="1"/>
    <n v="6134.5129999999999"/>
    <n v="0"/>
  </r>
  <r>
    <x v="5"/>
    <x v="2"/>
    <n v="5890.1"/>
    <n v="0"/>
  </r>
  <r>
    <x v="5"/>
    <x v="3"/>
    <n v="5587.5249999999996"/>
    <n v="0"/>
  </r>
  <r>
    <x v="5"/>
    <x v="4"/>
    <n v="5163.8999999999996"/>
    <n v="0"/>
  </r>
  <r>
    <x v="5"/>
    <x v="5"/>
    <n v="5173.3879999999999"/>
    <n v="10.95"/>
  </r>
  <r>
    <x v="5"/>
    <x v="6"/>
    <n v="5060.5630000000001"/>
    <n v="302.375"/>
  </r>
  <r>
    <x v="5"/>
    <x v="7"/>
    <n v="4595.5879999999997"/>
    <n v="1375.088"/>
  </r>
  <r>
    <x v="5"/>
    <x v="8"/>
    <n v="4078.0880000000002"/>
    <n v="3297.1379999999999"/>
  </r>
  <r>
    <x v="5"/>
    <x v="9"/>
    <n v="3480.3879999999999"/>
    <n v="5189.4380000000001"/>
  </r>
  <r>
    <x v="5"/>
    <x v="10"/>
    <n v="3477.2130000000002"/>
    <n v="6562.7629999999999"/>
  </r>
  <r>
    <x v="5"/>
    <x v="11"/>
    <n v="3550.9380000000001"/>
    <n v="8038.3"/>
  </r>
  <r>
    <x v="5"/>
    <x v="12"/>
    <n v="3686"/>
    <n v="8002.6379999999999"/>
  </r>
  <r>
    <x v="5"/>
    <x v="13"/>
    <n v="3637.75"/>
    <n v="7691.7380000000003"/>
  </r>
  <r>
    <x v="5"/>
    <x v="14"/>
    <n v="3250.6129999999998"/>
    <n v="7518.45"/>
  </r>
  <r>
    <x v="5"/>
    <x v="15"/>
    <n v="2574.2379999999998"/>
    <n v="6545.4380000000001"/>
  </r>
  <r>
    <x v="5"/>
    <x v="16"/>
    <n v="1815.1"/>
    <n v="5289.75"/>
  </r>
  <r>
    <x v="5"/>
    <x v="17"/>
    <n v="1170.7629999999999"/>
    <n v="3107.4630000000002"/>
  </r>
  <r>
    <x v="5"/>
    <x v="18"/>
    <n v="628.33799999999997"/>
    <n v="1035.1379999999999"/>
  </r>
  <r>
    <x v="5"/>
    <x v="19"/>
    <n v="510.488"/>
    <n v="152.863"/>
  </r>
  <r>
    <x v="5"/>
    <x v="20"/>
    <n v="640.72500000000002"/>
    <n v="0"/>
  </r>
  <r>
    <x v="5"/>
    <x v="21"/>
    <n v="841.47500000000002"/>
    <n v="0"/>
  </r>
  <r>
    <x v="5"/>
    <x v="22"/>
    <n v="1385.2"/>
    <n v="0"/>
  </r>
  <r>
    <x v="5"/>
    <x v="23"/>
    <n v="2037.3130000000001"/>
    <n v="0"/>
  </r>
  <r>
    <x v="6"/>
    <x v="0"/>
    <n v="2619.7629999999999"/>
    <n v="0"/>
  </r>
  <r>
    <x v="6"/>
    <x v="1"/>
    <n v="3091.0129999999999"/>
    <n v="0"/>
  </r>
  <r>
    <x v="6"/>
    <x v="2"/>
    <n v="3662.3879999999999"/>
    <n v="0"/>
  </r>
  <r>
    <x v="6"/>
    <x v="3"/>
    <n v="4079.4250000000002"/>
    <n v="0"/>
  </r>
  <r>
    <x v="6"/>
    <x v="4"/>
    <n v="4390.8500000000004"/>
    <n v="0"/>
  </r>
  <r>
    <x v="6"/>
    <x v="5"/>
    <n v="4557.6130000000003"/>
    <n v="6.7880000000000003"/>
  </r>
  <r>
    <x v="6"/>
    <x v="6"/>
    <n v="4803.3500000000004"/>
    <n v="327.39999999999998"/>
  </r>
  <r>
    <x v="6"/>
    <x v="7"/>
    <n v="4993.1880000000001"/>
    <n v="1778.9380000000001"/>
  </r>
  <r>
    <x v="6"/>
    <x v="8"/>
    <n v="4525.8130000000001"/>
    <n v="3994.5250000000001"/>
  </r>
  <r>
    <x v="6"/>
    <x v="9"/>
    <n v="3707.1880000000001"/>
    <n v="5784.4880000000003"/>
  </r>
  <r>
    <x v="6"/>
    <x v="10"/>
    <n v="3536.3629999999998"/>
    <n v="7371.8379999999997"/>
  </r>
  <r>
    <x v="6"/>
    <x v="11"/>
    <n v="3839.4250000000002"/>
    <n v="7463.9750000000004"/>
  </r>
  <r>
    <x v="6"/>
    <x v="12"/>
    <n v="4186.2"/>
    <n v="7302.5"/>
  </r>
  <r>
    <x v="6"/>
    <x v="13"/>
    <n v="3318.25"/>
    <n v="7102.75"/>
  </r>
  <r>
    <x v="6"/>
    <x v="14"/>
    <n v="2636.8879999999999"/>
    <n v="6636.6"/>
  </r>
  <r>
    <x v="6"/>
    <x v="15"/>
    <n v="2253.6999999999998"/>
    <n v="5685.6880000000001"/>
  </r>
  <r>
    <x v="6"/>
    <x v="16"/>
    <n v="1804.35"/>
    <n v="5050.8500000000004"/>
  </r>
  <r>
    <x v="6"/>
    <x v="17"/>
    <n v="1486.4749999999999"/>
    <n v="3331.9630000000002"/>
  </r>
  <r>
    <x v="6"/>
    <x v="18"/>
    <n v="1384"/>
    <n v="1437.3"/>
  </r>
  <r>
    <x v="6"/>
    <x v="19"/>
    <n v="1703.15"/>
    <n v="184.92500000000001"/>
  </r>
  <r>
    <x v="6"/>
    <x v="20"/>
    <n v="2095.3249999999998"/>
    <n v="0"/>
  </r>
  <r>
    <x v="6"/>
    <x v="21"/>
    <n v="2056.4380000000001"/>
    <n v="0"/>
  </r>
  <r>
    <x v="6"/>
    <x v="22"/>
    <n v="2193.1750000000002"/>
    <n v="0"/>
  </r>
  <r>
    <x v="6"/>
    <x v="23"/>
    <n v="2213.663"/>
    <n v="0"/>
  </r>
  <r>
    <x v="7"/>
    <x v="0"/>
    <n v="2449.7379999999998"/>
    <n v="0"/>
  </r>
  <r>
    <x v="7"/>
    <x v="1"/>
    <n v="2901.4879999999998"/>
    <n v="0"/>
  </r>
  <r>
    <x v="7"/>
    <x v="2"/>
    <n v="3262.35"/>
    <n v="0"/>
  </r>
  <r>
    <x v="7"/>
    <x v="3"/>
    <n v="3337.75"/>
    <n v="0"/>
  </r>
  <r>
    <x v="7"/>
    <x v="4"/>
    <n v="3526.95"/>
    <n v="0"/>
  </r>
  <r>
    <x v="7"/>
    <x v="5"/>
    <n v="3359.0880000000002"/>
    <n v="5.45"/>
  </r>
  <r>
    <x v="7"/>
    <x v="6"/>
    <n v="3238.2379999999998"/>
    <n v="252.85"/>
  </r>
  <r>
    <x v="7"/>
    <x v="7"/>
    <n v="2777.2130000000002"/>
    <n v="1385.5250000000001"/>
  </r>
  <r>
    <x v="7"/>
    <x v="8"/>
    <n v="2223.1379999999999"/>
    <n v="3341.9250000000002"/>
  </r>
  <r>
    <x v="7"/>
    <x v="9"/>
    <n v="1588.538"/>
    <n v="5432.875"/>
  </r>
  <r>
    <x v="7"/>
    <x v="10"/>
    <n v="915.98800000000006"/>
    <n v="7068.7129999999997"/>
  </r>
  <r>
    <x v="7"/>
    <x v="11"/>
    <n v="832.625"/>
    <n v="8205.9"/>
  </r>
  <r>
    <x v="7"/>
    <x v="12"/>
    <n v="892.85"/>
    <n v="8629.9750000000004"/>
  </r>
  <r>
    <x v="7"/>
    <x v="13"/>
    <n v="870.73800000000006"/>
    <n v="8919.8880000000008"/>
  </r>
  <r>
    <x v="7"/>
    <x v="14"/>
    <n v="959.05"/>
    <n v="8460.6630000000005"/>
  </r>
  <r>
    <x v="7"/>
    <x v="15"/>
    <n v="1044.413"/>
    <n v="7095.7250000000004"/>
  </r>
  <r>
    <x v="7"/>
    <x v="16"/>
    <n v="1297.075"/>
    <n v="5410.875"/>
  </r>
  <r>
    <x v="7"/>
    <x v="17"/>
    <n v="1413.0630000000001"/>
    <n v="3017.8629999999998"/>
  </r>
  <r>
    <x v="7"/>
    <x v="18"/>
    <n v="1538.7249999999999"/>
    <n v="1106.213"/>
  </r>
  <r>
    <x v="7"/>
    <x v="19"/>
    <n v="1852.038"/>
    <n v="256.01299999999998"/>
  </r>
  <r>
    <x v="7"/>
    <x v="20"/>
    <n v="2617.7249999999999"/>
    <n v="0"/>
  </r>
  <r>
    <x v="7"/>
    <x v="21"/>
    <n v="3282.9"/>
    <n v="0"/>
  </r>
  <r>
    <x v="7"/>
    <x v="22"/>
    <n v="3672.3"/>
    <n v="0"/>
  </r>
  <r>
    <x v="7"/>
    <x v="23"/>
    <n v="3816.875"/>
    <n v="0"/>
  </r>
  <r>
    <x v="8"/>
    <x v="0"/>
    <n v="3853.125"/>
    <n v="0"/>
  </r>
  <r>
    <x v="8"/>
    <x v="1"/>
    <n v="3738.3249999999998"/>
    <n v="0"/>
  </r>
  <r>
    <x v="8"/>
    <x v="2"/>
    <n v="3232.5749999999998"/>
    <n v="0"/>
  </r>
  <r>
    <x v="8"/>
    <x v="3"/>
    <n v="2819.7629999999999"/>
    <n v="0"/>
  </r>
  <r>
    <x v="8"/>
    <x v="4"/>
    <n v="2528.3130000000001"/>
    <n v="0"/>
  </r>
  <r>
    <x v="8"/>
    <x v="5"/>
    <n v="2277.6129999999998"/>
    <n v="49.713000000000001"/>
  </r>
  <r>
    <x v="8"/>
    <x v="6"/>
    <n v="1961.788"/>
    <n v="451.45"/>
  </r>
  <r>
    <x v="8"/>
    <x v="7"/>
    <n v="1698.2750000000001"/>
    <n v="1940.575"/>
  </r>
  <r>
    <x v="8"/>
    <x v="8"/>
    <n v="1245.0999999999999"/>
    <n v="4466.875"/>
  </r>
  <r>
    <x v="8"/>
    <x v="9"/>
    <n v="799.86300000000006"/>
    <n v="7182.9750000000004"/>
  </r>
  <r>
    <x v="8"/>
    <x v="10"/>
    <n v="671"/>
    <n v="8564.7250000000004"/>
  </r>
  <r>
    <x v="8"/>
    <x v="11"/>
    <n v="777.7"/>
    <n v="9683.5750000000007"/>
  </r>
  <r>
    <x v="8"/>
    <x v="12"/>
    <n v="1114.325"/>
    <n v="10529.963"/>
  </r>
  <r>
    <x v="8"/>
    <x v="13"/>
    <n v="1516.713"/>
    <n v="10167.013000000001"/>
  </r>
  <r>
    <x v="8"/>
    <x v="14"/>
    <n v="1790.7249999999999"/>
    <n v="9447.0249999999996"/>
  </r>
  <r>
    <x v="8"/>
    <x v="15"/>
    <n v="2123.25"/>
    <n v="8104.0129999999999"/>
  </r>
  <r>
    <x v="8"/>
    <x v="16"/>
    <n v="2324.5630000000001"/>
    <n v="5836.4750000000004"/>
  </r>
  <r>
    <x v="8"/>
    <x v="17"/>
    <n v="2379.5500000000002"/>
    <n v="3212.9879999999998"/>
  </r>
  <r>
    <x v="8"/>
    <x v="18"/>
    <n v="2677.45"/>
    <n v="1144.95"/>
  </r>
  <r>
    <x v="8"/>
    <x v="19"/>
    <n v="3303.875"/>
    <n v="249.01300000000001"/>
  </r>
  <r>
    <x v="8"/>
    <x v="20"/>
    <n v="4048.4630000000002"/>
    <n v="0"/>
  </r>
  <r>
    <x v="8"/>
    <x v="21"/>
    <n v="4693.8379999999997"/>
    <n v="0"/>
  </r>
  <r>
    <x v="8"/>
    <x v="22"/>
    <n v="5564.8"/>
    <n v="0"/>
  </r>
  <r>
    <x v="8"/>
    <x v="23"/>
    <n v="5323.7250000000004"/>
    <n v="0"/>
  </r>
  <r>
    <x v="9"/>
    <x v="0"/>
    <n v="4951.875"/>
    <n v="0"/>
  </r>
  <r>
    <x v="9"/>
    <x v="1"/>
    <n v="4908.4129999999996"/>
    <n v="0"/>
  </r>
  <r>
    <x v="9"/>
    <x v="2"/>
    <n v="4634.95"/>
    <n v="0"/>
  </r>
  <r>
    <x v="9"/>
    <x v="3"/>
    <n v="4623.1130000000003"/>
    <n v="0"/>
  </r>
  <r>
    <x v="9"/>
    <x v="4"/>
    <n v="4552.6379999999999"/>
    <n v="0"/>
  </r>
  <r>
    <x v="9"/>
    <x v="5"/>
    <n v="4404.45"/>
    <n v="51.438000000000002"/>
  </r>
  <r>
    <x v="9"/>
    <x v="6"/>
    <n v="4126.7879999999996"/>
    <n v="383.1"/>
  </r>
  <r>
    <x v="9"/>
    <x v="7"/>
    <n v="4069.15"/>
    <n v="1176.413"/>
  </r>
  <r>
    <x v="9"/>
    <x v="8"/>
    <n v="3913.0250000000001"/>
    <n v="2085.15"/>
  </r>
  <r>
    <x v="9"/>
    <x v="9"/>
    <n v="3838.6750000000002"/>
    <n v="2938.3380000000002"/>
  </r>
  <r>
    <x v="9"/>
    <x v="10"/>
    <n v="4091.8629999999998"/>
    <n v="4072.788"/>
  </r>
  <r>
    <x v="9"/>
    <x v="11"/>
    <n v="4197.125"/>
    <n v="4948.7"/>
  </r>
  <r>
    <x v="9"/>
    <x v="12"/>
    <n v="4160.1499999999996"/>
    <n v="5479.7250000000004"/>
  </r>
  <r>
    <x v="9"/>
    <x v="13"/>
    <n v="3900.95"/>
    <n v="5619"/>
  </r>
  <r>
    <x v="9"/>
    <x v="14"/>
    <n v="3837.4250000000002"/>
    <n v="5315.4250000000002"/>
  </r>
  <r>
    <x v="9"/>
    <x v="15"/>
    <n v="3739.0630000000001"/>
    <n v="4515.6379999999999"/>
  </r>
  <r>
    <x v="9"/>
    <x v="16"/>
    <n v="3906.1750000000002"/>
    <n v="3256.5880000000002"/>
  </r>
  <r>
    <x v="9"/>
    <x v="17"/>
    <n v="3960.7629999999999"/>
    <n v="1974.6130000000001"/>
  </r>
  <r>
    <x v="9"/>
    <x v="18"/>
    <n v="3623.4250000000002"/>
    <n v="886.15"/>
  </r>
  <r>
    <x v="9"/>
    <x v="19"/>
    <n v="3358"/>
    <n v="246.68799999999999"/>
  </r>
  <r>
    <x v="9"/>
    <x v="20"/>
    <n v="2812.4630000000002"/>
    <n v="0"/>
  </r>
  <r>
    <x v="9"/>
    <x v="21"/>
    <n v="2481.4879999999998"/>
    <n v="0"/>
  </r>
  <r>
    <x v="9"/>
    <x v="22"/>
    <n v="2211.875"/>
    <n v="0"/>
  </r>
  <r>
    <x v="9"/>
    <x v="23"/>
    <n v="1934.45"/>
    <n v="0"/>
  </r>
  <r>
    <x v="10"/>
    <x v="0"/>
    <n v="1638.913"/>
    <n v="0"/>
  </r>
  <r>
    <x v="10"/>
    <x v="1"/>
    <n v="1527.213"/>
    <n v="0"/>
  </r>
  <r>
    <x v="10"/>
    <x v="2"/>
    <n v="1750.7380000000001"/>
    <n v="0"/>
  </r>
  <r>
    <x v="10"/>
    <x v="3"/>
    <n v="1987.7750000000001"/>
    <n v="0"/>
  </r>
  <r>
    <x v="10"/>
    <x v="4"/>
    <n v="2160.15"/>
    <n v="0"/>
  </r>
  <r>
    <x v="10"/>
    <x v="5"/>
    <n v="2402.913"/>
    <n v="88.174999999999997"/>
  </r>
  <r>
    <x v="10"/>
    <x v="6"/>
    <n v="2549.5880000000002"/>
    <n v="582.45000000000005"/>
  </r>
  <r>
    <x v="10"/>
    <x v="7"/>
    <n v="2267.6880000000001"/>
    <n v="2271.6"/>
  </r>
  <r>
    <x v="10"/>
    <x v="8"/>
    <n v="1581.6"/>
    <n v="5042.7749999999996"/>
  </r>
  <r>
    <x v="10"/>
    <x v="9"/>
    <n v="1755.35"/>
    <n v="7490.9129999999996"/>
  </r>
  <r>
    <x v="10"/>
    <x v="10"/>
    <n v="2822.663"/>
    <n v="9037.7749999999996"/>
  </r>
  <r>
    <x v="10"/>
    <x v="11"/>
    <n v="3507.3879999999999"/>
    <n v="9569.2880000000005"/>
  </r>
  <r>
    <x v="10"/>
    <x v="12"/>
    <n v="3629.288"/>
    <n v="8547.5249999999996"/>
  </r>
  <r>
    <x v="10"/>
    <x v="13"/>
    <n v="3533.5749999999998"/>
    <n v="8090.6"/>
  </r>
  <r>
    <x v="10"/>
    <x v="14"/>
    <n v="3454.413"/>
    <n v="7545.5749999999998"/>
  </r>
  <r>
    <x v="10"/>
    <x v="15"/>
    <n v="3591.6129999999998"/>
    <n v="6990.2250000000004"/>
  </r>
  <r>
    <x v="10"/>
    <x v="16"/>
    <n v="3269.375"/>
    <n v="5827.9629999999997"/>
  </r>
  <r>
    <x v="10"/>
    <x v="17"/>
    <n v="2779.7249999999999"/>
    <n v="3712.3249999999998"/>
  </r>
  <r>
    <x v="10"/>
    <x v="18"/>
    <n v="2522.7629999999999"/>
    <n v="1590.8"/>
  </r>
  <r>
    <x v="10"/>
    <x v="19"/>
    <n v="2597.7249999999999"/>
    <n v="252.31299999999999"/>
  </r>
  <r>
    <x v="10"/>
    <x v="20"/>
    <n v="2912.288"/>
    <n v="0"/>
  </r>
  <r>
    <x v="10"/>
    <x v="21"/>
    <n v="2870.375"/>
    <n v="0"/>
  </r>
  <r>
    <x v="10"/>
    <x v="22"/>
    <n v="2862.6129999999998"/>
    <n v="0"/>
  </r>
  <r>
    <x v="10"/>
    <x v="23"/>
    <n v="3080.8629999999998"/>
    <n v="0"/>
  </r>
  <r>
    <x v="11"/>
    <x v="0"/>
    <n v="3101.038"/>
    <n v="0"/>
  </r>
  <r>
    <x v="11"/>
    <x v="1"/>
    <n v="3173.8380000000002"/>
    <n v="0"/>
  </r>
  <r>
    <x v="11"/>
    <x v="2"/>
    <n v="3074.85"/>
    <n v="0"/>
  </r>
  <r>
    <x v="11"/>
    <x v="3"/>
    <n v="2967.7"/>
    <n v="0"/>
  </r>
  <r>
    <x v="11"/>
    <x v="4"/>
    <n v="2681.7750000000001"/>
    <n v="0"/>
  </r>
  <r>
    <x v="11"/>
    <x v="5"/>
    <n v="2472.538"/>
    <n v="6.7"/>
  </r>
  <r>
    <x v="11"/>
    <x v="6"/>
    <n v="2407.9380000000001"/>
    <n v="319.18799999999999"/>
  </r>
  <r>
    <x v="11"/>
    <x v="7"/>
    <n v="2295.8380000000002"/>
    <n v="1527.6"/>
  </r>
  <r>
    <x v="11"/>
    <x v="8"/>
    <n v="1778.85"/>
    <n v="3144.538"/>
  </r>
  <r>
    <x v="11"/>
    <x v="9"/>
    <n v="1540.3130000000001"/>
    <n v="4851.7129999999997"/>
  </r>
  <r>
    <x v="11"/>
    <x v="10"/>
    <n v="1619.088"/>
    <n v="6000.0879999999997"/>
  </r>
  <r>
    <x v="11"/>
    <x v="11"/>
    <n v="2047.963"/>
    <n v="6624.1"/>
  </r>
  <r>
    <x v="11"/>
    <x v="12"/>
    <n v="2346.5500000000002"/>
    <n v="7019.0129999999999"/>
  </r>
  <r>
    <x v="11"/>
    <x v="13"/>
    <n v="2456.4749999999999"/>
    <n v="7136.65"/>
  </r>
  <r>
    <x v="11"/>
    <x v="14"/>
    <n v="2641.05"/>
    <n v="6773.8130000000001"/>
  </r>
  <r>
    <x v="11"/>
    <x v="15"/>
    <n v="2535.6999999999998"/>
    <n v="6178.1750000000002"/>
  </r>
  <r>
    <x v="11"/>
    <x v="16"/>
    <n v="2506.4250000000002"/>
    <n v="4660.6379999999999"/>
  </r>
  <r>
    <x v="11"/>
    <x v="17"/>
    <n v="2113.7629999999999"/>
    <n v="2813.1880000000001"/>
  </r>
  <r>
    <x v="11"/>
    <x v="18"/>
    <n v="1639.45"/>
    <n v="1075.4880000000001"/>
  </r>
  <r>
    <x v="11"/>
    <x v="19"/>
    <n v="1887.0630000000001"/>
    <n v="273.91300000000001"/>
  </r>
  <r>
    <x v="11"/>
    <x v="20"/>
    <n v="2483.0129999999999"/>
    <n v="0"/>
  </r>
  <r>
    <x v="11"/>
    <x v="21"/>
    <n v="3017.25"/>
    <n v="0"/>
  </r>
  <r>
    <x v="11"/>
    <x v="22"/>
    <n v="3583.2130000000002"/>
    <n v="0"/>
  </r>
  <r>
    <x v="11"/>
    <x v="23"/>
    <n v="4276.1000000000004"/>
    <n v="0"/>
  </r>
  <r>
    <x v="12"/>
    <x v="0"/>
    <n v="4388.3130000000001"/>
    <n v="0"/>
  </r>
  <r>
    <x v="12"/>
    <x v="1"/>
    <n v="4199.5129999999999"/>
    <n v="0"/>
  </r>
  <r>
    <x v="12"/>
    <x v="2"/>
    <n v="4164.5379999999996"/>
    <n v="0"/>
  </r>
  <r>
    <x v="12"/>
    <x v="3"/>
    <n v="3954.7750000000001"/>
    <n v="0"/>
  </r>
  <r>
    <x v="12"/>
    <x v="4"/>
    <n v="3833.3249999999998"/>
    <n v="0"/>
  </r>
  <r>
    <x v="12"/>
    <x v="5"/>
    <n v="3715.1750000000002"/>
    <n v="45.475000000000001"/>
  </r>
  <r>
    <x v="12"/>
    <x v="6"/>
    <n v="3703.163"/>
    <n v="473.51299999999998"/>
  </r>
  <r>
    <x v="12"/>
    <x v="7"/>
    <n v="3279.1"/>
    <n v="1814.3"/>
  </r>
  <r>
    <x v="12"/>
    <x v="8"/>
    <n v="3139.8"/>
    <n v="3936.6750000000002"/>
  </r>
  <r>
    <x v="12"/>
    <x v="9"/>
    <n v="3365.2249999999999"/>
    <n v="5956.6130000000003"/>
  </r>
  <r>
    <x v="12"/>
    <x v="10"/>
    <n v="3626.2379999999998"/>
    <n v="7713.0379999999996"/>
  </r>
  <r>
    <x v="12"/>
    <x v="11"/>
    <n v="3878.9630000000002"/>
    <n v="8376.7630000000008"/>
  </r>
  <r>
    <x v="12"/>
    <x v="12"/>
    <n v="4186.2879999999996"/>
    <n v="8718.6"/>
  </r>
  <r>
    <x v="12"/>
    <x v="13"/>
    <n v="4575.2629999999999"/>
    <n v="9145.2880000000005"/>
  </r>
  <r>
    <x v="12"/>
    <x v="14"/>
    <n v="4728.1379999999999"/>
    <n v="8144.0749999999998"/>
  </r>
  <r>
    <x v="12"/>
    <x v="15"/>
    <n v="4374.7879999999996"/>
    <n v="6291.4750000000004"/>
  </r>
  <r>
    <x v="12"/>
    <x v="16"/>
    <n v="3919.3249999999998"/>
    <n v="4863.9380000000001"/>
  </r>
  <r>
    <x v="12"/>
    <x v="17"/>
    <n v="3067.6880000000001"/>
    <n v="3051.0880000000002"/>
  </r>
  <r>
    <x v="12"/>
    <x v="18"/>
    <n v="1823"/>
    <n v="1224.5250000000001"/>
  </r>
  <r>
    <x v="12"/>
    <x v="19"/>
    <n v="1388.1880000000001"/>
    <n v="241.863"/>
  </r>
  <r>
    <x v="12"/>
    <x v="20"/>
    <n v="1684.8"/>
    <n v="0"/>
  </r>
  <r>
    <x v="12"/>
    <x v="21"/>
    <n v="2293.1379999999999"/>
    <n v="0"/>
  </r>
  <r>
    <x v="12"/>
    <x v="22"/>
    <n v="3020.6129999999998"/>
    <n v="0"/>
  </r>
  <r>
    <x v="12"/>
    <x v="23"/>
    <n v="3427.6"/>
    <n v="0"/>
  </r>
  <r>
    <x v="13"/>
    <x v="0"/>
    <n v="3845.3629999999998"/>
    <n v="0"/>
  </r>
  <r>
    <x v="13"/>
    <x v="1"/>
    <n v="4625.7749999999996"/>
    <n v="0"/>
  </r>
  <r>
    <x v="13"/>
    <x v="2"/>
    <n v="5458.9129999999996"/>
    <n v="0"/>
  </r>
  <r>
    <x v="13"/>
    <x v="3"/>
    <n v="5633.7629999999999"/>
    <n v="0"/>
  </r>
  <r>
    <x v="13"/>
    <x v="4"/>
    <n v="5972.5"/>
    <n v="0"/>
  </r>
  <r>
    <x v="13"/>
    <x v="5"/>
    <n v="6276"/>
    <n v="22.763000000000002"/>
  </r>
  <r>
    <x v="13"/>
    <x v="6"/>
    <n v="6597.65"/>
    <n v="393.1"/>
  </r>
  <r>
    <x v="13"/>
    <x v="7"/>
    <n v="6402.85"/>
    <n v="1521.95"/>
  </r>
  <r>
    <x v="13"/>
    <x v="8"/>
    <n v="6034.7129999999997"/>
    <n v="2818.1129999999998"/>
  </r>
  <r>
    <x v="13"/>
    <x v="9"/>
    <n v="6372.4250000000002"/>
    <n v="3986.95"/>
  </r>
  <r>
    <x v="13"/>
    <x v="10"/>
    <n v="6298.8379999999997"/>
    <n v="5170.5"/>
  </r>
  <r>
    <x v="13"/>
    <x v="11"/>
    <n v="6509.4380000000001"/>
    <n v="5239.8999999999996"/>
  </r>
  <r>
    <x v="13"/>
    <x v="12"/>
    <n v="6538.3"/>
    <n v="5970"/>
  </r>
  <r>
    <x v="13"/>
    <x v="13"/>
    <n v="6541.3379999999997"/>
    <n v="6004.3379999999997"/>
  </r>
  <r>
    <x v="13"/>
    <x v="14"/>
    <n v="6461.2"/>
    <n v="5506.875"/>
  </r>
  <r>
    <x v="13"/>
    <x v="15"/>
    <n v="6375.2129999999997"/>
    <n v="5212.8630000000003"/>
  </r>
  <r>
    <x v="13"/>
    <x v="16"/>
    <n v="6976.7380000000003"/>
    <n v="4309.4629999999997"/>
  </r>
  <r>
    <x v="13"/>
    <x v="17"/>
    <n v="6850.1880000000001"/>
    <n v="2943.1"/>
  </r>
  <r>
    <x v="13"/>
    <x v="18"/>
    <n v="6512.7129999999997"/>
    <n v="1639.95"/>
  </r>
  <r>
    <x v="13"/>
    <x v="19"/>
    <n v="5602.85"/>
    <n v="401.43799999999999"/>
  </r>
  <r>
    <x v="13"/>
    <x v="20"/>
    <n v="5012.5749999999998"/>
    <n v="0"/>
  </r>
  <r>
    <x v="13"/>
    <x v="21"/>
    <n v="4847.3879999999999"/>
    <n v="0"/>
  </r>
  <r>
    <x v="13"/>
    <x v="22"/>
    <n v="4398.375"/>
    <n v="0"/>
  </r>
  <r>
    <x v="13"/>
    <x v="23"/>
    <n v="3962.788"/>
    <n v="0"/>
  </r>
  <r>
    <x v="14"/>
    <x v="0"/>
    <n v="3412.875"/>
    <n v="0"/>
  </r>
  <r>
    <x v="14"/>
    <x v="1"/>
    <n v="2599.9250000000002"/>
    <n v="0"/>
  </r>
  <r>
    <x v="14"/>
    <x v="2"/>
    <n v="2349.8629999999998"/>
    <n v="0"/>
  </r>
  <r>
    <x v="14"/>
    <x v="3"/>
    <n v="2203.0880000000002"/>
    <n v="0"/>
  </r>
  <r>
    <x v="14"/>
    <x v="4"/>
    <n v="2138.9250000000002"/>
    <n v="0"/>
  </r>
  <r>
    <x v="14"/>
    <x v="5"/>
    <n v="2209.0880000000002"/>
    <n v="41.738"/>
  </r>
  <r>
    <x v="14"/>
    <x v="6"/>
    <n v="2132.9630000000002"/>
    <n v="265.21300000000002"/>
  </r>
  <r>
    <x v="14"/>
    <x v="7"/>
    <n v="1704.163"/>
    <n v="872.42499999999995"/>
  </r>
  <r>
    <x v="14"/>
    <x v="8"/>
    <n v="1390"/>
    <n v="2106.913"/>
  </r>
  <r>
    <x v="14"/>
    <x v="9"/>
    <n v="1246.6500000000001"/>
    <n v="4120.8879999999999"/>
  </r>
  <r>
    <x v="14"/>
    <x v="10"/>
    <n v="1263.1130000000001"/>
    <n v="5402.05"/>
  </r>
  <r>
    <x v="14"/>
    <x v="11"/>
    <n v="1257.0129999999999"/>
    <n v="6184.7879999999996"/>
  </r>
  <r>
    <x v="14"/>
    <x v="12"/>
    <n v="1076.1500000000001"/>
    <n v="6366.5379999999996"/>
  </r>
  <r>
    <x v="14"/>
    <x v="13"/>
    <n v="842.32500000000005"/>
    <n v="5958.9880000000003"/>
  </r>
  <r>
    <x v="14"/>
    <x v="14"/>
    <n v="685.6"/>
    <n v="5267.6379999999999"/>
  </r>
  <r>
    <x v="14"/>
    <x v="15"/>
    <n v="696.32500000000005"/>
    <n v="4558.4250000000002"/>
  </r>
  <r>
    <x v="14"/>
    <x v="16"/>
    <n v="668.73800000000006"/>
    <n v="3536.1129999999998"/>
  </r>
  <r>
    <x v="14"/>
    <x v="17"/>
    <n v="613.68799999999999"/>
    <n v="2229.5129999999999"/>
  </r>
  <r>
    <x v="14"/>
    <x v="18"/>
    <n v="666.21299999999997"/>
    <n v="1019.625"/>
  </r>
  <r>
    <x v="14"/>
    <x v="19"/>
    <n v="1073.825"/>
    <n v="275.10000000000002"/>
  </r>
  <r>
    <x v="14"/>
    <x v="20"/>
    <n v="1802.7750000000001"/>
    <n v="16.899999999999999"/>
  </r>
  <r>
    <x v="14"/>
    <x v="21"/>
    <n v="2176.7379999999998"/>
    <n v="0"/>
  </r>
  <r>
    <x v="14"/>
    <x v="22"/>
    <n v="2737.8380000000002"/>
    <n v="0"/>
  </r>
  <r>
    <x v="14"/>
    <x v="23"/>
    <n v="2771.35"/>
    <n v="0"/>
  </r>
  <r>
    <x v="15"/>
    <x v="0"/>
    <n v="3206.038"/>
    <n v="0"/>
  </r>
  <r>
    <x v="15"/>
    <x v="1"/>
    <n v="3041.5749999999998"/>
    <n v="0"/>
  </r>
  <r>
    <x v="15"/>
    <x v="2"/>
    <n v="3059.288"/>
    <n v="0"/>
  </r>
  <r>
    <x v="15"/>
    <x v="3"/>
    <n v="3767.3"/>
    <n v="0"/>
  </r>
  <r>
    <x v="15"/>
    <x v="4"/>
    <n v="4547.4629999999997"/>
    <n v="0"/>
  </r>
  <r>
    <x v="15"/>
    <x v="5"/>
    <n v="4833.8500000000004"/>
    <n v="54.274999999999999"/>
  </r>
  <r>
    <x v="15"/>
    <x v="6"/>
    <n v="5403.1750000000002"/>
    <n v="325.81299999999999"/>
  </r>
  <r>
    <x v="15"/>
    <x v="7"/>
    <n v="5836.0249999999996"/>
    <n v="1107.075"/>
  </r>
  <r>
    <x v="15"/>
    <x v="8"/>
    <n v="6202.0630000000001"/>
    <n v="2157.1129999999998"/>
  </r>
  <r>
    <x v="15"/>
    <x v="9"/>
    <n v="6557.2129999999997"/>
    <n v="3077.663"/>
  </r>
  <r>
    <x v="15"/>
    <x v="10"/>
    <n v="6800.7629999999999"/>
    <n v="4139.2"/>
  </r>
  <r>
    <x v="15"/>
    <x v="11"/>
    <n v="6714.5"/>
    <n v="4771.8879999999999"/>
  </r>
  <r>
    <x v="15"/>
    <x v="12"/>
    <n v="6545.4380000000001"/>
    <n v="5342.2749999999996"/>
  </r>
  <r>
    <x v="15"/>
    <x v="13"/>
    <n v="6455.5749999999998"/>
    <n v="5622.8379999999997"/>
  </r>
  <r>
    <x v="15"/>
    <x v="14"/>
    <n v="6052.4250000000002"/>
    <n v="5443.7629999999999"/>
  </r>
  <r>
    <x v="15"/>
    <x v="15"/>
    <n v="5514.3249999999998"/>
    <n v="4813.0129999999999"/>
  </r>
  <r>
    <x v="15"/>
    <x v="16"/>
    <n v="4683.6379999999999"/>
    <n v="3809.9879999999998"/>
  </r>
  <r>
    <x v="15"/>
    <x v="17"/>
    <n v="4193.0249999999996"/>
    <n v="2631.1880000000001"/>
  </r>
  <r>
    <x v="15"/>
    <x v="18"/>
    <n v="3605.6"/>
    <n v="1189.2750000000001"/>
  </r>
  <r>
    <x v="15"/>
    <x v="19"/>
    <n v="3165.8130000000001"/>
    <n v="346.08800000000002"/>
  </r>
  <r>
    <x v="15"/>
    <x v="20"/>
    <n v="3181.3629999999998"/>
    <n v="30.324999999999999"/>
  </r>
  <r>
    <x v="15"/>
    <x v="21"/>
    <n v="3564.0129999999999"/>
    <n v="0"/>
  </r>
  <r>
    <x v="15"/>
    <x v="22"/>
    <n v="3475.4250000000002"/>
    <n v="0"/>
  </r>
  <r>
    <x v="15"/>
    <x v="23"/>
    <n v="3159.6379999999999"/>
    <n v="0"/>
  </r>
  <r>
    <x v="16"/>
    <x v="0"/>
    <n v="2878.875"/>
    <n v="0"/>
  </r>
  <r>
    <x v="16"/>
    <x v="1"/>
    <n v="2527.9749999999999"/>
    <n v="0"/>
  </r>
  <r>
    <x v="16"/>
    <x v="2"/>
    <n v="2261.4"/>
    <n v="0"/>
  </r>
  <r>
    <x v="16"/>
    <x v="3"/>
    <n v="2010.65"/>
    <n v="0"/>
  </r>
  <r>
    <x v="16"/>
    <x v="4"/>
    <n v="2118.9250000000002"/>
    <n v="0"/>
  </r>
  <r>
    <x v="16"/>
    <x v="5"/>
    <n v="1950.7750000000001"/>
    <n v="93.263000000000005"/>
  </r>
  <r>
    <x v="16"/>
    <x v="6"/>
    <n v="1878.15"/>
    <n v="431.625"/>
  </r>
  <r>
    <x v="16"/>
    <x v="7"/>
    <n v="1701.65"/>
    <n v="1212.6379999999999"/>
  </r>
  <r>
    <x v="16"/>
    <x v="8"/>
    <n v="1884"/>
    <n v="2365.538"/>
  </r>
  <r>
    <x v="16"/>
    <x v="9"/>
    <n v="1902.7629999999999"/>
    <n v="3505.5129999999999"/>
  </r>
  <r>
    <x v="16"/>
    <x v="10"/>
    <n v="1701.713"/>
    <n v="4333.3999999999996"/>
  </r>
  <r>
    <x v="16"/>
    <x v="11"/>
    <n v="1613.3"/>
    <n v="4681.125"/>
  </r>
  <r>
    <x v="16"/>
    <x v="12"/>
    <n v="1565.875"/>
    <n v="4732.4629999999997"/>
  </r>
  <r>
    <x v="16"/>
    <x v="13"/>
    <n v="1509.5"/>
    <n v="4975.9250000000002"/>
  </r>
  <r>
    <x v="16"/>
    <x v="14"/>
    <n v="1533.288"/>
    <n v="4614.1130000000003"/>
  </r>
  <r>
    <x v="16"/>
    <x v="15"/>
    <n v="1480.588"/>
    <n v="4263.0129999999999"/>
  </r>
  <r>
    <x v="16"/>
    <x v="16"/>
    <n v="1392.4"/>
    <n v="3740.45"/>
  </r>
  <r>
    <x v="16"/>
    <x v="17"/>
    <n v="1282.713"/>
    <n v="2461.4499999999998"/>
  </r>
  <r>
    <x v="16"/>
    <x v="18"/>
    <n v="1154.8879999999999"/>
    <n v="1051.2380000000001"/>
  </r>
  <r>
    <x v="16"/>
    <x v="19"/>
    <n v="1046.0129999999999"/>
    <n v="227.42500000000001"/>
  </r>
  <r>
    <x v="16"/>
    <x v="20"/>
    <n v="924.46299999999997"/>
    <n v="5.5250000000000004"/>
  </r>
  <r>
    <x v="16"/>
    <x v="21"/>
    <n v="838.05"/>
    <n v="0"/>
  </r>
  <r>
    <x v="16"/>
    <x v="22"/>
    <n v="799.63800000000003"/>
    <n v="0"/>
  </r>
  <r>
    <x v="16"/>
    <x v="23"/>
    <n v="796.38800000000003"/>
    <n v="0"/>
  </r>
  <r>
    <x v="17"/>
    <x v="0"/>
    <n v="832.66300000000001"/>
    <n v="0"/>
  </r>
  <r>
    <x v="17"/>
    <x v="1"/>
    <n v="983.56299999999999"/>
    <n v="0"/>
  </r>
  <r>
    <x v="17"/>
    <x v="2"/>
    <n v="1133.9880000000001"/>
    <n v="0"/>
  </r>
  <r>
    <x v="17"/>
    <x v="3"/>
    <n v="1195.9000000000001"/>
    <n v="0"/>
  </r>
  <r>
    <x v="17"/>
    <x v="4"/>
    <n v="1108.713"/>
    <n v="0"/>
  </r>
  <r>
    <x v="17"/>
    <x v="5"/>
    <n v="1068.5250000000001"/>
    <n v="23.388000000000002"/>
  </r>
  <r>
    <x v="17"/>
    <x v="6"/>
    <n v="1048.038"/>
    <n v="454.05"/>
  </r>
  <r>
    <x v="17"/>
    <x v="7"/>
    <n v="944.56299999999999"/>
    <n v="1750.7380000000001"/>
  </r>
  <r>
    <x v="17"/>
    <x v="8"/>
    <n v="970.76300000000003"/>
    <n v="3414.125"/>
  </r>
  <r>
    <x v="17"/>
    <x v="9"/>
    <n v="1167.2750000000001"/>
    <n v="4769.3879999999999"/>
  </r>
  <r>
    <x v="17"/>
    <x v="10"/>
    <n v="1420.288"/>
    <n v="5606.7380000000003"/>
  </r>
  <r>
    <x v="17"/>
    <x v="11"/>
    <n v="1610.7629999999999"/>
    <n v="6108"/>
  </r>
  <r>
    <x v="17"/>
    <x v="12"/>
    <n v="1773.963"/>
    <n v="6099.8630000000003"/>
  </r>
  <r>
    <x v="17"/>
    <x v="13"/>
    <n v="2041.9380000000001"/>
    <n v="5979.2129999999997"/>
  </r>
  <r>
    <x v="17"/>
    <x v="14"/>
    <n v="2218.8000000000002"/>
    <n v="6035.7380000000003"/>
  </r>
  <r>
    <x v="17"/>
    <x v="15"/>
    <n v="2332.3249999999998"/>
    <n v="5759.7879999999996"/>
  </r>
  <r>
    <x v="17"/>
    <x v="16"/>
    <n v="2170.6750000000002"/>
    <n v="4938.2129999999997"/>
  </r>
  <r>
    <x v="17"/>
    <x v="17"/>
    <n v="1907.463"/>
    <n v="3262.375"/>
  </r>
  <r>
    <x v="17"/>
    <x v="18"/>
    <n v="1663.9749999999999"/>
    <n v="1365.9"/>
  </r>
  <r>
    <x v="17"/>
    <x v="19"/>
    <n v="1374.0630000000001"/>
    <n v="343.58800000000002"/>
  </r>
  <r>
    <x v="17"/>
    <x v="20"/>
    <n v="1570.6880000000001"/>
    <n v="9.7750000000000004"/>
  </r>
  <r>
    <x v="17"/>
    <x v="21"/>
    <n v="1720.0129999999999"/>
    <n v="0"/>
  </r>
  <r>
    <x v="17"/>
    <x v="22"/>
    <n v="1954.838"/>
    <n v="0"/>
  </r>
  <r>
    <x v="17"/>
    <x v="23"/>
    <n v="2022.1880000000001"/>
    <n v="0"/>
  </r>
  <r>
    <x v="18"/>
    <x v="0"/>
    <n v="2147.4"/>
    <n v="0"/>
  </r>
  <r>
    <x v="18"/>
    <x v="1"/>
    <n v="2305.1999999999998"/>
    <n v="0"/>
  </r>
  <r>
    <x v="18"/>
    <x v="2"/>
    <n v="2501.9630000000002"/>
    <n v="0"/>
  </r>
  <r>
    <x v="18"/>
    <x v="3"/>
    <n v="2833.625"/>
    <n v="0"/>
  </r>
  <r>
    <x v="18"/>
    <x v="4"/>
    <n v="2877.9630000000002"/>
    <n v="0"/>
  </r>
  <r>
    <x v="18"/>
    <x v="5"/>
    <n v="2784.9879999999998"/>
    <n v="132.125"/>
  </r>
  <r>
    <x v="18"/>
    <x v="6"/>
    <n v="2484.5250000000001"/>
    <n v="723.76300000000003"/>
  </r>
  <r>
    <x v="18"/>
    <x v="7"/>
    <n v="2028.2380000000001"/>
    <n v="2284.4250000000002"/>
  </r>
  <r>
    <x v="18"/>
    <x v="8"/>
    <n v="1521.088"/>
    <n v="4433.2749999999996"/>
  </r>
  <r>
    <x v="18"/>
    <x v="9"/>
    <n v="1461.3130000000001"/>
    <n v="6028.0379999999996"/>
  </r>
  <r>
    <x v="18"/>
    <x v="10"/>
    <n v="1696.35"/>
    <n v="6467.6880000000001"/>
  </r>
  <r>
    <x v="18"/>
    <x v="11"/>
    <n v="1765.338"/>
    <n v="6435.5630000000001"/>
  </r>
  <r>
    <x v="18"/>
    <x v="12"/>
    <n v="1944.213"/>
    <n v="6565.6130000000003"/>
  </r>
  <r>
    <x v="18"/>
    <x v="13"/>
    <n v="1947.65"/>
    <n v="6601.0379999999996"/>
  </r>
  <r>
    <x v="18"/>
    <x v="14"/>
    <n v="1829.925"/>
    <n v="5915.05"/>
  </r>
  <r>
    <x v="18"/>
    <x v="15"/>
    <n v="1870.1379999999999"/>
    <n v="4890.9750000000004"/>
  </r>
  <r>
    <x v="18"/>
    <x v="16"/>
    <n v="1758.125"/>
    <n v="3690.0129999999999"/>
  </r>
  <r>
    <x v="18"/>
    <x v="17"/>
    <n v="1628.6379999999999"/>
    <n v="2319.663"/>
  </r>
  <r>
    <x v="18"/>
    <x v="18"/>
    <n v="1580.4749999999999"/>
    <n v="1186.9000000000001"/>
  </r>
  <r>
    <x v="18"/>
    <x v="19"/>
    <n v="1403.1880000000001"/>
    <n v="457.76299999999998"/>
  </r>
  <r>
    <x v="18"/>
    <x v="20"/>
    <n v="1497.7249999999999"/>
    <n v="12.788"/>
  </r>
  <r>
    <x v="18"/>
    <x v="21"/>
    <n v="1671.663"/>
    <n v="0"/>
  </r>
  <r>
    <x v="18"/>
    <x v="22"/>
    <n v="1720.963"/>
    <n v="0"/>
  </r>
  <r>
    <x v="18"/>
    <x v="23"/>
    <n v="1723.9"/>
    <n v="0"/>
  </r>
  <r>
    <x v="19"/>
    <x v="0"/>
    <n v="1948.213"/>
    <n v="0"/>
  </r>
  <r>
    <x v="19"/>
    <x v="1"/>
    <n v="2266.5630000000001"/>
    <n v="0"/>
  </r>
  <r>
    <x v="19"/>
    <x v="2"/>
    <n v="2522.8130000000001"/>
    <n v="0"/>
  </r>
  <r>
    <x v="19"/>
    <x v="3"/>
    <n v="2655.8879999999999"/>
    <n v="0"/>
  </r>
  <r>
    <x v="19"/>
    <x v="4"/>
    <n v="2681.55"/>
    <n v="0"/>
  </r>
  <r>
    <x v="19"/>
    <x v="5"/>
    <n v="2601.2750000000001"/>
    <n v="260.22500000000002"/>
  </r>
  <r>
    <x v="19"/>
    <x v="6"/>
    <n v="2638.5749999999998"/>
    <n v="681.01300000000003"/>
  </r>
  <r>
    <x v="19"/>
    <x v="7"/>
    <n v="2693.7379999999998"/>
    <n v="1367.7249999999999"/>
  </r>
  <r>
    <x v="19"/>
    <x v="8"/>
    <n v="2936.288"/>
    <n v="2244.9879999999998"/>
  </r>
  <r>
    <x v="19"/>
    <x v="9"/>
    <n v="3229.1880000000001"/>
    <n v="3289.05"/>
  </r>
  <r>
    <x v="19"/>
    <x v="10"/>
    <n v="3333.2750000000001"/>
    <n v="3780.8"/>
  </r>
  <r>
    <x v="19"/>
    <x v="11"/>
    <n v="3592.125"/>
    <n v="4266.5379999999996"/>
  </r>
  <r>
    <x v="19"/>
    <x v="12"/>
    <n v="3842.413"/>
    <n v="4328.0379999999996"/>
  </r>
  <r>
    <x v="19"/>
    <x v="13"/>
    <n v="3900.3380000000002"/>
    <n v="4282.625"/>
  </r>
  <r>
    <x v="19"/>
    <x v="14"/>
    <n v="3871.4879999999998"/>
    <n v="3939.6"/>
  </r>
  <r>
    <x v="19"/>
    <x v="15"/>
    <n v="3587.1880000000001"/>
    <n v="3408.8380000000002"/>
  </r>
  <r>
    <x v="19"/>
    <x v="16"/>
    <n v="3293.0129999999999"/>
    <n v="2702.4749999999999"/>
  </r>
  <r>
    <x v="19"/>
    <x v="17"/>
    <n v="2748.3879999999999"/>
    <n v="1841.338"/>
  </r>
  <r>
    <x v="19"/>
    <x v="18"/>
    <n v="2197.9250000000002"/>
    <n v="893.51300000000003"/>
  </r>
  <r>
    <x v="19"/>
    <x v="19"/>
    <n v="1794.8130000000001"/>
    <n v="211.27500000000001"/>
  </r>
  <r>
    <x v="19"/>
    <x v="20"/>
    <n v="1357.075"/>
    <n v="6.0880000000000001"/>
  </r>
  <r>
    <x v="19"/>
    <x v="21"/>
    <n v="1288.213"/>
    <n v="0"/>
  </r>
  <r>
    <x v="19"/>
    <x v="22"/>
    <n v="1273.3630000000001"/>
    <n v="0"/>
  </r>
  <r>
    <x v="19"/>
    <x v="23"/>
    <n v="1262.5250000000001"/>
    <n v="0"/>
  </r>
  <r>
    <x v="20"/>
    <x v="0"/>
    <n v="1398.838"/>
    <n v="0"/>
  </r>
  <r>
    <x v="20"/>
    <x v="1"/>
    <n v="1532.7249999999999"/>
    <n v="0"/>
  </r>
  <r>
    <x v="20"/>
    <x v="2"/>
    <n v="1704.1880000000001"/>
    <n v="0"/>
  </r>
  <r>
    <x v="20"/>
    <x v="3"/>
    <n v="1849.1"/>
    <n v="0"/>
  </r>
  <r>
    <x v="20"/>
    <x v="4"/>
    <n v="1937.375"/>
    <n v="0"/>
  </r>
  <r>
    <x v="20"/>
    <x v="5"/>
    <n v="2067.2629999999999"/>
    <n v="38.700000000000003"/>
  </r>
  <r>
    <x v="20"/>
    <x v="6"/>
    <n v="2184.8380000000002"/>
    <n v="474.45"/>
  </r>
  <r>
    <x v="20"/>
    <x v="7"/>
    <n v="1934.588"/>
    <n v="1766.1880000000001"/>
  </r>
  <r>
    <x v="20"/>
    <x v="8"/>
    <n v="1946.1130000000001"/>
    <n v="3378.413"/>
  </r>
  <r>
    <x v="20"/>
    <x v="9"/>
    <n v="2419.8380000000002"/>
    <n v="4721.9629999999997"/>
  </r>
  <r>
    <x v="20"/>
    <x v="10"/>
    <n v="2898.95"/>
    <n v="5160.4629999999997"/>
  </r>
  <r>
    <x v="20"/>
    <x v="11"/>
    <n v="3274.163"/>
    <n v="5038.2629999999999"/>
  </r>
  <r>
    <x v="20"/>
    <x v="12"/>
    <n v="3595.8380000000002"/>
    <n v="4713.7879999999996"/>
  </r>
  <r>
    <x v="20"/>
    <x v="13"/>
    <n v="3973.15"/>
    <n v="4531.9250000000002"/>
  </r>
  <r>
    <x v="20"/>
    <x v="14"/>
    <n v="4240.5249999999996"/>
    <n v="4170.3500000000004"/>
  </r>
  <r>
    <x v="20"/>
    <x v="15"/>
    <n v="4450.5879999999997"/>
    <n v="3515.0630000000001"/>
  </r>
  <r>
    <x v="20"/>
    <x v="16"/>
    <n v="4511.9629999999997"/>
    <n v="2743.9879999999998"/>
  </r>
  <r>
    <x v="20"/>
    <x v="17"/>
    <n v="4392.3630000000003"/>
    <n v="1887.788"/>
  </r>
  <r>
    <x v="20"/>
    <x v="18"/>
    <n v="4057.6880000000001"/>
    <n v="909.85"/>
  </r>
  <r>
    <x v="20"/>
    <x v="19"/>
    <n v="3567.875"/>
    <n v="212.28800000000001"/>
  </r>
  <r>
    <x v="20"/>
    <x v="20"/>
    <n v="3013.4380000000001"/>
    <n v="6.1"/>
  </r>
  <r>
    <x v="20"/>
    <x v="21"/>
    <n v="2788.8130000000001"/>
    <n v="0"/>
  </r>
  <r>
    <x v="20"/>
    <x v="22"/>
    <n v="2913.0880000000002"/>
    <n v="0"/>
  </r>
  <r>
    <x v="20"/>
    <x v="23"/>
    <n v="2756.2"/>
    <n v="0"/>
  </r>
  <r>
    <x v="21"/>
    <x v="0"/>
    <n v="2444.663"/>
    <n v="0"/>
  </r>
  <r>
    <x v="21"/>
    <x v="1"/>
    <n v="2285.6880000000001"/>
    <n v="0"/>
  </r>
  <r>
    <x v="21"/>
    <x v="2"/>
    <n v="2196.663"/>
    <n v="0"/>
  </r>
  <r>
    <x v="21"/>
    <x v="3"/>
    <n v="2105.1379999999999"/>
    <n v="0"/>
  </r>
  <r>
    <x v="21"/>
    <x v="4"/>
    <n v="2107.9250000000002"/>
    <n v="0"/>
  </r>
  <r>
    <x v="21"/>
    <x v="5"/>
    <n v="2172.9380000000001"/>
    <n v="56.024999999999999"/>
  </r>
  <r>
    <x v="21"/>
    <x v="6"/>
    <n v="2164.1129999999998"/>
    <n v="442.78800000000001"/>
  </r>
  <r>
    <x v="21"/>
    <x v="7"/>
    <n v="2141"/>
    <n v="1446.9"/>
  </r>
  <r>
    <x v="21"/>
    <x v="8"/>
    <n v="2122.288"/>
    <n v="2735.5880000000002"/>
  </r>
  <r>
    <x v="21"/>
    <x v="9"/>
    <n v="2205.788"/>
    <n v="3847.4630000000002"/>
  </r>
  <r>
    <x v="21"/>
    <x v="10"/>
    <n v="2236.8130000000001"/>
    <n v="4368.1379999999999"/>
  </r>
  <r>
    <x v="21"/>
    <x v="11"/>
    <n v="2309.5500000000002"/>
    <n v="4245.9380000000001"/>
  </r>
  <r>
    <x v="21"/>
    <x v="12"/>
    <n v="2168.6129999999998"/>
    <n v="4059.038"/>
  </r>
  <r>
    <x v="21"/>
    <x v="13"/>
    <n v="2051.375"/>
    <n v="3880.1750000000002"/>
  </r>
  <r>
    <x v="21"/>
    <x v="14"/>
    <n v="1815.825"/>
    <n v="3558.1129999999998"/>
  </r>
  <r>
    <x v="21"/>
    <x v="15"/>
    <n v="1594.1379999999999"/>
    <n v="3103.875"/>
  </r>
  <r>
    <x v="21"/>
    <x v="16"/>
    <n v="1369.25"/>
    <n v="2497.6129999999998"/>
  </r>
  <r>
    <x v="21"/>
    <x v="17"/>
    <n v="1099.7249999999999"/>
    <n v="1671.1130000000001"/>
  </r>
  <r>
    <x v="21"/>
    <x v="18"/>
    <n v="862.26300000000003"/>
    <n v="807.27499999999998"/>
  </r>
  <r>
    <x v="21"/>
    <x v="19"/>
    <n v="603.875"/>
    <n v="205.08799999999999"/>
  </r>
  <r>
    <x v="21"/>
    <x v="20"/>
    <n v="531.21299999999997"/>
    <n v="38.024999999999999"/>
  </r>
  <r>
    <x v="21"/>
    <x v="21"/>
    <n v="493.91300000000001"/>
    <n v="0"/>
  </r>
  <r>
    <x v="21"/>
    <x v="22"/>
    <n v="434.97500000000002"/>
    <n v="0"/>
  </r>
  <r>
    <x v="21"/>
    <x v="23"/>
    <n v="443.738"/>
    <n v="0"/>
  </r>
  <r>
    <x v="22"/>
    <x v="0"/>
    <n v="421.71300000000002"/>
    <n v="0"/>
  </r>
  <r>
    <x v="22"/>
    <x v="1"/>
    <n v="421.41300000000001"/>
    <n v="0"/>
  </r>
  <r>
    <x v="22"/>
    <x v="2"/>
    <n v="424.32499999999999"/>
    <n v="0"/>
  </r>
  <r>
    <x v="22"/>
    <x v="3"/>
    <n v="475.82499999999999"/>
    <n v="0"/>
  </r>
  <r>
    <x v="22"/>
    <x v="4"/>
    <n v="548.22500000000002"/>
    <n v="0"/>
  </r>
  <r>
    <x v="22"/>
    <x v="5"/>
    <n v="646.76300000000003"/>
    <n v="66.75"/>
  </r>
  <r>
    <x v="22"/>
    <x v="6"/>
    <n v="730.15"/>
    <n v="624.79999999999995"/>
  </r>
  <r>
    <x v="22"/>
    <x v="7"/>
    <n v="611.51300000000003"/>
    <n v="2220.038"/>
  </r>
  <r>
    <x v="22"/>
    <x v="8"/>
    <n v="560.81299999999999"/>
    <n v="4509.7629999999999"/>
  </r>
  <r>
    <x v="22"/>
    <x v="9"/>
    <n v="604.07500000000005"/>
    <n v="6009.375"/>
  </r>
  <r>
    <x v="22"/>
    <x v="10"/>
    <n v="771.81299999999999"/>
    <n v="6756.8130000000001"/>
  </r>
  <r>
    <x v="22"/>
    <x v="11"/>
    <n v="884"/>
    <n v="6561.5379999999996"/>
  </r>
  <r>
    <x v="22"/>
    <x v="12"/>
    <n v="869.46299999999997"/>
    <n v="6942.3130000000001"/>
  </r>
  <r>
    <x v="22"/>
    <x v="13"/>
    <n v="865.21299999999997"/>
    <n v="7253.5379999999996"/>
  </r>
  <r>
    <x v="22"/>
    <x v="14"/>
    <n v="796.05"/>
    <n v="7172.7380000000003"/>
  </r>
  <r>
    <x v="22"/>
    <x v="15"/>
    <n v="676.75"/>
    <n v="6145.2879999999996"/>
  </r>
  <r>
    <x v="22"/>
    <x v="16"/>
    <n v="512.625"/>
    <n v="4845.6000000000004"/>
  </r>
  <r>
    <x v="22"/>
    <x v="17"/>
    <n v="417.5"/>
    <n v="3004.7629999999999"/>
  </r>
  <r>
    <x v="22"/>
    <x v="18"/>
    <n v="377.32499999999999"/>
    <n v="1426.675"/>
  </r>
  <r>
    <x v="22"/>
    <x v="19"/>
    <n v="552.58799999999997"/>
    <n v="450.125"/>
  </r>
  <r>
    <x v="22"/>
    <x v="20"/>
    <n v="849.4"/>
    <n v="49.463000000000001"/>
  </r>
  <r>
    <x v="22"/>
    <x v="21"/>
    <n v="1143.675"/>
    <n v="0"/>
  </r>
  <r>
    <x v="22"/>
    <x v="22"/>
    <n v="1355.6379999999999"/>
    <n v="0"/>
  </r>
  <r>
    <x v="22"/>
    <x v="23"/>
    <n v="1587.25"/>
    <n v="0"/>
  </r>
  <r>
    <x v="23"/>
    <x v="0"/>
    <n v="1856.2249999999999"/>
    <n v="0"/>
  </r>
  <r>
    <x v="23"/>
    <x v="1"/>
    <n v="2004.8630000000001"/>
    <n v="0"/>
  </r>
  <r>
    <x v="23"/>
    <x v="2"/>
    <n v="1942.425"/>
    <n v="0"/>
  </r>
  <r>
    <x v="23"/>
    <x v="3"/>
    <n v="1797.0250000000001"/>
    <n v="0"/>
  </r>
  <r>
    <x v="23"/>
    <x v="4"/>
    <n v="1627.1130000000001"/>
    <n v="0"/>
  </r>
  <r>
    <x v="23"/>
    <x v="5"/>
    <n v="1479.425"/>
    <n v="114.77500000000001"/>
  </r>
  <r>
    <x v="23"/>
    <x v="6"/>
    <n v="1272.9880000000001"/>
    <n v="633.08799999999997"/>
  </r>
  <r>
    <x v="23"/>
    <x v="7"/>
    <n v="820.93799999999999"/>
    <n v="1677.075"/>
  </r>
  <r>
    <x v="23"/>
    <x v="8"/>
    <n v="444.613"/>
    <n v="2961.3629999999998"/>
  </r>
  <r>
    <x v="23"/>
    <x v="9"/>
    <n v="346.07499999999999"/>
    <n v="4438.3630000000003"/>
  </r>
  <r>
    <x v="23"/>
    <x v="10"/>
    <n v="400.25"/>
    <n v="5538.8249999999998"/>
  </r>
  <r>
    <x v="23"/>
    <x v="11"/>
    <n v="468.875"/>
    <n v="5703.8379999999997"/>
  </r>
  <r>
    <x v="23"/>
    <x v="12"/>
    <n v="546.43799999999999"/>
    <n v="5460.4750000000004"/>
  </r>
  <r>
    <x v="23"/>
    <x v="13"/>
    <n v="667.36300000000006"/>
    <n v="5304.3630000000003"/>
  </r>
  <r>
    <x v="23"/>
    <x v="14"/>
    <n v="822.86300000000006"/>
    <n v="4556.125"/>
  </r>
  <r>
    <x v="23"/>
    <x v="15"/>
    <n v="922.45"/>
    <n v="3752.7379999999998"/>
  </r>
  <r>
    <x v="23"/>
    <x v="16"/>
    <n v="1021.088"/>
    <n v="2874.7249999999999"/>
  </r>
  <r>
    <x v="23"/>
    <x v="17"/>
    <n v="1162.538"/>
    <n v="1860.8630000000001"/>
  </r>
  <r>
    <x v="23"/>
    <x v="18"/>
    <n v="1165.1379999999999"/>
    <n v="979.18799999999999"/>
  </r>
  <r>
    <x v="23"/>
    <x v="19"/>
    <n v="1097.3"/>
    <n v="281"/>
  </r>
  <r>
    <x v="23"/>
    <x v="20"/>
    <n v="1061.6500000000001"/>
    <n v="20.524999999999999"/>
  </r>
  <r>
    <x v="23"/>
    <x v="21"/>
    <n v="1075.3630000000001"/>
    <n v="0"/>
  </r>
  <r>
    <x v="23"/>
    <x v="22"/>
    <n v="1059.625"/>
    <n v="0"/>
  </r>
  <r>
    <x v="23"/>
    <x v="23"/>
    <n v="943.01300000000003"/>
    <n v="0"/>
  </r>
  <r>
    <x v="24"/>
    <x v="0"/>
    <n v="916.68799999999999"/>
    <n v="0"/>
  </r>
  <r>
    <x v="24"/>
    <x v="1"/>
    <n v="812.21299999999997"/>
    <n v="0"/>
  </r>
  <r>
    <x v="24"/>
    <x v="2"/>
    <n v="826.8"/>
    <n v="0"/>
  </r>
  <r>
    <x v="24"/>
    <x v="3"/>
    <n v="789.55"/>
    <n v="0"/>
  </r>
  <r>
    <x v="24"/>
    <x v="4"/>
    <n v="709.35"/>
    <n v="0"/>
  </r>
  <r>
    <x v="24"/>
    <x v="5"/>
    <n v="649.67499999999995"/>
    <n v="70.738"/>
  </r>
  <r>
    <x v="24"/>
    <x v="6"/>
    <n v="643.02499999999998"/>
    <n v="588.23800000000006"/>
  </r>
  <r>
    <x v="24"/>
    <x v="7"/>
    <n v="498.13799999999998"/>
    <n v="1954.5129999999999"/>
  </r>
  <r>
    <x v="24"/>
    <x v="8"/>
    <n v="327.488"/>
    <n v="3962.5880000000002"/>
  </r>
  <r>
    <x v="24"/>
    <x v="9"/>
    <n v="334.21300000000002"/>
    <n v="5705.2129999999997"/>
  </r>
  <r>
    <x v="24"/>
    <x v="10"/>
    <n v="454.28800000000001"/>
    <n v="6661.0630000000001"/>
  </r>
  <r>
    <x v="24"/>
    <x v="11"/>
    <n v="566.375"/>
    <n v="7085.5129999999999"/>
  </r>
  <r>
    <x v="24"/>
    <x v="12"/>
    <n v="840.11300000000006"/>
    <n v="7051.4880000000003"/>
  </r>
  <r>
    <x v="24"/>
    <x v="13"/>
    <n v="1195.9380000000001"/>
    <n v="6787.8249999999998"/>
  </r>
  <r>
    <x v="24"/>
    <x v="14"/>
    <n v="1197.925"/>
    <n v="6747.8"/>
  </r>
  <r>
    <x v="24"/>
    <x v="15"/>
    <n v="1209.425"/>
    <n v="6309.6379999999999"/>
  </r>
  <r>
    <x v="24"/>
    <x v="16"/>
    <n v="1406.4880000000001"/>
    <n v="4961.95"/>
  </r>
  <r>
    <x v="24"/>
    <x v="17"/>
    <n v="1202.213"/>
    <n v="3556.375"/>
  </r>
  <r>
    <x v="24"/>
    <x v="18"/>
    <n v="812.52499999999998"/>
    <n v="1637.338"/>
  </r>
  <r>
    <x v="24"/>
    <x v="19"/>
    <n v="826.71299999999997"/>
    <n v="483.93799999999999"/>
  </r>
  <r>
    <x v="24"/>
    <x v="20"/>
    <n v="986.92499999999995"/>
    <n v="43.338000000000001"/>
  </r>
  <r>
    <x v="24"/>
    <x v="21"/>
    <n v="1386.2"/>
    <n v="0"/>
  </r>
  <r>
    <x v="24"/>
    <x v="22"/>
    <n v="1638.1"/>
    <n v="0"/>
  </r>
  <r>
    <x v="24"/>
    <x v="23"/>
    <n v="2046.35"/>
    <n v="0"/>
  </r>
  <r>
    <x v="25"/>
    <x v="0"/>
    <n v="2263.875"/>
    <n v="0"/>
  </r>
  <r>
    <x v="25"/>
    <x v="1"/>
    <n v="2458.625"/>
    <n v="0"/>
  </r>
  <r>
    <x v="25"/>
    <x v="2"/>
    <n v="2301.0749999999998"/>
    <n v="0"/>
  </r>
  <r>
    <x v="25"/>
    <x v="3"/>
    <n v="2109.3380000000002"/>
    <n v="0"/>
  </r>
  <r>
    <x v="25"/>
    <x v="4"/>
    <n v="2023.55"/>
    <n v="0"/>
  </r>
  <r>
    <x v="25"/>
    <x v="5"/>
    <n v="1784.9749999999999"/>
    <n v="161.97499999999999"/>
  </r>
  <r>
    <x v="25"/>
    <x v="6"/>
    <n v="1567.675"/>
    <n v="1019.7380000000001"/>
  </r>
  <r>
    <x v="25"/>
    <x v="7"/>
    <n v="964.16300000000001"/>
    <n v="3401.7379999999998"/>
  </r>
  <r>
    <x v="25"/>
    <x v="8"/>
    <n v="340.32499999999999"/>
    <n v="6584.1629999999996"/>
  </r>
  <r>
    <x v="25"/>
    <x v="9"/>
    <n v="347.58800000000002"/>
    <n v="9175.8250000000007"/>
  </r>
  <r>
    <x v="25"/>
    <x v="10"/>
    <n v="794.97500000000002"/>
    <n v="10221.475"/>
  </r>
  <r>
    <x v="25"/>
    <x v="11"/>
    <n v="1097.7"/>
    <n v="9122.9249999999993"/>
  </r>
  <r>
    <x v="25"/>
    <x v="12"/>
    <n v="1180.2380000000001"/>
    <n v="8306.6380000000008"/>
  </r>
  <r>
    <x v="25"/>
    <x v="13"/>
    <n v="1288.9000000000001"/>
    <n v="7050.75"/>
  </r>
  <r>
    <x v="25"/>
    <x v="14"/>
    <n v="1493.075"/>
    <n v="6062.5749999999998"/>
  </r>
  <r>
    <x v="25"/>
    <x v="15"/>
    <n v="1700.825"/>
    <n v="5928.65"/>
  </r>
  <r>
    <x v="25"/>
    <x v="16"/>
    <n v="1787.45"/>
    <n v="4994.0129999999999"/>
  </r>
  <r>
    <x v="25"/>
    <x v="17"/>
    <n v="1652.0250000000001"/>
    <n v="3616.875"/>
  </r>
  <r>
    <x v="25"/>
    <x v="18"/>
    <n v="1363.95"/>
    <n v="1739.125"/>
  </r>
  <r>
    <x v="25"/>
    <x v="19"/>
    <n v="1101.9000000000001"/>
    <n v="467.45"/>
  </r>
  <r>
    <x v="25"/>
    <x v="20"/>
    <n v="1571.6379999999999"/>
    <n v="36.088000000000001"/>
  </r>
  <r>
    <x v="25"/>
    <x v="21"/>
    <n v="2538.8380000000002"/>
    <n v="0"/>
  </r>
  <r>
    <x v="25"/>
    <x v="22"/>
    <n v="3423.9"/>
    <n v="0"/>
  </r>
  <r>
    <x v="25"/>
    <x v="23"/>
    <n v="3971.375"/>
    <n v="0"/>
  </r>
  <r>
    <x v="26"/>
    <x v="0"/>
    <n v="4154.6499999999996"/>
    <n v="0"/>
  </r>
  <r>
    <x v="26"/>
    <x v="1"/>
    <n v="4045.5630000000001"/>
    <n v="0"/>
  </r>
  <r>
    <x v="26"/>
    <x v="2"/>
    <n v="3708.0630000000001"/>
    <n v="0"/>
  </r>
  <r>
    <x v="26"/>
    <x v="3"/>
    <n v="3345.4630000000002"/>
    <n v="0"/>
  </r>
  <r>
    <x v="26"/>
    <x v="4"/>
    <n v="3113.6750000000002"/>
    <n v="0"/>
  </r>
  <r>
    <x v="26"/>
    <x v="5"/>
    <n v="2879.9879999999998"/>
    <n v="119.71299999999999"/>
  </r>
  <r>
    <x v="26"/>
    <x v="6"/>
    <n v="2648.2750000000001"/>
    <n v="805.07500000000005"/>
  </r>
  <r>
    <x v="26"/>
    <x v="7"/>
    <n v="1875.2"/>
    <n v="2531.3629999999998"/>
  </r>
  <r>
    <x v="26"/>
    <x v="8"/>
    <n v="988.23800000000006"/>
    <n v="5034.7749999999996"/>
  </r>
  <r>
    <x v="26"/>
    <x v="9"/>
    <n v="623.72500000000002"/>
    <n v="7472.6"/>
  </r>
  <r>
    <x v="26"/>
    <x v="10"/>
    <n v="789.15"/>
    <n v="9395.8880000000008"/>
  </r>
  <r>
    <x v="26"/>
    <x v="11"/>
    <n v="1219.3130000000001"/>
    <n v="9911.1129999999994"/>
  </r>
  <r>
    <x v="26"/>
    <x v="12"/>
    <n v="1398.75"/>
    <n v="8829.7749999999996"/>
  </r>
  <r>
    <x v="26"/>
    <x v="13"/>
    <n v="1283.0630000000001"/>
    <n v="7911.3"/>
  </r>
  <r>
    <x v="26"/>
    <x v="14"/>
    <n v="1164.413"/>
    <n v="7714.4"/>
  </r>
  <r>
    <x v="26"/>
    <x v="15"/>
    <n v="1047.3630000000001"/>
    <n v="7125.4129999999996"/>
  </r>
  <r>
    <x v="26"/>
    <x v="16"/>
    <n v="1025.1500000000001"/>
    <n v="5647.45"/>
  </r>
  <r>
    <x v="26"/>
    <x v="17"/>
    <n v="1086.4880000000001"/>
    <n v="4101.1379999999999"/>
  </r>
  <r>
    <x v="26"/>
    <x v="18"/>
    <n v="1000.438"/>
    <n v="1819"/>
  </r>
  <r>
    <x v="26"/>
    <x v="19"/>
    <n v="1175.338"/>
    <n v="490.83800000000002"/>
  </r>
  <r>
    <x v="26"/>
    <x v="20"/>
    <n v="1868.4380000000001"/>
    <n v="29.363"/>
  </r>
  <r>
    <x v="26"/>
    <x v="21"/>
    <n v="3060.3"/>
    <n v="0"/>
  </r>
  <r>
    <x v="26"/>
    <x v="22"/>
    <n v="4255.8999999999996"/>
    <n v="0"/>
  </r>
  <r>
    <x v="26"/>
    <x v="23"/>
    <n v="5003.4250000000002"/>
    <n v="0"/>
  </r>
  <r>
    <x v="27"/>
    <x v="0"/>
    <n v="4937.6379999999999"/>
    <n v="0"/>
  </r>
  <r>
    <x v="27"/>
    <x v="1"/>
    <n v="4861.2129999999997"/>
    <n v="0"/>
  </r>
  <r>
    <x v="27"/>
    <x v="2"/>
    <n v="4697.5630000000001"/>
    <n v="0"/>
  </r>
  <r>
    <x v="27"/>
    <x v="3"/>
    <n v="4528.9129999999996"/>
    <n v="0"/>
  </r>
  <r>
    <x v="27"/>
    <x v="4"/>
    <n v="4417.8379999999997"/>
    <n v="0"/>
  </r>
  <r>
    <x v="27"/>
    <x v="5"/>
    <n v="4356.125"/>
    <n v="168.47499999999999"/>
  </r>
  <r>
    <x v="27"/>
    <x v="6"/>
    <n v="4266.1629999999996"/>
    <n v="1088.675"/>
  </r>
  <r>
    <x v="27"/>
    <x v="7"/>
    <n v="3305.3130000000001"/>
    <n v="2829.788"/>
  </r>
  <r>
    <x v="27"/>
    <x v="8"/>
    <n v="2211.1129999999998"/>
    <n v="4604.8379999999997"/>
  </r>
  <r>
    <x v="27"/>
    <x v="9"/>
    <n v="2445.8130000000001"/>
    <n v="5843.4380000000001"/>
  </r>
  <r>
    <x v="27"/>
    <x v="10"/>
    <n v="3334.0250000000001"/>
    <n v="6848.5879999999997"/>
  </r>
  <r>
    <x v="27"/>
    <x v="11"/>
    <n v="3987.3"/>
    <n v="7276.5"/>
  </r>
  <r>
    <x v="27"/>
    <x v="12"/>
    <n v="4037.15"/>
    <n v="7053.0379999999996"/>
  </r>
  <r>
    <x v="27"/>
    <x v="13"/>
    <n v="3850.6129999999998"/>
    <n v="5970.6"/>
  </r>
  <r>
    <x v="27"/>
    <x v="14"/>
    <n v="3850.9380000000001"/>
    <n v="5464.1"/>
  </r>
  <r>
    <x v="27"/>
    <x v="15"/>
    <n v="3784.788"/>
    <n v="4990.8"/>
  </r>
  <r>
    <x v="27"/>
    <x v="16"/>
    <n v="3922.8"/>
    <n v="4352.375"/>
  </r>
  <r>
    <x v="27"/>
    <x v="17"/>
    <n v="3755.6750000000002"/>
    <n v="3567.15"/>
  </r>
  <r>
    <x v="27"/>
    <x v="18"/>
    <n v="3201.7379999999998"/>
    <n v="2078.913"/>
  </r>
  <r>
    <x v="27"/>
    <x v="19"/>
    <n v="2948.0749999999998"/>
    <n v="692.42499999999995"/>
  </r>
  <r>
    <x v="27"/>
    <x v="20"/>
    <n v="3687.0880000000002"/>
    <n v="36.174999999999997"/>
  </r>
  <r>
    <x v="27"/>
    <x v="21"/>
    <n v="4782.7129999999997"/>
    <n v="0"/>
  </r>
  <r>
    <x v="27"/>
    <x v="22"/>
    <n v="5291.0630000000001"/>
    <n v="0"/>
  </r>
  <r>
    <x v="27"/>
    <x v="23"/>
    <n v="5382.25"/>
    <n v="0"/>
  </r>
  <r>
    <x v="28"/>
    <x v="0"/>
    <n v="5231.8130000000001"/>
    <n v="0"/>
  </r>
  <r>
    <x v="28"/>
    <x v="1"/>
    <n v="5017.125"/>
    <n v="0"/>
  </r>
  <r>
    <x v="28"/>
    <x v="2"/>
    <n v="4546.3999999999996"/>
    <n v="0"/>
  </r>
  <r>
    <x v="28"/>
    <x v="3"/>
    <n v="4131.4629999999997"/>
    <n v="0"/>
  </r>
  <r>
    <x v="28"/>
    <x v="4"/>
    <n v="3843.0749999999998"/>
    <n v="0.35"/>
  </r>
  <r>
    <x v="28"/>
    <x v="5"/>
    <n v="3584.4"/>
    <n v="118.938"/>
  </r>
  <r>
    <x v="28"/>
    <x v="6"/>
    <n v="3275.375"/>
    <n v="937.13800000000003"/>
  </r>
  <r>
    <x v="28"/>
    <x v="7"/>
    <n v="2384.5880000000002"/>
    <n v="2822.6379999999999"/>
  </r>
  <r>
    <x v="28"/>
    <x v="8"/>
    <n v="1347.375"/>
    <n v="5446.0379999999996"/>
  </r>
  <r>
    <x v="28"/>
    <x v="9"/>
    <n v="1094.95"/>
    <n v="7641.9750000000004"/>
  </r>
  <r>
    <x v="28"/>
    <x v="10"/>
    <n v="1180.338"/>
    <n v="9545.7630000000008"/>
  </r>
  <r>
    <x v="28"/>
    <x v="11"/>
    <n v="1330.15"/>
    <n v="9180.5380000000005"/>
  </r>
  <r>
    <x v="28"/>
    <x v="12"/>
    <n v="1515.0250000000001"/>
    <n v="8799.4500000000007"/>
  </r>
  <r>
    <x v="28"/>
    <x v="13"/>
    <n v="1608.875"/>
    <n v="8568.4750000000004"/>
  </r>
  <r>
    <x v="28"/>
    <x v="14"/>
    <n v="1706.5"/>
    <n v="7865.4380000000001"/>
  </r>
  <r>
    <x v="28"/>
    <x v="15"/>
    <n v="1699.413"/>
    <n v="7673.0379999999996"/>
  </r>
  <r>
    <x v="28"/>
    <x v="16"/>
    <n v="1678.7629999999999"/>
    <n v="6558.375"/>
  </r>
  <r>
    <x v="28"/>
    <x v="17"/>
    <n v="1672.45"/>
    <n v="4528.4629999999997"/>
  </r>
  <r>
    <x v="28"/>
    <x v="18"/>
    <n v="1669.963"/>
    <n v="2260.35"/>
  </r>
  <r>
    <x v="28"/>
    <x v="19"/>
    <n v="1912.2"/>
    <n v="688.36300000000006"/>
  </r>
  <r>
    <x v="28"/>
    <x v="20"/>
    <n v="2709.538"/>
    <n v="64.45"/>
  </r>
  <r>
    <x v="28"/>
    <x v="21"/>
    <n v="3575.3130000000001"/>
    <n v="0"/>
  </r>
  <r>
    <x v="28"/>
    <x v="22"/>
    <n v="4097.6750000000002"/>
    <n v="0"/>
  </r>
  <r>
    <x v="28"/>
    <x v="23"/>
    <n v="4326.8379999999997"/>
    <n v="0"/>
  </r>
  <r>
    <x v="29"/>
    <x v="0"/>
    <n v="4272.6629999999996"/>
    <n v="0"/>
  </r>
  <r>
    <x v="29"/>
    <x v="1"/>
    <n v="4037"/>
    <n v="0"/>
  </r>
  <r>
    <x v="29"/>
    <x v="2"/>
    <n v="3760.9380000000001"/>
    <n v="0"/>
  </r>
  <r>
    <x v="29"/>
    <x v="3"/>
    <n v="3717.3130000000001"/>
    <n v="0"/>
  </r>
  <r>
    <x v="29"/>
    <x v="4"/>
    <n v="3945.7379999999998"/>
    <n v="0.48799999999999999"/>
  </r>
  <r>
    <x v="29"/>
    <x v="5"/>
    <n v="4228.6000000000004"/>
    <n v="126.438"/>
  </r>
  <r>
    <x v="29"/>
    <x v="6"/>
    <n v="4063.1129999999998"/>
    <n v="1112.8499999999999"/>
  </r>
  <r>
    <x v="29"/>
    <x v="7"/>
    <n v="3116.538"/>
    <n v="3288.9"/>
  </r>
  <r>
    <x v="29"/>
    <x v="8"/>
    <n v="1871.9"/>
    <n v="6150.0630000000001"/>
  </r>
  <r>
    <x v="29"/>
    <x v="9"/>
    <n v="1349.9380000000001"/>
    <n v="8576.3130000000001"/>
  </r>
  <r>
    <x v="29"/>
    <x v="10"/>
    <n v="1425.5"/>
    <n v="9089.5130000000008"/>
  </r>
  <r>
    <x v="29"/>
    <x v="11"/>
    <n v="1697.8630000000001"/>
    <n v="8942.65"/>
  </r>
  <r>
    <x v="29"/>
    <x v="12"/>
    <n v="1998.0630000000001"/>
    <n v="9074.2630000000008"/>
  </r>
  <r>
    <x v="29"/>
    <x v="13"/>
    <n v="2532.5500000000002"/>
    <n v="9028.4380000000001"/>
  </r>
  <r>
    <x v="29"/>
    <x v="14"/>
    <n v="2994.6750000000002"/>
    <n v="8596.2630000000008"/>
  </r>
  <r>
    <x v="29"/>
    <x v="15"/>
    <n v="3244.65"/>
    <n v="7601.8379999999997"/>
  </r>
  <r>
    <x v="29"/>
    <x v="16"/>
    <n v="3232.6129999999998"/>
    <n v="7113.8630000000003"/>
  </r>
  <r>
    <x v="29"/>
    <x v="17"/>
    <n v="3254.4749999999999"/>
    <n v="5229.6379999999999"/>
  </r>
  <r>
    <x v="29"/>
    <x v="18"/>
    <n v="3098.8"/>
    <n v="2741.8"/>
  </r>
  <r>
    <x v="29"/>
    <x v="19"/>
    <n v="3200.6129999999998"/>
    <n v="806.36300000000006"/>
  </r>
  <r>
    <x v="29"/>
    <x v="20"/>
    <n v="4075.2629999999999"/>
    <n v="65.525000000000006"/>
  </r>
  <r>
    <x v="29"/>
    <x v="21"/>
    <n v="5190.4250000000002"/>
    <n v="0"/>
  </r>
  <r>
    <x v="29"/>
    <x v="22"/>
    <n v="5414.4750000000004"/>
    <n v="0"/>
  </r>
  <r>
    <x v="29"/>
    <x v="23"/>
    <n v="5379.9129999999996"/>
    <n v="0"/>
  </r>
  <r>
    <x v="30"/>
    <x v="2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7DB26-1EBD-4827-A976-4F12E7163F56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2:K33" firstHeaderRow="1" firstDataRow="1" firstDataCol="1"/>
  <pivotFields count="4">
    <pivotField axis="axisRow" numFmtId="14" showAll="0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31">
    <i>
      <x v="29"/>
    </i>
    <i>
      <x v="28"/>
    </i>
    <i>
      <x v="8"/>
    </i>
    <i>
      <x v="26"/>
    </i>
    <i>
      <x v="25"/>
    </i>
    <i>
      <x v="10"/>
    </i>
    <i>
      <x v="12"/>
    </i>
    <i>
      <x v="7"/>
    </i>
    <i>
      <x v="5"/>
    </i>
    <i>
      <x v="22"/>
    </i>
    <i>
      <x v="24"/>
    </i>
    <i>
      <x v="6"/>
    </i>
    <i>
      <x v="27"/>
    </i>
    <i>
      <x v="11"/>
    </i>
    <i>
      <x v="18"/>
    </i>
    <i>
      <x v="17"/>
    </i>
    <i>
      <x v="4"/>
    </i>
    <i>
      <x v="13"/>
    </i>
    <i>
      <x v="14"/>
    </i>
    <i>
      <x/>
    </i>
    <i>
      <x v="23"/>
    </i>
    <i>
      <x v="15"/>
    </i>
    <i>
      <x v="20"/>
    </i>
    <i>
      <x v="9"/>
    </i>
    <i>
      <x v="16"/>
    </i>
    <i>
      <x v="3"/>
    </i>
    <i>
      <x v="2"/>
    </i>
    <i>
      <x v="19"/>
    </i>
    <i>
      <x v="21"/>
    </i>
    <i>
      <x v="1"/>
    </i>
    <i t="grand">
      <x/>
    </i>
  </rowItems>
  <colItems count="1">
    <i/>
  </colItems>
  <dataFields count="1">
    <dataField name="Suma z Zrodla_fotowoltaiczne" fld="3" baseField="0" baseItem="0"/>
  </dataFields>
  <formats count="2">
    <format dxfId="1">
      <pivotArea collapsedLevelsAreSubtotals="1" fieldPosition="0">
        <references count="1">
          <reference field="0" count="1">
            <x v="29"/>
          </reference>
        </references>
      </pivotArea>
    </format>
    <format dxfId="0">
      <pivotArea dataOnly="0" labelOnly="1" fieldPosition="0">
        <references count="1">
          <reference field="0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70287-54E7-43C6-B7AB-E57F490046EB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2:H33" firstHeaderRow="1" firstDataRow="1" firstDataCol="1"/>
  <pivotFields count="3">
    <pivotField axis="axisRow" numFmtId="14" showAll="0" sortType="de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31">
    <i>
      <x v="1"/>
    </i>
    <i>
      <x v="13"/>
    </i>
    <i>
      <x v="15"/>
    </i>
    <i>
      <x v="2"/>
    </i>
    <i>
      <x v="4"/>
    </i>
    <i>
      <x v="27"/>
    </i>
    <i>
      <x v="9"/>
    </i>
    <i>
      <x v="12"/>
    </i>
    <i>
      <x v="29"/>
    </i>
    <i>
      <x v="5"/>
    </i>
    <i>
      <x v="6"/>
    </i>
    <i>
      <x v="20"/>
    </i>
    <i>
      <x v="28"/>
    </i>
    <i>
      <x v="19"/>
    </i>
    <i>
      <x v="10"/>
    </i>
    <i>
      <x/>
    </i>
    <i>
      <x v="8"/>
    </i>
    <i>
      <x v="11"/>
    </i>
    <i>
      <x v="3"/>
    </i>
    <i>
      <x v="7"/>
    </i>
    <i>
      <x v="26"/>
    </i>
    <i>
      <x v="18"/>
    </i>
    <i>
      <x v="25"/>
    </i>
    <i>
      <x v="21"/>
    </i>
    <i>
      <x v="14"/>
    </i>
    <i>
      <x v="16"/>
    </i>
    <i>
      <x v="17"/>
    </i>
    <i>
      <x v="23"/>
    </i>
    <i>
      <x v="24"/>
    </i>
    <i>
      <x v="22"/>
    </i>
    <i t="grand">
      <x/>
    </i>
  </rowItems>
  <colItems count="1">
    <i/>
  </colItems>
  <dataFields count="1">
    <dataField name="Suma z Zrodla_wiatrowe" fld="2" baseField="0" baseItem="0"/>
  </dataFields>
  <formats count="2">
    <format dxfId="3">
      <pivotArea collapsedLevelsAreSubtotals="1" fieldPosition="0">
        <references count="1">
          <reference field="0" count="1">
            <x v="1"/>
          </reference>
        </references>
      </pivotArea>
    </format>
    <format dxfId="2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B6754-DA90-43BF-ABFD-95A57401AF5A}" name="Tabela przestawna3" cacheId="12" dataOnRows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2:J28" firstHeaderRow="1" firstDataRow="1" firstDataCol="1"/>
  <pivotFields count="4"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dataField="1"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Średnia z Zrodla_fotowoltaiczne" fld="3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2" xr16:uid="{18A293FF-8488-4E21-9910-DA30FE859CC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1" xr16:uid="{4C144B17-D573-4853-9E2F-BB8A2854732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3" xr16:uid="{FFEC95AD-3AC9-478E-BAB8-37C3B8B3C3F9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" connectionId="4" xr16:uid="{D7FB4FEF-F0D3-486D-9D3A-38D5FFCEE9FB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apotrzebowanie_1" connectionId="6" xr16:uid="{31694528-1453-4051-A616-F6AAF6ED4C4B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nergia_1" connectionId="5" xr16:uid="{33ED0C2F-FDB6-404A-A78E-DCC0296DC02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3389-C1DC-4459-8433-772B483EC1D0}">
  <dimension ref="A1:D721"/>
  <sheetViews>
    <sheetView workbookViewId="0">
      <selection activeCell="F20" sqref="A1:XFD1048576"/>
    </sheetView>
  </sheetViews>
  <sheetFormatPr defaultRowHeight="15" x14ac:dyDescent="0.25"/>
  <cols>
    <col min="1" max="1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45383</v>
      </c>
      <c r="B2">
        <v>1</v>
      </c>
      <c r="C2">
        <v>3130.2629999999999</v>
      </c>
      <c r="D2">
        <v>0</v>
      </c>
    </row>
    <row r="3" spans="1:4" x14ac:dyDescent="0.25">
      <c r="A3" s="1">
        <v>45383</v>
      </c>
      <c r="B3">
        <v>2</v>
      </c>
      <c r="C3">
        <v>2765.5880000000002</v>
      </c>
      <c r="D3">
        <v>0</v>
      </c>
    </row>
    <row r="4" spans="1:4" x14ac:dyDescent="0.25">
      <c r="A4" s="1">
        <v>45383</v>
      </c>
      <c r="B4">
        <v>3</v>
      </c>
      <c r="C4">
        <v>2555.4380000000001</v>
      </c>
      <c r="D4">
        <v>0</v>
      </c>
    </row>
    <row r="5" spans="1:4" x14ac:dyDescent="0.25">
      <c r="A5" s="1">
        <v>45383</v>
      </c>
      <c r="B5">
        <v>4</v>
      </c>
      <c r="C5">
        <v>2675.2379999999998</v>
      </c>
      <c r="D5">
        <v>0</v>
      </c>
    </row>
    <row r="6" spans="1:4" x14ac:dyDescent="0.25">
      <c r="A6" s="1">
        <v>45383</v>
      </c>
      <c r="B6">
        <v>5</v>
      </c>
      <c r="C6">
        <v>2681.1750000000002</v>
      </c>
      <c r="D6">
        <v>0</v>
      </c>
    </row>
    <row r="7" spans="1:4" x14ac:dyDescent="0.25">
      <c r="A7" s="1">
        <v>45383</v>
      </c>
      <c r="B7">
        <v>6</v>
      </c>
      <c r="C7">
        <v>2367.3249999999998</v>
      </c>
      <c r="D7">
        <v>0.21299999999999999</v>
      </c>
    </row>
    <row r="8" spans="1:4" x14ac:dyDescent="0.25">
      <c r="A8" s="1">
        <v>45383</v>
      </c>
      <c r="B8">
        <v>7</v>
      </c>
      <c r="C8">
        <v>2525.2249999999999</v>
      </c>
      <c r="D8">
        <v>117.075</v>
      </c>
    </row>
    <row r="9" spans="1:4" x14ac:dyDescent="0.25">
      <c r="A9" s="1">
        <v>45383</v>
      </c>
      <c r="B9">
        <v>8</v>
      </c>
      <c r="C9">
        <v>2360.9879999999998</v>
      </c>
      <c r="D9">
        <v>1162.075</v>
      </c>
    </row>
    <row r="10" spans="1:4" x14ac:dyDescent="0.25">
      <c r="A10" s="1">
        <v>45383</v>
      </c>
      <c r="B10">
        <v>9</v>
      </c>
      <c r="C10">
        <v>1940.838</v>
      </c>
      <c r="D10">
        <v>2680.5129999999999</v>
      </c>
    </row>
    <row r="11" spans="1:4" x14ac:dyDescent="0.25">
      <c r="A11" s="1">
        <v>45383</v>
      </c>
      <c r="B11">
        <v>10</v>
      </c>
      <c r="C11">
        <v>1368.675</v>
      </c>
      <c r="D11">
        <v>4416</v>
      </c>
    </row>
    <row r="12" spans="1:4" x14ac:dyDescent="0.25">
      <c r="A12" s="1">
        <v>45383</v>
      </c>
      <c r="B12">
        <v>11</v>
      </c>
      <c r="C12">
        <v>1140.463</v>
      </c>
      <c r="D12">
        <v>5331.5749999999998</v>
      </c>
    </row>
    <row r="13" spans="1:4" x14ac:dyDescent="0.25">
      <c r="A13" s="1">
        <v>45383</v>
      </c>
      <c r="B13">
        <v>12</v>
      </c>
      <c r="C13">
        <v>1305.8630000000001</v>
      </c>
      <c r="D13">
        <v>5812.2250000000004</v>
      </c>
    </row>
    <row r="14" spans="1:4" x14ac:dyDescent="0.25">
      <c r="A14" s="1">
        <v>45383</v>
      </c>
      <c r="B14">
        <v>13</v>
      </c>
      <c r="C14">
        <v>1511.4880000000001</v>
      </c>
      <c r="D14">
        <v>5846.6130000000003</v>
      </c>
    </row>
    <row r="15" spans="1:4" x14ac:dyDescent="0.25">
      <c r="A15" s="1">
        <v>45383</v>
      </c>
      <c r="B15">
        <v>14</v>
      </c>
      <c r="C15">
        <v>1931.05</v>
      </c>
      <c r="D15">
        <v>5471.4250000000002</v>
      </c>
    </row>
    <row r="16" spans="1:4" x14ac:dyDescent="0.25">
      <c r="A16" s="1">
        <v>45383</v>
      </c>
      <c r="B16">
        <v>15</v>
      </c>
      <c r="C16">
        <v>2229.25</v>
      </c>
      <c r="D16">
        <v>5661.8249999999998</v>
      </c>
    </row>
    <row r="17" spans="1:4" x14ac:dyDescent="0.25">
      <c r="A17" s="1">
        <v>45383</v>
      </c>
      <c r="B17">
        <v>16</v>
      </c>
      <c r="C17">
        <v>2467.125</v>
      </c>
      <c r="D17">
        <v>5067.9880000000003</v>
      </c>
    </row>
    <row r="18" spans="1:4" x14ac:dyDescent="0.25">
      <c r="A18" s="1">
        <v>45383</v>
      </c>
      <c r="B18">
        <v>17</v>
      </c>
      <c r="C18">
        <v>2655.85</v>
      </c>
      <c r="D18">
        <v>3458.1379999999999</v>
      </c>
    </row>
    <row r="19" spans="1:4" x14ac:dyDescent="0.25">
      <c r="A19" s="1">
        <v>45383</v>
      </c>
      <c r="B19">
        <v>18</v>
      </c>
      <c r="C19">
        <v>2572.7629999999999</v>
      </c>
      <c r="D19">
        <v>1719.088</v>
      </c>
    </row>
    <row r="20" spans="1:4" x14ac:dyDescent="0.25">
      <c r="A20" s="1">
        <v>45383</v>
      </c>
      <c r="B20">
        <v>19</v>
      </c>
      <c r="C20">
        <v>2891.1750000000002</v>
      </c>
      <c r="D20">
        <v>560.76300000000003</v>
      </c>
    </row>
    <row r="21" spans="1:4" x14ac:dyDescent="0.25">
      <c r="A21" s="1">
        <v>45383</v>
      </c>
      <c r="B21">
        <v>20</v>
      </c>
      <c r="C21">
        <v>3515.2</v>
      </c>
      <c r="D21">
        <v>51.438000000000002</v>
      </c>
    </row>
    <row r="22" spans="1:4" x14ac:dyDescent="0.25">
      <c r="A22" s="1">
        <v>45383</v>
      </c>
      <c r="B22">
        <v>21</v>
      </c>
      <c r="C22">
        <v>3941.538</v>
      </c>
      <c r="D22">
        <v>0</v>
      </c>
    </row>
    <row r="23" spans="1:4" x14ac:dyDescent="0.25">
      <c r="A23" s="1">
        <v>45383</v>
      </c>
      <c r="B23">
        <v>22</v>
      </c>
      <c r="C23">
        <v>4127.375</v>
      </c>
      <c r="D23">
        <v>0</v>
      </c>
    </row>
    <row r="24" spans="1:4" x14ac:dyDescent="0.25">
      <c r="A24" s="1">
        <v>45383</v>
      </c>
      <c r="B24">
        <v>23</v>
      </c>
      <c r="C24">
        <v>4248.55</v>
      </c>
      <c r="D24">
        <v>0</v>
      </c>
    </row>
    <row r="25" spans="1:4" x14ac:dyDescent="0.25">
      <c r="A25" s="1">
        <v>45383</v>
      </c>
      <c r="B25">
        <v>24</v>
      </c>
      <c r="C25">
        <v>4027.7249999999999</v>
      </c>
      <c r="D25">
        <v>0</v>
      </c>
    </row>
    <row r="26" spans="1:4" x14ac:dyDescent="0.25">
      <c r="A26" s="1">
        <v>45384</v>
      </c>
      <c r="B26">
        <v>1</v>
      </c>
      <c r="C26">
        <v>3346.5749999999998</v>
      </c>
      <c r="D26">
        <v>0</v>
      </c>
    </row>
    <row r="27" spans="1:4" x14ac:dyDescent="0.25">
      <c r="A27" s="1">
        <v>45384</v>
      </c>
      <c r="B27">
        <v>2</v>
      </c>
      <c r="C27">
        <v>3446.2379999999998</v>
      </c>
      <c r="D27">
        <v>0</v>
      </c>
    </row>
    <row r="28" spans="1:4" x14ac:dyDescent="0.25">
      <c r="A28" s="1">
        <v>45384</v>
      </c>
      <c r="B28">
        <v>3</v>
      </c>
      <c r="C28">
        <v>4149.3</v>
      </c>
      <c r="D28">
        <v>0</v>
      </c>
    </row>
    <row r="29" spans="1:4" x14ac:dyDescent="0.25">
      <c r="A29" s="1">
        <v>45384</v>
      </c>
      <c r="B29">
        <v>4</v>
      </c>
      <c r="C29">
        <v>4457.1750000000002</v>
      </c>
      <c r="D29">
        <v>0</v>
      </c>
    </row>
    <row r="30" spans="1:4" x14ac:dyDescent="0.25">
      <c r="A30" s="1">
        <v>45384</v>
      </c>
      <c r="B30">
        <v>5</v>
      </c>
      <c r="C30">
        <v>4588.4380000000001</v>
      </c>
      <c r="D30">
        <v>0</v>
      </c>
    </row>
    <row r="31" spans="1:4" x14ac:dyDescent="0.25">
      <c r="A31" s="1">
        <v>45384</v>
      </c>
      <c r="B31">
        <v>6</v>
      </c>
      <c r="C31">
        <v>4658.5</v>
      </c>
      <c r="D31">
        <v>1.075</v>
      </c>
    </row>
    <row r="32" spans="1:4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DF6C-3810-4207-A12B-8B15419CAE81}">
  <dimension ref="A1:K721"/>
  <sheetViews>
    <sheetView zoomScale="130" zoomScaleNormal="130" workbookViewId="0">
      <selection sqref="A1:D721"/>
    </sheetView>
  </sheetViews>
  <sheetFormatPr defaultRowHeight="15" x14ac:dyDescent="0.25"/>
  <cols>
    <col min="1" max="1" width="10.85546875" bestFit="1" customWidth="1"/>
    <col min="2" max="2" width="8.140625" bestFit="1" customWidth="1"/>
    <col min="3" max="3" width="16.140625" bestFit="1" customWidth="1"/>
    <col min="4" max="4" width="21.140625" bestFit="1" customWidth="1"/>
    <col min="6" max="6" width="10.140625" bestFit="1" customWidth="1"/>
    <col min="7" max="7" width="17.7109375" bestFit="1" customWidth="1"/>
    <col min="8" max="8" width="23" bestFit="1" customWidth="1"/>
    <col min="9" max="9" width="14.42578125" bestFit="1" customWidth="1"/>
    <col min="10" max="10" width="17.7109375" bestFit="1" customWidth="1"/>
    <col min="11" max="11" width="28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</row>
    <row r="2" spans="1:11" x14ac:dyDescent="0.25">
      <c r="A2" s="1">
        <v>45383</v>
      </c>
      <c r="B2">
        <v>1</v>
      </c>
      <c r="C2">
        <v>3130.2629999999999</v>
      </c>
      <c r="D2">
        <v>0</v>
      </c>
      <c r="G2" s="2" t="s">
        <v>4</v>
      </c>
      <c r="H2" t="s">
        <v>6</v>
      </c>
      <c r="J2" s="2" t="s">
        <v>4</v>
      </c>
      <c r="K2" t="s">
        <v>7</v>
      </c>
    </row>
    <row r="3" spans="1:11" x14ac:dyDescent="0.25">
      <c r="A3" s="1">
        <v>45383</v>
      </c>
      <c r="B3">
        <v>2</v>
      </c>
      <c r="C3">
        <v>2765.5880000000002</v>
      </c>
      <c r="D3">
        <v>0</v>
      </c>
      <c r="F3" s="5" t="s">
        <v>8</v>
      </c>
      <c r="G3" s="6">
        <v>45384</v>
      </c>
      <c r="H3" s="7">
        <v>140843.93099999998</v>
      </c>
      <c r="I3" s="5" t="s">
        <v>9</v>
      </c>
      <c r="J3" s="6">
        <v>45412</v>
      </c>
      <c r="K3" s="7">
        <v>87545.206000000006</v>
      </c>
    </row>
    <row r="4" spans="1:11" x14ac:dyDescent="0.25">
      <c r="A4" s="1">
        <v>45383</v>
      </c>
      <c r="B4">
        <v>3</v>
      </c>
      <c r="C4">
        <v>2555.4380000000001</v>
      </c>
      <c r="D4">
        <v>0</v>
      </c>
      <c r="G4" s="3">
        <v>45396</v>
      </c>
      <c r="H4" s="4">
        <v>140107.894</v>
      </c>
      <c r="J4" s="3">
        <v>45411</v>
      </c>
      <c r="K4" s="4">
        <v>82699.78</v>
      </c>
    </row>
    <row r="5" spans="1:11" x14ac:dyDescent="0.25">
      <c r="A5" s="1">
        <v>45383</v>
      </c>
      <c r="B5">
        <v>4</v>
      </c>
      <c r="C5">
        <v>2675.2379999999998</v>
      </c>
      <c r="D5">
        <v>0</v>
      </c>
      <c r="G5" s="3">
        <v>45398</v>
      </c>
      <c r="H5" s="4">
        <v>113565.53100000002</v>
      </c>
      <c r="J5" s="3">
        <v>45391</v>
      </c>
      <c r="K5" s="4">
        <v>81031.328000000009</v>
      </c>
    </row>
    <row r="6" spans="1:11" x14ac:dyDescent="0.25">
      <c r="A6" s="1">
        <v>45383</v>
      </c>
      <c r="B6">
        <v>5</v>
      </c>
      <c r="C6">
        <v>2681.1750000000002</v>
      </c>
      <c r="D6">
        <v>0</v>
      </c>
      <c r="G6" s="3">
        <v>45385</v>
      </c>
      <c r="H6" s="4">
        <v>104289.60600000001</v>
      </c>
      <c r="J6" s="3">
        <v>45409</v>
      </c>
      <c r="K6" s="4">
        <v>78939.204000000012</v>
      </c>
    </row>
    <row r="7" spans="1:11" x14ac:dyDescent="0.25">
      <c r="A7" s="1">
        <v>45383</v>
      </c>
      <c r="B7">
        <v>6</v>
      </c>
      <c r="C7">
        <v>2367.3249999999998</v>
      </c>
      <c r="D7">
        <v>0.21299999999999999</v>
      </c>
      <c r="G7" s="3">
        <v>45387</v>
      </c>
      <c r="H7" s="4">
        <v>101942.906</v>
      </c>
      <c r="J7" s="3">
        <v>45408</v>
      </c>
      <c r="K7" s="4">
        <v>77890.002999999997</v>
      </c>
    </row>
    <row r="8" spans="1:11" x14ac:dyDescent="0.25">
      <c r="A8" s="1">
        <v>45383</v>
      </c>
      <c r="B8">
        <v>7</v>
      </c>
      <c r="C8">
        <v>2525.2249999999999</v>
      </c>
      <c r="D8">
        <v>117.075</v>
      </c>
      <c r="G8" s="3">
        <v>45410</v>
      </c>
      <c r="H8" s="4">
        <v>95843.907999999996</v>
      </c>
      <c r="J8" s="3">
        <v>45393</v>
      </c>
      <c r="K8" s="4">
        <v>76640.301999999996</v>
      </c>
    </row>
    <row r="9" spans="1:11" x14ac:dyDescent="0.25">
      <c r="A9" s="1">
        <v>45383</v>
      </c>
      <c r="B9">
        <v>8</v>
      </c>
      <c r="C9">
        <v>2360.9879999999998</v>
      </c>
      <c r="D9">
        <v>1162.075</v>
      </c>
      <c r="G9" s="3">
        <v>45392</v>
      </c>
      <c r="H9" s="4">
        <v>92238.292000000016</v>
      </c>
      <c r="J9" s="3">
        <v>45395</v>
      </c>
      <c r="K9" s="4">
        <v>69997.228999999992</v>
      </c>
    </row>
    <row r="10" spans="1:11" x14ac:dyDescent="0.25">
      <c r="A10" s="1">
        <v>45383</v>
      </c>
      <c r="B10">
        <v>9</v>
      </c>
      <c r="C10">
        <v>1940.838</v>
      </c>
      <c r="D10">
        <v>2680.5129999999999</v>
      </c>
      <c r="G10" s="3">
        <v>45395</v>
      </c>
      <c r="H10" s="4">
        <v>83736.957000000009</v>
      </c>
      <c r="J10" s="3">
        <v>45390</v>
      </c>
      <c r="K10" s="4">
        <v>68590.453000000009</v>
      </c>
    </row>
    <row r="11" spans="1:11" x14ac:dyDescent="0.25">
      <c r="A11" s="1">
        <v>45383</v>
      </c>
      <c r="B11">
        <v>10</v>
      </c>
      <c r="C11">
        <v>1368.675</v>
      </c>
      <c r="D11">
        <v>4416</v>
      </c>
      <c r="G11" s="3">
        <v>45412</v>
      </c>
      <c r="H11" s="4">
        <v>81103.619000000006</v>
      </c>
      <c r="J11" s="3">
        <v>45388</v>
      </c>
      <c r="K11" s="4">
        <v>64119.53</v>
      </c>
    </row>
    <row r="12" spans="1:11" x14ac:dyDescent="0.25">
      <c r="A12" s="1">
        <v>45383</v>
      </c>
      <c r="B12">
        <v>11</v>
      </c>
      <c r="C12">
        <v>1140.463</v>
      </c>
      <c r="D12">
        <v>5331.5749999999998</v>
      </c>
      <c r="G12" s="3">
        <v>45388</v>
      </c>
      <c r="H12" s="4">
        <v>80749.882000000027</v>
      </c>
      <c r="J12" s="3">
        <v>45405</v>
      </c>
      <c r="K12" s="4">
        <v>64039.58</v>
      </c>
    </row>
    <row r="13" spans="1:11" x14ac:dyDescent="0.25">
      <c r="A13" s="1">
        <v>45383</v>
      </c>
      <c r="B13">
        <v>12</v>
      </c>
      <c r="C13">
        <v>1305.8630000000001</v>
      </c>
      <c r="D13">
        <v>5812.2250000000004</v>
      </c>
      <c r="G13" s="3">
        <v>45389</v>
      </c>
      <c r="H13" s="4">
        <v>75137.992999999988</v>
      </c>
      <c r="J13" s="3">
        <v>45407</v>
      </c>
      <c r="K13" s="4">
        <v>63607.556000000004</v>
      </c>
    </row>
    <row r="14" spans="1:11" x14ac:dyDescent="0.25">
      <c r="A14" s="1">
        <v>45383</v>
      </c>
      <c r="B14">
        <v>13</v>
      </c>
      <c r="C14">
        <v>1511.4880000000001</v>
      </c>
      <c r="D14">
        <v>5846.6130000000003</v>
      </c>
      <c r="G14" s="3">
        <v>45403</v>
      </c>
      <c r="H14" s="4">
        <v>69409.508000000002</v>
      </c>
      <c r="J14" s="3">
        <v>45389</v>
      </c>
      <c r="K14" s="4">
        <v>63460.528000000006</v>
      </c>
    </row>
    <row r="15" spans="1:11" x14ac:dyDescent="0.25">
      <c r="A15" s="1">
        <v>45383</v>
      </c>
      <c r="B15">
        <v>14</v>
      </c>
      <c r="C15">
        <v>1931.05</v>
      </c>
      <c r="D15">
        <v>5471.4250000000002</v>
      </c>
      <c r="G15" s="3">
        <v>45411</v>
      </c>
      <c r="H15" s="4">
        <v>65139.60500000001</v>
      </c>
      <c r="J15" s="3">
        <v>45410</v>
      </c>
      <c r="K15" s="4">
        <v>62865.878000000004</v>
      </c>
    </row>
    <row r="16" spans="1:11" x14ac:dyDescent="0.25">
      <c r="A16" s="1">
        <v>45383</v>
      </c>
      <c r="B16">
        <v>15</v>
      </c>
      <c r="C16">
        <v>2229.25</v>
      </c>
      <c r="D16">
        <v>5661.8249999999998</v>
      </c>
      <c r="G16" s="3">
        <v>45402</v>
      </c>
      <c r="H16" s="4">
        <v>63516.233000000007</v>
      </c>
      <c r="J16" s="3">
        <v>45394</v>
      </c>
      <c r="K16" s="4">
        <v>58404.805</v>
      </c>
    </row>
    <row r="17" spans="1:11" x14ac:dyDescent="0.25">
      <c r="A17" s="1">
        <v>45383</v>
      </c>
      <c r="B17">
        <v>16</v>
      </c>
      <c r="C17">
        <v>2467.125</v>
      </c>
      <c r="D17">
        <v>5067.9880000000003</v>
      </c>
      <c r="G17" s="3">
        <v>45393</v>
      </c>
      <c r="H17" s="4">
        <v>63056.594999999987</v>
      </c>
      <c r="J17" s="3">
        <v>45401</v>
      </c>
      <c r="K17" s="4">
        <v>58144.68</v>
      </c>
    </row>
    <row r="18" spans="1:11" x14ac:dyDescent="0.25">
      <c r="A18" s="1">
        <v>45383</v>
      </c>
      <c r="B18">
        <v>17</v>
      </c>
      <c r="C18">
        <v>2655.85</v>
      </c>
      <c r="D18">
        <v>3458.1379999999999</v>
      </c>
      <c r="G18" s="3">
        <v>45383</v>
      </c>
      <c r="H18" s="4">
        <v>62936.167999999998</v>
      </c>
      <c r="J18" s="3">
        <v>45400</v>
      </c>
      <c r="K18" s="4">
        <v>55920.880000000005</v>
      </c>
    </row>
    <row r="19" spans="1:11" x14ac:dyDescent="0.25">
      <c r="A19" s="1">
        <v>45383</v>
      </c>
      <c r="B19">
        <v>18</v>
      </c>
      <c r="C19">
        <v>2572.7629999999999</v>
      </c>
      <c r="D19">
        <v>1719.088</v>
      </c>
      <c r="G19" s="3">
        <v>45391</v>
      </c>
      <c r="H19" s="4">
        <v>62464.717000000011</v>
      </c>
      <c r="J19" s="3">
        <v>45387</v>
      </c>
      <c r="K19" s="4">
        <v>52621.178</v>
      </c>
    </row>
    <row r="20" spans="1:11" x14ac:dyDescent="0.25">
      <c r="A20" s="1">
        <v>45383</v>
      </c>
      <c r="B20">
        <v>19</v>
      </c>
      <c r="C20">
        <v>2891.1750000000002</v>
      </c>
      <c r="D20">
        <v>560.76300000000003</v>
      </c>
      <c r="G20" s="3">
        <v>45394</v>
      </c>
      <c r="H20" s="4">
        <v>60647.780999999995</v>
      </c>
      <c r="J20" s="3">
        <v>45396</v>
      </c>
      <c r="K20" s="4">
        <v>51141.303</v>
      </c>
    </row>
    <row r="21" spans="1:11" x14ac:dyDescent="0.25">
      <c r="A21" s="1">
        <v>45383</v>
      </c>
      <c r="B21">
        <v>20</v>
      </c>
      <c r="C21">
        <v>3515.2</v>
      </c>
      <c r="D21">
        <v>51.438000000000002</v>
      </c>
      <c r="G21" s="3">
        <v>45386</v>
      </c>
      <c r="H21" s="4">
        <v>57683.817999999999</v>
      </c>
      <c r="J21" s="3">
        <v>45397</v>
      </c>
      <c r="K21" s="4">
        <v>48222.855000000003</v>
      </c>
    </row>
    <row r="22" spans="1:11" x14ac:dyDescent="0.25">
      <c r="A22" s="1">
        <v>45383</v>
      </c>
      <c r="B22">
        <v>21</v>
      </c>
      <c r="C22">
        <v>3941.538</v>
      </c>
      <c r="D22">
        <v>0</v>
      </c>
      <c r="G22" s="3">
        <v>45390</v>
      </c>
      <c r="H22" s="4">
        <v>53670.856</v>
      </c>
      <c r="J22" s="3">
        <v>45383</v>
      </c>
      <c r="K22" s="4">
        <v>47356.953999999998</v>
      </c>
    </row>
    <row r="23" spans="1:11" x14ac:dyDescent="0.25">
      <c r="A23" s="1">
        <v>45383</v>
      </c>
      <c r="B23">
        <v>22</v>
      </c>
      <c r="C23">
        <v>4127.375</v>
      </c>
      <c r="D23">
        <v>0</v>
      </c>
      <c r="G23" s="3">
        <v>45409</v>
      </c>
      <c r="H23" s="4">
        <v>52760.369000000021</v>
      </c>
      <c r="J23" s="3">
        <v>45406</v>
      </c>
      <c r="K23" s="4">
        <v>46157.329000000005</v>
      </c>
    </row>
    <row r="24" spans="1:11" x14ac:dyDescent="0.25">
      <c r="A24" s="1">
        <v>45383</v>
      </c>
      <c r="B24">
        <v>23</v>
      </c>
      <c r="C24">
        <v>4248.55</v>
      </c>
      <c r="D24">
        <v>0</v>
      </c>
      <c r="G24" s="3">
        <v>45401</v>
      </c>
      <c r="H24" s="4">
        <v>46984.594000000005</v>
      </c>
      <c r="J24" s="3">
        <v>45398</v>
      </c>
      <c r="K24" s="4">
        <v>44861.78</v>
      </c>
    </row>
    <row r="25" spans="1:11" x14ac:dyDescent="0.25">
      <c r="A25" s="1">
        <v>45383</v>
      </c>
      <c r="B25">
        <v>24</v>
      </c>
      <c r="C25">
        <v>4027.7249999999999</v>
      </c>
      <c r="D25">
        <v>0</v>
      </c>
      <c r="G25" s="3">
        <v>45408</v>
      </c>
      <c r="H25" s="4">
        <v>41127.97800000001</v>
      </c>
      <c r="J25" s="3">
        <v>45403</v>
      </c>
      <c r="K25" s="4">
        <v>43269.579999999994</v>
      </c>
    </row>
    <row r="26" spans="1:11" x14ac:dyDescent="0.25">
      <c r="A26" s="1">
        <v>45384</v>
      </c>
      <c r="B26">
        <v>1</v>
      </c>
      <c r="C26">
        <v>3346.5749999999998</v>
      </c>
      <c r="D26">
        <v>0</v>
      </c>
      <c r="G26" s="3">
        <v>45404</v>
      </c>
      <c r="H26" s="4">
        <v>39961.47</v>
      </c>
      <c r="J26" s="3">
        <v>45392</v>
      </c>
      <c r="K26" s="4">
        <v>42949.754000000008</v>
      </c>
    </row>
    <row r="27" spans="1:11" x14ac:dyDescent="0.25">
      <c r="A27" s="1">
        <v>45384</v>
      </c>
      <c r="B27">
        <v>2</v>
      </c>
      <c r="C27">
        <v>3446.2379999999998</v>
      </c>
      <c r="D27">
        <v>0</v>
      </c>
      <c r="G27" s="3">
        <v>45397</v>
      </c>
      <c r="H27" s="4">
        <v>39719.231000000007</v>
      </c>
      <c r="J27" s="3">
        <v>45399</v>
      </c>
      <c r="K27" s="4">
        <v>42694.703999999998</v>
      </c>
    </row>
    <row r="28" spans="1:11" x14ac:dyDescent="0.25">
      <c r="A28" s="1">
        <v>45384</v>
      </c>
      <c r="B28">
        <v>3</v>
      </c>
      <c r="C28">
        <v>4149.3</v>
      </c>
      <c r="D28">
        <v>0</v>
      </c>
      <c r="G28" s="3">
        <v>45399</v>
      </c>
      <c r="H28" s="4">
        <v>38753.980000000003</v>
      </c>
      <c r="J28" s="3">
        <v>45386</v>
      </c>
      <c r="K28" s="4">
        <v>42068.254000000001</v>
      </c>
    </row>
    <row r="29" spans="1:11" x14ac:dyDescent="0.25">
      <c r="A29" s="1">
        <v>45384</v>
      </c>
      <c r="B29">
        <v>4</v>
      </c>
      <c r="C29">
        <v>4457.1750000000002</v>
      </c>
      <c r="D29">
        <v>0</v>
      </c>
      <c r="G29" s="3">
        <v>45400</v>
      </c>
      <c r="H29" s="4">
        <v>36235.971000000005</v>
      </c>
      <c r="J29" s="3">
        <v>45385</v>
      </c>
      <c r="K29" s="4">
        <v>41060.303000000007</v>
      </c>
    </row>
    <row r="30" spans="1:11" x14ac:dyDescent="0.25">
      <c r="A30" s="1">
        <v>45384</v>
      </c>
      <c r="B30">
        <v>5</v>
      </c>
      <c r="C30">
        <v>4588.4380000000001</v>
      </c>
      <c r="D30">
        <v>0</v>
      </c>
      <c r="G30" s="3">
        <v>45406</v>
      </c>
      <c r="H30" s="4">
        <v>26005.644</v>
      </c>
      <c r="J30" s="3">
        <v>45402</v>
      </c>
      <c r="K30" s="4">
        <v>37504.129000000008</v>
      </c>
    </row>
    <row r="31" spans="1:11" x14ac:dyDescent="0.25">
      <c r="A31" s="1">
        <v>45384</v>
      </c>
      <c r="B31">
        <v>6</v>
      </c>
      <c r="C31">
        <v>4658.5</v>
      </c>
      <c r="D31">
        <v>1.075</v>
      </c>
      <c r="G31" s="3">
        <v>45407</v>
      </c>
      <c r="H31" s="4">
        <v>22276.717999999993</v>
      </c>
      <c r="J31" s="3">
        <v>45404</v>
      </c>
      <c r="K31" s="4">
        <v>36963.155000000006</v>
      </c>
    </row>
    <row r="32" spans="1:11" x14ac:dyDescent="0.25">
      <c r="A32" s="1">
        <v>45384</v>
      </c>
      <c r="B32">
        <v>7</v>
      </c>
      <c r="C32">
        <v>4732.9750000000004</v>
      </c>
      <c r="D32">
        <v>61.274999999999999</v>
      </c>
      <c r="G32" s="3">
        <v>45405</v>
      </c>
      <c r="H32" s="4">
        <v>17104.105</v>
      </c>
      <c r="J32" s="3">
        <v>45384</v>
      </c>
      <c r="K32" s="4">
        <v>24206.878000000004</v>
      </c>
    </row>
    <row r="33" spans="1:11" x14ac:dyDescent="0.25">
      <c r="A33" s="1">
        <v>45384</v>
      </c>
      <c r="B33">
        <v>8</v>
      </c>
      <c r="C33">
        <v>4939.8249999999998</v>
      </c>
      <c r="D33">
        <v>440.625</v>
      </c>
      <c r="G33" s="3" t="s">
        <v>5</v>
      </c>
      <c r="H33" s="4">
        <v>2029015.86</v>
      </c>
      <c r="J33" s="3" t="s">
        <v>5</v>
      </c>
      <c r="K33" s="4">
        <v>1714975.0980000002</v>
      </c>
    </row>
    <row r="34" spans="1:11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11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11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11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11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11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11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11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11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11" x14ac:dyDescent="0.25">
      <c r="A43" s="1">
        <v>45384</v>
      </c>
      <c r="B43">
        <v>18</v>
      </c>
      <c r="C43">
        <v>6882.125</v>
      </c>
      <c r="D43">
        <v>1488.125</v>
      </c>
    </row>
    <row r="44" spans="1:11" x14ac:dyDescent="0.25">
      <c r="A44" s="1">
        <v>45384</v>
      </c>
      <c r="B44">
        <v>19</v>
      </c>
      <c r="C44">
        <v>6806.5630000000001</v>
      </c>
      <c r="D44">
        <v>581.4</v>
      </c>
    </row>
    <row r="45" spans="1:11" x14ac:dyDescent="0.25">
      <c r="A45" s="1">
        <v>45384</v>
      </c>
      <c r="B45">
        <v>20</v>
      </c>
      <c r="C45">
        <v>7039.9629999999997</v>
      </c>
      <c r="D45">
        <v>56.85</v>
      </c>
    </row>
    <row r="46" spans="1:11" x14ac:dyDescent="0.25">
      <c r="A46" s="1">
        <v>45384</v>
      </c>
      <c r="B46">
        <v>21</v>
      </c>
      <c r="C46">
        <v>7089.2380000000003</v>
      </c>
      <c r="D46">
        <v>0</v>
      </c>
    </row>
    <row r="47" spans="1:11" x14ac:dyDescent="0.25">
      <c r="A47" s="1">
        <v>45384</v>
      </c>
      <c r="B47">
        <v>22</v>
      </c>
      <c r="C47">
        <v>6955.6379999999999</v>
      </c>
      <c r="D47">
        <v>0</v>
      </c>
    </row>
    <row r="48" spans="1:11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CED3-B268-4F46-94B4-D0481C74143E}">
  <dimension ref="A1:M721"/>
  <sheetViews>
    <sheetView topLeftCell="A25" zoomScaleNormal="100" workbookViewId="0">
      <selection activeCell="L2" sqref="L2:M26"/>
    </sheetView>
  </sheetViews>
  <sheetFormatPr defaultRowHeight="15" x14ac:dyDescent="0.25"/>
  <cols>
    <col min="1" max="1" width="10.5703125" bestFit="1" customWidth="1"/>
    <col min="2" max="2" width="8.140625" bestFit="1" customWidth="1"/>
    <col min="3" max="3" width="16.140625" bestFit="1" customWidth="1"/>
    <col min="4" max="4" width="21.140625" bestFit="1" customWidth="1"/>
    <col min="9" max="9" width="17.7109375" bestFit="1" customWidth="1"/>
    <col min="10" max="10" width="30" bestFit="1" customWidth="1"/>
    <col min="11" max="11" width="2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 s="1">
        <v>45383</v>
      </c>
      <c r="B2">
        <v>1</v>
      </c>
      <c r="C2">
        <v>3130.2629999999999</v>
      </c>
      <c r="D2">
        <v>0</v>
      </c>
      <c r="I2" s="2" t="s">
        <v>4</v>
      </c>
      <c r="J2" t="s">
        <v>11</v>
      </c>
      <c r="L2" s="5" t="s">
        <v>12</v>
      </c>
      <c r="M2" s="5" t="s">
        <v>13</v>
      </c>
    </row>
    <row r="3" spans="1:13" x14ac:dyDescent="0.25">
      <c r="A3" s="1">
        <v>45383</v>
      </c>
      <c r="B3">
        <v>2</v>
      </c>
      <c r="C3">
        <v>2765.5880000000002</v>
      </c>
      <c r="D3">
        <v>0</v>
      </c>
      <c r="I3" s="8">
        <v>1</v>
      </c>
      <c r="J3" s="9">
        <v>0</v>
      </c>
      <c r="L3" s="10">
        <v>1</v>
      </c>
      <c r="M3" s="11">
        <v>0</v>
      </c>
    </row>
    <row r="4" spans="1:13" x14ac:dyDescent="0.25">
      <c r="A4" s="1">
        <v>45383</v>
      </c>
      <c r="B4">
        <v>3</v>
      </c>
      <c r="C4">
        <v>2555.4380000000001</v>
      </c>
      <c r="D4">
        <v>0</v>
      </c>
      <c r="I4" s="8">
        <v>2</v>
      </c>
      <c r="J4" s="9">
        <v>0</v>
      </c>
      <c r="L4" s="10">
        <v>2</v>
      </c>
      <c r="M4" s="11">
        <v>0</v>
      </c>
    </row>
    <row r="5" spans="1:13" x14ac:dyDescent="0.25">
      <c r="A5" s="1">
        <v>45383</v>
      </c>
      <c r="B5">
        <v>4</v>
      </c>
      <c r="C5">
        <v>2675.2379999999998</v>
      </c>
      <c r="D5">
        <v>0</v>
      </c>
      <c r="I5" s="8">
        <v>3</v>
      </c>
      <c r="J5" s="9">
        <v>0</v>
      </c>
      <c r="L5" s="10">
        <v>3</v>
      </c>
      <c r="M5" s="11">
        <v>0</v>
      </c>
    </row>
    <row r="6" spans="1:13" x14ac:dyDescent="0.25">
      <c r="A6" s="1">
        <v>45383</v>
      </c>
      <c r="B6">
        <v>5</v>
      </c>
      <c r="C6">
        <v>2681.1750000000002</v>
      </c>
      <c r="D6">
        <v>0</v>
      </c>
      <c r="I6" s="8">
        <v>4</v>
      </c>
      <c r="J6" s="9">
        <v>0</v>
      </c>
      <c r="L6" s="10">
        <v>4</v>
      </c>
      <c r="M6" s="11">
        <v>0</v>
      </c>
    </row>
    <row r="7" spans="1:13" x14ac:dyDescent="0.25">
      <c r="A7" s="1">
        <v>45383</v>
      </c>
      <c r="B7">
        <v>6</v>
      </c>
      <c r="C7">
        <v>2367.3249999999998</v>
      </c>
      <c r="D7">
        <v>0.21299999999999999</v>
      </c>
      <c r="I7" s="8">
        <v>5</v>
      </c>
      <c r="J7" s="9">
        <v>2.7933333333333331E-2</v>
      </c>
      <c r="L7" s="10">
        <v>5</v>
      </c>
      <c r="M7" s="11">
        <v>2.7933333333333331E-2</v>
      </c>
    </row>
    <row r="8" spans="1:13" x14ac:dyDescent="0.25">
      <c r="A8" s="1">
        <v>45383</v>
      </c>
      <c r="B8">
        <v>7</v>
      </c>
      <c r="C8">
        <v>2525.2249999999999</v>
      </c>
      <c r="D8">
        <v>117.075</v>
      </c>
      <c r="I8" s="8">
        <v>6</v>
      </c>
      <c r="J8" s="9">
        <v>64.670633333333342</v>
      </c>
      <c r="L8" s="10">
        <v>6</v>
      </c>
      <c r="M8" s="11">
        <v>64.670633333333342</v>
      </c>
    </row>
    <row r="9" spans="1:13" x14ac:dyDescent="0.25">
      <c r="A9" s="1">
        <v>45383</v>
      </c>
      <c r="B9">
        <v>8</v>
      </c>
      <c r="C9">
        <v>2360.9879999999998</v>
      </c>
      <c r="D9">
        <v>1162.075</v>
      </c>
      <c r="I9" s="8">
        <v>7</v>
      </c>
      <c r="J9" s="9">
        <v>491.30063333333328</v>
      </c>
      <c r="L9" s="10">
        <v>7</v>
      </c>
      <c r="M9" s="11">
        <v>491.30063333333328</v>
      </c>
    </row>
    <row r="10" spans="1:13" x14ac:dyDescent="0.25">
      <c r="A10" s="1">
        <v>45383</v>
      </c>
      <c r="B10">
        <v>9</v>
      </c>
      <c r="C10">
        <v>1940.838</v>
      </c>
      <c r="D10">
        <v>2680.5129999999999</v>
      </c>
      <c r="I10" s="8">
        <v>8</v>
      </c>
      <c r="J10" s="9">
        <v>1723.6281333333332</v>
      </c>
      <c r="L10" s="10">
        <v>8</v>
      </c>
      <c r="M10" s="11">
        <v>1723.6281333333332</v>
      </c>
    </row>
    <row r="11" spans="1:13" x14ac:dyDescent="0.25">
      <c r="A11" s="1">
        <v>45383</v>
      </c>
      <c r="B11">
        <v>10</v>
      </c>
      <c r="C11">
        <v>1368.675</v>
      </c>
      <c r="D11">
        <v>4416</v>
      </c>
      <c r="I11" s="8">
        <v>9</v>
      </c>
      <c r="J11" s="9">
        <v>3492.9265333333333</v>
      </c>
      <c r="L11" s="10">
        <v>9</v>
      </c>
      <c r="M11" s="11">
        <v>3492.9265333333333</v>
      </c>
    </row>
    <row r="12" spans="1:13" x14ac:dyDescent="0.25">
      <c r="A12" s="1">
        <v>45383</v>
      </c>
      <c r="B12">
        <v>11</v>
      </c>
      <c r="C12">
        <v>1140.463</v>
      </c>
      <c r="D12">
        <v>5331.5749999999998</v>
      </c>
      <c r="I12" s="8">
        <v>10</v>
      </c>
      <c r="J12" s="9">
        <v>5164.2290666666668</v>
      </c>
      <c r="L12" s="10">
        <v>10</v>
      </c>
      <c r="M12" s="11">
        <v>5164.2290666666668</v>
      </c>
    </row>
    <row r="13" spans="1:13" x14ac:dyDescent="0.25">
      <c r="A13" s="1">
        <v>45383</v>
      </c>
      <c r="B13">
        <v>12</v>
      </c>
      <c r="C13">
        <v>1305.8630000000001</v>
      </c>
      <c r="D13">
        <v>5812.2250000000004</v>
      </c>
      <c r="I13" s="8">
        <v>11</v>
      </c>
      <c r="J13" s="9">
        <v>6246.1545000000006</v>
      </c>
      <c r="L13" s="10">
        <v>11</v>
      </c>
      <c r="M13" s="11">
        <v>6246.1545000000006</v>
      </c>
    </row>
    <row r="14" spans="1:13" x14ac:dyDescent="0.25">
      <c r="A14" s="1">
        <v>45383</v>
      </c>
      <c r="B14">
        <v>13</v>
      </c>
      <c r="C14">
        <v>1511.4880000000001</v>
      </c>
      <c r="D14">
        <v>5846.6130000000003</v>
      </c>
      <c r="I14" s="8">
        <v>12</v>
      </c>
      <c r="J14" s="9">
        <v>6623.0248333333329</v>
      </c>
      <c r="L14" s="10">
        <v>12</v>
      </c>
      <c r="M14" s="11">
        <v>6623.0248333333329</v>
      </c>
    </row>
    <row r="15" spans="1:13" x14ac:dyDescent="0.25">
      <c r="A15" s="1">
        <v>45383</v>
      </c>
      <c r="B15">
        <v>14</v>
      </c>
      <c r="C15">
        <v>1931.05</v>
      </c>
      <c r="D15">
        <v>5471.4250000000002</v>
      </c>
      <c r="I15" s="8">
        <v>13</v>
      </c>
      <c r="J15" s="9">
        <v>6658.3849000000009</v>
      </c>
      <c r="L15" s="10">
        <v>13</v>
      </c>
      <c r="M15" s="11">
        <v>6658.3849000000009</v>
      </c>
    </row>
    <row r="16" spans="1:13" x14ac:dyDescent="0.25">
      <c r="A16" s="1">
        <v>45383</v>
      </c>
      <c r="B16">
        <v>15</v>
      </c>
      <c r="C16">
        <v>2229.25</v>
      </c>
      <c r="D16">
        <v>5661.8249999999998</v>
      </c>
      <c r="I16" s="8">
        <v>14</v>
      </c>
      <c r="J16" s="9">
        <v>6489.5148000000008</v>
      </c>
      <c r="L16" s="10">
        <v>14</v>
      </c>
      <c r="M16" s="11">
        <v>6489.5148000000008</v>
      </c>
    </row>
    <row r="17" spans="1:13" x14ac:dyDescent="0.25">
      <c r="A17" s="1">
        <v>45383</v>
      </c>
      <c r="B17">
        <v>16</v>
      </c>
      <c r="C17">
        <v>2467.125</v>
      </c>
      <c r="D17">
        <v>5067.9880000000003</v>
      </c>
      <c r="I17" s="8">
        <v>15</v>
      </c>
      <c r="J17" s="9">
        <v>6099.1731000000009</v>
      </c>
      <c r="L17" s="10">
        <v>15</v>
      </c>
      <c r="M17" s="11">
        <v>6099.1731000000009</v>
      </c>
    </row>
    <row r="18" spans="1:13" x14ac:dyDescent="0.25">
      <c r="A18" s="1">
        <v>45383</v>
      </c>
      <c r="B18">
        <v>17</v>
      </c>
      <c r="C18">
        <v>2655.85</v>
      </c>
      <c r="D18">
        <v>3458.1379999999999</v>
      </c>
      <c r="I18" s="8">
        <v>16</v>
      </c>
      <c r="J18" s="9">
        <v>5410.7428000000009</v>
      </c>
      <c r="L18" s="10">
        <v>16</v>
      </c>
      <c r="M18" s="11">
        <v>5410.7428000000009</v>
      </c>
    </row>
    <row r="19" spans="1:13" x14ac:dyDescent="0.25">
      <c r="A19" s="1">
        <v>45383</v>
      </c>
      <c r="B19">
        <v>18</v>
      </c>
      <c r="C19">
        <v>2572.7629999999999</v>
      </c>
      <c r="D19">
        <v>1719.088</v>
      </c>
      <c r="I19" s="8">
        <v>17</v>
      </c>
      <c r="J19" s="9">
        <v>4338.6940000000004</v>
      </c>
      <c r="L19" s="10">
        <v>17</v>
      </c>
      <c r="M19" s="11">
        <v>4338.6940000000004</v>
      </c>
    </row>
    <row r="20" spans="1:13" x14ac:dyDescent="0.25">
      <c r="A20" s="1">
        <v>45383</v>
      </c>
      <c r="B20">
        <v>19</v>
      </c>
      <c r="C20">
        <v>2891.1750000000002</v>
      </c>
      <c r="D20">
        <v>560.76300000000003</v>
      </c>
      <c r="I20" s="8">
        <v>18</v>
      </c>
      <c r="J20" s="9">
        <v>2796.1616000000004</v>
      </c>
      <c r="L20" s="10">
        <v>18</v>
      </c>
      <c r="M20" s="11">
        <v>2796.1616000000004</v>
      </c>
    </row>
    <row r="21" spans="1:13" x14ac:dyDescent="0.25">
      <c r="A21" s="1">
        <v>45383</v>
      </c>
      <c r="B21">
        <v>20</v>
      </c>
      <c r="C21">
        <v>3515.2</v>
      </c>
      <c r="D21">
        <v>51.438000000000002</v>
      </c>
      <c r="I21" s="8">
        <v>19</v>
      </c>
      <c r="J21" s="9">
        <v>1240.4914333333334</v>
      </c>
      <c r="L21" s="10">
        <v>19</v>
      </c>
      <c r="M21" s="11">
        <v>1240.4914333333334</v>
      </c>
    </row>
    <row r="22" spans="1:13" x14ac:dyDescent="0.25">
      <c r="A22" s="1">
        <v>45383</v>
      </c>
      <c r="B22">
        <v>21</v>
      </c>
      <c r="C22">
        <v>3941.538</v>
      </c>
      <c r="D22">
        <v>0</v>
      </c>
      <c r="I22" s="8">
        <v>20</v>
      </c>
      <c r="J22" s="9">
        <v>311.0299333333333</v>
      </c>
      <c r="L22" s="10">
        <v>20</v>
      </c>
      <c r="M22" s="11">
        <v>311.0299333333333</v>
      </c>
    </row>
    <row r="23" spans="1:13" x14ac:dyDescent="0.25">
      <c r="A23" s="1">
        <v>45383</v>
      </c>
      <c r="B23">
        <v>22</v>
      </c>
      <c r="C23">
        <v>4127.375</v>
      </c>
      <c r="D23">
        <v>0</v>
      </c>
      <c r="I23" s="8">
        <v>21</v>
      </c>
      <c r="J23" s="9">
        <v>15.681766666666666</v>
      </c>
      <c r="L23" s="10">
        <v>21</v>
      </c>
      <c r="M23" s="11">
        <v>15.681766666666666</v>
      </c>
    </row>
    <row r="24" spans="1:13" x14ac:dyDescent="0.25">
      <c r="A24" s="1">
        <v>45383</v>
      </c>
      <c r="B24">
        <v>23</v>
      </c>
      <c r="C24">
        <v>4248.55</v>
      </c>
      <c r="D24">
        <v>0</v>
      </c>
      <c r="I24" s="8">
        <v>22</v>
      </c>
      <c r="J24" s="9">
        <v>0</v>
      </c>
      <c r="L24" s="10">
        <v>22</v>
      </c>
      <c r="M24" s="11">
        <v>0</v>
      </c>
    </row>
    <row r="25" spans="1:13" x14ac:dyDescent="0.25">
      <c r="A25" s="1">
        <v>45383</v>
      </c>
      <c r="B25">
        <v>24</v>
      </c>
      <c r="C25">
        <v>4027.7249999999999</v>
      </c>
      <c r="D25">
        <v>0</v>
      </c>
      <c r="I25" s="8">
        <v>23</v>
      </c>
      <c r="J25" s="9">
        <v>0</v>
      </c>
      <c r="L25" s="10">
        <v>23</v>
      </c>
      <c r="M25" s="11">
        <v>0</v>
      </c>
    </row>
    <row r="26" spans="1:13" x14ac:dyDescent="0.25">
      <c r="A26" s="1">
        <v>45384</v>
      </c>
      <c r="B26">
        <v>1</v>
      </c>
      <c r="C26">
        <v>3346.5749999999998</v>
      </c>
      <c r="D26">
        <v>0</v>
      </c>
      <c r="I26" s="8">
        <v>24</v>
      </c>
      <c r="J26" s="9">
        <v>0</v>
      </c>
      <c r="L26" s="10">
        <v>24</v>
      </c>
      <c r="M26" s="11">
        <v>0</v>
      </c>
    </row>
    <row r="27" spans="1:13" x14ac:dyDescent="0.25">
      <c r="A27" s="1">
        <v>45384</v>
      </c>
      <c r="B27">
        <v>2</v>
      </c>
      <c r="C27">
        <v>3446.2379999999998</v>
      </c>
      <c r="D27">
        <v>0</v>
      </c>
      <c r="I27" s="8" t="s">
        <v>10</v>
      </c>
      <c r="J27" s="9"/>
    </row>
    <row r="28" spans="1:13" x14ac:dyDescent="0.25">
      <c r="A28" s="1">
        <v>45384</v>
      </c>
      <c r="B28">
        <v>3</v>
      </c>
      <c r="C28">
        <v>4149.3</v>
      </c>
      <c r="D28">
        <v>0</v>
      </c>
      <c r="I28" s="8" t="s">
        <v>5</v>
      </c>
      <c r="J28" s="9">
        <v>2381.9098583333312</v>
      </c>
    </row>
    <row r="29" spans="1:13" x14ac:dyDescent="0.25">
      <c r="A29" s="1">
        <v>45384</v>
      </c>
      <c r="B29">
        <v>4</v>
      </c>
      <c r="C29">
        <v>4457.1750000000002</v>
      </c>
      <c r="D29">
        <v>0</v>
      </c>
    </row>
    <row r="30" spans="1:13" x14ac:dyDescent="0.25">
      <c r="A30" s="1">
        <v>45384</v>
      </c>
      <c r="B30">
        <v>5</v>
      </c>
      <c r="C30">
        <v>4588.4380000000001</v>
      </c>
      <c r="D30">
        <v>0</v>
      </c>
    </row>
    <row r="31" spans="1:13" x14ac:dyDescent="0.25">
      <c r="A31" s="1">
        <v>45384</v>
      </c>
      <c r="B31">
        <v>6</v>
      </c>
      <c r="C31">
        <v>4658.5</v>
      </c>
      <c r="D31">
        <v>1.075</v>
      </c>
    </row>
    <row r="32" spans="1:13" x14ac:dyDescent="0.25">
      <c r="A32" s="1">
        <v>45384</v>
      </c>
      <c r="B32">
        <v>7</v>
      </c>
      <c r="C32">
        <v>4732.9750000000004</v>
      </c>
      <c r="D32">
        <v>61.274999999999999</v>
      </c>
    </row>
    <row r="33" spans="1:4" x14ac:dyDescent="0.25">
      <c r="A33" s="1">
        <v>45384</v>
      </c>
      <c r="B33">
        <v>8</v>
      </c>
      <c r="C33">
        <v>4939.8249999999998</v>
      </c>
      <c r="D33">
        <v>440.625</v>
      </c>
    </row>
    <row r="34" spans="1:4" x14ac:dyDescent="0.25">
      <c r="A34" s="1">
        <v>45384</v>
      </c>
      <c r="B34">
        <v>9</v>
      </c>
      <c r="C34">
        <v>5218.9629999999997</v>
      </c>
      <c r="D34">
        <v>1086.2750000000001</v>
      </c>
    </row>
    <row r="35" spans="1:4" x14ac:dyDescent="0.25">
      <c r="A35" s="1">
        <v>45384</v>
      </c>
      <c r="B35">
        <v>10</v>
      </c>
      <c r="C35">
        <v>5539.7749999999996</v>
      </c>
      <c r="D35">
        <v>1915.2629999999999</v>
      </c>
    </row>
    <row r="36" spans="1:4" x14ac:dyDescent="0.25">
      <c r="A36" s="1">
        <v>45384</v>
      </c>
      <c r="B36">
        <v>11</v>
      </c>
      <c r="C36">
        <v>5927.375</v>
      </c>
      <c r="D36">
        <v>2442.2629999999999</v>
      </c>
    </row>
    <row r="37" spans="1:4" x14ac:dyDescent="0.25">
      <c r="A37" s="1">
        <v>45384</v>
      </c>
      <c r="B37">
        <v>12</v>
      </c>
      <c r="C37">
        <v>6218.0749999999998</v>
      </c>
      <c r="D37">
        <v>2724.6379999999999</v>
      </c>
    </row>
    <row r="38" spans="1:4" x14ac:dyDescent="0.25">
      <c r="A38" s="1">
        <v>45384</v>
      </c>
      <c r="B38">
        <v>13</v>
      </c>
      <c r="C38">
        <v>6813.6629999999996</v>
      </c>
      <c r="D38">
        <v>2673.2629999999999</v>
      </c>
    </row>
    <row r="39" spans="1:4" x14ac:dyDescent="0.25">
      <c r="A39" s="1">
        <v>45384</v>
      </c>
      <c r="B39">
        <v>14</v>
      </c>
      <c r="C39">
        <v>7025.85</v>
      </c>
      <c r="D39">
        <v>2775.5880000000002</v>
      </c>
    </row>
    <row r="40" spans="1:4" x14ac:dyDescent="0.25">
      <c r="A40" s="1">
        <v>45384</v>
      </c>
      <c r="B40">
        <v>15</v>
      </c>
      <c r="C40">
        <v>7180.7629999999999</v>
      </c>
      <c r="D40">
        <v>2810.9380000000001</v>
      </c>
    </row>
    <row r="41" spans="1:4" x14ac:dyDescent="0.25">
      <c r="A41" s="1">
        <v>45384</v>
      </c>
      <c r="B41">
        <v>16</v>
      </c>
      <c r="C41">
        <v>7220.4880000000003</v>
      </c>
      <c r="D41">
        <v>2744.5250000000001</v>
      </c>
    </row>
    <row r="42" spans="1:4" x14ac:dyDescent="0.25">
      <c r="A42" s="1">
        <v>45384</v>
      </c>
      <c r="B42">
        <v>17</v>
      </c>
      <c r="C42">
        <v>7167.5630000000001</v>
      </c>
      <c r="D42">
        <v>2404.7750000000001</v>
      </c>
    </row>
    <row r="43" spans="1:4" x14ac:dyDescent="0.25">
      <c r="A43" s="1">
        <v>45384</v>
      </c>
      <c r="B43">
        <v>18</v>
      </c>
      <c r="C43">
        <v>6882.125</v>
      </c>
      <c r="D43">
        <v>1488.125</v>
      </c>
    </row>
    <row r="44" spans="1:4" x14ac:dyDescent="0.25">
      <c r="A44" s="1">
        <v>45384</v>
      </c>
      <c r="B44">
        <v>19</v>
      </c>
      <c r="C44">
        <v>6806.5630000000001</v>
      </c>
      <c r="D44">
        <v>581.4</v>
      </c>
    </row>
    <row r="45" spans="1:4" x14ac:dyDescent="0.25">
      <c r="A45" s="1">
        <v>45384</v>
      </c>
      <c r="B45">
        <v>20</v>
      </c>
      <c r="C45">
        <v>7039.9629999999997</v>
      </c>
      <c r="D45">
        <v>56.85</v>
      </c>
    </row>
    <row r="46" spans="1:4" x14ac:dyDescent="0.25">
      <c r="A46" s="1">
        <v>45384</v>
      </c>
      <c r="B46">
        <v>21</v>
      </c>
      <c r="C46">
        <v>7089.2380000000003</v>
      </c>
      <c r="D46">
        <v>0</v>
      </c>
    </row>
    <row r="47" spans="1:4" x14ac:dyDescent="0.25">
      <c r="A47" s="1">
        <v>45384</v>
      </c>
      <c r="B47">
        <v>22</v>
      </c>
      <c r="C47">
        <v>6955.6379999999999</v>
      </c>
      <c r="D47">
        <v>0</v>
      </c>
    </row>
    <row r="48" spans="1:4" x14ac:dyDescent="0.25">
      <c r="A48" s="1">
        <v>45384</v>
      </c>
      <c r="B48">
        <v>23</v>
      </c>
      <c r="C48">
        <v>6667.7749999999996</v>
      </c>
      <c r="D48">
        <v>0</v>
      </c>
    </row>
    <row r="49" spans="1:4" x14ac:dyDescent="0.25">
      <c r="A49" s="1">
        <v>45384</v>
      </c>
      <c r="B49">
        <v>24</v>
      </c>
      <c r="C49">
        <v>6771.0879999999997</v>
      </c>
      <c r="D49">
        <v>0</v>
      </c>
    </row>
    <row r="50" spans="1:4" x14ac:dyDescent="0.25">
      <c r="A50" s="1">
        <v>45385</v>
      </c>
      <c r="B50">
        <v>1</v>
      </c>
      <c r="C50">
        <v>6683.55</v>
      </c>
      <c r="D50">
        <v>0</v>
      </c>
    </row>
    <row r="51" spans="1:4" x14ac:dyDescent="0.25">
      <c r="A51" s="1">
        <v>45385</v>
      </c>
      <c r="B51">
        <v>2</v>
      </c>
      <c r="C51">
        <v>6485.2250000000004</v>
      </c>
      <c r="D51">
        <v>0</v>
      </c>
    </row>
    <row r="52" spans="1:4" x14ac:dyDescent="0.25">
      <c r="A52" s="1">
        <v>45385</v>
      </c>
      <c r="B52">
        <v>3</v>
      </c>
      <c r="C52">
        <v>6362.625</v>
      </c>
      <c r="D52">
        <v>0</v>
      </c>
    </row>
    <row r="53" spans="1:4" x14ac:dyDescent="0.25">
      <c r="A53" s="1">
        <v>45385</v>
      </c>
      <c r="B53">
        <v>4</v>
      </c>
      <c r="C53">
        <v>5948.9250000000002</v>
      </c>
      <c r="D53">
        <v>0</v>
      </c>
    </row>
    <row r="54" spans="1:4" x14ac:dyDescent="0.25">
      <c r="A54" s="1">
        <v>45385</v>
      </c>
      <c r="B54">
        <v>5</v>
      </c>
      <c r="C54">
        <v>5874.1880000000001</v>
      </c>
      <c r="D54">
        <v>0</v>
      </c>
    </row>
    <row r="55" spans="1:4" x14ac:dyDescent="0.25">
      <c r="A55" s="1">
        <v>45385</v>
      </c>
      <c r="B55">
        <v>6</v>
      </c>
      <c r="C55">
        <v>5815.1629999999996</v>
      </c>
      <c r="D55">
        <v>0.625</v>
      </c>
    </row>
    <row r="56" spans="1:4" x14ac:dyDescent="0.25">
      <c r="A56" s="1">
        <v>45385</v>
      </c>
      <c r="B56">
        <v>7</v>
      </c>
      <c r="C56">
        <v>5951.2879999999996</v>
      </c>
      <c r="D56">
        <v>76.875</v>
      </c>
    </row>
    <row r="57" spans="1:4" x14ac:dyDescent="0.25">
      <c r="A57" s="1">
        <v>45385</v>
      </c>
      <c r="B57">
        <v>8</v>
      </c>
      <c r="C57">
        <v>5858.2879999999996</v>
      </c>
      <c r="D57">
        <v>704.4</v>
      </c>
    </row>
    <row r="58" spans="1:4" x14ac:dyDescent="0.25">
      <c r="A58" s="1">
        <v>45385</v>
      </c>
      <c r="B58">
        <v>9</v>
      </c>
      <c r="C58">
        <v>5839.8249999999998</v>
      </c>
      <c r="D58">
        <v>1911</v>
      </c>
    </row>
    <row r="59" spans="1:4" x14ac:dyDescent="0.25">
      <c r="A59" s="1">
        <v>45385</v>
      </c>
      <c r="B59">
        <v>10</v>
      </c>
      <c r="C59">
        <v>5734.2629999999999</v>
      </c>
      <c r="D59">
        <v>3500</v>
      </c>
    </row>
    <row r="60" spans="1:4" x14ac:dyDescent="0.25">
      <c r="A60" s="1">
        <v>45385</v>
      </c>
      <c r="B60">
        <v>11</v>
      </c>
      <c r="C60">
        <v>5387.15</v>
      </c>
      <c r="D60">
        <v>4405.4129999999996</v>
      </c>
    </row>
    <row r="61" spans="1:4" x14ac:dyDescent="0.25">
      <c r="A61" s="1">
        <v>45385</v>
      </c>
      <c r="B61">
        <v>12</v>
      </c>
      <c r="C61">
        <v>5066.9380000000001</v>
      </c>
      <c r="D61">
        <v>4657.0379999999996</v>
      </c>
    </row>
    <row r="62" spans="1:4" x14ac:dyDescent="0.25">
      <c r="A62" s="1">
        <v>45385</v>
      </c>
      <c r="B62">
        <v>13</v>
      </c>
      <c r="C62">
        <v>4827.9750000000004</v>
      </c>
      <c r="D62">
        <v>5127.7879999999996</v>
      </c>
    </row>
    <row r="63" spans="1:4" x14ac:dyDescent="0.25">
      <c r="A63" s="1">
        <v>45385</v>
      </c>
      <c r="B63">
        <v>14</v>
      </c>
      <c r="C63">
        <v>4638.2129999999997</v>
      </c>
      <c r="D63">
        <v>5204.4750000000004</v>
      </c>
    </row>
    <row r="64" spans="1:4" x14ac:dyDescent="0.25">
      <c r="A64" s="1">
        <v>45385</v>
      </c>
      <c r="B64">
        <v>15</v>
      </c>
      <c r="C64">
        <v>4444.0129999999999</v>
      </c>
      <c r="D64">
        <v>5284.65</v>
      </c>
    </row>
    <row r="65" spans="1:4" x14ac:dyDescent="0.25">
      <c r="A65" s="1">
        <v>45385</v>
      </c>
      <c r="B65">
        <v>16</v>
      </c>
      <c r="C65">
        <v>4060.7249999999999</v>
      </c>
      <c r="D65">
        <v>4440.7879999999996</v>
      </c>
    </row>
    <row r="66" spans="1:4" x14ac:dyDescent="0.25">
      <c r="A66" s="1">
        <v>45385</v>
      </c>
      <c r="B66">
        <v>17</v>
      </c>
      <c r="C66">
        <v>3365</v>
      </c>
      <c r="D66">
        <v>3380.625</v>
      </c>
    </row>
    <row r="67" spans="1:4" x14ac:dyDescent="0.25">
      <c r="A67" s="1">
        <v>45385</v>
      </c>
      <c r="B67">
        <v>18</v>
      </c>
      <c r="C67">
        <v>2697.3380000000002</v>
      </c>
      <c r="D67">
        <v>1752.175</v>
      </c>
    </row>
    <row r="68" spans="1:4" x14ac:dyDescent="0.25">
      <c r="A68" s="1">
        <v>45385</v>
      </c>
      <c r="B68">
        <v>19</v>
      </c>
      <c r="C68">
        <v>2075.5749999999998</v>
      </c>
      <c r="D68">
        <v>515.93799999999999</v>
      </c>
    </row>
    <row r="69" spans="1:4" x14ac:dyDescent="0.25">
      <c r="A69" s="1">
        <v>45385</v>
      </c>
      <c r="B69">
        <v>20</v>
      </c>
      <c r="C69">
        <v>1725.175</v>
      </c>
      <c r="D69">
        <v>98.513000000000005</v>
      </c>
    </row>
    <row r="70" spans="1:4" x14ac:dyDescent="0.25">
      <c r="A70" s="1">
        <v>45385</v>
      </c>
      <c r="B70">
        <v>21</v>
      </c>
      <c r="C70">
        <v>1506.8630000000001</v>
      </c>
      <c r="D70">
        <v>0</v>
      </c>
    </row>
    <row r="71" spans="1:4" x14ac:dyDescent="0.25">
      <c r="A71" s="1">
        <v>45385</v>
      </c>
      <c r="B71">
        <v>22</v>
      </c>
      <c r="C71">
        <v>1343.6</v>
      </c>
      <c r="D71">
        <v>0</v>
      </c>
    </row>
    <row r="72" spans="1:4" x14ac:dyDescent="0.25">
      <c r="A72" s="1">
        <v>45385</v>
      </c>
      <c r="B72">
        <v>23</v>
      </c>
      <c r="C72">
        <v>1320.5630000000001</v>
      </c>
      <c r="D72">
        <v>0</v>
      </c>
    </row>
    <row r="73" spans="1:4" x14ac:dyDescent="0.25">
      <c r="A73" s="1">
        <v>45385</v>
      </c>
      <c r="B73">
        <v>24</v>
      </c>
      <c r="C73">
        <v>1277.1379999999999</v>
      </c>
      <c r="D73">
        <v>0</v>
      </c>
    </row>
    <row r="74" spans="1:4" x14ac:dyDescent="0.25">
      <c r="A74" s="1">
        <v>45386</v>
      </c>
      <c r="B74">
        <v>1</v>
      </c>
      <c r="C74">
        <v>1296.9380000000001</v>
      </c>
      <c r="D74">
        <v>0</v>
      </c>
    </row>
    <row r="75" spans="1:4" x14ac:dyDescent="0.25">
      <c r="A75" s="1">
        <v>45386</v>
      </c>
      <c r="B75">
        <v>2</v>
      </c>
      <c r="C75">
        <v>1376.75</v>
      </c>
      <c r="D75">
        <v>0</v>
      </c>
    </row>
    <row r="76" spans="1:4" x14ac:dyDescent="0.25">
      <c r="A76" s="1">
        <v>45386</v>
      </c>
      <c r="B76">
        <v>3</v>
      </c>
      <c r="C76">
        <v>1459.925</v>
      </c>
      <c r="D76">
        <v>0</v>
      </c>
    </row>
    <row r="77" spans="1:4" x14ac:dyDescent="0.25">
      <c r="A77" s="1">
        <v>45386</v>
      </c>
      <c r="B77">
        <v>4</v>
      </c>
      <c r="C77">
        <v>1527.538</v>
      </c>
      <c r="D77">
        <v>0</v>
      </c>
    </row>
    <row r="78" spans="1:4" x14ac:dyDescent="0.25">
      <c r="A78" s="1">
        <v>45386</v>
      </c>
      <c r="B78">
        <v>5</v>
      </c>
      <c r="C78">
        <v>1725.0630000000001</v>
      </c>
      <c r="D78">
        <v>0</v>
      </c>
    </row>
    <row r="79" spans="1:4" x14ac:dyDescent="0.25">
      <c r="A79" s="1">
        <v>45386</v>
      </c>
      <c r="B79">
        <v>6</v>
      </c>
      <c r="C79">
        <v>1804.5630000000001</v>
      </c>
      <c r="D79">
        <v>0.52500000000000002</v>
      </c>
    </row>
    <row r="80" spans="1:4" x14ac:dyDescent="0.25">
      <c r="A80" s="1">
        <v>45386</v>
      </c>
      <c r="B80">
        <v>7</v>
      </c>
      <c r="C80">
        <v>1882.8</v>
      </c>
      <c r="D80">
        <v>182.78800000000001</v>
      </c>
    </row>
    <row r="81" spans="1:4" x14ac:dyDescent="0.25">
      <c r="A81" s="1">
        <v>45386</v>
      </c>
      <c r="B81">
        <v>8</v>
      </c>
      <c r="C81">
        <v>1927.5</v>
      </c>
      <c r="D81">
        <v>903.98800000000006</v>
      </c>
    </row>
    <row r="82" spans="1:4" x14ac:dyDescent="0.25">
      <c r="A82" s="1">
        <v>45386</v>
      </c>
      <c r="B82">
        <v>9</v>
      </c>
      <c r="C82">
        <v>1803.0630000000001</v>
      </c>
      <c r="D82">
        <v>2087.2249999999999</v>
      </c>
    </row>
    <row r="83" spans="1:4" x14ac:dyDescent="0.25">
      <c r="A83" s="1">
        <v>45386</v>
      </c>
      <c r="B83">
        <v>10</v>
      </c>
      <c r="C83">
        <v>1611.05</v>
      </c>
      <c r="D83">
        <v>3579.6</v>
      </c>
    </row>
    <row r="84" spans="1:4" x14ac:dyDescent="0.25">
      <c r="A84" s="1">
        <v>45386</v>
      </c>
      <c r="B84">
        <v>11</v>
      </c>
      <c r="C84">
        <v>1517.413</v>
      </c>
      <c r="D84">
        <v>4306.8379999999997</v>
      </c>
    </row>
    <row r="85" spans="1:4" x14ac:dyDescent="0.25">
      <c r="A85" s="1">
        <v>45386</v>
      </c>
      <c r="B85">
        <v>12</v>
      </c>
      <c r="C85">
        <v>1464.9380000000001</v>
      </c>
      <c r="D85">
        <v>5172.3</v>
      </c>
    </row>
    <row r="86" spans="1:4" x14ac:dyDescent="0.25">
      <c r="A86" s="1">
        <v>45386</v>
      </c>
      <c r="B86">
        <v>13</v>
      </c>
      <c r="C86">
        <v>1616.9</v>
      </c>
      <c r="D86">
        <v>5723.5129999999999</v>
      </c>
    </row>
    <row r="87" spans="1:4" x14ac:dyDescent="0.25">
      <c r="A87" s="1">
        <v>45386</v>
      </c>
      <c r="B87">
        <v>14</v>
      </c>
      <c r="C87">
        <v>1760.9880000000001</v>
      </c>
      <c r="D87">
        <v>5583.875</v>
      </c>
    </row>
    <row r="88" spans="1:4" x14ac:dyDescent="0.25">
      <c r="A88" s="1">
        <v>45386</v>
      </c>
      <c r="B88">
        <v>15</v>
      </c>
      <c r="C88">
        <v>1910.588</v>
      </c>
      <c r="D88">
        <v>5109.6000000000004</v>
      </c>
    </row>
    <row r="89" spans="1:4" x14ac:dyDescent="0.25">
      <c r="A89" s="1">
        <v>45386</v>
      </c>
      <c r="B89">
        <v>16</v>
      </c>
      <c r="C89">
        <v>2147.8380000000002</v>
      </c>
      <c r="D89">
        <v>4166.7</v>
      </c>
    </row>
    <row r="90" spans="1:4" x14ac:dyDescent="0.25">
      <c r="A90" s="1">
        <v>45386</v>
      </c>
      <c r="B90">
        <v>17</v>
      </c>
      <c r="C90">
        <v>2389</v>
      </c>
      <c r="D90">
        <v>3069.4630000000002</v>
      </c>
    </row>
    <row r="91" spans="1:4" x14ac:dyDescent="0.25">
      <c r="A91" s="1">
        <v>45386</v>
      </c>
      <c r="B91">
        <v>18</v>
      </c>
      <c r="C91">
        <v>2445.2249999999999</v>
      </c>
      <c r="D91">
        <v>1544.663</v>
      </c>
    </row>
    <row r="92" spans="1:4" x14ac:dyDescent="0.25">
      <c r="A92" s="1">
        <v>45386</v>
      </c>
      <c r="B92">
        <v>19</v>
      </c>
      <c r="C92">
        <v>2756.4380000000001</v>
      </c>
      <c r="D92">
        <v>540.16300000000001</v>
      </c>
    </row>
    <row r="93" spans="1:4" x14ac:dyDescent="0.25">
      <c r="A93" s="1">
        <v>45386</v>
      </c>
      <c r="B93">
        <v>20</v>
      </c>
      <c r="C93">
        <v>3537.875</v>
      </c>
      <c r="D93">
        <v>97.013000000000005</v>
      </c>
    </row>
    <row r="94" spans="1:4" x14ac:dyDescent="0.25">
      <c r="A94" s="1">
        <v>45386</v>
      </c>
      <c r="B94">
        <v>21</v>
      </c>
      <c r="C94">
        <v>4276.8500000000004</v>
      </c>
      <c r="D94">
        <v>0</v>
      </c>
    </row>
    <row r="95" spans="1:4" x14ac:dyDescent="0.25">
      <c r="A95" s="1">
        <v>45386</v>
      </c>
      <c r="B95">
        <v>22</v>
      </c>
      <c r="C95">
        <v>4835.1750000000002</v>
      </c>
      <c r="D95">
        <v>0</v>
      </c>
    </row>
    <row r="96" spans="1:4" x14ac:dyDescent="0.25">
      <c r="A96" s="1">
        <v>45386</v>
      </c>
      <c r="B96">
        <v>23</v>
      </c>
      <c r="C96">
        <v>5044.7250000000004</v>
      </c>
      <c r="D96">
        <v>0</v>
      </c>
    </row>
    <row r="97" spans="1:4" x14ac:dyDescent="0.25">
      <c r="A97" s="1">
        <v>45386</v>
      </c>
      <c r="B97">
        <v>24</v>
      </c>
      <c r="C97">
        <v>5564.6750000000002</v>
      </c>
      <c r="D97">
        <v>0</v>
      </c>
    </row>
    <row r="98" spans="1:4" x14ac:dyDescent="0.25">
      <c r="A98" s="1">
        <v>45387</v>
      </c>
      <c r="B98">
        <v>1</v>
      </c>
      <c r="C98">
        <v>5803.1130000000003</v>
      </c>
      <c r="D98">
        <v>0</v>
      </c>
    </row>
    <row r="99" spans="1:4" x14ac:dyDescent="0.25">
      <c r="A99" s="1">
        <v>45387</v>
      </c>
      <c r="B99">
        <v>2</v>
      </c>
      <c r="C99">
        <v>5764.2749999999996</v>
      </c>
      <c r="D99">
        <v>0</v>
      </c>
    </row>
    <row r="100" spans="1:4" x14ac:dyDescent="0.25">
      <c r="A100" s="1">
        <v>45387</v>
      </c>
      <c r="B100">
        <v>3</v>
      </c>
      <c r="C100">
        <v>5571.0749999999998</v>
      </c>
      <c r="D100">
        <v>0</v>
      </c>
    </row>
    <row r="101" spans="1:4" x14ac:dyDescent="0.25">
      <c r="A101" s="1">
        <v>45387</v>
      </c>
      <c r="B101">
        <v>4</v>
      </c>
      <c r="C101">
        <v>5487.2380000000003</v>
      </c>
      <c r="D101">
        <v>0</v>
      </c>
    </row>
    <row r="102" spans="1:4" x14ac:dyDescent="0.25">
      <c r="A102" s="1">
        <v>45387</v>
      </c>
      <c r="B102">
        <v>5</v>
      </c>
      <c r="C102">
        <v>5289.1629999999996</v>
      </c>
      <c r="D102">
        <v>0</v>
      </c>
    </row>
    <row r="103" spans="1:4" x14ac:dyDescent="0.25">
      <c r="A103" s="1">
        <v>45387</v>
      </c>
      <c r="B103">
        <v>6</v>
      </c>
      <c r="C103">
        <v>4720.9750000000004</v>
      </c>
      <c r="D103">
        <v>2.6880000000000002</v>
      </c>
    </row>
    <row r="104" spans="1:4" x14ac:dyDescent="0.25">
      <c r="A104" s="1">
        <v>45387</v>
      </c>
      <c r="B104">
        <v>7</v>
      </c>
      <c r="C104">
        <v>4460.4880000000003</v>
      </c>
      <c r="D104">
        <v>207.26300000000001</v>
      </c>
    </row>
    <row r="105" spans="1:4" x14ac:dyDescent="0.25">
      <c r="A105" s="1">
        <v>45387</v>
      </c>
      <c r="B105">
        <v>8</v>
      </c>
      <c r="C105">
        <v>4055.7249999999999</v>
      </c>
      <c r="D105">
        <v>1171.5999999999999</v>
      </c>
    </row>
    <row r="106" spans="1:4" x14ac:dyDescent="0.25">
      <c r="A106" s="1">
        <v>45387</v>
      </c>
      <c r="B106">
        <v>9</v>
      </c>
      <c r="C106">
        <v>3390.5880000000002</v>
      </c>
      <c r="D106">
        <v>2805.5250000000001</v>
      </c>
    </row>
    <row r="107" spans="1:4" x14ac:dyDescent="0.25">
      <c r="A107" s="1">
        <v>45387</v>
      </c>
      <c r="B107">
        <v>10</v>
      </c>
      <c r="C107">
        <v>3101.2249999999999</v>
      </c>
      <c r="D107">
        <v>4478.6379999999999</v>
      </c>
    </row>
    <row r="108" spans="1:4" x14ac:dyDescent="0.25">
      <c r="A108" s="1">
        <v>45387</v>
      </c>
      <c r="B108">
        <v>11</v>
      </c>
      <c r="C108">
        <v>2969.0630000000001</v>
      </c>
      <c r="D108">
        <v>6019.9129999999996</v>
      </c>
    </row>
    <row r="109" spans="1:4" x14ac:dyDescent="0.25">
      <c r="A109" s="1">
        <v>45387</v>
      </c>
      <c r="B109">
        <v>12</v>
      </c>
      <c r="C109">
        <v>3016.9749999999999</v>
      </c>
      <c r="D109">
        <v>6657.3249999999998</v>
      </c>
    </row>
    <row r="110" spans="1:4" x14ac:dyDescent="0.25">
      <c r="A110" s="1">
        <v>45387</v>
      </c>
      <c r="B110">
        <v>13</v>
      </c>
      <c r="C110">
        <v>3085.65</v>
      </c>
      <c r="D110">
        <v>6455.375</v>
      </c>
    </row>
    <row r="111" spans="1:4" x14ac:dyDescent="0.25">
      <c r="A111" s="1">
        <v>45387</v>
      </c>
      <c r="B111">
        <v>14</v>
      </c>
      <c r="C111">
        <v>3147</v>
      </c>
      <c r="D111">
        <v>6064.8</v>
      </c>
    </row>
    <row r="112" spans="1:4" x14ac:dyDescent="0.25">
      <c r="A112" s="1">
        <v>45387</v>
      </c>
      <c r="B112">
        <v>15</v>
      </c>
      <c r="C112">
        <v>2894.8249999999998</v>
      </c>
      <c r="D112">
        <v>5635.875</v>
      </c>
    </row>
    <row r="113" spans="1:4" x14ac:dyDescent="0.25">
      <c r="A113" s="1">
        <v>45387</v>
      </c>
      <c r="B113">
        <v>16</v>
      </c>
      <c r="C113">
        <v>2652.625</v>
      </c>
      <c r="D113">
        <v>5442.65</v>
      </c>
    </row>
    <row r="114" spans="1:4" x14ac:dyDescent="0.25">
      <c r="A114" s="1">
        <v>45387</v>
      </c>
      <c r="B114">
        <v>17</v>
      </c>
      <c r="C114">
        <v>2686.5630000000001</v>
      </c>
      <c r="D114">
        <v>4334.0749999999998</v>
      </c>
    </row>
    <row r="115" spans="1:4" x14ac:dyDescent="0.25">
      <c r="A115" s="1">
        <v>45387</v>
      </c>
      <c r="B115">
        <v>18</v>
      </c>
      <c r="C115">
        <v>2823.8879999999999</v>
      </c>
      <c r="D115">
        <v>2446.5129999999999</v>
      </c>
    </row>
    <row r="116" spans="1:4" x14ac:dyDescent="0.25">
      <c r="A116" s="1">
        <v>45387</v>
      </c>
      <c r="B116">
        <v>19</v>
      </c>
      <c r="C116">
        <v>3079.1</v>
      </c>
      <c r="D116">
        <v>770</v>
      </c>
    </row>
    <row r="117" spans="1:4" x14ac:dyDescent="0.25">
      <c r="A117" s="1">
        <v>45387</v>
      </c>
      <c r="B117">
        <v>20</v>
      </c>
      <c r="C117">
        <v>3840.15</v>
      </c>
      <c r="D117">
        <v>128.93799999999999</v>
      </c>
    </row>
    <row r="118" spans="1:4" x14ac:dyDescent="0.25">
      <c r="A118" s="1">
        <v>45387</v>
      </c>
      <c r="B118">
        <v>21</v>
      </c>
      <c r="C118">
        <v>4883.0379999999996</v>
      </c>
      <c r="D118">
        <v>0</v>
      </c>
    </row>
    <row r="119" spans="1:4" x14ac:dyDescent="0.25">
      <c r="A119" s="1">
        <v>45387</v>
      </c>
      <c r="B119">
        <v>22</v>
      </c>
      <c r="C119">
        <v>5978.1379999999999</v>
      </c>
      <c r="D119">
        <v>0</v>
      </c>
    </row>
    <row r="120" spans="1:4" x14ac:dyDescent="0.25">
      <c r="A120" s="1">
        <v>45387</v>
      </c>
      <c r="B120">
        <v>23</v>
      </c>
      <c r="C120">
        <v>6598.9129999999996</v>
      </c>
      <c r="D120">
        <v>0</v>
      </c>
    </row>
    <row r="121" spans="1:4" x14ac:dyDescent="0.25">
      <c r="A121" s="1">
        <v>45387</v>
      </c>
      <c r="B121">
        <v>24</v>
      </c>
      <c r="C121">
        <v>6643.1130000000003</v>
      </c>
      <c r="D121">
        <v>0</v>
      </c>
    </row>
    <row r="122" spans="1:4" x14ac:dyDescent="0.25">
      <c r="A122" s="1">
        <v>45388</v>
      </c>
      <c r="B122">
        <v>1</v>
      </c>
      <c r="C122">
        <v>6379.6750000000002</v>
      </c>
      <c r="D122">
        <v>0</v>
      </c>
    </row>
    <row r="123" spans="1:4" x14ac:dyDescent="0.25">
      <c r="A123" s="1">
        <v>45388</v>
      </c>
      <c r="B123">
        <v>2</v>
      </c>
      <c r="C123">
        <v>6134.5129999999999</v>
      </c>
      <c r="D123">
        <v>0</v>
      </c>
    </row>
    <row r="124" spans="1:4" x14ac:dyDescent="0.25">
      <c r="A124" s="1">
        <v>45388</v>
      </c>
      <c r="B124">
        <v>3</v>
      </c>
      <c r="C124">
        <v>5890.1</v>
      </c>
      <c r="D124">
        <v>0</v>
      </c>
    </row>
    <row r="125" spans="1:4" x14ac:dyDescent="0.25">
      <c r="A125" s="1">
        <v>45388</v>
      </c>
      <c r="B125">
        <v>4</v>
      </c>
      <c r="C125">
        <v>5587.5249999999996</v>
      </c>
      <c r="D125">
        <v>0</v>
      </c>
    </row>
    <row r="126" spans="1:4" x14ac:dyDescent="0.25">
      <c r="A126" s="1">
        <v>45388</v>
      </c>
      <c r="B126">
        <v>5</v>
      </c>
      <c r="C126">
        <v>5163.8999999999996</v>
      </c>
      <c r="D126">
        <v>0</v>
      </c>
    </row>
    <row r="127" spans="1:4" x14ac:dyDescent="0.25">
      <c r="A127" s="1">
        <v>45388</v>
      </c>
      <c r="B127">
        <v>6</v>
      </c>
      <c r="C127">
        <v>5173.3879999999999</v>
      </c>
      <c r="D127">
        <v>10.95</v>
      </c>
    </row>
    <row r="128" spans="1:4" x14ac:dyDescent="0.25">
      <c r="A128" s="1">
        <v>45388</v>
      </c>
      <c r="B128">
        <v>7</v>
      </c>
      <c r="C128">
        <v>5060.5630000000001</v>
      </c>
      <c r="D128">
        <v>302.375</v>
      </c>
    </row>
    <row r="129" spans="1:4" x14ac:dyDescent="0.25">
      <c r="A129" s="1">
        <v>45388</v>
      </c>
      <c r="B129">
        <v>8</v>
      </c>
      <c r="C129">
        <v>4595.5879999999997</v>
      </c>
      <c r="D129">
        <v>1375.088</v>
      </c>
    </row>
    <row r="130" spans="1:4" x14ac:dyDescent="0.25">
      <c r="A130" s="1">
        <v>45388</v>
      </c>
      <c r="B130">
        <v>9</v>
      </c>
      <c r="C130">
        <v>4078.0880000000002</v>
      </c>
      <c r="D130">
        <v>3297.1379999999999</v>
      </c>
    </row>
    <row r="131" spans="1:4" x14ac:dyDescent="0.25">
      <c r="A131" s="1">
        <v>45388</v>
      </c>
      <c r="B131">
        <v>10</v>
      </c>
      <c r="C131">
        <v>3480.3879999999999</v>
      </c>
      <c r="D131">
        <v>5189.4380000000001</v>
      </c>
    </row>
    <row r="132" spans="1:4" x14ac:dyDescent="0.25">
      <c r="A132" s="1">
        <v>45388</v>
      </c>
      <c r="B132">
        <v>11</v>
      </c>
      <c r="C132">
        <v>3477.2130000000002</v>
      </c>
      <c r="D132">
        <v>6562.7629999999999</v>
      </c>
    </row>
    <row r="133" spans="1:4" x14ac:dyDescent="0.25">
      <c r="A133" s="1">
        <v>45388</v>
      </c>
      <c r="B133">
        <v>12</v>
      </c>
      <c r="C133">
        <v>3550.9380000000001</v>
      </c>
      <c r="D133">
        <v>8038.3</v>
      </c>
    </row>
    <row r="134" spans="1:4" x14ac:dyDescent="0.25">
      <c r="A134" s="1">
        <v>45388</v>
      </c>
      <c r="B134">
        <v>13</v>
      </c>
      <c r="C134">
        <v>3686</v>
      </c>
      <c r="D134">
        <v>8002.6379999999999</v>
      </c>
    </row>
    <row r="135" spans="1:4" x14ac:dyDescent="0.25">
      <c r="A135" s="1">
        <v>45388</v>
      </c>
      <c r="B135">
        <v>14</v>
      </c>
      <c r="C135">
        <v>3637.75</v>
      </c>
      <c r="D135">
        <v>7691.7380000000003</v>
      </c>
    </row>
    <row r="136" spans="1:4" x14ac:dyDescent="0.25">
      <c r="A136" s="1">
        <v>45388</v>
      </c>
      <c r="B136">
        <v>15</v>
      </c>
      <c r="C136">
        <v>3250.6129999999998</v>
      </c>
      <c r="D136">
        <v>7518.45</v>
      </c>
    </row>
    <row r="137" spans="1:4" x14ac:dyDescent="0.25">
      <c r="A137" s="1">
        <v>45388</v>
      </c>
      <c r="B137">
        <v>16</v>
      </c>
      <c r="C137">
        <v>2574.2379999999998</v>
      </c>
      <c r="D137">
        <v>6545.4380000000001</v>
      </c>
    </row>
    <row r="138" spans="1:4" x14ac:dyDescent="0.25">
      <c r="A138" s="1">
        <v>45388</v>
      </c>
      <c r="B138">
        <v>17</v>
      </c>
      <c r="C138">
        <v>1815.1</v>
      </c>
      <c r="D138">
        <v>5289.75</v>
      </c>
    </row>
    <row r="139" spans="1:4" x14ac:dyDescent="0.25">
      <c r="A139" s="1">
        <v>45388</v>
      </c>
      <c r="B139">
        <v>18</v>
      </c>
      <c r="C139">
        <v>1170.7629999999999</v>
      </c>
      <c r="D139">
        <v>3107.4630000000002</v>
      </c>
    </row>
    <row r="140" spans="1:4" x14ac:dyDescent="0.25">
      <c r="A140" s="1">
        <v>45388</v>
      </c>
      <c r="B140">
        <v>19</v>
      </c>
      <c r="C140">
        <v>628.33799999999997</v>
      </c>
      <c r="D140">
        <v>1035.1379999999999</v>
      </c>
    </row>
    <row r="141" spans="1:4" x14ac:dyDescent="0.25">
      <c r="A141" s="1">
        <v>45388</v>
      </c>
      <c r="B141">
        <v>20</v>
      </c>
      <c r="C141">
        <v>510.488</v>
      </c>
      <c r="D141">
        <v>152.863</v>
      </c>
    </row>
    <row r="142" spans="1:4" x14ac:dyDescent="0.25">
      <c r="A142" s="1">
        <v>45388</v>
      </c>
      <c r="B142">
        <v>21</v>
      </c>
      <c r="C142">
        <v>640.72500000000002</v>
      </c>
      <c r="D142">
        <v>0</v>
      </c>
    </row>
    <row r="143" spans="1:4" x14ac:dyDescent="0.25">
      <c r="A143" s="1">
        <v>45388</v>
      </c>
      <c r="B143">
        <v>22</v>
      </c>
      <c r="C143">
        <v>841.47500000000002</v>
      </c>
      <c r="D143">
        <v>0</v>
      </c>
    </row>
    <row r="144" spans="1:4" x14ac:dyDescent="0.25">
      <c r="A144" s="1">
        <v>45388</v>
      </c>
      <c r="B144">
        <v>23</v>
      </c>
      <c r="C144">
        <v>1385.2</v>
      </c>
      <c r="D144">
        <v>0</v>
      </c>
    </row>
    <row r="145" spans="1:4" x14ac:dyDescent="0.25">
      <c r="A145" s="1">
        <v>45388</v>
      </c>
      <c r="B145">
        <v>24</v>
      </c>
      <c r="C145">
        <v>2037.3130000000001</v>
      </c>
      <c r="D145">
        <v>0</v>
      </c>
    </row>
    <row r="146" spans="1:4" x14ac:dyDescent="0.25">
      <c r="A146" s="1">
        <v>45389</v>
      </c>
      <c r="B146">
        <v>1</v>
      </c>
      <c r="C146">
        <v>2619.7629999999999</v>
      </c>
      <c r="D146">
        <v>0</v>
      </c>
    </row>
    <row r="147" spans="1:4" x14ac:dyDescent="0.25">
      <c r="A147" s="1">
        <v>45389</v>
      </c>
      <c r="B147">
        <v>2</v>
      </c>
      <c r="C147">
        <v>3091.0129999999999</v>
      </c>
      <c r="D147">
        <v>0</v>
      </c>
    </row>
    <row r="148" spans="1:4" x14ac:dyDescent="0.25">
      <c r="A148" s="1">
        <v>45389</v>
      </c>
      <c r="B148">
        <v>3</v>
      </c>
      <c r="C148">
        <v>3662.3879999999999</v>
      </c>
      <c r="D148">
        <v>0</v>
      </c>
    </row>
    <row r="149" spans="1:4" x14ac:dyDescent="0.25">
      <c r="A149" s="1">
        <v>45389</v>
      </c>
      <c r="B149">
        <v>4</v>
      </c>
      <c r="C149">
        <v>4079.4250000000002</v>
      </c>
      <c r="D149">
        <v>0</v>
      </c>
    </row>
    <row r="150" spans="1:4" x14ac:dyDescent="0.25">
      <c r="A150" s="1">
        <v>45389</v>
      </c>
      <c r="B150">
        <v>5</v>
      </c>
      <c r="C150">
        <v>4390.8500000000004</v>
      </c>
      <c r="D150">
        <v>0</v>
      </c>
    </row>
    <row r="151" spans="1:4" x14ac:dyDescent="0.25">
      <c r="A151" s="1">
        <v>45389</v>
      </c>
      <c r="B151">
        <v>6</v>
      </c>
      <c r="C151">
        <v>4557.6130000000003</v>
      </c>
      <c r="D151">
        <v>6.7880000000000003</v>
      </c>
    </row>
    <row r="152" spans="1:4" x14ac:dyDescent="0.25">
      <c r="A152" s="1">
        <v>45389</v>
      </c>
      <c r="B152">
        <v>7</v>
      </c>
      <c r="C152">
        <v>4803.3500000000004</v>
      </c>
      <c r="D152">
        <v>327.39999999999998</v>
      </c>
    </row>
    <row r="153" spans="1:4" x14ac:dyDescent="0.25">
      <c r="A153" s="1">
        <v>45389</v>
      </c>
      <c r="B153">
        <v>8</v>
      </c>
      <c r="C153">
        <v>4993.1880000000001</v>
      </c>
      <c r="D153">
        <v>1778.9380000000001</v>
      </c>
    </row>
    <row r="154" spans="1:4" x14ac:dyDescent="0.25">
      <c r="A154" s="1">
        <v>45389</v>
      </c>
      <c r="B154">
        <v>9</v>
      </c>
      <c r="C154">
        <v>4525.8130000000001</v>
      </c>
      <c r="D154">
        <v>3994.5250000000001</v>
      </c>
    </row>
    <row r="155" spans="1:4" x14ac:dyDescent="0.25">
      <c r="A155" s="1">
        <v>45389</v>
      </c>
      <c r="B155">
        <v>10</v>
      </c>
      <c r="C155">
        <v>3707.1880000000001</v>
      </c>
      <c r="D155">
        <v>5784.4880000000003</v>
      </c>
    </row>
    <row r="156" spans="1:4" x14ac:dyDescent="0.25">
      <c r="A156" s="1">
        <v>45389</v>
      </c>
      <c r="B156">
        <v>11</v>
      </c>
      <c r="C156">
        <v>3536.3629999999998</v>
      </c>
      <c r="D156">
        <v>7371.8379999999997</v>
      </c>
    </row>
    <row r="157" spans="1:4" x14ac:dyDescent="0.25">
      <c r="A157" s="1">
        <v>45389</v>
      </c>
      <c r="B157">
        <v>12</v>
      </c>
      <c r="C157">
        <v>3839.4250000000002</v>
      </c>
      <c r="D157">
        <v>7463.9750000000004</v>
      </c>
    </row>
    <row r="158" spans="1:4" x14ac:dyDescent="0.25">
      <c r="A158" s="1">
        <v>45389</v>
      </c>
      <c r="B158">
        <v>13</v>
      </c>
      <c r="C158">
        <v>4186.2</v>
      </c>
      <c r="D158">
        <v>7302.5</v>
      </c>
    </row>
    <row r="159" spans="1:4" x14ac:dyDescent="0.25">
      <c r="A159" s="1">
        <v>45389</v>
      </c>
      <c r="B159">
        <v>14</v>
      </c>
      <c r="C159">
        <v>3318.25</v>
      </c>
      <c r="D159">
        <v>7102.75</v>
      </c>
    </row>
    <row r="160" spans="1:4" x14ac:dyDescent="0.25">
      <c r="A160" s="1">
        <v>45389</v>
      </c>
      <c r="B160">
        <v>15</v>
      </c>
      <c r="C160">
        <v>2636.8879999999999</v>
      </c>
      <c r="D160">
        <v>6636.6</v>
      </c>
    </row>
    <row r="161" spans="1:4" x14ac:dyDescent="0.25">
      <c r="A161" s="1">
        <v>45389</v>
      </c>
      <c r="B161">
        <v>16</v>
      </c>
      <c r="C161">
        <v>2253.6999999999998</v>
      </c>
      <c r="D161">
        <v>5685.6880000000001</v>
      </c>
    </row>
    <row r="162" spans="1:4" x14ac:dyDescent="0.25">
      <c r="A162" s="1">
        <v>45389</v>
      </c>
      <c r="B162">
        <v>17</v>
      </c>
      <c r="C162">
        <v>1804.35</v>
      </c>
      <c r="D162">
        <v>5050.8500000000004</v>
      </c>
    </row>
    <row r="163" spans="1:4" x14ac:dyDescent="0.25">
      <c r="A163" s="1">
        <v>45389</v>
      </c>
      <c r="B163">
        <v>18</v>
      </c>
      <c r="C163">
        <v>1486.4749999999999</v>
      </c>
      <c r="D163">
        <v>3331.9630000000002</v>
      </c>
    </row>
    <row r="164" spans="1:4" x14ac:dyDescent="0.25">
      <c r="A164" s="1">
        <v>45389</v>
      </c>
      <c r="B164">
        <v>19</v>
      </c>
      <c r="C164">
        <v>1384</v>
      </c>
      <c r="D164">
        <v>1437.3</v>
      </c>
    </row>
    <row r="165" spans="1:4" x14ac:dyDescent="0.25">
      <c r="A165" s="1">
        <v>45389</v>
      </c>
      <c r="B165">
        <v>20</v>
      </c>
      <c r="C165">
        <v>1703.15</v>
      </c>
      <c r="D165">
        <v>184.92500000000001</v>
      </c>
    </row>
    <row r="166" spans="1:4" x14ac:dyDescent="0.25">
      <c r="A166" s="1">
        <v>45389</v>
      </c>
      <c r="B166">
        <v>21</v>
      </c>
      <c r="C166">
        <v>2095.3249999999998</v>
      </c>
      <c r="D166">
        <v>0</v>
      </c>
    </row>
    <row r="167" spans="1:4" x14ac:dyDescent="0.25">
      <c r="A167" s="1">
        <v>45389</v>
      </c>
      <c r="B167">
        <v>22</v>
      </c>
      <c r="C167">
        <v>2056.4380000000001</v>
      </c>
      <c r="D167">
        <v>0</v>
      </c>
    </row>
    <row r="168" spans="1:4" x14ac:dyDescent="0.25">
      <c r="A168" s="1">
        <v>45389</v>
      </c>
      <c r="B168">
        <v>23</v>
      </c>
      <c r="C168">
        <v>2193.1750000000002</v>
      </c>
      <c r="D168">
        <v>0</v>
      </c>
    </row>
    <row r="169" spans="1:4" x14ac:dyDescent="0.25">
      <c r="A169" s="1">
        <v>45389</v>
      </c>
      <c r="B169">
        <v>24</v>
      </c>
      <c r="C169">
        <v>2213.663</v>
      </c>
      <c r="D169">
        <v>0</v>
      </c>
    </row>
    <row r="170" spans="1:4" x14ac:dyDescent="0.25">
      <c r="A170" s="1">
        <v>45390</v>
      </c>
      <c r="B170">
        <v>1</v>
      </c>
      <c r="C170">
        <v>2449.7379999999998</v>
      </c>
      <c r="D170">
        <v>0</v>
      </c>
    </row>
    <row r="171" spans="1:4" x14ac:dyDescent="0.25">
      <c r="A171" s="1">
        <v>45390</v>
      </c>
      <c r="B171">
        <v>2</v>
      </c>
      <c r="C171">
        <v>2901.4879999999998</v>
      </c>
      <c r="D171">
        <v>0</v>
      </c>
    </row>
    <row r="172" spans="1:4" x14ac:dyDescent="0.25">
      <c r="A172" s="1">
        <v>45390</v>
      </c>
      <c r="B172">
        <v>3</v>
      </c>
      <c r="C172">
        <v>3262.35</v>
      </c>
      <c r="D172">
        <v>0</v>
      </c>
    </row>
    <row r="173" spans="1:4" x14ac:dyDescent="0.25">
      <c r="A173" s="1">
        <v>45390</v>
      </c>
      <c r="B173">
        <v>4</v>
      </c>
      <c r="C173">
        <v>3337.75</v>
      </c>
      <c r="D173">
        <v>0</v>
      </c>
    </row>
    <row r="174" spans="1:4" x14ac:dyDescent="0.25">
      <c r="A174" s="1">
        <v>45390</v>
      </c>
      <c r="B174">
        <v>5</v>
      </c>
      <c r="C174">
        <v>3526.95</v>
      </c>
      <c r="D174">
        <v>0</v>
      </c>
    </row>
    <row r="175" spans="1:4" x14ac:dyDescent="0.25">
      <c r="A175" s="1">
        <v>45390</v>
      </c>
      <c r="B175">
        <v>6</v>
      </c>
      <c r="C175">
        <v>3359.0880000000002</v>
      </c>
      <c r="D175">
        <v>5.45</v>
      </c>
    </row>
    <row r="176" spans="1:4" x14ac:dyDescent="0.25">
      <c r="A176" s="1">
        <v>45390</v>
      </c>
      <c r="B176">
        <v>7</v>
      </c>
      <c r="C176">
        <v>3238.2379999999998</v>
      </c>
      <c r="D176">
        <v>252.85</v>
      </c>
    </row>
    <row r="177" spans="1:4" x14ac:dyDescent="0.25">
      <c r="A177" s="1">
        <v>45390</v>
      </c>
      <c r="B177">
        <v>8</v>
      </c>
      <c r="C177">
        <v>2777.2130000000002</v>
      </c>
      <c r="D177">
        <v>1385.5250000000001</v>
      </c>
    </row>
    <row r="178" spans="1:4" x14ac:dyDescent="0.25">
      <c r="A178" s="1">
        <v>45390</v>
      </c>
      <c r="B178">
        <v>9</v>
      </c>
      <c r="C178">
        <v>2223.1379999999999</v>
      </c>
      <c r="D178">
        <v>3341.9250000000002</v>
      </c>
    </row>
    <row r="179" spans="1:4" x14ac:dyDescent="0.25">
      <c r="A179" s="1">
        <v>45390</v>
      </c>
      <c r="B179">
        <v>10</v>
      </c>
      <c r="C179">
        <v>1588.538</v>
      </c>
      <c r="D179">
        <v>5432.875</v>
      </c>
    </row>
    <row r="180" spans="1:4" x14ac:dyDescent="0.25">
      <c r="A180" s="1">
        <v>45390</v>
      </c>
      <c r="B180">
        <v>11</v>
      </c>
      <c r="C180">
        <v>915.98800000000006</v>
      </c>
      <c r="D180">
        <v>7068.7129999999997</v>
      </c>
    </row>
    <row r="181" spans="1:4" x14ac:dyDescent="0.25">
      <c r="A181" s="1">
        <v>45390</v>
      </c>
      <c r="B181">
        <v>12</v>
      </c>
      <c r="C181">
        <v>832.625</v>
      </c>
      <c r="D181">
        <v>8205.9</v>
      </c>
    </row>
    <row r="182" spans="1:4" x14ac:dyDescent="0.25">
      <c r="A182" s="1">
        <v>45390</v>
      </c>
      <c r="B182">
        <v>13</v>
      </c>
      <c r="C182">
        <v>892.85</v>
      </c>
      <c r="D182">
        <v>8629.9750000000004</v>
      </c>
    </row>
    <row r="183" spans="1:4" x14ac:dyDescent="0.25">
      <c r="A183" s="1">
        <v>45390</v>
      </c>
      <c r="B183">
        <v>14</v>
      </c>
      <c r="C183">
        <v>870.73800000000006</v>
      </c>
      <c r="D183">
        <v>8919.8880000000008</v>
      </c>
    </row>
    <row r="184" spans="1:4" x14ac:dyDescent="0.25">
      <c r="A184" s="1">
        <v>45390</v>
      </c>
      <c r="B184">
        <v>15</v>
      </c>
      <c r="C184">
        <v>959.05</v>
      </c>
      <c r="D184">
        <v>8460.6630000000005</v>
      </c>
    </row>
    <row r="185" spans="1:4" x14ac:dyDescent="0.25">
      <c r="A185" s="1">
        <v>45390</v>
      </c>
      <c r="B185">
        <v>16</v>
      </c>
      <c r="C185">
        <v>1044.413</v>
      </c>
      <c r="D185">
        <v>7095.7250000000004</v>
      </c>
    </row>
    <row r="186" spans="1:4" x14ac:dyDescent="0.25">
      <c r="A186" s="1">
        <v>45390</v>
      </c>
      <c r="B186">
        <v>17</v>
      </c>
      <c r="C186">
        <v>1297.075</v>
      </c>
      <c r="D186">
        <v>5410.875</v>
      </c>
    </row>
    <row r="187" spans="1:4" x14ac:dyDescent="0.25">
      <c r="A187" s="1">
        <v>45390</v>
      </c>
      <c r="B187">
        <v>18</v>
      </c>
      <c r="C187">
        <v>1413.0630000000001</v>
      </c>
      <c r="D187">
        <v>3017.8629999999998</v>
      </c>
    </row>
    <row r="188" spans="1:4" x14ac:dyDescent="0.25">
      <c r="A188" s="1">
        <v>45390</v>
      </c>
      <c r="B188">
        <v>19</v>
      </c>
      <c r="C188">
        <v>1538.7249999999999</v>
      </c>
      <c r="D188">
        <v>1106.213</v>
      </c>
    </row>
    <row r="189" spans="1:4" x14ac:dyDescent="0.25">
      <c r="A189" s="1">
        <v>45390</v>
      </c>
      <c r="B189">
        <v>20</v>
      </c>
      <c r="C189">
        <v>1852.038</v>
      </c>
      <c r="D189">
        <v>256.01299999999998</v>
      </c>
    </row>
    <row r="190" spans="1:4" x14ac:dyDescent="0.25">
      <c r="A190" s="1">
        <v>45390</v>
      </c>
      <c r="B190">
        <v>21</v>
      </c>
      <c r="C190">
        <v>2617.7249999999999</v>
      </c>
      <c r="D190">
        <v>0</v>
      </c>
    </row>
    <row r="191" spans="1:4" x14ac:dyDescent="0.25">
      <c r="A191" s="1">
        <v>45390</v>
      </c>
      <c r="B191">
        <v>22</v>
      </c>
      <c r="C191">
        <v>3282.9</v>
      </c>
      <c r="D191">
        <v>0</v>
      </c>
    </row>
    <row r="192" spans="1:4" x14ac:dyDescent="0.25">
      <c r="A192" s="1">
        <v>45390</v>
      </c>
      <c r="B192">
        <v>23</v>
      </c>
      <c r="C192">
        <v>3672.3</v>
      </c>
      <c r="D192">
        <v>0</v>
      </c>
    </row>
    <row r="193" spans="1:4" x14ac:dyDescent="0.25">
      <c r="A193" s="1">
        <v>45390</v>
      </c>
      <c r="B193">
        <v>24</v>
      </c>
      <c r="C193">
        <v>3816.875</v>
      </c>
      <c r="D193">
        <v>0</v>
      </c>
    </row>
    <row r="194" spans="1:4" x14ac:dyDescent="0.25">
      <c r="A194" s="1">
        <v>45391</v>
      </c>
      <c r="B194">
        <v>1</v>
      </c>
      <c r="C194">
        <v>3853.125</v>
      </c>
      <c r="D194">
        <v>0</v>
      </c>
    </row>
    <row r="195" spans="1:4" x14ac:dyDescent="0.25">
      <c r="A195" s="1">
        <v>45391</v>
      </c>
      <c r="B195">
        <v>2</v>
      </c>
      <c r="C195">
        <v>3738.3249999999998</v>
      </c>
      <c r="D195">
        <v>0</v>
      </c>
    </row>
    <row r="196" spans="1:4" x14ac:dyDescent="0.25">
      <c r="A196" s="1">
        <v>45391</v>
      </c>
      <c r="B196">
        <v>3</v>
      </c>
      <c r="C196">
        <v>3232.5749999999998</v>
      </c>
      <c r="D196">
        <v>0</v>
      </c>
    </row>
    <row r="197" spans="1:4" x14ac:dyDescent="0.25">
      <c r="A197" s="1">
        <v>45391</v>
      </c>
      <c r="B197">
        <v>4</v>
      </c>
      <c r="C197">
        <v>2819.7629999999999</v>
      </c>
      <c r="D197">
        <v>0</v>
      </c>
    </row>
    <row r="198" spans="1:4" x14ac:dyDescent="0.25">
      <c r="A198" s="1">
        <v>45391</v>
      </c>
      <c r="B198">
        <v>5</v>
      </c>
      <c r="C198">
        <v>2528.3130000000001</v>
      </c>
      <c r="D198">
        <v>0</v>
      </c>
    </row>
    <row r="199" spans="1:4" x14ac:dyDescent="0.25">
      <c r="A199" s="1">
        <v>45391</v>
      </c>
      <c r="B199">
        <v>6</v>
      </c>
      <c r="C199">
        <v>2277.6129999999998</v>
      </c>
      <c r="D199">
        <v>49.713000000000001</v>
      </c>
    </row>
    <row r="200" spans="1:4" x14ac:dyDescent="0.25">
      <c r="A200" s="1">
        <v>45391</v>
      </c>
      <c r="B200">
        <v>7</v>
      </c>
      <c r="C200">
        <v>1961.788</v>
      </c>
      <c r="D200">
        <v>451.45</v>
      </c>
    </row>
    <row r="201" spans="1:4" x14ac:dyDescent="0.25">
      <c r="A201" s="1">
        <v>45391</v>
      </c>
      <c r="B201">
        <v>8</v>
      </c>
      <c r="C201">
        <v>1698.2750000000001</v>
      </c>
      <c r="D201">
        <v>1940.575</v>
      </c>
    </row>
    <row r="202" spans="1:4" x14ac:dyDescent="0.25">
      <c r="A202" s="1">
        <v>45391</v>
      </c>
      <c r="B202">
        <v>9</v>
      </c>
      <c r="C202">
        <v>1245.0999999999999</v>
      </c>
      <c r="D202">
        <v>4466.875</v>
      </c>
    </row>
    <row r="203" spans="1:4" x14ac:dyDescent="0.25">
      <c r="A203" s="1">
        <v>45391</v>
      </c>
      <c r="B203">
        <v>10</v>
      </c>
      <c r="C203">
        <v>799.86300000000006</v>
      </c>
      <c r="D203">
        <v>7182.9750000000004</v>
      </c>
    </row>
    <row r="204" spans="1:4" x14ac:dyDescent="0.25">
      <c r="A204" s="1">
        <v>45391</v>
      </c>
      <c r="B204">
        <v>11</v>
      </c>
      <c r="C204">
        <v>671</v>
      </c>
      <c r="D204">
        <v>8564.7250000000004</v>
      </c>
    </row>
    <row r="205" spans="1:4" x14ac:dyDescent="0.25">
      <c r="A205" s="1">
        <v>45391</v>
      </c>
      <c r="B205">
        <v>12</v>
      </c>
      <c r="C205">
        <v>777.7</v>
      </c>
      <c r="D205">
        <v>9683.5750000000007</v>
      </c>
    </row>
    <row r="206" spans="1:4" x14ac:dyDescent="0.25">
      <c r="A206" s="1">
        <v>45391</v>
      </c>
      <c r="B206">
        <v>13</v>
      </c>
      <c r="C206">
        <v>1114.325</v>
      </c>
      <c r="D206">
        <v>10529.963</v>
      </c>
    </row>
    <row r="207" spans="1:4" x14ac:dyDescent="0.25">
      <c r="A207" s="1">
        <v>45391</v>
      </c>
      <c r="B207">
        <v>14</v>
      </c>
      <c r="C207">
        <v>1516.713</v>
      </c>
      <c r="D207">
        <v>10167.013000000001</v>
      </c>
    </row>
    <row r="208" spans="1:4" x14ac:dyDescent="0.25">
      <c r="A208" s="1">
        <v>45391</v>
      </c>
      <c r="B208">
        <v>15</v>
      </c>
      <c r="C208">
        <v>1790.7249999999999</v>
      </c>
      <c r="D208">
        <v>9447.0249999999996</v>
      </c>
    </row>
    <row r="209" spans="1:4" x14ac:dyDescent="0.25">
      <c r="A209" s="1">
        <v>45391</v>
      </c>
      <c r="B209">
        <v>16</v>
      </c>
      <c r="C209">
        <v>2123.25</v>
      </c>
      <c r="D209">
        <v>8104.0129999999999</v>
      </c>
    </row>
    <row r="210" spans="1:4" x14ac:dyDescent="0.25">
      <c r="A210" s="1">
        <v>45391</v>
      </c>
      <c r="B210">
        <v>17</v>
      </c>
      <c r="C210">
        <v>2324.5630000000001</v>
      </c>
      <c r="D210">
        <v>5836.4750000000004</v>
      </c>
    </row>
    <row r="211" spans="1:4" x14ac:dyDescent="0.25">
      <c r="A211" s="1">
        <v>45391</v>
      </c>
      <c r="B211">
        <v>18</v>
      </c>
      <c r="C211">
        <v>2379.5500000000002</v>
      </c>
      <c r="D211">
        <v>3212.9879999999998</v>
      </c>
    </row>
    <row r="212" spans="1:4" x14ac:dyDescent="0.25">
      <c r="A212" s="1">
        <v>45391</v>
      </c>
      <c r="B212">
        <v>19</v>
      </c>
      <c r="C212">
        <v>2677.45</v>
      </c>
      <c r="D212">
        <v>1144.95</v>
      </c>
    </row>
    <row r="213" spans="1:4" x14ac:dyDescent="0.25">
      <c r="A213" s="1">
        <v>45391</v>
      </c>
      <c r="B213">
        <v>20</v>
      </c>
      <c r="C213">
        <v>3303.875</v>
      </c>
      <c r="D213">
        <v>249.01300000000001</v>
      </c>
    </row>
    <row r="214" spans="1:4" x14ac:dyDescent="0.25">
      <c r="A214" s="1">
        <v>45391</v>
      </c>
      <c r="B214">
        <v>21</v>
      </c>
      <c r="C214">
        <v>4048.4630000000002</v>
      </c>
      <c r="D214">
        <v>0</v>
      </c>
    </row>
    <row r="215" spans="1:4" x14ac:dyDescent="0.25">
      <c r="A215" s="1">
        <v>45391</v>
      </c>
      <c r="B215">
        <v>22</v>
      </c>
      <c r="C215">
        <v>4693.8379999999997</v>
      </c>
      <c r="D215">
        <v>0</v>
      </c>
    </row>
    <row r="216" spans="1:4" x14ac:dyDescent="0.25">
      <c r="A216" s="1">
        <v>45391</v>
      </c>
      <c r="B216">
        <v>23</v>
      </c>
      <c r="C216">
        <v>5564.8</v>
      </c>
      <c r="D216">
        <v>0</v>
      </c>
    </row>
    <row r="217" spans="1:4" x14ac:dyDescent="0.25">
      <c r="A217" s="1">
        <v>45391</v>
      </c>
      <c r="B217">
        <v>24</v>
      </c>
      <c r="C217">
        <v>5323.7250000000004</v>
      </c>
      <c r="D217">
        <v>0</v>
      </c>
    </row>
    <row r="218" spans="1:4" x14ac:dyDescent="0.25">
      <c r="A218" s="1">
        <v>45392</v>
      </c>
      <c r="B218">
        <v>1</v>
      </c>
      <c r="C218">
        <v>4951.875</v>
      </c>
      <c r="D218">
        <v>0</v>
      </c>
    </row>
    <row r="219" spans="1:4" x14ac:dyDescent="0.25">
      <c r="A219" s="1">
        <v>45392</v>
      </c>
      <c r="B219">
        <v>2</v>
      </c>
      <c r="C219">
        <v>4908.4129999999996</v>
      </c>
      <c r="D219">
        <v>0</v>
      </c>
    </row>
    <row r="220" spans="1:4" x14ac:dyDescent="0.25">
      <c r="A220" s="1">
        <v>45392</v>
      </c>
      <c r="B220">
        <v>3</v>
      </c>
      <c r="C220">
        <v>4634.95</v>
      </c>
      <c r="D220">
        <v>0</v>
      </c>
    </row>
    <row r="221" spans="1:4" x14ac:dyDescent="0.25">
      <c r="A221" s="1">
        <v>45392</v>
      </c>
      <c r="B221">
        <v>4</v>
      </c>
      <c r="C221">
        <v>4623.1130000000003</v>
      </c>
      <c r="D221">
        <v>0</v>
      </c>
    </row>
    <row r="222" spans="1:4" x14ac:dyDescent="0.25">
      <c r="A222" s="1">
        <v>45392</v>
      </c>
      <c r="B222">
        <v>5</v>
      </c>
      <c r="C222">
        <v>4552.6379999999999</v>
      </c>
      <c r="D222">
        <v>0</v>
      </c>
    </row>
    <row r="223" spans="1:4" x14ac:dyDescent="0.25">
      <c r="A223" s="1">
        <v>45392</v>
      </c>
      <c r="B223">
        <v>6</v>
      </c>
      <c r="C223">
        <v>4404.45</v>
      </c>
      <c r="D223">
        <v>51.438000000000002</v>
      </c>
    </row>
    <row r="224" spans="1:4" x14ac:dyDescent="0.25">
      <c r="A224" s="1">
        <v>45392</v>
      </c>
      <c r="B224">
        <v>7</v>
      </c>
      <c r="C224">
        <v>4126.7879999999996</v>
      </c>
      <c r="D224">
        <v>383.1</v>
      </c>
    </row>
    <row r="225" spans="1:4" x14ac:dyDescent="0.25">
      <c r="A225" s="1">
        <v>45392</v>
      </c>
      <c r="B225">
        <v>8</v>
      </c>
      <c r="C225">
        <v>4069.15</v>
      </c>
      <c r="D225">
        <v>1176.413</v>
      </c>
    </row>
    <row r="226" spans="1:4" x14ac:dyDescent="0.25">
      <c r="A226" s="1">
        <v>45392</v>
      </c>
      <c r="B226">
        <v>9</v>
      </c>
      <c r="C226">
        <v>3913.0250000000001</v>
      </c>
      <c r="D226">
        <v>2085.15</v>
      </c>
    </row>
    <row r="227" spans="1:4" x14ac:dyDescent="0.25">
      <c r="A227" s="1">
        <v>45392</v>
      </c>
      <c r="B227">
        <v>10</v>
      </c>
      <c r="C227">
        <v>3838.6750000000002</v>
      </c>
      <c r="D227">
        <v>2938.3380000000002</v>
      </c>
    </row>
    <row r="228" spans="1:4" x14ac:dyDescent="0.25">
      <c r="A228" s="1">
        <v>45392</v>
      </c>
      <c r="B228">
        <v>11</v>
      </c>
      <c r="C228">
        <v>4091.8629999999998</v>
      </c>
      <c r="D228">
        <v>4072.788</v>
      </c>
    </row>
    <row r="229" spans="1:4" x14ac:dyDescent="0.25">
      <c r="A229" s="1">
        <v>45392</v>
      </c>
      <c r="B229">
        <v>12</v>
      </c>
      <c r="C229">
        <v>4197.125</v>
      </c>
      <c r="D229">
        <v>4948.7</v>
      </c>
    </row>
    <row r="230" spans="1:4" x14ac:dyDescent="0.25">
      <c r="A230" s="1">
        <v>45392</v>
      </c>
      <c r="B230">
        <v>13</v>
      </c>
      <c r="C230">
        <v>4160.1499999999996</v>
      </c>
      <c r="D230">
        <v>5479.7250000000004</v>
      </c>
    </row>
    <row r="231" spans="1:4" x14ac:dyDescent="0.25">
      <c r="A231" s="1">
        <v>45392</v>
      </c>
      <c r="B231">
        <v>14</v>
      </c>
      <c r="C231">
        <v>3900.95</v>
      </c>
      <c r="D231">
        <v>5619</v>
      </c>
    </row>
    <row r="232" spans="1:4" x14ac:dyDescent="0.25">
      <c r="A232" s="1">
        <v>45392</v>
      </c>
      <c r="B232">
        <v>15</v>
      </c>
      <c r="C232">
        <v>3837.4250000000002</v>
      </c>
      <c r="D232">
        <v>5315.4250000000002</v>
      </c>
    </row>
    <row r="233" spans="1:4" x14ac:dyDescent="0.25">
      <c r="A233" s="1">
        <v>45392</v>
      </c>
      <c r="B233">
        <v>16</v>
      </c>
      <c r="C233">
        <v>3739.0630000000001</v>
      </c>
      <c r="D233">
        <v>4515.6379999999999</v>
      </c>
    </row>
    <row r="234" spans="1:4" x14ac:dyDescent="0.25">
      <c r="A234" s="1">
        <v>45392</v>
      </c>
      <c r="B234">
        <v>17</v>
      </c>
      <c r="C234">
        <v>3906.1750000000002</v>
      </c>
      <c r="D234">
        <v>3256.5880000000002</v>
      </c>
    </row>
    <row r="235" spans="1:4" x14ac:dyDescent="0.25">
      <c r="A235" s="1">
        <v>45392</v>
      </c>
      <c r="B235">
        <v>18</v>
      </c>
      <c r="C235">
        <v>3960.7629999999999</v>
      </c>
      <c r="D235">
        <v>1974.6130000000001</v>
      </c>
    </row>
    <row r="236" spans="1:4" x14ac:dyDescent="0.25">
      <c r="A236" s="1">
        <v>45392</v>
      </c>
      <c r="B236">
        <v>19</v>
      </c>
      <c r="C236">
        <v>3623.4250000000002</v>
      </c>
      <c r="D236">
        <v>886.15</v>
      </c>
    </row>
    <row r="237" spans="1:4" x14ac:dyDescent="0.25">
      <c r="A237" s="1">
        <v>45392</v>
      </c>
      <c r="B237">
        <v>20</v>
      </c>
      <c r="C237">
        <v>3358</v>
      </c>
      <c r="D237">
        <v>246.68799999999999</v>
      </c>
    </row>
    <row r="238" spans="1:4" x14ac:dyDescent="0.25">
      <c r="A238" s="1">
        <v>45392</v>
      </c>
      <c r="B238">
        <v>21</v>
      </c>
      <c r="C238">
        <v>2812.4630000000002</v>
      </c>
      <c r="D238">
        <v>0</v>
      </c>
    </row>
    <row r="239" spans="1:4" x14ac:dyDescent="0.25">
      <c r="A239" s="1">
        <v>45392</v>
      </c>
      <c r="B239">
        <v>22</v>
      </c>
      <c r="C239">
        <v>2481.4879999999998</v>
      </c>
      <c r="D239">
        <v>0</v>
      </c>
    </row>
    <row r="240" spans="1:4" x14ac:dyDescent="0.25">
      <c r="A240" s="1">
        <v>45392</v>
      </c>
      <c r="B240">
        <v>23</v>
      </c>
      <c r="C240">
        <v>2211.875</v>
      </c>
      <c r="D240">
        <v>0</v>
      </c>
    </row>
    <row r="241" spans="1:4" x14ac:dyDescent="0.25">
      <c r="A241" s="1">
        <v>45392</v>
      </c>
      <c r="B241">
        <v>24</v>
      </c>
      <c r="C241">
        <v>1934.45</v>
      </c>
      <c r="D241">
        <v>0</v>
      </c>
    </row>
    <row r="242" spans="1:4" x14ac:dyDescent="0.25">
      <c r="A242" s="1">
        <v>45393</v>
      </c>
      <c r="B242">
        <v>1</v>
      </c>
      <c r="C242">
        <v>1638.913</v>
      </c>
      <c r="D242">
        <v>0</v>
      </c>
    </row>
    <row r="243" spans="1:4" x14ac:dyDescent="0.25">
      <c r="A243" s="1">
        <v>45393</v>
      </c>
      <c r="B243">
        <v>2</v>
      </c>
      <c r="C243">
        <v>1527.213</v>
      </c>
      <c r="D243">
        <v>0</v>
      </c>
    </row>
    <row r="244" spans="1:4" x14ac:dyDescent="0.25">
      <c r="A244" s="1">
        <v>45393</v>
      </c>
      <c r="B244">
        <v>3</v>
      </c>
      <c r="C244">
        <v>1750.7380000000001</v>
      </c>
      <c r="D244">
        <v>0</v>
      </c>
    </row>
    <row r="245" spans="1:4" x14ac:dyDescent="0.25">
      <c r="A245" s="1">
        <v>45393</v>
      </c>
      <c r="B245">
        <v>4</v>
      </c>
      <c r="C245">
        <v>1987.7750000000001</v>
      </c>
      <c r="D245">
        <v>0</v>
      </c>
    </row>
    <row r="246" spans="1:4" x14ac:dyDescent="0.25">
      <c r="A246" s="1">
        <v>45393</v>
      </c>
      <c r="B246">
        <v>5</v>
      </c>
      <c r="C246">
        <v>2160.15</v>
      </c>
      <c r="D246">
        <v>0</v>
      </c>
    </row>
    <row r="247" spans="1:4" x14ac:dyDescent="0.25">
      <c r="A247" s="1">
        <v>45393</v>
      </c>
      <c r="B247">
        <v>6</v>
      </c>
      <c r="C247">
        <v>2402.913</v>
      </c>
      <c r="D247">
        <v>88.174999999999997</v>
      </c>
    </row>
    <row r="248" spans="1:4" x14ac:dyDescent="0.25">
      <c r="A248" s="1">
        <v>45393</v>
      </c>
      <c r="B248">
        <v>7</v>
      </c>
      <c r="C248">
        <v>2549.5880000000002</v>
      </c>
      <c r="D248">
        <v>582.45000000000005</v>
      </c>
    </row>
    <row r="249" spans="1:4" x14ac:dyDescent="0.25">
      <c r="A249" s="1">
        <v>45393</v>
      </c>
      <c r="B249">
        <v>8</v>
      </c>
      <c r="C249">
        <v>2267.6880000000001</v>
      </c>
      <c r="D249">
        <v>2271.6</v>
      </c>
    </row>
    <row r="250" spans="1:4" x14ac:dyDescent="0.25">
      <c r="A250" s="1">
        <v>45393</v>
      </c>
      <c r="B250">
        <v>9</v>
      </c>
      <c r="C250">
        <v>1581.6</v>
      </c>
      <c r="D250">
        <v>5042.7749999999996</v>
      </c>
    </row>
    <row r="251" spans="1:4" x14ac:dyDescent="0.25">
      <c r="A251" s="1">
        <v>45393</v>
      </c>
      <c r="B251">
        <v>10</v>
      </c>
      <c r="C251">
        <v>1755.35</v>
      </c>
      <c r="D251">
        <v>7490.9129999999996</v>
      </c>
    </row>
    <row r="252" spans="1:4" x14ac:dyDescent="0.25">
      <c r="A252" s="1">
        <v>45393</v>
      </c>
      <c r="B252">
        <v>11</v>
      </c>
      <c r="C252">
        <v>2822.663</v>
      </c>
      <c r="D252">
        <v>9037.7749999999996</v>
      </c>
    </row>
    <row r="253" spans="1:4" x14ac:dyDescent="0.25">
      <c r="A253" s="1">
        <v>45393</v>
      </c>
      <c r="B253">
        <v>12</v>
      </c>
      <c r="C253">
        <v>3507.3879999999999</v>
      </c>
      <c r="D253">
        <v>9569.2880000000005</v>
      </c>
    </row>
    <row r="254" spans="1:4" x14ac:dyDescent="0.25">
      <c r="A254" s="1">
        <v>45393</v>
      </c>
      <c r="B254">
        <v>13</v>
      </c>
      <c r="C254">
        <v>3629.288</v>
      </c>
      <c r="D254">
        <v>8547.5249999999996</v>
      </c>
    </row>
    <row r="255" spans="1:4" x14ac:dyDescent="0.25">
      <c r="A255" s="1">
        <v>45393</v>
      </c>
      <c r="B255">
        <v>14</v>
      </c>
      <c r="C255">
        <v>3533.5749999999998</v>
      </c>
      <c r="D255">
        <v>8090.6</v>
      </c>
    </row>
    <row r="256" spans="1:4" x14ac:dyDescent="0.25">
      <c r="A256" s="1">
        <v>45393</v>
      </c>
      <c r="B256">
        <v>15</v>
      </c>
      <c r="C256">
        <v>3454.413</v>
      </c>
      <c r="D256">
        <v>7545.5749999999998</v>
      </c>
    </row>
    <row r="257" spans="1:4" x14ac:dyDescent="0.25">
      <c r="A257" s="1">
        <v>45393</v>
      </c>
      <c r="B257">
        <v>16</v>
      </c>
      <c r="C257">
        <v>3591.6129999999998</v>
      </c>
      <c r="D257">
        <v>6990.2250000000004</v>
      </c>
    </row>
    <row r="258" spans="1:4" x14ac:dyDescent="0.25">
      <c r="A258" s="1">
        <v>45393</v>
      </c>
      <c r="B258">
        <v>17</v>
      </c>
      <c r="C258">
        <v>3269.375</v>
      </c>
      <c r="D258">
        <v>5827.9629999999997</v>
      </c>
    </row>
    <row r="259" spans="1:4" x14ac:dyDescent="0.25">
      <c r="A259" s="1">
        <v>45393</v>
      </c>
      <c r="B259">
        <v>18</v>
      </c>
      <c r="C259">
        <v>2779.7249999999999</v>
      </c>
      <c r="D259">
        <v>3712.3249999999998</v>
      </c>
    </row>
    <row r="260" spans="1:4" x14ac:dyDescent="0.25">
      <c r="A260" s="1">
        <v>45393</v>
      </c>
      <c r="B260">
        <v>19</v>
      </c>
      <c r="C260">
        <v>2522.7629999999999</v>
      </c>
      <c r="D260">
        <v>1590.8</v>
      </c>
    </row>
    <row r="261" spans="1:4" x14ac:dyDescent="0.25">
      <c r="A261" s="1">
        <v>45393</v>
      </c>
      <c r="B261">
        <v>20</v>
      </c>
      <c r="C261">
        <v>2597.7249999999999</v>
      </c>
      <c r="D261">
        <v>252.31299999999999</v>
      </c>
    </row>
    <row r="262" spans="1:4" x14ac:dyDescent="0.25">
      <c r="A262" s="1">
        <v>45393</v>
      </c>
      <c r="B262">
        <v>21</v>
      </c>
      <c r="C262">
        <v>2912.288</v>
      </c>
      <c r="D262">
        <v>0</v>
      </c>
    </row>
    <row r="263" spans="1:4" x14ac:dyDescent="0.25">
      <c r="A263" s="1">
        <v>45393</v>
      </c>
      <c r="B263">
        <v>22</v>
      </c>
      <c r="C263">
        <v>2870.375</v>
      </c>
      <c r="D263">
        <v>0</v>
      </c>
    </row>
    <row r="264" spans="1:4" x14ac:dyDescent="0.25">
      <c r="A264" s="1">
        <v>45393</v>
      </c>
      <c r="B264">
        <v>23</v>
      </c>
      <c r="C264">
        <v>2862.6129999999998</v>
      </c>
      <c r="D264">
        <v>0</v>
      </c>
    </row>
    <row r="265" spans="1:4" x14ac:dyDescent="0.25">
      <c r="A265" s="1">
        <v>45393</v>
      </c>
      <c r="B265">
        <v>24</v>
      </c>
      <c r="C265">
        <v>3080.8629999999998</v>
      </c>
      <c r="D265">
        <v>0</v>
      </c>
    </row>
    <row r="266" spans="1:4" x14ac:dyDescent="0.25">
      <c r="A266" s="1">
        <v>45394</v>
      </c>
      <c r="B266">
        <v>1</v>
      </c>
      <c r="C266">
        <v>3101.038</v>
      </c>
      <c r="D266">
        <v>0</v>
      </c>
    </row>
    <row r="267" spans="1:4" x14ac:dyDescent="0.25">
      <c r="A267" s="1">
        <v>45394</v>
      </c>
      <c r="B267">
        <v>2</v>
      </c>
      <c r="C267">
        <v>3173.8380000000002</v>
      </c>
      <c r="D267">
        <v>0</v>
      </c>
    </row>
    <row r="268" spans="1:4" x14ac:dyDescent="0.25">
      <c r="A268" s="1">
        <v>45394</v>
      </c>
      <c r="B268">
        <v>3</v>
      </c>
      <c r="C268">
        <v>3074.85</v>
      </c>
      <c r="D268">
        <v>0</v>
      </c>
    </row>
    <row r="269" spans="1:4" x14ac:dyDescent="0.25">
      <c r="A269" s="1">
        <v>45394</v>
      </c>
      <c r="B269">
        <v>4</v>
      </c>
      <c r="C269">
        <v>2967.7</v>
      </c>
      <c r="D269">
        <v>0</v>
      </c>
    </row>
    <row r="270" spans="1:4" x14ac:dyDescent="0.25">
      <c r="A270" s="1">
        <v>45394</v>
      </c>
      <c r="B270">
        <v>5</v>
      </c>
      <c r="C270">
        <v>2681.7750000000001</v>
      </c>
      <c r="D270">
        <v>0</v>
      </c>
    </row>
    <row r="271" spans="1:4" x14ac:dyDescent="0.25">
      <c r="A271" s="1">
        <v>45394</v>
      </c>
      <c r="B271">
        <v>6</v>
      </c>
      <c r="C271">
        <v>2472.538</v>
      </c>
      <c r="D271">
        <v>6.7</v>
      </c>
    </row>
    <row r="272" spans="1:4" x14ac:dyDescent="0.25">
      <c r="A272" s="1">
        <v>45394</v>
      </c>
      <c r="B272">
        <v>7</v>
      </c>
      <c r="C272">
        <v>2407.9380000000001</v>
      </c>
      <c r="D272">
        <v>319.18799999999999</v>
      </c>
    </row>
    <row r="273" spans="1:4" x14ac:dyDescent="0.25">
      <c r="A273" s="1">
        <v>45394</v>
      </c>
      <c r="B273">
        <v>8</v>
      </c>
      <c r="C273">
        <v>2295.8380000000002</v>
      </c>
      <c r="D273">
        <v>1527.6</v>
      </c>
    </row>
    <row r="274" spans="1:4" x14ac:dyDescent="0.25">
      <c r="A274" s="1">
        <v>45394</v>
      </c>
      <c r="B274">
        <v>9</v>
      </c>
      <c r="C274">
        <v>1778.85</v>
      </c>
      <c r="D274">
        <v>3144.538</v>
      </c>
    </row>
    <row r="275" spans="1:4" x14ac:dyDescent="0.25">
      <c r="A275" s="1">
        <v>45394</v>
      </c>
      <c r="B275">
        <v>10</v>
      </c>
      <c r="C275">
        <v>1540.3130000000001</v>
      </c>
      <c r="D275">
        <v>4851.7129999999997</v>
      </c>
    </row>
    <row r="276" spans="1:4" x14ac:dyDescent="0.25">
      <c r="A276" s="1">
        <v>45394</v>
      </c>
      <c r="B276">
        <v>11</v>
      </c>
      <c r="C276">
        <v>1619.088</v>
      </c>
      <c r="D276">
        <v>6000.0879999999997</v>
      </c>
    </row>
    <row r="277" spans="1:4" x14ac:dyDescent="0.25">
      <c r="A277" s="1">
        <v>45394</v>
      </c>
      <c r="B277">
        <v>12</v>
      </c>
      <c r="C277">
        <v>2047.963</v>
      </c>
      <c r="D277">
        <v>6624.1</v>
      </c>
    </row>
    <row r="278" spans="1:4" x14ac:dyDescent="0.25">
      <c r="A278" s="1">
        <v>45394</v>
      </c>
      <c r="B278">
        <v>13</v>
      </c>
      <c r="C278">
        <v>2346.5500000000002</v>
      </c>
      <c r="D278">
        <v>7019.0129999999999</v>
      </c>
    </row>
    <row r="279" spans="1:4" x14ac:dyDescent="0.25">
      <c r="A279" s="1">
        <v>45394</v>
      </c>
      <c r="B279">
        <v>14</v>
      </c>
      <c r="C279">
        <v>2456.4749999999999</v>
      </c>
      <c r="D279">
        <v>7136.65</v>
      </c>
    </row>
    <row r="280" spans="1:4" x14ac:dyDescent="0.25">
      <c r="A280" s="1">
        <v>45394</v>
      </c>
      <c r="B280">
        <v>15</v>
      </c>
      <c r="C280">
        <v>2641.05</v>
      </c>
      <c r="D280">
        <v>6773.8130000000001</v>
      </c>
    </row>
    <row r="281" spans="1:4" x14ac:dyDescent="0.25">
      <c r="A281" s="1">
        <v>45394</v>
      </c>
      <c r="B281">
        <v>16</v>
      </c>
      <c r="C281">
        <v>2535.6999999999998</v>
      </c>
      <c r="D281">
        <v>6178.1750000000002</v>
      </c>
    </row>
    <row r="282" spans="1:4" x14ac:dyDescent="0.25">
      <c r="A282" s="1">
        <v>45394</v>
      </c>
      <c r="B282">
        <v>17</v>
      </c>
      <c r="C282">
        <v>2506.4250000000002</v>
      </c>
      <c r="D282">
        <v>4660.6379999999999</v>
      </c>
    </row>
    <row r="283" spans="1:4" x14ac:dyDescent="0.25">
      <c r="A283" s="1">
        <v>45394</v>
      </c>
      <c r="B283">
        <v>18</v>
      </c>
      <c r="C283">
        <v>2113.7629999999999</v>
      </c>
      <c r="D283">
        <v>2813.1880000000001</v>
      </c>
    </row>
    <row r="284" spans="1:4" x14ac:dyDescent="0.25">
      <c r="A284" s="1">
        <v>45394</v>
      </c>
      <c r="B284">
        <v>19</v>
      </c>
      <c r="C284">
        <v>1639.45</v>
      </c>
      <c r="D284">
        <v>1075.4880000000001</v>
      </c>
    </row>
    <row r="285" spans="1:4" x14ac:dyDescent="0.25">
      <c r="A285" s="1">
        <v>45394</v>
      </c>
      <c r="B285">
        <v>20</v>
      </c>
      <c r="C285">
        <v>1887.0630000000001</v>
      </c>
      <c r="D285">
        <v>273.91300000000001</v>
      </c>
    </row>
    <row r="286" spans="1:4" x14ac:dyDescent="0.25">
      <c r="A286" s="1">
        <v>45394</v>
      </c>
      <c r="B286">
        <v>21</v>
      </c>
      <c r="C286">
        <v>2483.0129999999999</v>
      </c>
      <c r="D286">
        <v>0</v>
      </c>
    </row>
    <row r="287" spans="1:4" x14ac:dyDescent="0.25">
      <c r="A287" s="1">
        <v>45394</v>
      </c>
      <c r="B287">
        <v>22</v>
      </c>
      <c r="C287">
        <v>3017.25</v>
      </c>
      <c r="D287">
        <v>0</v>
      </c>
    </row>
    <row r="288" spans="1:4" x14ac:dyDescent="0.25">
      <c r="A288" s="1">
        <v>45394</v>
      </c>
      <c r="B288">
        <v>23</v>
      </c>
      <c r="C288">
        <v>3583.2130000000002</v>
      </c>
      <c r="D288">
        <v>0</v>
      </c>
    </row>
    <row r="289" spans="1:4" x14ac:dyDescent="0.25">
      <c r="A289" s="1">
        <v>45394</v>
      </c>
      <c r="B289">
        <v>24</v>
      </c>
      <c r="C289">
        <v>4276.1000000000004</v>
      </c>
      <c r="D289">
        <v>0</v>
      </c>
    </row>
    <row r="290" spans="1:4" x14ac:dyDescent="0.25">
      <c r="A290" s="1">
        <v>45395</v>
      </c>
      <c r="B290">
        <v>1</v>
      </c>
      <c r="C290">
        <v>4388.3130000000001</v>
      </c>
      <c r="D290">
        <v>0</v>
      </c>
    </row>
    <row r="291" spans="1:4" x14ac:dyDescent="0.25">
      <c r="A291" s="1">
        <v>45395</v>
      </c>
      <c r="B291">
        <v>2</v>
      </c>
      <c r="C291">
        <v>4199.5129999999999</v>
      </c>
      <c r="D291">
        <v>0</v>
      </c>
    </row>
    <row r="292" spans="1:4" x14ac:dyDescent="0.25">
      <c r="A292" s="1">
        <v>45395</v>
      </c>
      <c r="B292">
        <v>3</v>
      </c>
      <c r="C292">
        <v>4164.5379999999996</v>
      </c>
      <c r="D292">
        <v>0</v>
      </c>
    </row>
    <row r="293" spans="1:4" x14ac:dyDescent="0.25">
      <c r="A293" s="1">
        <v>45395</v>
      </c>
      <c r="B293">
        <v>4</v>
      </c>
      <c r="C293">
        <v>3954.7750000000001</v>
      </c>
      <c r="D293">
        <v>0</v>
      </c>
    </row>
    <row r="294" spans="1:4" x14ac:dyDescent="0.25">
      <c r="A294" s="1">
        <v>45395</v>
      </c>
      <c r="B294">
        <v>5</v>
      </c>
      <c r="C294">
        <v>3833.3249999999998</v>
      </c>
      <c r="D294">
        <v>0</v>
      </c>
    </row>
    <row r="295" spans="1:4" x14ac:dyDescent="0.25">
      <c r="A295" s="1">
        <v>45395</v>
      </c>
      <c r="B295">
        <v>6</v>
      </c>
      <c r="C295">
        <v>3715.1750000000002</v>
      </c>
      <c r="D295">
        <v>45.475000000000001</v>
      </c>
    </row>
    <row r="296" spans="1:4" x14ac:dyDescent="0.25">
      <c r="A296" s="1">
        <v>45395</v>
      </c>
      <c r="B296">
        <v>7</v>
      </c>
      <c r="C296">
        <v>3703.163</v>
      </c>
      <c r="D296">
        <v>473.51299999999998</v>
      </c>
    </row>
    <row r="297" spans="1:4" x14ac:dyDescent="0.25">
      <c r="A297" s="1">
        <v>45395</v>
      </c>
      <c r="B297">
        <v>8</v>
      </c>
      <c r="C297">
        <v>3279.1</v>
      </c>
      <c r="D297">
        <v>1814.3</v>
      </c>
    </row>
    <row r="298" spans="1:4" x14ac:dyDescent="0.25">
      <c r="A298" s="1">
        <v>45395</v>
      </c>
      <c r="B298">
        <v>9</v>
      </c>
      <c r="C298">
        <v>3139.8</v>
      </c>
      <c r="D298">
        <v>3936.6750000000002</v>
      </c>
    </row>
    <row r="299" spans="1:4" x14ac:dyDescent="0.25">
      <c r="A299" s="1">
        <v>45395</v>
      </c>
      <c r="B299">
        <v>10</v>
      </c>
      <c r="C299">
        <v>3365.2249999999999</v>
      </c>
      <c r="D299">
        <v>5956.6130000000003</v>
      </c>
    </row>
    <row r="300" spans="1:4" x14ac:dyDescent="0.25">
      <c r="A300" s="1">
        <v>45395</v>
      </c>
      <c r="B300">
        <v>11</v>
      </c>
      <c r="C300">
        <v>3626.2379999999998</v>
      </c>
      <c r="D300">
        <v>7713.0379999999996</v>
      </c>
    </row>
    <row r="301" spans="1:4" x14ac:dyDescent="0.25">
      <c r="A301" s="1">
        <v>45395</v>
      </c>
      <c r="B301">
        <v>12</v>
      </c>
      <c r="C301">
        <v>3878.9630000000002</v>
      </c>
      <c r="D301">
        <v>8376.7630000000008</v>
      </c>
    </row>
    <row r="302" spans="1:4" x14ac:dyDescent="0.25">
      <c r="A302" s="1">
        <v>45395</v>
      </c>
      <c r="B302">
        <v>13</v>
      </c>
      <c r="C302">
        <v>4186.2879999999996</v>
      </c>
      <c r="D302">
        <v>8718.6</v>
      </c>
    </row>
    <row r="303" spans="1:4" x14ac:dyDescent="0.25">
      <c r="A303" s="1">
        <v>45395</v>
      </c>
      <c r="B303">
        <v>14</v>
      </c>
      <c r="C303">
        <v>4575.2629999999999</v>
      </c>
      <c r="D303">
        <v>9145.2880000000005</v>
      </c>
    </row>
    <row r="304" spans="1:4" x14ac:dyDescent="0.25">
      <c r="A304" s="1">
        <v>45395</v>
      </c>
      <c r="B304">
        <v>15</v>
      </c>
      <c r="C304">
        <v>4728.1379999999999</v>
      </c>
      <c r="D304">
        <v>8144.0749999999998</v>
      </c>
    </row>
    <row r="305" spans="1:4" x14ac:dyDescent="0.25">
      <c r="A305" s="1">
        <v>45395</v>
      </c>
      <c r="B305">
        <v>16</v>
      </c>
      <c r="C305">
        <v>4374.7879999999996</v>
      </c>
      <c r="D305">
        <v>6291.4750000000004</v>
      </c>
    </row>
    <row r="306" spans="1:4" x14ac:dyDescent="0.25">
      <c r="A306" s="1">
        <v>45395</v>
      </c>
      <c r="B306">
        <v>17</v>
      </c>
      <c r="C306">
        <v>3919.3249999999998</v>
      </c>
      <c r="D306">
        <v>4863.9380000000001</v>
      </c>
    </row>
    <row r="307" spans="1:4" x14ac:dyDescent="0.25">
      <c r="A307" s="1">
        <v>45395</v>
      </c>
      <c r="B307">
        <v>18</v>
      </c>
      <c r="C307">
        <v>3067.6880000000001</v>
      </c>
      <c r="D307">
        <v>3051.0880000000002</v>
      </c>
    </row>
    <row r="308" spans="1:4" x14ac:dyDescent="0.25">
      <c r="A308" s="1">
        <v>45395</v>
      </c>
      <c r="B308">
        <v>19</v>
      </c>
      <c r="C308">
        <v>1823</v>
      </c>
      <c r="D308">
        <v>1224.5250000000001</v>
      </c>
    </row>
    <row r="309" spans="1:4" x14ac:dyDescent="0.25">
      <c r="A309" s="1">
        <v>45395</v>
      </c>
      <c r="B309">
        <v>20</v>
      </c>
      <c r="C309">
        <v>1388.1880000000001</v>
      </c>
      <c r="D309">
        <v>241.863</v>
      </c>
    </row>
    <row r="310" spans="1:4" x14ac:dyDescent="0.25">
      <c r="A310" s="1">
        <v>45395</v>
      </c>
      <c r="B310">
        <v>21</v>
      </c>
      <c r="C310">
        <v>1684.8</v>
      </c>
      <c r="D310">
        <v>0</v>
      </c>
    </row>
    <row r="311" spans="1:4" x14ac:dyDescent="0.25">
      <c r="A311" s="1">
        <v>45395</v>
      </c>
      <c r="B311">
        <v>22</v>
      </c>
      <c r="C311">
        <v>2293.1379999999999</v>
      </c>
      <c r="D311">
        <v>0</v>
      </c>
    </row>
    <row r="312" spans="1:4" x14ac:dyDescent="0.25">
      <c r="A312" s="1">
        <v>45395</v>
      </c>
      <c r="B312">
        <v>23</v>
      </c>
      <c r="C312">
        <v>3020.6129999999998</v>
      </c>
      <c r="D312">
        <v>0</v>
      </c>
    </row>
    <row r="313" spans="1:4" x14ac:dyDescent="0.25">
      <c r="A313" s="1">
        <v>45395</v>
      </c>
      <c r="B313">
        <v>24</v>
      </c>
      <c r="C313">
        <v>3427.6</v>
      </c>
      <c r="D313">
        <v>0</v>
      </c>
    </row>
    <row r="314" spans="1:4" x14ac:dyDescent="0.25">
      <c r="A314" s="1">
        <v>45396</v>
      </c>
      <c r="B314">
        <v>1</v>
      </c>
      <c r="C314">
        <v>3845.3629999999998</v>
      </c>
      <c r="D314">
        <v>0</v>
      </c>
    </row>
    <row r="315" spans="1:4" x14ac:dyDescent="0.25">
      <c r="A315" s="1">
        <v>45396</v>
      </c>
      <c r="B315">
        <v>2</v>
      </c>
      <c r="C315">
        <v>4625.7749999999996</v>
      </c>
      <c r="D315">
        <v>0</v>
      </c>
    </row>
    <row r="316" spans="1:4" x14ac:dyDescent="0.25">
      <c r="A316" s="1">
        <v>45396</v>
      </c>
      <c r="B316">
        <v>3</v>
      </c>
      <c r="C316">
        <v>5458.9129999999996</v>
      </c>
      <c r="D316">
        <v>0</v>
      </c>
    </row>
    <row r="317" spans="1:4" x14ac:dyDescent="0.25">
      <c r="A317" s="1">
        <v>45396</v>
      </c>
      <c r="B317">
        <v>4</v>
      </c>
      <c r="C317">
        <v>5633.7629999999999</v>
      </c>
      <c r="D317">
        <v>0</v>
      </c>
    </row>
    <row r="318" spans="1:4" x14ac:dyDescent="0.25">
      <c r="A318" s="1">
        <v>45396</v>
      </c>
      <c r="B318">
        <v>5</v>
      </c>
      <c r="C318">
        <v>5972.5</v>
      </c>
      <c r="D318">
        <v>0</v>
      </c>
    </row>
    <row r="319" spans="1:4" x14ac:dyDescent="0.25">
      <c r="A319" s="1">
        <v>45396</v>
      </c>
      <c r="B319">
        <v>6</v>
      </c>
      <c r="C319">
        <v>6276</v>
      </c>
      <c r="D319">
        <v>22.763000000000002</v>
      </c>
    </row>
    <row r="320" spans="1:4" x14ac:dyDescent="0.25">
      <c r="A320" s="1">
        <v>45396</v>
      </c>
      <c r="B320">
        <v>7</v>
      </c>
      <c r="C320">
        <v>6597.65</v>
      </c>
      <c r="D320">
        <v>393.1</v>
      </c>
    </row>
    <row r="321" spans="1:4" x14ac:dyDescent="0.25">
      <c r="A321" s="1">
        <v>45396</v>
      </c>
      <c r="B321">
        <v>8</v>
      </c>
      <c r="C321">
        <v>6402.85</v>
      </c>
      <c r="D321">
        <v>1521.95</v>
      </c>
    </row>
    <row r="322" spans="1:4" x14ac:dyDescent="0.25">
      <c r="A322" s="1">
        <v>45396</v>
      </c>
      <c r="B322">
        <v>9</v>
      </c>
      <c r="C322">
        <v>6034.7129999999997</v>
      </c>
      <c r="D322">
        <v>2818.1129999999998</v>
      </c>
    </row>
    <row r="323" spans="1:4" x14ac:dyDescent="0.25">
      <c r="A323" s="1">
        <v>45396</v>
      </c>
      <c r="B323">
        <v>10</v>
      </c>
      <c r="C323">
        <v>6372.4250000000002</v>
      </c>
      <c r="D323">
        <v>3986.95</v>
      </c>
    </row>
    <row r="324" spans="1:4" x14ac:dyDescent="0.25">
      <c r="A324" s="1">
        <v>45396</v>
      </c>
      <c r="B324">
        <v>11</v>
      </c>
      <c r="C324">
        <v>6298.8379999999997</v>
      </c>
      <c r="D324">
        <v>5170.5</v>
      </c>
    </row>
    <row r="325" spans="1:4" x14ac:dyDescent="0.25">
      <c r="A325" s="1">
        <v>45396</v>
      </c>
      <c r="B325">
        <v>12</v>
      </c>
      <c r="C325">
        <v>6509.4380000000001</v>
      </c>
      <c r="D325">
        <v>5239.8999999999996</v>
      </c>
    </row>
    <row r="326" spans="1:4" x14ac:dyDescent="0.25">
      <c r="A326" s="1">
        <v>45396</v>
      </c>
      <c r="B326">
        <v>13</v>
      </c>
      <c r="C326">
        <v>6538.3</v>
      </c>
      <c r="D326">
        <v>5970</v>
      </c>
    </row>
    <row r="327" spans="1:4" x14ac:dyDescent="0.25">
      <c r="A327" s="1">
        <v>45396</v>
      </c>
      <c r="B327">
        <v>14</v>
      </c>
      <c r="C327">
        <v>6541.3379999999997</v>
      </c>
      <c r="D327">
        <v>6004.3379999999997</v>
      </c>
    </row>
    <row r="328" spans="1:4" x14ac:dyDescent="0.25">
      <c r="A328" s="1">
        <v>45396</v>
      </c>
      <c r="B328">
        <v>15</v>
      </c>
      <c r="C328">
        <v>6461.2</v>
      </c>
      <c r="D328">
        <v>5506.875</v>
      </c>
    </row>
    <row r="329" spans="1:4" x14ac:dyDescent="0.25">
      <c r="A329" s="1">
        <v>45396</v>
      </c>
      <c r="B329">
        <v>16</v>
      </c>
      <c r="C329">
        <v>6375.2129999999997</v>
      </c>
      <c r="D329">
        <v>5212.8630000000003</v>
      </c>
    </row>
    <row r="330" spans="1:4" x14ac:dyDescent="0.25">
      <c r="A330" s="1">
        <v>45396</v>
      </c>
      <c r="B330">
        <v>17</v>
      </c>
      <c r="C330">
        <v>6976.7380000000003</v>
      </c>
      <c r="D330">
        <v>4309.4629999999997</v>
      </c>
    </row>
    <row r="331" spans="1:4" x14ac:dyDescent="0.25">
      <c r="A331" s="1">
        <v>45396</v>
      </c>
      <c r="B331">
        <v>18</v>
      </c>
      <c r="C331">
        <v>6850.1880000000001</v>
      </c>
      <c r="D331">
        <v>2943.1</v>
      </c>
    </row>
    <row r="332" spans="1:4" x14ac:dyDescent="0.25">
      <c r="A332" s="1">
        <v>45396</v>
      </c>
      <c r="B332">
        <v>19</v>
      </c>
      <c r="C332">
        <v>6512.7129999999997</v>
      </c>
      <c r="D332">
        <v>1639.95</v>
      </c>
    </row>
    <row r="333" spans="1:4" x14ac:dyDescent="0.25">
      <c r="A333" s="1">
        <v>45396</v>
      </c>
      <c r="B333">
        <v>20</v>
      </c>
      <c r="C333">
        <v>5602.85</v>
      </c>
      <c r="D333">
        <v>401.43799999999999</v>
      </c>
    </row>
    <row r="334" spans="1:4" x14ac:dyDescent="0.25">
      <c r="A334" s="1">
        <v>45396</v>
      </c>
      <c r="B334">
        <v>21</v>
      </c>
      <c r="C334">
        <v>5012.5749999999998</v>
      </c>
      <c r="D334">
        <v>0</v>
      </c>
    </row>
    <row r="335" spans="1:4" x14ac:dyDescent="0.25">
      <c r="A335" s="1">
        <v>45396</v>
      </c>
      <c r="B335">
        <v>22</v>
      </c>
      <c r="C335">
        <v>4847.3879999999999</v>
      </c>
      <c r="D335">
        <v>0</v>
      </c>
    </row>
    <row r="336" spans="1:4" x14ac:dyDescent="0.25">
      <c r="A336" s="1">
        <v>45396</v>
      </c>
      <c r="B336">
        <v>23</v>
      </c>
      <c r="C336">
        <v>4398.375</v>
      </c>
      <c r="D336">
        <v>0</v>
      </c>
    </row>
    <row r="337" spans="1:4" x14ac:dyDescent="0.25">
      <c r="A337" s="1">
        <v>45396</v>
      </c>
      <c r="B337">
        <v>24</v>
      </c>
      <c r="C337">
        <v>3962.788</v>
      </c>
      <c r="D337">
        <v>0</v>
      </c>
    </row>
    <row r="338" spans="1:4" x14ac:dyDescent="0.25">
      <c r="A338" s="1">
        <v>45397</v>
      </c>
      <c r="B338">
        <v>1</v>
      </c>
      <c r="C338">
        <v>3412.875</v>
      </c>
      <c r="D338">
        <v>0</v>
      </c>
    </row>
    <row r="339" spans="1:4" x14ac:dyDescent="0.25">
      <c r="A339" s="1">
        <v>45397</v>
      </c>
      <c r="B339">
        <v>2</v>
      </c>
      <c r="C339">
        <v>2599.9250000000002</v>
      </c>
      <c r="D339">
        <v>0</v>
      </c>
    </row>
    <row r="340" spans="1:4" x14ac:dyDescent="0.25">
      <c r="A340" s="1">
        <v>45397</v>
      </c>
      <c r="B340">
        <v>3</v>
      </c>
      <c r="C340">
        <v>2349.8629999999998</v>
      </c>
      <c r="D340">
        <v>0</v>
      </c>
    </row>
    <row r="341" spans="1:4" x14ac:dyDescent="0.25">
      <c r="A341" s="1">
        <v>45397</v>
      </c>
      <c r="B341">
        <v>4</v>
      </c>
      <c r="C341">
        <v>2203.0880000000002</v>
      </c>
      <c r="D341">
        <v>0</v>
      </c>
    </row>
    <row r="342" spans="1:4" x14ac:dyDescent="0.25">
      <c r="A342" s="1">
        <v>45397</v>
      </c>
      <c r="B342">
        <v>5</v>
      </c>
      <c r="C342">
        <v>2138.9250000000002</v>
      </c>
      <c r="D342">
        <v>0</v>
      </c>
    </row>
    <row r="343" spans="1:4" x14ac:dyDescent="0.25">
      <c r="A343" s="1">
        <v>45397</v>
      </c>
      <c r="B343">
        <v>6</v>
      </c>
      <c r="C343">
        <v>2209.0880000000002</v>
      </c>
      <c r="D343">
        <v>41.738</v>
      </c>
    </row>
    <row r="344" spans="1:4" x14ac:dyDescent="0.25">
      <c r="A344" s="1">
        <v>45397</v>
      </c>
      <c r="B344">
        <v>7</v>
      </c>
      <c r="C344">
        <v>2132.9630000000002</v>
      </c>
      <c r="D344">
        <v>265.21300000000002</v>
      </c>
    </row>
    <row r="345" spans="1:4" x14ac:dyDescent="0.25">
      <c r="A345" s="1">
        <v>45397</v>
      </c>
      <c r="B345">
        <v>8</v>
      </c>
      <c r="C345">
        <v>1704.163</v>
      </c>
      <c r="D345">
        <v>872.42499999999995</v>
      </c>
    </row>
    <row r="346" spans="1:4" x14ac:dyDescent="0.25">
      <c r="A346" s="1">
        <v>45397</v>
      </c>
      <c r="B346">
        <v>9</v>
      </c>
      <c r="C346">
        <v>1390</v>
      </c>
      <c r="D346">
        <v>2106.913</v>
      </c>
    </row>
    <row r="347" spans="1:4" x14ac:dyDescent="0.25">
      <c r="A347" s="1">
        <v>45397</v>
      </c>
      <c r="B347">
        <v>10</v>
      </c>
      <c r="C347">
        <v>1246.6500000000001</v>
      </c>
      <c r="D347">
        <v>4120.8879999999999</v>
      </c>
    </row>
    <row r="348" spans="1:4" x14ac:dyDescent="0.25">
      <c r="A348" s="1">
        <v>45397</v>
      </c>
      <c r="B348">
        <v>11</v>
      </c>
      <c r="C348">
        <v>1263.1130000000001</v>
      </c>
      <c r="D348">
        <v>5402.05</v>
      </c>
    </row>
    <row r="349" spans="1:4" x14ac:dyDescent="0.25">
      <c r="A349" s="1">
        <v>45397</v>
      </c>
      <c r="B349">
        <v>12</v>
      </c>
      <c r="C349">
        <v>1257.0129999999999</v>
      </c>
      <c r="D349">
        <v>6184.7879999999996</v>
      </c>
    </row>
    <row r="350" spans="1:4" x14ac:dyDescent="0.25">
      <c r="A350" s="1">
        <v>45397</v>
      </c>
      <c r="B350">
        <v>13</v>
      </c>
      <c r="C350">
        <v>1076.1500000000001</v>
      </c>
      <c r="D350">
        <v>6366.5379999999996</v>
      </c>
    </row>
    <row r="351" spans="1:4" x14ac:dyDescent="0.25">
      <c r="A351" s="1">
        <v>45397</v>
      </c>
      <c r="B351">
        <v>14</v>
      </c>
      <c r="C351">
        <v>842.32500000000005</v>
      </c>
      <c r="D351">
        <v>5958.9880000000003</v>
      </c>
    </row>
    <row r="352" spans="1:4" x14ac:dyDescent="0.25">
      <c r="A352" s="1">
        <v>45397</v>
      </c>
      <c r="B352">
        <v>15</v>
      </c>
      <c r="C352">
        <v>685.6</v>
      </c>
      <c r="D352">
        <v>5267.6379999999999</v>
      </c>
    </row>
    <row r="353" spans="1:4" x14ac:dyDescent="0.25">
      <c r="A353" s="1">
        <v>45397</v>
      </c>
      <c r="B353">
        <v>16</v>
      </c>
      <c r="C353">
        <v>696.32500000000005</v>
      </c>
      <c r="D353">
        <v>4558.4250000000002</v>
      </c>
    </row>
    <row r="354" spans="1:4" x14ac:dyDescent="0.25">
      <c r="A354" s="1">
        <v>45397</v>
      </c>
      <c r="B354">
        <v>17</v>
      </c>
      <c r="C354">
        <v>668.73800000000006</v>
      </c>
      <c r="D354">
        <v>3536.1129999999998</v>
      </c>
    </row>
    <row r="355" spans="1:4" x14ac:dyDescent="0.25">
      <c r="A355" s="1">
        <v>45397</v>
      </c>
      <c r="B355">
        <v>18</v>
      </c>
      <c r="C355">
        <v>613.68799999999999</v>
      </c>
      <c r="D355">
        <v>2229.5129999999999</v>
      </c>
    </row>
    <row r="356" spans="1:4" x14ac:dyDescent="0.25">
      <c r="A356" s="1">
        <v>45397</v>
      </c>
      <c r="B356">
        <v>19</v>
      </c>
      <c r="C356">
        <v>666.21299999999997</v>
      </c>
      <c r="D356">
        <v>1019.625</v>
      </c>
    </row>
    <row r="357" spans="1:4" x14ac:dyDescent="0.25">
      <c r="A357" s="1">
        <v>45397</v>
      </c>
      <c r="B357">
        <v>20</v>
      </c>
      <c r="C357">
        <v>1073.825</v>
      </c>
      <c r="D357">
        <v>275.10000000000002</v>
      </c>
    </row>
    <row r="358" spans="1:4" x14ac:dyDescent="0.25">
      <c r="A358" s="1">
        <v>45397</v>
      </c>
      <c r="B358">
        <v>21</v>
      </c>
      <c r="C358">
        <v>1802.7750000000001</v>
      </c>
      <c r="D358">
        <v>16.899999999999999</v>
      </c>
    </row>
    <row r="359" spans="1:4" x14ac:dyDescent="0.25">
      <c r="A359" s="1">
        <v>45397</v>
      </c>
      <c r="B359">
        <v>22</v>
      </c>
      <c r="C359">
        <v>2176.7379999999998</v>
      </c>
      <c r="D359">
        <v>0</v>
      </c>
    </row>
    <row r="360" spans="1:4" x14ac:dyDescent="0.25">
      <c r="A360" s="1">
        <v>45397</v>
      </c>
      <c r="B360">
        <v>23</v>
      </c>
      <c r="C360">
        <v>2737.8380000000002</v>
      </c>
      <c r="D360">
        <v>0</v>
      </c>
    </row>
    <row r="361" spans="1:4" x14ac:dyDescent="0.25">
      <c r="A361" s="1">
        <v>45397</v>
      </c>
      <c r="B361">
        <v>24</v>
      </c>
      <c r="C361">
        <v>2771.35</v>
      </c>
      <c r="D361">
        <v>0</v>
      </c>
    </row>
    <row r="362" spans="1:4" x14ac:dyDescent="0.25">
      <c r="A362" s="1">
        <v>45398</v>
      </c>
      <c r="B362">
        <v>1</v>
      </c>
      <c r="C362">
        <v>3206.038</v>
      </c>
      <c r="D362">
        <v>0</v>
      </c>
    </row>
    <row r="363" spans="1:4" x14ac:dyDescent="0.25">
      <c r="A363" s="1">
        <v>45398</v>
      </c>
      <c r="B363">
        <v>2</v>
      </c>
      <c r="C363">
        <v>3041.5749999999998</v>
      </c>
      <c r="D363">
        <v>0</v>
      </c>
    </row>
    <row r="364" spans="1:4" x14ac:dyDescent="0.25">
      <c r="A364" s="1">
        <v>45398</v>
      </c>
      <c r="B364">
        <v>3</v>
      </c>
      <c r="C364">
        <v>3059.288</v>
      </c>
      <c r="D364">
        <v>0</v>
      </c>
    </row>
    <row r="365" spans="1:4" x14ac:dyDescent="0.25">
      <c r="A365" s="1">
        <v>45398</v>
      </c>
      <c r="B365">
        <v>4</v>
      </c>
      <c r="C365">
        <v>3767.3</v>
      </c>
      <c r="D365">
        <v>0</v>
      </c>
    </row>
    <row r="366" spans="1:4" x14ac:dyDescent="0.25">
      <c r="A366" s="1">
        <v>45398</v>
      </c>
      <c r="B366">
        <v>5</v>
      </c>
      <c r="C366">
        <v>4547.4629999999997</v>
      </c>
      <c r="D366">
        <v>0</v>
      </c>
    </row>
    <row r="367" spans="1:4" x14ac:dyDescent="0.25">
      <c r="A367" s="1">
        <v>45398</v>
      </c>
      <c r="B367">
        <v>6</v>
      </c>
      <c r="C367">
        <v>4833.8500000000004</v>
      </c>
      <c r="D367">
        <v>54.274999999999999</v>
      </c>
    </row>
    <row r="368" spans="1:4" x14ac:dyDescent="0.25">
      <c r="A368" s="1">
        <v>45398</v>
      </c>
      <c r="B368">
        <v>7</v>
      </c>
      <c r="C368">
        <v>5403.1750000000002</v>
      </c>
      <c r="D368">
        <v>325.81299999999999</v>
      </c>
    </row>
    <row r="369" spans="1:4" x14ac:dyDescent="0.25">
      <c r="A369" s="1">
        <v>45398</v>
      </c>
      <c r="B369">
        <v>8</v>
      </c>
      <c r="C369">
        <v>5836.0249999999996</v>
      </c>
      <c r="D369">
        <v>1107.075</v>
      </c>
    </row>
    <row r="370" spans="1:4" x14ac:dyDescent="0.25">
      <c r="A370" s="1">
        <v>45398</v>
      </c>
      <c r="B370">
        <v>9</v>
      </c>
      <c r="C370">
        <v>6202.0630000000001</v>
      </c>
      <c r="D370">
        <v>2157.1129999999998</v>
      </c>
    </row>
    <row r="371" spans="1:4" x14ac:dyDescent="0.25">
      <c r="A371" s="1">
        <v>45398</v>
      </c>
      <c r="B371">
        <v>10</v>
      </c>
      <c r="C371">
        <v>6557.2129999999997</v>
      </c>
      <c r="D371">
        <v>3077.663</v>
      </c>
    </row>
    <row r="372" spans="1:4" x14ac:dyDescent="0.25">
      <c r="A372" s="1">
        <v>45398</v>
      </c>
      <c r="B372">
        <v>11</v>
      </c>
      <c r="C372">
        <v>6800.7629999999999</v>
      </c>
      <c r="D372">
        <v>4139.2</v>
      </c>
    </row>
    <row r="373" spans="1:4" x14ac:dyDescent="0.25">
      <c r="A373" s="1">
        <v>45398</v>
      </c>
      <c r="B373">
        <v>12</v>
      </c>
      <c r="C373">
        <v>6714.5</v>
      </c>
      <c r="D373">
        <v>4771.8879999999999</v>
      </c>
    </row>
    <row r="374" spans="1:4" x14ac:dyDescent="0.25">
      <c r="A374" s="1">
        <v>45398</v>
      </c>
      <c r="B374">
        <v>13</v>
      </c>
      <c r="C374">
        <v>6545.4380000000001</v>
      </c>
      <c r="D374">
        <v>5342.2749999999996</v>
      </c>
    </row>
    <row r="375" spans="1:4" x14ac:dyDescent="0.25">
      <c r="A375" s="1">
        <v>45398</v>
      </c>
      <c r="B375">
        <v>14</v>
      </c>
      <c r="C375">
        <v>6455.5749999999998</v>
      </c>
      <c r="D375">
        <v>5622.8379999999997</v>
      </c>
    </row>
    <row r="376" spans="1:4" x14ac:dyDescent="0.25">
      <c r="A376" s="1">
        <v>45398</v>
      </c>
      <c r="B376">
        <v>15</v>
      </c>
      <c r="C376">
        <v>6052.4250000000002</v>
      </c>
      <c r="D376">
        <v>5443.7629999999999</v>
      </c>
    </row>
    <row r="377" spans="1:4" x14ac:dyDescent="0.25">
      <c r="A377" s="1">
        <v>45398</v>
      </c>
      <c r="B377">
        <v>16</v>
      </c>
      <c r="C377">
        <v>5514.3249999999998</v>
      </c>
      <c r="D377">
        <v>4813.0129999999999</v>
      </c>
    </row>
    <row r="378" spans="1:4" x14ac:dyDescent="0.25">
      <c r="A378" s="1">
        <v>45398</v>
      </c>
      <c r="B378">
        <v>17</v>
      </c>
      <c r="C378">
        <v>4683.6379999999999</v>
      </c>
      <c r="D378">
        <v>3809.9879999999998</v>
      </c>
    </row>
    <row r="379" spans="1:4" x14ac:dyDescent="0.25">
      <c r="A379" s="1">
        <v>45398</v>
      </c>
      <c r="B379">
        <v>18</v>
      </c>
      <c r="C379">
        <v>4193.0249999999996</v>
      </c>
      <c r="D379">
        <v>2631.1880000000001</v>
      </c>
    </row>
    <row r="380" spans="1:4" x14ac:dyDescent="0.25">
      <c r="A380" s="1">
        <v>45398</v>
      </c>
      <c r="B380">
        <v>19</v>
      </c>
      <c r="C380">
        <v>3605.6</v>
      </c>
      <c r="D380">
        <v>1189.2750000000001</v>
      </c>
    </row>
    <row r="381" spans="1:4" x14ac:dyDescent="0.25">
      <c r="A381" s="1">
        <v>45398</v>
      </c>
      <c r="B381">
        <v>20</v>
      </c>
      <c r="C381">
        <v>3165.8130000000001</v>
      </c>
      <c r="D381">
        <v>346.08800000000002</v>
      </c>
    </row>
    <row r="382" spans="1:4" x14ac:dyDescent="0.25">
      <c r="A382" s="1">
        <v>45398</v>
      </c>
      <c r="B382">
        <v>21</v>
      </c>
      <c r="C382">
        <v>3181.3629999999998</v>
      </c>
      <c r="D382">
        <v>30.324999999999999</v>
      </c>
    </row>
    <row r="383" spans="1:4" x14ac:dyDescent="0.25">
      <c r="A383" s="1">
        <v>45398</v>
      </c>
      <c r="B383">
        <v>22</v>
      </c>
      <c r="C383">
        <v>3564.0129999999999</v>
      </c>
      <c r="D383">
        <v>0</v>
      </c>
    </row>
    <row r="384" spans="1:4" x14ac:dyDescent="0.25">
      <c r="A384" s="1">
        <v>45398</v>
      </c>
      <c r="B384">
        <v>23</v>
      </c>
      <c r="C384">
        <v>3475.4250000000002</v>
      </c>
      <c r="D384">
        <v>0</v>
      </c>
    </row>
    <row r="385" spans="1:4" x14ac:dyDescent="0.25">
      <c r="A385" s="1">
        <v>45398</v>
      </c>
      <c r="B385">
        <v>24</v>
      </c>
      <c r="C385">
        <v>3159.6379999999999</v>
      </c>
      <c r="D385">
        <v>0</v>
      </c>
    </row>
    <row r="386" spans="1:4" x14ac:dyDescent="0.25">
      <c r="A386" s="1">
        <v>45399</v>
      </c>
      <c r="B386">
        <v>1</v>
      </c>
      <c r="C386">
        <v>2878.875</v>
      </c>
      <c r="D386">
        <v>0</v>
      </c>
    </row>
    <row r="387" spans="1:4" x14ac:dyDescent="0.25">
      <c r="A387" s="1">
        <v>45399</v>
      </c>
      <c r="B387">
        <v>2</v>
      </c>
      <c r="C387">
        <v>2527.9749999999999</v>
      </c>
      <c r="D387">
        <v>0</v>
      </c>
    </row>
    <row r="388" spans="1:4" x14ac:dyDescent="0.25">
      <c r="A388" s="1">
        <v>45399</v>
      </c>
      <c r="B388">
        <v>3</v>
      </c>
      <c r="C388">
        <v>2261.4</v>
      </c>
      <c r="D388">
        <v>0</v>
      </c>
    </row>
    <row r="389" spans="1:4" x14ac:dyDescent="0.25">
      <c r="A389" s="1">
        <v>45399</v>
      </c>
      <c r="B389">
        <v>4</v>
      </c>
      <c r="C389">
        <v>2010.65</v>
      </c>
      <c r="D389">
        <v>0</v>
      </c>
    </row>
    <row r="390" spans="1:4" x14ac:dyDescent="0.25">
      <c r="A390" s="1">
        <v>45399</v>
      </c>
      <c r="B390">
        <v>5</v>
      </c>
      <c r="C390">
        <v>2118.9250000000002</v>
      </c>
      <c r="D390">
        <v>0</v>
      </c>
    </row>
    <row r="391" spans="1:4" x14ac:dyDescent="0.25">
      <c r="A391" s="1">
        <v>45399</v>
      </c>
      <c r="B391">
        <v>6</v>
      </c>
      <c r="C391">
        <v>1950.7750000000001</v>
      </c>
      <c r="D391">
        <v>93.263000000000005</v>
      </c>
    </row>
    <row r="392" spans="1:4" x14ac:dyDescent="0.25">
      <c r="A392" s="1">
        <v>45399</v>
      </c>
      <c r="B392">
        <v>7</v>
      </c>
      <c r="C392">
        <v>1878.15</v>
      </c>
      <c r="D392">
        <v>431.625</v>
      </c>
    </row>
    <row r="393" spans="1:4" x14ac:dyDescent="0.25">
      <c r="A393" s="1">
        <v>45399</v>
      </c>
      <c r="B393">
        <v>8</v>
      </c>
      <c r="C393">
        <v>1701.65</v>
      </c>
      <c r="D393">
        <v>1212.6379999999999</v>
      </c>
    </row>
    <row r="394" spans="1:4" x14ac:dyDescent="0.25">
      <c r="A394" s="1">
        <v>45399</v>
      </c>
      <c r="B394">
        <v>9</v>
      </c>
      <c r="C394">
        <v>1884</v>
      </c>
      <c r="D394">
        <v>2365.538</v>
      </c>
    </row>
    <row r="395" spans="1:4" x14ac:dyDescent="0.25">
      <c r="A395" s="1">
        <v>45399</v>
      </c>
      <c r="B395">
        <v>10</v>
      </c>
      <c r="C395">
        <v>1902.7629999999999</v>
      </c>
      <c r="D395">
        <v>3505.5129999999999</v>
      </c>
    </row>
    <row r="396" spans="1:4" x14ac:dyDescent="0.25">
      <c r="A396" s="1">
        <v>45399</v>
      </c>
      <c r="B396">
        <v>11</v>
      </c>
      <c r="C396">
        <v>1701.713</v>
      </c>
      <c r="D396">
        <v>4333.3999999999996</v>
      </c>
    </row>
    <row r="397" spans="1:4" x14ac:dyDescent="0.25">
      <c r="A397" s="1">
        <v>45399</v>
      </c>
      <c r="B397">
        <v>12</v>
      </c>
      <c r="C397">
        <v>1613.3</v>
      </c>
      <c r="D397">
        <v>4681.125</v>
      </c>
    </row>
    <row r="398" spans="1:4" x14ac:dyDescent="0.25">
      <c r="A398" s="1">
        <v>45399</v>
      </c>
      <c r="B398">
        <v>13</v>
      </c>
      <c r="C398">
        <v>1565.875</v>
      </c>
      <c r="D398">
        <v>4732.4629999999997</v>
      </c>
    </row>
    <row r="399" spans="1:4" x14ac:dyDescent="0.25">
      <c r="A399" s="1">
        <v>45399</v>
      </c>
      <c r="B399">
        <v>14</v>
      </c>
      <c r="C399">
        <v>1509.5</v>
      </c>
      <c r="D399">
        <v>4975.9250000000002</v>
      </c>
    </row>
    <row r="400" spans="1:4" x14ac:dyDescent="0.25">
      <c r="A400" s="1">
        <v>45399</v>
      </c>
      <c r="B400">
        <v>15</v>
      </c>
      <c r="C400">
        <v>1533.288</v>
      </c>
      <c r="D400">
        <v>4614.1130000000003</v>
      </c>
    </row>
    <row r="401" spans="1:4" x14ac:dyDescent="0.25">
      <c r="A401" s="1">
        <v>45399</v>
      </c>
      <c r="B401">
        <v>16</v>
      </c>
      <c r="C401">
        <v>1480.588</v>
      </c>
      <c r="D401">
        <v>4263.0129999999999</v>
      </c>
    </row>
    <row r="402" spans="1:4" x14ac:dyDescent="0.25">
      <c r="A402" s="1">
        <v>45399</v>
      </c>
      <c r="B402">
        <v>17</v>
      </c>
      <c r="C402">
        <v>1392.4</v>
      </c>
      <c r="D402">
        <v>3740.45</v>
      </c>
    </row>
    <row r="403" spans="1:4" x14ac:dyDescent="0.25">
      <c r="A403" s="1">
        <v>45399</v>
      </c>
      <c r="B403">
        <v>18</v>
      </c>
      <c r="C403">
        <v>1282.713</v>
      </c>
      <c r="D403">
        <v>2461.4499999999998</v>
      </c>
    </row>
    <row r="404" spans="1:4" x14ac:dyDescent="0.25">
      <c r="A404" s="1">
        <v>45399</v>
      </c>
      <c r="B404">
        <v>19</v>
      </c>
      <c r="C404">
        <v>1154.8879999999999</v>
      </c>
      <c r="D404">
        <v>1051.2380000000001</v>
      </c>
    </row>
    <row r="405" spans="1:4" x14ac:dyDescent="0.25">
      <c r="A405" s="1">
        <v>45399</v>
      </c>
      <c r="B405">
        <v>20</v>
      </c>
      <c r="C405">
        <v>1046.0129999999999</v>
      </c>
      <c r="D405">
        <v>227.42500000000001</v>
      </c>
    </row>
    <row r="406" spans="1:4" x14ac:dyDescent="0.25">
      <c r="A406" s="1">
        <v>45399</v>
      </c>
      <c r="B406">
        <v>21</v>
      </c>
      <c r="C406">
        <v>924.46299999999997</v>
      </c>
      <c r="D406">
        <v>5.5250000000000004</v>
      </c>
    </row>
    <row r="407" spans="1:4" x14ac:dyDescent="0.25">
      <c r="A407" s="1">
        <v>45399</v>
      </c>
      <c r="B407">
        <v>22</v>
      </c>
      <c r="C407">
        <v>838.05</v>
      </c>
      <c r="D407">
        <v>0</v>
      </c>
    </row>
    <row r="408" spans="1:4" x14ac:dyDescent="0.25">
      <c r="A408" s="1">
        <v>45399</v>
      </c>
      <c r="B408">
        <v>23</v>
      </c>
      <c r="C408">
        <v>799.63800000000003</v>
      </c>
      <c r="D408">
        <v>0</v>
      </c>
    </row>
    <row r="409" spans="1:4" x14ac:dyDescent="0.25">
      <c r="A409" s="1">
        <v>45399</v>
      </c>
      <c r="B409">
        <v>24</v>
      </c>
      <c r="C409">
        <v>796.38800000000003</v>
      </c>
      <c r="D409">
        <v>0</v>
      </c>
    </row>
    <row r="410" spans="1:4" x14ac:dyDescent="0.25">
      <c r="A410" s="1">
        <v>45400</v>
      </c>
      <c r="B410">
        <v>1</v>
      </c>
      <c r="C410">
        <v>832.66300000000001</v>
      </c>
      <c r="D410">
        <v>0</v>
      </c>
    </row>
    <row r="411" spans="1:4" x14ac:dyDescent="0.25">
      <c r="A411" s="1">
        <v>45400</v>
      </c>
      <c r="B411">
        <v>2</v>
      </c>
      <c r="C411">
        <v>983.56299999999999</v>
      </c>
      <c r="D411">
        <v>0</v>
      </c>
    </row>
    <row r="412" spans="1:4" x14ac:dyDescent="0.25">
      <c r="A412" s="1">
        <v>45400</v>
      </c>
      <c r="B412">
        <v>3</v>
      </c>
      <c r="C412">
        <v>1133.9880000000001</v>
      </c>
      <c r="D412">
        <v>0</v>
      </c>
    </row>
    <row r="413" spans="1:4" x14ac:dyDescent="0.25">
      <c r="A413" s="1">
        <v>45400</v>
      </c>
      <c r="B413">
        <v>4</v>
      </c>
      <c r="C413">
        <v>1195.9000000000001</v>
      </c>
      <c r="D413">
        <v>0</v>
      </c>
    </row>
    <row r="414" spans="1:4" x14ac:dyDescent="0.25">
      <c r="A414" s="1">
        <v>45400</v>
      </c>
      <c r="B414">
        <v>5</v>
      </c>
      <c r="C414">
        <v>1108.713</v>
      </c>
      <c r="D414">
        <v>0</v>
      </c>
    </row>
    <row r="415" spans="1:4" x14ac:dyDescent="0.25">
      <c r="A415" s="1">
        <v>45400</v>
      </c>
      <c r="B415">
        <v>6</v>
      </c>
      <c r="C415">
        <v>1068.5250000000001</v>
      </c>
      <c r="D415">
        <v>23.388000000000002</v>
      </c>
    </row>
    <row r="416" spans="1:4" x14ac:dyDescent="0.25">
      <c r="A416" s="1">
        <v>45400</v>
      </c>
      <c r="B416">
        <v>7</v>
      </c>
      <c r="C416">
        <v>1048.038</v>
      </c>
      <c r="D416">
        <v>454.05</v>
      </c>
    </row>
    <row r="417" spans="1:4" x14ac:dyDescent="0.25">
      <c r="A417" s="1">
        <v>45400</v>
      </c>
      <c r="B417">
        <v>8</v>
      </c>
      <c r="C417">
        <v>944.56299999999999</v>
      </c>
      <c r="D417">
        <v>1750.7380000000001</v>
      </c>
    </row>
    <row r="418" spans="1:4" x14ac:dyDescent="0.25">
      <c r="A418" s="1">
        <v>45400</v>
      </c>
      <c r="B418">
        <v>9</v>
      </c>
      <c r="C418">
        <v>970.76300000000003</v>
      </c>
      <c r="D418">
        <v>3414.125</v>
      </c>
    </row>
    <row r="419" spans="1:4" x14ac:dyDescent="0.25">
      <c r="A419" s="1">
        <v>45400</v>
      </c>
      <c r="B419">
        <v>10</v>
      </c>
      <c r="C419">
        <v>1167.2750000000001</v>
      </c>
      <c r="D419">
        <v>4769.3879999999999</v>
      </c>
    </row>
    <row r="420" spans="1:4" x14ac:dyDescent="0.25">
      <c r="A420" s="1">
        <v>45400</v>
      </c>
      <c r="B420">
        <v>11</v>
      </c>
      <c r="C420">
        <v>1420.288</v>
      </c>
      <c r="D420">
        <v>5606.7380000000003</v>
      </c>
    </row>
    <row r="421" spans="1:4" x14ac:dyDescent="0.25">
      <c r="A421" s="1">
        <v>45400</v>
      </c>
      <c r="B421">
        <v>12</v>
      </c>
      <c r="C421">
        <v>1610.7629999999999</v>
      </c>
      <c r="D421">
        <v>6108</v>
      </c>
    </row>
    <row r="422" spans="1:4" x14ac:dyDescent="0.25">
      <c r="A422" s="1">
        <v>45400</v>
      </c>
      <c r="B422">
        <v>13</v>
      </c>
      <c r="C422">
        <v>1773.963</v>
      </c>
      <c r="D422">
        <v>6099.8630000000003</v>
      </c>
    </row>
    <row r="423" spans="1:4" x14ac:dyDescent="0.25">
      <c r="A423" s="1">
        <v>45400</v>
      </c>
      <c r="B423">
        <v>14</v>
      </c>
      <c r="C423">
        <v>2041.9380000000001</v>
      </c>
      <c r="D423">
        <v>5979.2129999999997</v>
      </c>
    </row>
    <row r="424" spans="1:4" x14ac:dyDescent="0.25">
      <c r="A424" s="1">
        <v>45400</v>
      </c>
      <c r="B424">
        <v>15</v>
      </c>
      <c r="C424">
        <v>2218.8000000000002</v>
      </c>
      <c r="D424">
        <v>6035.7380000000003</v>
      </c>
    </row>
    <row r="425" spans="1:4" x14ac:dyDescent="0.25">
      <c r="A425" s="1">
        <v>45400</v>
      </c>
      <c r="B425">
        <v>16</v>
      </c>
      <c r="C425">
        <v>2332.3249999999998</v>
      </c>
      <c r="D425">
        <v>5759.7879999999996</v>
      </c>
    </row>
    <row r="426" spans="1:4" x14ac:dyDescent="0.25">
      <c r="A426" s="1">
        <v>45400</v>
      </c>
      <c r="B426">
        <v>17</v>
      </c>
      <c r="C426">
        <v>2170.6750000000002</v>
      </c>
      <c r="D426">
        <v>4938.2129999999997</v>
      </c>
    </row>
    <row r="427" spans="1:4" x14ac:dyDescent="0.25">
      <c r="A427" s="1">
        <v>45400</v>
      </c>
      <c r="B427">
        <v>18</v>
      </c>
      <c r="C427">
        <v>1907.463</v>
      </c>
      <c r="D427">
        <v>3262.375</v>
      </c>
    </row>
    <row r="428" spans="1:4" x14ac:dyDescent="0.25">
      <c r="A428" s="1">
        <v>45400</v>
      </c>
      <c r="B428">
        <v>19</v>
      </c>
      <c r="C428">
        <v>1663.9749999999999</v>
      </c>
      <c r="D428">
        <v>1365.9</v>
      </c>
    </row>
    <row r="429" spans="1:4" x14ac:dyDescent="0.25">
      <c r="A429" s="1">
        <v>45400</v>
      </c>
      <c r="B429">
        <v>20</v>
      </c>
      <c r="C429">
        <v>1374.0630000000001</v>
      </c>
      <c r="D429">
        <v>343.58800000000002</v>
      </c>
    </row>
    <row r="430" spans="1:4" x14ac:dyDescent="0.25">
      <c r="A430" s="1">
        <v>45400</v>
      </c>
      <c r="B430">
        <v>21</v>
      </c>
      <c r="C430">
        <v>1570.6880000000001</v>
      </c>
      <c r="D430">
        <v>9.7750000000000004</v>
      </c>
    </row>
    <row r="431" spans="1:4" x14ac:dyDescent="0.25">
      <c r="A431" s="1">
        <v>45400</v>
      </c>
      <c r="B431">
        <v>22</v>
      </c>
      <c r="C431">
        <v>1720.0129999999999</v>
      </c>
      <c r="D431">
        <v>0</v>
      </c>
    </row>
    <row r="432" spans="1:4" x14ac:dyDescent="0.25">
      <c r="A432" s="1">
        <v>45400</v>
      </c>
      <c r="B432">
        <v>23</v>
      </c>
      <c r="C432">
        <v>1954.838</v>
      </c>
      <c r="D432">
        <v>0</v>
      </c>
    </row>
    <row r="433" spans="1:4" x14ac:dyDescent="0.25">
      <c r="A433" s="1">
        <v>45400</v>
      </c>
      <c r="B433">
        <v>24</v>
      </c>
      <c r="C433">
        <v>2022.1880000000001</v>
      </c>
      <c r="D433">
        <v>0</v>
      </c>
    </row>
    <row r="434" spans="1:4" x14ac:dyDescent="0.25">
      <c r="A434" s="1">
        <v>45401</v>
      </c>
      <c r="B434">
        <v>1</v>
      </c>
      <c r="C434">
        <v>2147.4</v>
      </c>
      <c r="D434">
        <v>0</v>
      </c>
    </row>
    <row r="435" spans="1:4" x14ac:dyDescent="0.25">
      <c r="A435" s="1">
        <v>45401</v>
      </c>
      <c r="B435">
        <v>2</v>
      </c>
      <c r="C435">
        <v>2305.1999999999998</v>
      </c>
      <c r="D435">
        <v>0</v>
      </c>
    </row>
    <row r="436" spans="1:4" x14ac:dyDescent="0.25">
      <c r="A436" s="1">
        <v>45401</v>
      </c>
      <c r="B436">
        <v>3</v>
      </c>
      <c r="C436">
        <v>2501.9630000000002</v>
      </c>
      <c r="D436">
        <v>0</v>
      </c>
    </row>
    <row r="437" spans="1:4" x14ac:dyDescent="0.25">
      <c r="A437" s="1">
        <v>45401</v>
      </c>
      <c r="B437">
        <v>4</v>
      </c>
      <c r="C437">
        <v>2833.625</v>
      </c>
      <c r="D437">
        <v>0</v>
      </c>
    </row>
    <row r="438" spans="1:4" x14ac:dyDescent="0.25">
      <c r="A438" s="1">
        <v>45401</v>
      </c>
      <c r="B438">
        <v>5</v>
      </c>
      <c r="C438">
        <v>2877.9630000000002</v>
      </c>
      <c r="D438">
        <v>0</v>
      </c>
    </row>
    <row r="439" spans="1:4" x14ac:dyDescent="0.25">
      <c r="A439" s="1">
        <v>45401</v>
      </c>
      <c r="B439">
        <v>6</v>
      </c>
      <c r="C439">
        <v>2784.9879999999998</v>
      </c>
      <c r="D439">
        <v>132.125</v>
      </c>
    </row>
    <row r="440" spans="1:4" x14ac:dyDescent="0.25">
      <c r="A440" s="1">
        <v>45401</v>
      </c>
      <c r="B440">
        <v>7</v>
      </c>
      <c r="C440">
        <v>2484.5250000000001</v>
      </c>
      <c r="D440">
        <v>723.76300000000003</v>
      </c>
    </row>
    <row r="441" spans="1:4" x14ac:dyDescent="0.25">
      <c r="A441" s="1">
        <v>45401</v>
      </c>
      <c r="B441">
        <v>8</v>
      </c>
      <c r="C441">
        <v>2028.2380000000001</v>
      </c>
      <c r="D441">
        <v>2284.4250000000002</v>
      </c>
    </row>
    <row r="442" spans="1:4" x14ac:dyDescent="0.25">
      <c r="A442" s="1">
        <v>45401</v>
      </c>
      <c r="B442">
        <v>9</v>
      </c>
      <c r="C442">
        <v>1521.088</v>
      </c>
      <c r="D442">
        <v>4433.2749999999996</v>
      </c>
    </row>
    <row r="443" spans="1:4" x14ac:dyDescent="0.25">
      <c r="A443" s="1">
        <v>45401</v>
      </c>
      <c r="B443">
        <v>10</v>
      </c>
      <c r="C443">
        <v>1461.3130000000001</v>
      </c>
      <c r="D443">
        <v>6028.0379999999996</v>
      </c>
    </row>
    <row r="444" spans="1:4" x14ac:dyDescent="0.25">
      <c r="A444" s="1">
        <v>45401</v>
      </c>
      <c r="B444">
        <v>11</v>
      </c>
      <c r="C444">
        <v>1696.35</v>
      </c>
      <c r="D444">
        <v>6467.6880000000001</v>
      </c>
    </row>
    <row r="445" spans="1:4" x14ac:dyDescent="0.25">
      <c r="A445" s="1">
        <v>45401</v>
      </c>
      <c r="B445">
        <v>12</v>
      </c>
      <c r="C445">
        <v>1765.338</v>
      </c>
      <c r="D445">
        <v>6435.5630000000001</v>
      </c>
    </row>
    <row r="446" spans="1:4" x14ac:dyDescent="0.25">
      <c r="A446" s="1">
        <v>45401</v>
      </c>
      <c r="B446">
        <v>13</v>
      </c>
      <c r="C446">
        <v>1944.213</v>
      </c>
      <c r="D446">
        <v>6565.6130000000003</v>
      </c>
    </row>
    <row r="447" spans="1:4" x14ac:dyDescent="0.25">
      <c r="A447" s="1">
        <v>45401</v>
      </c>
      <c r="B447">
        <v>14</v>
      </c>
      <c r="C447">
        <v>1947.65</v>
      </c>
      <c r="D447">
        <v>6601.0379999999996</v>
      </c>
    </row>
    <row r="448" spans="1:4" x14ac:dyDescent="0.25">
      <c r="A448" s="1">
        <v>45401</v>
      </c>
      <c r="B448">
        <v>15</v>
      </c>
      <c r="C448">
        <v>1829.925</v>
      </c>
      <c r="D448">
        <v>5915.05</v>
      </c>
    </row>
    <row r="449" spans="1:4" x14ac:dyDescent="0.25">
      <c r="A449" s="1">
        <v>45401</v>
      </c>
      <c r="B449">
        <v>16</v>
      </c>
      <c r="C449">
        <v>1870.1379999999999</v>
      </c>
      <c r="D449">
        <v>4890.9750000000004</v>
      </c>
    </row>
    <row r="450" spans="1:4" x14ac:dyDescent="0.25">
      <c r="A450" s="1">
        <v>45401</v>
      </c>
      <c r="B450">
        <v>17</v>
      </c>
      <c r="C450">
        <v>1758.125</v>
      </c>
      <c r="D450">
        <v>3690.0129999999999</v>
      </c>
    </row>
    <row r="451" spans="1:4" x14ac:dyDescent="0.25">
      <c r="A451" s="1">
        <v>45401</v>
      </c>
      <c r="B451">
        <v>18</v>
      </c>
      <c r="C451">
        <v>1628.6379999999999</v>
      </c>
      <c r="D451">
        <v>2319.663</v>
      </c>
    </row>
    <row r="452" spans="1:4" x14ac:dyDescent="0.25">
      <c r="A452" s="1">
        <v>45401</v>
      </c>
      <c r="B452">
        <v>19</v>
      </c>
      <c r="C452">
        <v>1580.4749999999999</v>
      </c>
      <c r="D452">
        <v>1186.9000000000001</v>
      </c>
    </row>
    <row r="453" spans="1:4" x14ac:dyDescent="0.25">
      <c r="A453" s="1">
        <v>45401</v>
      </c>
      <c r="B453">
        <v>20</v>
      </c>
      <c r="C453">
        <v>1403.1880000000001</v>
      </c>
      <c r="D453">
        <v>457.76299999999998</v>
      </c>
    </row>
    <row r="454" spans="1:4" x14ac:dyDescent="0.25">
      <c r="A454" s="1">
        <v>45401</v>
      </c>
      <c r="B454">
        <v>21</v>
      </c>
      <c r="C454">
        <v>1497.7249999999999</v>
      </c>
      <c r="D454">
        <v>12.788</v>
      </c>
    </row>
    <row r="455" spans="1:4" x14ac:dyDescent="0.25">
      <c r="A455" s="1">
        <v>45401</v>
      </c>
      <c r="B455">
        <v>22</v>
      </c>
      <c r="C455">
        <v>1671.663</v>
      </c>
      <c r="D455">
        <v>0</v>
      </c>
    </row>
    <row r="456" spans="1:4" x14ac:dyDescent="0.25">
      <c r="A456" s="1">
        <v>45401</v>
      </c>
      <c r="B456">
        <v>23</v>
      </c>
      <c r="C456">
        <v>1720.963</v>
      </c>
      <c r="D456">
        <v>0</v>
      </c>
    </row>
    <row r="457" spans="1:4" x14ac:dyDescent="0.25">
      <c r="A457" s="1">
        <v>45401</v>
      </c>
      <c r="B457">
        <v>24</v>
      </c>
      <c r="C457">
        <v>1723.9</v>
      </c>
      <c r="D457">
        <v>0</v>
      </c>
    </row>
    <row r="458" spans="1:4" x14ac:dyDescent="0.25">
      <c r="A458" s="1">
        <v>45402</v>
      </c>
      <c r="B458">
        <v>1</v>
      </c>
      <c r="C458">
        <v>1948.213</v>
      </c>
      <c r="D458">
        <v>0</v>
      </c>
    </row>
    <row r="459" spans="1:4" x14ac:dyDescent="0.25">
      <c r="A459" s="1">
        <v>45402</v>
      </c>
      <c r="B459">
        <v>2</v>
      </c>
      <c r="C459">
        <v>2266.5630000000001</v>
      </c>
      <c r="D459">
        <v>0</v>
      </c>
    </row>
    <row r="460" spans="1:4" x14ac:dyDescent="0.25">
      <c r="A460" s="1">
        <v>45402</v>
      </c>
      <c r="B460">
        <v>3</v>
      </c>
      <c r="C460">
        <v>2522.8130000000001</v>
      </c>
      <c r="D460">
        <v>0</v>
      </c>
    </row>
    <row r="461" spans="1:4" x14ac:dyDescent="0.25">
      <c r="A461" s="1">
        <v>45402</v>
      </c>
      <c r="B461">
        <v>4</v>
      </c>
      <c r="C461">
        <v>2655.8879999999999</v>
      </c>
      <c r="D461">
        <v>0</v>
      </c>
    </row>
    <row r="462" spans="1:4" x14ac:dyDescent="0.25">
      <c r="A462" s="1">
        <v>45402</v>
      </c>
      <c r="B462">
        <v>5</v>
      </c>
      <c r="C462">
        <v>2681.55</v>
      </c>
      <c r="D462">
        <v>0</v>
      </c>
    </row>
    <row r="463" spans="1:4" x14ac:dyDescent="0.25">
      <c r="A463" s="1">
        <v>45402</v>
      </c>
      <c r="B463">
        <v>6</v>
      </c>
      <c r="C463">
        <v>2601.2750000000001</v>
      </c>
      <c r="D463">
        <v>260.22500000000002</v>
      </c>
    </row>
    <row r="464" spans="1:4" x14ac:dyDescent="0.25">
      <c r="A464" s="1">
        <v>45402</v>
      </c>
      <c r="B464">
        <v>7</v>
      </c>
      <c r="C464">
        <v>2638.5749999999998</v>
      </c>
      <c r="D464">
        <v>681.01300000000003</v>
      </c>
    </row>
    <row r="465" spans="1:4" x14ac:dyDescent="0.25">
      <c r="A465" s="1">
        <v>45402</v>
      </c>
      <c r="B465">
        <v>8</v>
      </c>
      <c r="C465">
        <v>2693.7379999999998</v>
      </c>
      <c r="D465">
        <v>1367.7249999999999</v>
      </c>
    </row>
    <row r="466" spans="1:4" x14ac:dyDescent="0.25">
      <c r="A466" s="1">
        <v>45402</v>
      </c>
      <c r="B466">
        <v>9</v>
      </c>
      <c r="C466">
        <v>2936.288</v>
      </c>
      <c r="D466">
        <v>2244.9879999999998</v>
      </c>
    </row>
    <row r="467" spans="1:4" x14ac:dyDescent="0.25">
      <c r="A467" s="1">
        <v>45402</v>
      </c>
      <c r="B467">
        <v>10</v>
      </c>
      <c r="C467">
        <v>3229.1880000000001</v>
      </c>
      <c r="D467">
        <v>3289.05</v>
      </c>
    </row>
    <row r="468" spans="1:4" x14ac:dyDescent="0.25">
      <c r="A468" s="1">
        <v>45402</v>
      </c>
      <c r="B468">
        <v>11</v>
      </c>
      <c r="C468">
        <v>3333.2750000000001</v>
      </c>
      <c r="D468">
        <v>3780.8</v>
      </c>
    </row>
    <row r="469" spans="1:4" x14ac:dyDescent="0.25">
      <c r="A469" s="1">
        <v>45402</v>
      </c>
      <c r="B469">
        <v>12</v>
      </c>
      <c r="C469">
        <v>3592.125</v>
      </c>
      <c r="D469">
        <v>4266.5379999999996</v>
      </c>
    </row>
    <row r="470" spans="1:4" x14ac:dyDescent="0.25">
      <c r="A470" s="1">
        <v>45402</v>
      </c>
      <c r="B470">
        <v>13</v>
      </c>
      <c r="C470">
        <v>3842.413</v>
      </c>
      <c r="D470">
        <v>4328.0379999999996</v>
      </c>
    </row>
    <row r="471" spans="1:4" x14ac:dyDescent="0.25">
      <c r="A471" s="1">
        <v>45402</v>
      </c>
      <c r="B471">
        <v>14</v>
      </c>
      <c r="C471">
        <v>3900.3380000000002</v>
      </c>
      <c r="D471">
        <v>4282.625</v>
      </c>
    </row>
    <row r="472" spans="1:4" x14ac:dyDescent="0.25">
      <c r="A472" s="1">
        <v>45402</v>
      </c>
      <c r="B472">
        <v>15</v>
      </c>
      <c r="C472">
        <v>3871.4879999999998</v>
      </c>
      <c r="D472">
        <v>3939.6</v>
      </c>
    </row>
    <row r="473" spans="1:4" x14ac:dyDescent="0.25">
      <c r="A473" s="1">
        <v>45402</v>
      </c>
      <c r="B473">
        <v>16</v>
      </c>
      <c r="C473">
        <v>3587.1880000000001</v>
      </c>
      <c r="D473">
        <v>3408.8380000000002</v>
      </c>
    </row>
    <row r="474" spans="1:4" x14ac:dyDescent="0.25">
      <c r="A474" s="1">
        <v>45402</v>
      </c>
      <c r="B474">
        <v>17</v>
      </c>
      <c r="C474">
        <v>3293.0129999999999</v>
      </c>
      <c r="D474">
        <v>2702.4749999999999</v>
      </c>
    </row>
    <row r="475" spans="1:4" x14ac:dyDescent="0.25">
      <c r="A475" s="1">
        <v>45402</v>
      </c>
      <c r="B475">
        <v>18</v>
      </c>
      <c r="C475">
        <v>2748.3879999999999</v>
      </c>
      <c r="D475">
        <v>1841.338</v>
      </c>
    </row>
    <row r="476" spans="1:4" x14ac:dyDescent="0.25">
      <c r="A476" s="1">
        <v>45402</v>
      </c>
      <c r="B476">
        <v>19</v>
      </c>
      <c r="C476">
        <v>2197.9250000000002</v>
      </c>
      <c r="D476">
        <v>893.51300000000003</v>
      </c>
    </row>
    <row r="477" spans="1:4" x14ac:dyDescent="0.25">
      <c r="A477" s="1">
        <v>45402</v>
      </c>
      <c r="B477">
        <v>20</v>
      </c>
      <c r="C477">
        <v>1794.8130000000001</v>
      </c>
      <c r="D477">
        <v>211.27500000000001</v>
      </c>
    </row>
    <row r="478" spans="1:4" x14ac:dyDescent="0.25">
      <c r="A478" s="1">
        <v>45402</v>
      </c>
      <c r="B478">
        <v>21</v>
      </c>
      <c r="C478">
        <v>1357.075</v>
      </c>
      <c r="D478">
        <v>6.0880000000000001</v>
      </c>
    </row>
    <row r="479" spans="1:4" x14ac:dyDescent="0.25">
      <c r="A479" s="1">
        <v>45402</v>
      </c>
      <c r="B479">
        <v>22</v>
      </c>
      <c r="C479">
        <v>1288.213</v>
      </c>
      <c r="D479">
        <v>0</v>
      </c>
    </row>
    <row r="480" spans="1:4" x14ac:dyDescent="0.25">
      <c r="A480" s="1">
        <v>45402</v>
      </c>
      <c r="B480">
        <v>23</v>
      </c>
      <c r="C480">
        <v>1273.3630000000001</v>
      </c>
      <c r="D480">
        <v>0</v>
      </c>
    </row>
    <row r="481" spans="1:4" x14ac:dyDescent="0.25">
      <c r="A481" s="1">
        <v>45402</v>
      </c>
      <c r="B481">
        <v>24</v>
      </c>
      <c r="C481">
        <v>1262.5250000000001</v>
      </c>
      <c r="D481">
        <v>0</v>
      </c>
    </row>
    <row r="482" spans="1:4" x14ac:dyDescent="0.25">
      <c r="A482" s="1">
        <v>45403</v>
      </c>
      <c r="B482">
        <v>1</v>
      </c>
      <c r="C482">
        <v>1398.838</v>
      </c>
      <c r="D482">
        <v>0</v>
      </c>
    </row>
    <row r="483" spans="1:4" x14ac:dyDescent="0.25">
      <c r="A483" s="1">
        <v>45403</v>
      </c>
      <c r="B483">
        <v>2</v>
      </c>
      <c r="C483">
        <v>1532.7249999999999</v>
      </c>
      <c r="D483">
        <v>0</v>
      </c>
    </row>
    <row r="484" spans="1:4" x14ac:dyDescent="0.25">
      <c r="A484" s="1">
        <v>45403</v>
      </c>
      <c r="B484">
        <v>3</v>
      </c>
      <c r="C484">
        <v>1704.1880000000001</v>
      </c>
      <c r="D484">
        <v>0</v>
      </c>
    </row>
    <row r="485" spans="1:4" x14ac:dyDescent="0.25">
      <c r="A485" s="1">
        <v>45403</v>
      </c>
      <c r="B485">
        <v>4</v>
      </c>
      <c r="C485">
        <v>1849.1</v>
      </c>
      <c r="D485">
        <v>0</v>
      </c>
    </row>
    <row r="486" spans="1:4" x14ac:dyDescent="0.25">
      <c r="A486" s="1">
        <v>45403</v>
      </c>
      <c r="B486">
        <v>5</v>
      </c>
      <c r="C486">
        <v>1937.375</v>
      </c>
      <c r="D486">
        <v>0</v>
      </c>
    </row>
    <row r="487" spans="1:4" x14ac:dyDescent="0.25">
      <c r="A487" s="1">
        <v>45403</v>
      </c>
      <c r="B487">
        <v>6</v>
      </c>
      <c r="C487">
        <v>2067.2629999999999</v>
      </c>
      <c r="D487">
        <v>38.700000000000003</v>
      </c>
    </row>
    <row r="488" spans="1:4" x14ac:dyDescent="0.25">
      <c r="A488" s="1">
        <v>45403</v>
      </c>
      <c r="B488">
        <v>7</v>
      </c>
      <c r="C488">
        <v>2184.8380000000002</v>
      </c>
      <c r="D488">
        <v>474.45</v>
      </c>
    </row>
    <row r="489" spans="1:4" x14ac:dyDescent="0.25">
      <c r="A489" s="1">
        <v>45403</v>
      </c>
      <c r="B489">
        <v>8</v>
      </c>
      <c r="C489">
        <v>1934.588</v>
      </c>
      <c r="D489">
        <v>1766.1880000000001</v>
      </c>
    </row>
    <row r="490" spans="1:4" x14ac:dyDescent="0.25">
      <c r="A490" s="1">
        <v>45403</v>
      </c>
      <c r="B490">
        <v>9</v>
      </c>
      <c r="C490">
        <v>1946.1130000000001</v>
      </c>
      <c r="D490">
        <v>3378.413</v>
      </c>
    </row>
    <row r="491" spans="1:4" x14ac:dyDescent="0.25">
      <c r="A491" s="1">
        <v>45403</v>
      </c>
      <c r="B491">
        <v>10</v>
      </c>
      <c r="C491">
        <v>2419.8380000000002</v>
      </c>
      <c r="D491">
        <v>4721.9629999999997</v>
      </c>
    </row>
    <row r="492" spans="1:4" x14ac:dyDescent="0.25">
      <c r="A492" s="1">
        <v>45403</v>
      </c>
      <c r="B492">
        <v>11</v>
      </c>
      <c r="C492">
        <v>2898.95</v>
      </c>
      <c r="D492">
        <v>5160.4629999999997</v>
      </c>
    </row>
    <row r="493" spans="1:4" x14ac:dyDescent="0.25">
      <c r="A493" s="1">
        <v>45403</v>
      </c>
      <c r="B493">
        <v>12</v>
      </c>
      <c r="C493">
        <v>3274.163</v>
      </c>
      <c r="D493">
        <v>5038.2629999999999</v>
      </c>
    </row>
    <row r="494" spans="1:4" x14ac:dyDescent="0.25">
      <c r="A494" s="1">
        <v>45403</v>
      </c>
      <c r="B494">
        <v>13</v>
      </c>
      <c r="C494">
        <v>3595.8380000000002</v>
      </c>
      <c r="D494">
        <v>4713.7879999999996</v>
      </c>
    </row>
    <row r="495" spans="1:4" x14ac:dyDescent="0.25">
      <c r="A495" s="1">
        <v>45403</v>
      </c>
      <c r="B495">
        <v>14</v>
      </c>
      <c r="C495">
        <v>3973.15</v>
      </c>
      <c r="D495">
        <v>4531.9250000000002</v>
      </c>
    </row>
    <row r="496" spans="1:4" x14ac:dyDescent="0.25">
      <c r="A496" s="1">
        <v>45403</v>
      </c>
      <c r="B496">
        <v>15</v>
      </c>
      <c r="C496">
        <v>4240.5249999999996</v>
      </c>
      <c r="D496">
        <v>4170.3500000000004</v>
      </c>
    </row>
    <row r="497" spans="1:4" x14ac:dyDescent="0.25">
      <c r="A497" s="1">
        <v>45403</v>
      </c>
      <c r="B497">
        <v>16</v>
      </c>
      <c r="C497">
        <v>4450.5879999999997</v>
      </c>
      <c r="D497">
        <v>3515.0630000000001</v>
      </c>
    </row>
    <row r="498" spans="1:4" x14ac:dyDescent="0.25">
      <c r="A498" s="1">
        <v>45403</v>
      </c>
      <c r="B498">
        <v>17</v>
      </c>
      <c r="C498">
        <v>4511.9629999999997</v>
      </c>
      <c r="D498">
        <v>2743.9879999999998</v>
      </c>
    </row>
    <row r="499" spans="1:4" x14ac:dyDescent="0.25">
      <c r="A499" s="1">
        <v>45403</v>
      </c>
      <c r="B499">
        <v>18</v>
      </c>
      <c r="C499">
        <v>4392.3630000000003</v>
      </c>
      <c r="D499">
        <v>1887.788</v>
      </c>
    </row>
    <row r="500" spans="1:4" x14ac:dyDescent="0.25">
      <c r="A500" s="1">
        <v>45403</v>
      </c>
      <c r="B500">
        <v>19</v>
      </c>
      <c r="C500">
        <v>4057.6880000000001</v>
      </c>
      <c r="D500">
        <v>909.85</v>
      </c>
    </row>
    <row r="501" spans="1:4" x14ac:dyDescent="0.25">
      <c r="A501" s="1">
        <v>45403</v>
      </c>
      <c r="B501">
        <v>20</v>
      </c>
      <c r="C501">
        <v>3567.875</v>
      </c>
      <c r="D501">
        <v>212.28800000000001</v>
      </c>
    </row>
    <row r="502" spans="1:4" x14ac:dyDescent="0.25">
      <c r="A502" s="1">
        <v>45403</v>
      </c>
      <c r="B502">
        <v>21</v>
      </c>
      <c r="C502">
        <v>3013.4380000000001</v>
      </c>
      <c r="D502">
        <v>6.1</v>
      </c>
    </row>
    <row r="503" spans="1:4" x14ac:dyDescent="0.25">
      <c r="A503" s="1">
        <v>45403</v>
      </c>
      <c r="B503">
        <v>22</v>
      </c>
      <c r="C503">
        <v>2788.8130000000001</v>
      </c>
      <c r="D503">
        <v>0</v>
      </c>
    </row>
    <row r="504" spans="1:4" x14ac:dyDescent="0.25">
      <c r="A504" s="1">
        <v>45403</v>
      </c>
      <c r="B504">
        <v>23</v>
      </c>
      <c r="C504">
        <v>2913.0880000000002</v>
      </c>
      <c r="D504">
        <v>0</v>
      </c>
    </row>
    <row r="505" spans="1:4" x14ac:dyDescent="0.25">
      <c r="A505" s="1">
        <v>45403</v>
      </c>
      <c r="B505">
        <v>24</v>
      </c>
      <c r="C505">
        <v>2756.2</v>
      </c>
      <c r="D505">
        <v>0</v>
      </c>
    </row>
    <row r="506" spans="1:4" x14ac:dyDescent="0.25">
      <c r="A506" s="1">
        <v>45404</v>
      </c>
      <c r="B506">
        <v>1</v>
      </c>
      <c r="C506">
        <v>2444.663</v>
      </c>
      <c r="D506">
        <v>0</v>
      </c>
    </row>
    <row r="507" spans="1:4" x14ac:dyDescent="0.25">
      <c r="A507" s="1">
        <v>45404</v>
      </c>
      <c r="B507">
        <v>2</v>
      </c>
      <c r="C507">
        <v>2285.6880000000001</v>
      </c>
      <c r="D507">
        <v>0</v>
      </c>
    </row>
    <row r="508" spans="1:4" x14ac:dyDescent="0.25">
      <c r="A508" s="1">
        <v>45404</v>
      </c>
      <c r="B508">
        <v>3</v>
      </c>
      <c r="C508">
        <v>2196.663</v>
      </c>
      <c r="D508">
        <v>0</v>
      </c>
    </row>
    <row r="509" spans="1:4" x14ac:dyDescent="0.25">
      <c r="A509" s="1">
        <v>45404</v>
      </c>
      <c r="B509">
        <v>4</v>
      </c>
      <c r="C509">
        <v>2105.1379999999999</v>
      </c>
      <c r="D509">
        <v>0</v>
      </c>
    </row>
    <row r="510" spans="1:4" x14ac:dyDescent="0.25">
      <c r="A510" s="1">
        <v>45404</v>
      </c>
      <c r="B510">
        <v>5</v>
      </c>
      <c r="C510">
        <v>2107.9250000000002</v>
      </c>
      <c r="D510">
        <v>0</v>
      </c>
    </row>
    <row r="511" spans="1:4" x14ac:dyDescent="0.25">
      <c r="A511" s="1">
        <v>45404</v>
      </c>
      <c r="B511">
        <v>6</v>
      </c>
      <c r="C511">
        <v>2172.9380000000001</v>
      </c>
      <c r="D511">
        <v>56.024999999999999</v>
      </c>
    </row>
    <row r="512" spans="1:4" x14ac:dyDescent="0.25">
      <c r="A512" s="1">
        <v>45404</v>
      </c>
      <c r="B512">
        <v>7</v>
      </c>
      <c r="C512">
        <v>2164.1129999999998</v>
      </c>
      <c r="D512">
        <v>442.78800000000001</v>
      </c>
    </row>
    <row r="513" spans="1:4" x14ac:dyDescent="0.25">
      <c r="A513" s="1">
        <v>45404</v>
      </c>
      <c r="B513">
        <v>8</v>
      </c>
      <c r="C513">
        <v>2141</v>
      </c>
      <c r="D513">
        <v>1446.9</v>
      </c>
    </row>
    <row r="514" spans="1:4" x14ac:dyDescent="0.25">
      <c r="A514" s="1">
        <v>45404</v>
      </c>
      <c r="B514">
        <v>9</v>
      </c>
      <c r="C514">
        <v>2122.288</v>
      </c>
      <c r="D514">
        <v>2735.5880000000002</v>
      </c>
    </row>
    <row r="515" spans="1:4" x14ac:dyDescent="0.25">
      <c r="A515" s="1">
        <v>45404</v>
      </c>
      <c r="B515">
        <v>10</v>
      </c>
      <c r="C515">
        <v>2205.788</v>
      </c>
      <c r="D515">
        <v>3847.4630000000002</v>
      </c>
    </row>
    <row r="516" spans="1:4" x14ac:dyDescent="0.25">
      <c r="A516" s="1">
        <v>45404</v>
      </c>
      <c r="B516">
        <v>11</v>
      </c>
      <c r="C516">
        <v>2236.8130000000001</v>
      </c>
      <c r="D516">
        <v>4368.1379999999999</v>
      </c>
    </row>
    <row r="517" spans="1:4" x14ac:dyDescent="0.25">
      <c r="A517" s="1">
        <v>45404</v>
      </c>
      <c r="B517">
        <v>12</v>
      </c>
      <c r="C517">
        <v>2309.5500000000002</v>
      </c>
      <c r="D517">
        <v>4245.9380000000001</v>
      </c>
    </row>
    <row r="518" spans="1:4" x14ac:dyDescent="0.25">
      <c r="A518" s="1">
        <v>45404</v>
      </c>
      <c r="B518">
        <v>13</v>
      </c>
      <c r="C518">
        <v>2168.6129999999998</v>
      </c>
      <c r="D518">
        <v>4059.038</v>
      </c>
    </row>
    <row r="519" spans="1:4" x14ac:dyDescent="0.25">
      <c r="A519" s="1">
        <v>45404</v>
      </c>
      <c r="B519">
        <v>14</v>
      </c>
      <c r="C519">
        <v>2051.375</v>
      </c>
      <c r="D519">
        <v>3880.1750000000002</v>
      </c>
    </row>
    <row r="520" spans="1:4" x14ac:dyDescent="0.25">
      <c r="A520" s="1">
        <v>45404</v>
      </c>
      <c r="B520">
        <v>15</v>
      </c>
      <c r="C520">
        <v>1815.825</v>
      </c>
      <c r="D520">
        <v>3558.1129999999998</v>
      </c>
    </row>
    <row r="521" spans="1:4" x14ac:dyDescent="0.25">
      <c r="A521" s="1">
        <v>45404</v>
      </c>
      <c r="B521">
        <v>16</v>
      </c>
      <c r="C521">
        <v>1594.1379999999999</v>
      </c>
      <c r="D521">
        <v>3103.875</v>
      </c>
    </row>
    <row r="522" spans="1:4" x14ac:dyDescent="0.25">
      <c r="A522" s="1">
        <v>45404</v>
      </c>
      <c r="B522">
        <v>17</v>
      </c>
      <c r="C522">
        <v>1369.25</v>
      </c>
      <c r="D522">
        <v>2497.6129999999998</v>
      </c>
    </row>
    <row r="523" spans="1:4" x14ac:dyDescent="0.25">
      <c r="A523" s="1">
        <v>45404</v>
      </c>
      <c r="B523">
        <v>18</v>
      </c>
      <c r="C523">
        <v>1099.7249999999999</v>
      </c>
      <c r="D523">
        <v>1671.1130000000001</v>
      </c>
    </row>
    <row r="524" spans="1:4" x14ac:dyDescent="0.25">
      <c r="A524" s="1">
        <v>45404</v>
      </c>
      <c r="B524">
        <v>19</v>
      </c>
      <c r="C524">
        <v>862.26300000000003</v>
      </c>
      <c r="D524">
        <v>807.27499999999998</v>
      </c>
    </row>
    <row r="525" spans="1:4" x14ac:dyDescent="0.25">
      <c r="A525" s="1">
        <v>45404</v>
      </c>
      <c r="B525">
        <v>20</v>
      </c>
      <c r="C525">
        <v>603.875</v>
      </c>
      <c r="D525">
        <v>205.08799999999999</v>
      </c>
    </row>
    <row r="526" spans="1:4" x14ac:dyDescent="0.25">
      <c r="A526" s="1">
        <v>45404</v>
      </c>
      <c r="B526">
        <v>21</v>
      </c>
      <c r="C526">
        <v>531.21299999999997</v>
      </c>
      <c r="D526">
        <v>38.024999999999999</v>
      </c>
    </row>
    <row r="527" spans="1:4" x14ac:dyDescent="0.25">
      <c r="A527" s="1">
        <v>45404</v>
      </c>
      <c r="B527">
        <v>22</v>
      </c>
      <c r="C527">
        <v>493.91300000000001</v>
      </c>
      <c r="D527">
        <v>0</v>
      </c>
    </row>
    <row r="528" spans="1:4" x14ac:dyDescent="0.25">
      <c r="A528" s="1">
        <v>45404</v>
      </c>
      <c r="B528">
        <v>23</v>
      </c>
      <c r="C528">
        <v>434.97500000000002</v>
      </c>
      <c r="D528">
        <v>0</v>
      </c>
    </row>
    <row r="529" spans="1:4" x14ac:dyDescent="0.25">
      <c r="A529" s="1">
        <v>45404</v>
      </c>
      <c r="B529">
        <v>24</v>
      </c>
      <c r="C529">
        <v>443.738</v>
      </c>
      <c r="D529">
        <v>0</v>
      </c>
    </row>
    <row r="530" spans="1:4" x14ac:dyDescent="0.25">
      <c r="A530" s="1">
        <v>45405</v>
      </c>
      <c r="B530">
        <v>1</v>
      </c>
      <c r="C530">
        <v>421.71300000000002</v>
      </c>
      <c r="D530">
        <v>0</v>
      </c>
    </row>
    <row r="531" spans="1:4" x14ac:dyDescent="0.25">
      <c r="A531" s="1">
        <v>45405</v>
      </c>
      <c r="B531">
        <v>2</v>
      </c>
      <c r="C531">
        <v>421.41300000000001</v>
      </c>
      <c r="D531">
        <v>0</v>
      </c>
    </row>
    <row r="532" spans="1:4" x14ac:dyDescent="0.25">
      <c r="A532" s="1">
        <v>45405</v>
      </c>
      <c r="B532">
        <v>3</v>
      </c>
      <c r="C532">
        <v>424.32499999999999</v>
      </c>
      <c r="D532">
        <v>0</v>
      </c>
    </row>
    <row r="533" spans="1:4" x14ac:dyDescent="0.25">
      <c r="A533" s="1">
        <v>45405</v>
      </c>
      <c r="B533">
        <v>4</v>
      </c>
      <c r="C533">
        <v>475.82499999999999</v>
      </c>
      <c r="D533">
        <v>0</v>
      </c>
    </row>
    <row r="534" spans="1:4" x14ac:dyDescent="0.25">
      <c r="A534" s="1">
        <v>45405</v>
      </c>
      <c r="B534">
        <v>5</v>
      </c>
      <c r="C534">
        <v>548.22500000000002</v>
      </c>
      <c r="D534">
        <v>0</v>
      </c>
    </row>
    <row r="535" spans="1:4" x14ac:dyDescent="0.25">
      <c r="A535" s="1">
        <v>45405</v>
      </c>
      <c r="B535">
        <v>6</v>
      </c>
      <c r="C535">
        <v>646.76300000000003</v>
      </c>
      <c r="D535">
        <v>66.75</v>
      </c>
    </row>
    <row r="536" spans="1:4" x14ac:dyDescent="0.25">
      <c r="A536" s="1">
        <v>45405</v>
      </c>
      <c r="B536">
        <v>7</v>
      </c>
      <c r="C536">
        <v>730.15</v>
      </c>
      <c r="D536">
        <v>624.79999999999995</v>
      </c>
    </row>
    <row r="537" spans="1:4" x14ac:dyDescent="0.25">
      <c r="A537" s="1">
        <v>45405</v>
      </c>
      <c r="B537">
        <v>8</v>
      </c>
      <c r="C537">
        <v>611.51300000000003</v>
      </c>
      <c r="D537">
        <v>2220.038</v>
      </c>
    </row>
    <row r="538" spans="1:4" x14ac:dyDescent="0.25">
      <c r="A538" s="1">
        <v>45405</v>
      </c>
      <c r="B538">
        <v>9</v>
      </c>
      <c r="C538">
        <v>560.81299999999999</v>
      </c>
      <c r="D538">
        <v>4509.7629999999999</v>
      </c>
    </row>
    <row r="539" spans="1:4" x14ac:dyDescent="0.25">
      <c r="A539" s="1">
        <v>45405</v>
      </c>
      <c r="B539">
        <v>10</v>
      </c>
      <c r="C539">
        <v>604.07500000000005</v>
      </c>
      <c r="D539">
        <v>6009.375</v>
      </c>
    </row>
    <row r="540" spans="1:4" x14ac:dyDescent="0.25">
      <c r="A540" s="1">
        <v>45405</v>
      </c>
      <c r="B540">
        <v>11</v>
      </c>
      <c r="C540">
        <v>771.81299999999999</v>
      </c>
      <c r="D540">
        <v>6756.8130000000001</v>
      </c>
    </row>
    <row r="541" spans="1:4" x14ac:dyDescent="0.25">
      <c r="A541" s="1">
        <v>45405</v>
      </c>
      <c r="B541">
        <v>12</v>
      </c>
      <c r="C541">
        <v>884</v>
      </c>
      <c r="D541">
        <v>6561.5379999999996</v>
      </c>
    </row>
    <row r="542" spans="1:4" x14ac:dyDescent="0.25">
      <c r="A542" s="1">
        <v>45405</v>
      </c>
      <c r="B542">
        <v>13</v>
      </c>
      <c r="C542">
        <v>869.46299999999997</v>
      </c>
      <c r="D542">
        <v>6942.3130000000001</v>
      </c>
    </row>
    <row r="543" spans="1:4" x14ac:dyDescent="0.25">
      <c r="A543" s="1">
        <v>45405</v>
      </c>
      <c r="B543">
        <v>14</v>
      </c>
      <c r="C543">
        <v>865.21299999999997</v>
      </c>
      <c r="D543">
        <v>7253.5379999999996</v>
      </c>
    </row>
    <row r="544" spans="1:4" x14ac:dyDescent="0.25">
      <c r="A544" s="1">
        <v>45405</v>
      </c>
      <c r="B544">
        <v>15</v>
      </c>
      <c r="C544">
        <v>796.05</v>
      </c>
      <c r="D544">
        <v>7172.7380000000003</v>
      </c>
    </row>
    <row r="545" spans="1:4" x14ac:dyDescent="0.25">
      <c r="A545" s="1">
        <v>45405</v>
      </c>
      <c r="B545">
        <v>16</v>
      </c>
      <c r="C545">
        <v>676.75</v>
      </c>
      <c r="D545">
        <v>6145.2879999999996</v>
      </c>
    </row>
    <row r="546" spans="1:4" x14ac:dyDescent="0.25">
      <c r="A546" s="1">
        <v>45405</v>
      </c>
      <c r="B546">
        <v>17</v>
      </c>
      <c r="C546">
        <v>512.625</v>
      </c>
      <c r="D546">
        <v>4845.6000000000004</v>
      </c>
    </row>
    <row r="547" spans="1:4" x14ac:dyDescent="0.25">
      <c r="A547" s="1">
        <v>45405</v>
      </c>
      <c r="B547">
        <v>18</v>
      </c>
      <c r="C547">
        <v>417.5</v>
      </c>
      <c r="D547">
        <v>3004.7629999999999</v>
      </c>
    </row>
    <row r="548" spans="1:4" x14ac:dyDescent="0.25">
      <c r="A548" s="1">
        <v>45405</v>
      </c>
      <c r="B548">
        <v>19</v>
      </c>
      <c r="C548">
        <v>377.32499999999999</v>
      </c>
      <c r="D548">
        <v>1426.675</v>
      </c>
    </row>
    <row r="549" spans="1:4" x14ac:dyDescent="0.25">
      <c r="A549" s="1">
        <v>45405</v>
      </c>
      <c r="B549">
        <v>20</v>
      </c>
      <c r="C549">
        <v>552.58799999999997</v>
      </c>
      <c r="D549">
        <v>450.125</v>
      </c>
    </row>
    <row r="550" spans="1:4" x14ac:dyDescent="0.25">
      <c r="A550" s="1">
        <v>45405</v>
      </c>
      <c r="B550">
        <v>21</v>
      </c>
      <c r="C550">
        <v>849.4</v>
      </c>
      <c r="D550">
        <v>49.463000000000001</v>
      </c>
    </row>
    <row r="551" spans="1:4" x14ac:dyDescent="0.25">
      <c r="A551" s="1">
        <v>45405</v>
      </c>
      <c r="B551">
        <v>22</v>
      </c>
      <c r="C551">
        <v>1143.675</v>
      </c>
      <c r="D551">
        <v>0</v>
      </c>
    </row>
    <row r="552" spans="1:4" x14ac:dyDescent="0.25">
      <c r="A552" s="1">
        <v>45405</v>
      </c>
      <c r="B552">
        <v>23</v>
      </c>
      <c r="C552">
        <v>1355.6379999999999</v>
      </c>
      <c r="D552">
        <v>0</v>
      </c>
    </row>
    <row r="553" spans="1:4" x14ac:dyDescent="0.25">
      <c r="A553" s="1">
        <v>45405</v>
      </c>
      <c r="B553">
        <v>24</v>
      </c>
      <c r="C553">
        <v>1587.25</v>
      </c>
      <c r="D553">
        <v>0</v>
      </c>
    </row>
    <row r="554" spans="1:4" x14ac:dyDescent="0.25">
      <c r="A554" s="1">
        <v>45406</v>
      </c>
      <c r="B554">
        <v>1</v>
      </c>
      <c r="C554">
        <v>1856.2249999999999</v>
      </c>
      <c r="D554">
        <v>0</v>
      </c>
    </row>
    <row r="555" spans="1:4" x14ac:dyDescent="0.25">
      <c r="A555" s="1">
        <v>45406</v>
      </c>
      <c r="B555">
        <v>2</v>
      </c>
      <c r="C555">
        <v>2004.8630000000001</v>
      </c>
      <c r="D555">
        <v>0</v>
      </c>
    </row>
    <row r="556" spans="1:4" x14ac:dyDescent="0.25">
      <c r="A556" s="1">
        <v>45406</v>
      </c>
      <c r="B556">
        <v>3</v>
      </c>
      <c r="C556">
        <v>1942.425</v>
      </c>
      <c r="D556">
        <v>0</v>
      </c>
    </row>
    <row r="557" spans="1:4" x14ac:dyDescent="0.25">
      <c r="A557" s="1">
        <v>45406</v>
      </c>
      <c r="B557">
        <v>4</v>
      </c>
      <c r="C557">
        <v>1797.0250000000001</v>
      </c>
      <c r="D557">
        <v>0</v>
      </c>
    </row>
    <row r="558" spans="1:4" x14ac:dyDescent="0.25">
      <c r="A558" s="1">
        <v>45406</v>
      </c>
      <c r="B558">
        <v>5</v>
      </c>
      <c r="C558">
        <v>1627.1130000000001</v>
      </c>
      <c r="D558">
        <v>0</v>
      </c>
    </row>
    <row r="559" spans="1:4" x14ac:dyDescent="0.25">
      <c r="A559" s="1">
        <v>45406</v>
      </c>
      <c r="B559">
        <v>6</v>
      </c>
      <c r="C559">
        <v>1479.425</v>
      </c>
      <c r="D559">
        <v>114.77500000000001</v>
      </c>
    </row>
    <row r="560" spans="1:4" x14ac:dyDescent="0.25">
      <c r="A560" s="1">
        <v>45406</v>
      </c>
      <c r="B560">
        <v>7</v>
      </c>
      <c r="C560">
        <v>1272.9880000000001</v>
      </c>
      <c r="D560">
        <v>633.08799999999997</v>
      </c>
    </row>
    <row r="561" spans="1:4" x14ac:dyDescent="0.25">
      <c r="A561" s="1">
        <v>45406</v>
      </c>
      <c r="B561">
        <v>8</v>
      </c>
      <c r="C561">
        <v>820.93799999999999</v>
      </c>
      <c r="D561">
        <v>1677.075</v>
      </c>
    </row>
    <row r="562" spans="1:4" x14ac:dyDescent="0.25">
      <c r="A562" s="1">
        <v>45406</v>
      </c>
      <c r="B562">
        <v>9</v>
      </c>
      <c r="C562">
        <v>444.613</v>
      </c>
      <c r="D562">
        <v>2961.3629999999998</v>
      </c>
    </row>
    <row r="563" spans="1:4" x14ac:dyDescent="0.25">
      <c r="A563" s="1">
        <v>45406</v>
      </c>
      <c r="B563">
        <v>10</v>
      </c>
      <c r="C563">
        <v>346.07499999999999</v>
      </c>
      <c r="D563">
        <v>4438.3630000000003</v>
      </c>
    </row>
    <row r="564" spans="1:4" x14ac:dyDescent="0.25">
      <c r="A564" s="1">
        <v>45406</v>
      </c>
      <c r="B564">
        <v>11</v>
      </c>
      <c r="C564">
        <v>400.25</v>
      </c>
      <c r="D564">
        <v>5538.8249999999998</v>
      </c>
    </row>
    <row r="565" spans="1:4" x14ac:dyDescent="0.25">
      <c r="A565" s="1">
        <v>45406</v>
      </c>
      <c r="B565">
        <v>12</v>
      </c>
      <c r="C565">
        <v>468.875</v>
      </c>
      <c r="D565">
        <v>5703.8379999999997</v>
      </c>
    </row>
    <row r="566" spans="1:4" x14ac:dyDescent="0.25">
      <c r="A566" s="1">
        <v>45406</v>
      </c>
      <c r="B566">
        <v>13</v>
      </c>
      <c r="C566">
        <v>546.43799999999999</v>
      </c>
      <c r="D566">
        <v>5460.4750000000004</v>
      </c>
    </row>
    <row r="567" spans="1:4" x14ac:dyDescent="0.25">
      <c r="A567" s="1">
        <v>45406</v>
      </c>
      <c r="B567">
        <v>14</v>
      </c>
      <c r="C567">
        <v>667.36300000000006</v>
      </c>
      <c r="D567">
        <v>5304.3630000000003</v>
      </c>
    </row>
    <row r="568" spans="1:4" x14ac:dyDescent="0.25">
      <c r="A568" s="1">
        <v>45406</v>
      </c>
      <c r="B568">
        <v>15</v>
      </c>
      <c r="C568">
        <v>822.86300000000006</v>
      </c>
      <c r="D568">
        <v>4556.125</v>
      </c>
    </row>
    <row r="569" spans="1:4" x14ac:dyDescent="0.25">
      <c r="A569" s="1">
        <v>45406</v>
      </c>
      <c r="B569">
        <v>16</v>
      </c>
      <c r="C569">
        <v>922.45</v>
      </c>
      <c r="D569">
        <v>3752.7379999999998</v>
      </c>
    </row>
    <row r="570" spans="1:4" x14ac:dyDescent="0.25">
      <c r="A570" s="1">
        <v>45406</v>
      </c>
      <c r="B570">
        <v>17</v>
      </c>
      <c r="C570">
        <v>1021.088</v>
      </c>
      <c r="D570">
        <v>2874.7249999999999</v>
      </c>
    </row>
    <row r="571" spans="1:4" x14ac:dyDescent="0.25">
      <c r="A571" s="1">
        <v>45406</v>
      </c>
      <c r="B571">
        <v>18</v>
      </c>
      <c r="C571">
        <v>1162.538</v>
      </c>
      <c r="D571">
        <v>1860.8630000000001</v>
      </c>
    </row>
    <row r="572" spans="1:4" x14ac:dyDescent="0.25">
      <c r="A572" s="1">
        <v>45406</v>
      </c>
      <c r="B572">
        <v>19</v>
      </c>
      <c r="C572">
        <v>1165.1379999999999</v>
      </c>
      <c r="D572">
        <v>979.18799999999999</v>
      </c>
    </row>
    <row r="573" spans="1:4" x14ac:dyDescent="0.25">
      <c r="A573" s="1">
        <v>45406</v>
      </c>
      <c r="B573">
        <v>20</v>
      </c>
      <c r="C573">
        <v>1097.3</v>
      </c>
      <c r="D573">
        <v>281</v>
      </c>
    </row>
    <row r="574" spans="1:4" x14ac:dyDescent="0.25">
      <c r="A574" s="1">
        <v>45406</v>
      </c>
      <c r="B574">
        <v>21</v>
      </c>
      <c r="C574">
        <v>1061.6500000000001</v>
      </c>
      <c r="D574">
        <v>20.524999999999999</v>
      </c>
    </row>
    <row r="575" spans="1:4" x14ac:dyDescent="0.25">
      <c r="A575" s="1">
        <v>45406</v>
      </c>
      <c r="B575">
        <v>22</v>
      </c>
      <c r="C575">
        <v>1075.3630000000001</v>
      </c>
      <c r="D575">
        <v>0</v>
      </c>
    </row>
    <row r="576" spans="1:4" x14ac:dyDescent="0.25">
      <c r="A576" s="1">
        <v>45406</v>
      </c>
      <c r="B576">
        <v>23</v>
      </c>
      <c r="C576">
        <v>1059.625</v>
      </c>
      <c r="D576">
        <v>0</v>
      </c>
    </row>
    <row r="577" spans="1:4" x14ac:dyDescent="0.25">
      <c r="A577" s="1">
        <v>45406</v>
      </c>
      <c r="B577">
        <v>24</v>
      </c>
      <c r="C577">
        <v>943.01300000000003</v>
      </c>
      <c r="D577">
        <v>0</v>
      </c>
    </row>
    <row r="578" spans="1:4" x14ac:dyDescent="0.25">
      <c r="A578" s="1">
        <v>45407</v>
      </c>
      <c r="B578">
        <v>1</v>
      </c>
      <c r="C578">
        <v>916.68799999999999</v>
      </c>
      <c r="D578">
        <v>0</v>
      </c>
    </row>
    <row r="579" spans="1:4" x14ac:dyDescent="0.25">
      <c r="A579" s="1">
        <v>45407</v>
      </c>
      <c r="B579">
        <v>2</v>
      </c>
      <c r="C579">
        <v>812.21299999999997</v>
      </c>
      <c r="D579">
        <v>0</v>
      </c>
    </row>
    <row r="580" spans="1:4" x14ac:dyDescent="0.25">
      <c r="A580" s="1">
        <v>45407</v>
      </c>
      <c r="B580">
        <v>3</v>
      </c>
      <c r="C580">
        <v>826.8</v>
      </c>
      <c r="D580">
        <v>0</v>
      </c>
    </row>
    <row r="581" spans="1:4" x14ac:dyDescent="0.25">
      <c r="A581" s="1">
        <v>45407</v>
      </c>
      <c r="B581">
        <v>4</v>
      </c>
      <c r="C581">
        <v>789.55</v>
      </c>
      <c r="D581">
        <v>0</v>
      </c>
    </row>
    <row r="582" spans="1:4" x14ac:dyDescent="0.25">
      <c r="A582" s="1">
        <v>45407</v>
      </c>
      <c r="B582">
        <v>5</v>
      </c>
      <c r="C582">
        <v>709.35</v>
      </c>
      <c r="D582">
        <v>0</v>
      </c>
    </row>
    <row r="583" spans="1:4" x14ac:dyDescent="0.25">
      <c r="A583" s="1">
        <v>45407</v>
      </c>
      <c r="B583">
        <v>6</v>
      </c>
      <c r="C583">
        <v>649.67499999999995</v>
      </c>
      <c r="D583">
        <v>70.738</v>
      </c>
    </row>
    <row r="584" spans="1:4" x14ac:dyDescent="0.25">
      <c r="A584" s="1">
        <v>45407</v>
      </c>
      <c r="B584">
        <v>7</v>
      </c>
      <c r="C584">
        <v>643.02499999999998</v>
      </c>
      <c r="D584">
        <v>588.23800000000006</v>
      </c>
    </row>
    <row r="585" spans="1:4" x14ac:dyDescent="0.25">
      <c r="A585" s="1">
        <v>45407</v>
      </c>
      <c r="B585">
        <v>8</v>
      </c>
      <c r="C585">
        <v>498.13799999999998</v>
      </c>
      <c r="D585">
        <v>1954.5129999999999</v>
      </c>
    </row>
    <row r="586" spans="1:4" x14ac:dyDescent="0.25">
      <c r="A586" s="1">
        <v>45407</v>
      </c>
      <c r="B586">
        <v>9</v>
      </c>
      <c r="C586">
        <v>327.488</v>
      </c>
      <c r="D586">
        <v>3962.5880000000002</v>
      </c>
    </row>
    <row r="587" spans="1:4" x14ac:dyDescent="0.25">
      <c r="A587" s="1">
        <v>45407</v>
      </c>
      <c r="B587">
        <v>10</v>
      </c>
      <c r="C587">
        <v>334.21300000000002</v>
      </c>
      <c r="D587">
        <v>5705.2129999999997</v>
      </c>
    </row>
    <row r="588" spans="1:4" x14ac:dyDescent="0.25">
      <c r="A588" s="1">
        <v>45407</v>
      </c>
      <c r="B588">
        <v>11</v>
      </c>
      <c r="C588">
        <v>454.28800000000001</v>
      </c>
      <c r="D588">
        <v>6661.0630000000001</v>
      </c>
    </row>
    <row r="589" spans="1:4" x14ac:dyDescent="0.25">
      <c r="A589" s="1">
        <v>45407</v>
      </c>
      <c r="B589">
        <v>12</v>
      </c>
      <c r="C589">
        <v>566.375</v>
      </c>
      <c r="D589">
        <v>7085.5129999999999</v>
      </c>
    </row>
    <row r="590" spans="1:4" x14ac:dyDescent="0.25">
      <c r="A590" s="1">
        <v>45407</v>
      </c>
      <c r="B590">
        <v>13</v>
      </c>
      <c r="C590">
        <v>840.11300000000006</v>
      </c>
      <c r="D590">
        <v>7051.4880000000003</v>
      </c>
    </row>
    <row r="591" spans="1:4" x14ac:dyDescent="0.25">
      <c r="A591" s="1">
        <v>45407</v>
      </c>
      <c r="B591">
        <v>14</v>
      </c>
      <c r="C591">
        <v>1195.9380000000001</v>
      </c>
      <c r="D591">
        <v>6787.8249999999998</v>
      </c>
    </row>
    <row r="592" spans="1:4" x14ac:dyDescent="0.25">
      <c r="A592" s="1">
        <v>45407</v>
      </c>
      <c r="B592">
        <v>15</v>
      </c>
      <c r="C592">
        <v>1197.925</v>
      </c>
      <c r="D592">
        <v>6747.8</v>
      </c>
    </row>
    <row r="593" spans="1:4" x14ac:dyDescent="0.25">
      <c r="A593" s="1">
        <v>45407</v>
      </c>
      <c r="B593">
        <v>16</v>
      </c>
      <c r="C593">
        <v>1209.425</v>
      </c>
      <c r="D593">
        <v>6309.6379999999999</v>
      </c>
    </row>
    <row r="594" spans="1:4" x14ac:dyDescent="0.25">
      <c r="A594" s="1">
        <v>45407</v>
      </c>
      <c r="B594">
        <v>17</v>
      </c>
      <c r="C594">
        <v>1406.4880000000001</v>
      </c>
      <c r="D594">
        <v>4961.95</v>
      </c>
    </row>
    <row r="595" spans="1:4" x14ac:dyDescent="0.25">
      <c r="A595" s="1">
        <v>45407</v>
      </c>
      <c r="B595">
        <v>18</v>
      </c>
      <c r="C595">
        <v>1202.213</v>
      </c>
      <c r="D595">
        <v>3556.375</v>
      </c>
    </row>
    <row r="596" spans="1:4" x14ac:dyDescent="0.25">
      <c r="A596" s="1">
        <v>45407</v>
      </c>
      <c r="B596">
        <v>19</v>
      </c>
      <c r="C596">
        <v>812.52499999999998</v>
      </c>
      <c r="D596">
        <v>1637.338</v>
      </c>
    </row>
    <row r="597" spans="1:4" x14ac:dyDescent="0.25">
      <c r="A597" s="1">
        <v>45407</v>
      </c>
      <c r="B597">
        <v>20</v>
      </c>
      <c r="C597">
        <v>826.71299999999997</v>
      </c>
      <c r="D597">
        <v>483.93799999999999</v>
      </c>
    </row>
    <row r="598" spans="1:4" x14ac:dyDescent="0.25">
      <c r="A598" s="1">
        <v>45407</v>
      </c>
      <c r="B598">
        <v>21</v>
      </c>
      <c r="C598">
        <v>986.92499999999995</v>
      </c>
      <c r="D598">
        <v>43.338000000000001</v>
      </c>
    </row>
    <row r="599" spans="1:4" x14ac:dyDescent="0.25">
      <c r="A599" s="1">
        <v>45407</v>
      </c>
      <c r="B599">
        <v>22</v>
      </c>
      <c r="C599">
        <v>1386.2</v>
      </c>
      <c r="D599">
        <v>0</v>
      </c>
    </row>
    <row r="600" spans="1:4" x14ac:dyDescent="0.25">
      <c r="A600" s="1">
        <v>45407</v>
      </c>
      <c r="B600">
        <v>23</v>
      </c>
      <c r="C600">
        <v>1638.1</v>
      </c>
      <c r="D600">
        <v>0</v>
      </c>
    </row>
    <row r="601" spans="1:4" x14ac:dyDescent="0.25">
      <c r="A601" s="1">
        <v>45407</v>
      </c>
      <c r="B601">
        <v>24</v>
      </c>
      <c r="C601">
        <v>2046.35</v>
      </c>
      <c r="D601">
        <v>0</v>
      </c>
    </row>
    <row r="602" spans="1:4" x14ac:dyDescent="0.25">
      <c r="A602" s="1">
        <v>45408</v>
      </c>
      <c r="B602">
        <v>1</v>
      </c>
      <c r="C602">
        <v>2263.875</v>
      </c>
      <c r="D602">
        <v>0</v>
      </c>
    </row>
    <row r="603" spans="1:4" x14ac:dyDescent="0.25">
      <c r="A603" s="1">
        <v>45408</v>
      </c>
      <c r="B603">
        <v>2</v>
      </c>
      <c r="C603">
        <v>2458.625</v>
      </c>
      <c r="D603">
        <v>0</v>
      </c>
    </row>
    <row r="604" spans="1:4" x14ac:dyDescent="0.25">
      <c r="A604" s="1">
        <v>45408</v>
      </c>
      <c r="B604">
        <v>3</v>
      </c>
      <c r="C604">
        <v>2301.0749999999998</v>
      </c>
      <c r="D604">
        <v>0</v>
      </c>
    </row>
    <row r="605" spans="1:4" x14ac:dyDescent="0.25">
      <c r="A605" s="1">
        <v>45408</v>
      </c>
      <c r="B605">
        <v>4</v>
      </c>
      <c r="C605">
        <v>2109.3380000000002</v>
      </c>
      <c r="D605">
        <v>0</v>
      </c>
    </row>
    <row r="606" spans="1:4" x14ac:dyDescent="0.25">
      <c r="A606" s="1">
        <v>45408</v>
      </c>
      <c r="B606">
        <v>5</v>
      </c>
      <c r="C606">
        <v>2023.55</v>
      </c>
      <c r="D606">
        <v>0</v>
      </c>
    </row>
    <row r="607" spans="1:4" x14ac:dyDescent="0.25">
      <c r="A607" s="1">
        <v>45408</v>
      </c>
      <c r="B607">
        <v>6</v>
      </c>
      <c r="C607">
        <v>1784.9749999999999</v>
      </c>
      <c r="D607">
        <v>161.97499999999999</v>
      </c>
    </row>
    <row r="608" spans="1:4" x14ac:dyDescent="0.25">
      <c r="A608" s="1">
        <v>45408</v>
      </c>
      <c r="B608">
        <v>7</v>
      </c>
      <c r="C608">
        <v>1567.675</v>
      </c>
      <c r="D608">
        <v>1019.7380000000001</v>
      </c>
    </row>
    <row r="609" spans="1:4" x14ac:dyDescent="0.25">
      <c r="A609" s="1">
        <v>45408</v>
      </c>
      <c r="B609">
        <v>8</v>
      </c>
      <c r="C609">
        <v>964.16300000000001</v>
      </c>
      <c r="D609">
        <v>3401.7379999999998</v>
      </c>
    </row>
    <row r="610" spans="1:4" x14ac:dyDescent="0.25">
      <c r="A610" s="1">
        <v>45408</v>
      </c>
      <c r="B610">
        <v>9</v>
      </c>
      <c r="C610">
        <v>340.32499999999999</v>
      </c>
      <c r="D610">
        <v>6584.1629999999996</v>
      </c>
    </row>
    <row r="611" spans="1:4" x14ac:dyDescent="0.25">
      <c r="A611" s="1">
        <v>45408</v>
      </c>
      <c r="B611">
        <v>10</v>
      </c>
      <c r="C611">
        <v>347.58800000000002</v>
      </c>
      <c r="D611">
        <v>9175.8250000000007</v>
      </c>
    </row>
    <row r="612" spans="1:4" x14ac:dyDescent="0.25">
      <c r="A612" s="1">
        <v>45408</v>
      </c>
      <c r="B612">
        <v>11</v>
      </c>
      <c r="C612">
        <v>794.97500000000002</v>
      </c>
      <c r="D612">
        <v>10221.475</v>
      </c>
    </row>
    <row r="613" spans="1:4" x14ac:dyDescent="0.25">
      <c r="A613" s="1">
        <v>45408</v>
      </c>
      <c r="B613">
        <v>12</v>
      </c>
      <c r="C613">
        <v>1097.7</v>
      </c>
      <c r="D613">
        <v>9122.9249999999993</v>
      </c>
    </row>
    <row r="614" spans="1:4" x14ac:dyDescent="0.25">
      <c r="A614" s="1">
        <v>45408</v>
      </c>
      <c r="B614">
        <v>13</v>
      </c>
      <c r="C614">
        <v>1180.2380000000001</v>
      </c>
      <c r="D614">
        <v>8306.6380000000008</v>
      </c>
    </row>
    <row r="615" spans="1:4" x14ac:dyDescent="0.25">
      <c r="A615" s="1">
        <v>45408</v>
      </c>
      <c r="B615">
        <v>14</v>
      </c>
      <c r="C615">
        <v>1288.9000000000001</v>
      </c>
      <c r="D615">
        <v>7050.75</v>
      </c>
    </row>
    <row r="616" spans="1:4" x14ac:dyDescent="0.25">
      <c r="A616" s="1">
        <v>45408</v>
      </c>
      <c r="B616">
        <v>15</v>
      </c>
      <c r="C616">
        <v>1493.075</v>
      </c>
      <c r="D616">
        <v>6062.5749999999998</v>
      </c>
    </row>
    <row r="617" spans="1:4" x14ac:dyDescent="0.25">
      <c r="A617" s="1">
        <v>45408</v>
      </c>
      <c r="B617">
        <v>16</v>
      </c>
      <c r="C617">
        <v>1700.825</v>
      </c>
      <c r="D617">
        <v>5928.65</v>
      </c>
    </row>
    <row r="618" spans="1:4" x14ac:dyDescent="0.25">
      <c r="A618" s="1">
        <v>45408</v>
      </c>
      <c r="B618">
        <v>17</v>
      </c>
      <c r="C618">
        <v>1787.45</v>
      </c>
      <c r="D618">
        <v>4994.0129999999999</v>
      </c>
    </row>
    <row r="619" spans="1:4" x14ac:dyDescent="0.25">
      <c r="A619" s="1">
        <v>45408</v>
      </c>
      <c r="B619">
        <v>18</v>
      </c>
      <c r="C619">
        <v>1652.0250000000001</v>
      </c>
      <c r="D619">
        <v>3616.875</v>
      </c>
    </row>
    <row r="620" spans="1:4" x14ac:dyDescent="0.25">
      <c r="A620" s="1">
        <v>45408</v>
      </c>
      <c r="B620">
        <v>19</v>
      </c>
      <c r="C620">
        <v>1363.95</v>
      </c>
      <c r="D620">
        <v>1739.125</v>
      </c>
    </row>
    <row r="621" spans="1:4" x14ac:dyDescent="0.25">
      <c r="A621" s="1">
        <v>45408</v>
      </c>
      <c r="B621">
        <v>20</v>
      </c>
      <c r="C621">
        <v>1101.9000000000001</v>
      </c>
      <c r="D621">
        <v>467.45</v>
      </c>
    </row>
    <row r="622" spans="1:4" x14ac:dyDescent="0.25">
      <c r="A622" s="1">
        <v>45408</v>
      </c>
      <c r="B622">
        <v>21</v>
      </c>
      <c r="C622">
        <v>1571.6379999999999</v>
      </c>
      <c r="D622">
        <v>36.088000000000001</v>
      </c>
    </row>
    <row r="623" spans="1:4" x14ac:dyDescent="0.25">
      <c r="A623" s="1">
        <v>45408</v>
      </c>
      <c r="B623">
        <v>22</v>
      </c>
      <c r="C623">
        <v>2538.8380000000002</v>
      </c>
      <c r="D623">
        <v>0</v>
      </c>
    </row>
    <row r="624" spans="1:4" x14ac:dyDescent="0.25">
      <c r="A624" s="1">
        <v>45408</v>
      </c>
      <c r="B624">
        <v>23</v>
      </c>
      <c r="C624">
        <v>3423.9</v>
      </c>
      <c r="D624">
        <v>0</v>
      </c>
    </row>
    <row r="625" spans="1:4" x14ac:dyDescent="0.25">
      <c r="A625" s="1">
        <v>45408</v>
      </c>
      <c r="B625">
        <v>24</v>
      </c>
      <c r="C625">
        <v>3971.375</v>
      </c>
      <c r="D625">
        <v>0</v>
      </c>
    </row>
    <row r="626" spans="1:4" x14ac:dyDescent="0.25">
      <c r="A626" s="1">
        <v>45409</v>
      </c>
      <c r="B626">
        <v>1</v>
      </c>
      <c r="C626">
        <v>4154.6499999999996</v>
      </c>
      <c r="D626">
        <v>0</v>
      </c>
    </row>
    <row r="627" spans="1:4" x14ac:dyDescent="0.25">
      <c r="A627" s="1">
        <v>45409</v>
      </c>
      <c r="B627">
        <v>2</v>
      </c>
      <c r="C627">
        <v>4045.5630000000001</v>
      </c>
      <c r="D627">
        <v>0</v>
      </c>
    </row>
    <row r="628" spans="1:4" x14ac:dyDescent="0.25">
      <c r="A628" s="1">
        <v>45409</v>
      </c>
      <c r="B628">
        <v>3</v>
      </c>
      <c r="C628">
        <v>3708.0630000000001</v>
      </c>
      <c r="D628">
        <v>0</v>
      </c>
    </row>
    <row r="629" spans="1:4" x14ac:dyDescent="0.25">
      <c r="A629" s="1">
        <v>45409</v>
      </c>
      <c r="B629">
        <v>4</v>
      </c>
      <c r="C629">
        <v>3345.4630000000002</v>
      </c>
      <c r="D629">
        <v>0</v>
      </c>
    </row>
    <row r="630" spans="1:4" x14ac:dyDescent="0.25">
      <c r="A630" s="1">
        <v>45409</v>
      </c>
      <c r="B630">
        <v>5</v>
      </c>
      <c r="C630">
        <v>3113.6750000000002</v>
      </c>
      <c r="D630">
        <v>0</v>
      </c>
    </row>
    <row r="631" spans="1:4" x14ac:dyDescent="0.25">
      <c r="A631" s="1">
        <v>45409</v>
      </c>
      <c r="B631">
        <v>6</v>
      </c>
      <c r="C631">
        <v>2879.9879999999998</v>
      </c>
      <c r="D631">
        <v>119.71299999999999</v>
      </c>
    </row>
    <row r="632" spans="1:4" x14ac:dyDescent="0.25">
      <c r="A632" s="1">
        <v>45409</v>
      </c>
      <c r="B632">
        <v>7</v>
      </c>
      <c r="C632">
        <v>2648.2750000000001</v>
      </c>
      <c r="D632">
        <v>805.07500000000005</v>
      </c>
    </row>
    <row r="633" spans="1:4" x14ac:dyDescent="0.25">
      <c r="A633" s="1">
        <v>45409</v>
      </c>
      <c r="B633">
        <v>8</v>
      </c>
      <c r="C633">
        <v>1875.2</v>
      </c>
      <c r="D633">
        <v>2531.3629999999998</v>
      </c>
    </row>
    <row r="634" spans="1:4" x14ac:dyDescent="0.25">
      <c r="A634" s="1">
        <v>45409</v>
      </c>
      <c r="B634">
        <v>9</v>
      </c>
      <c r="C634">
        <v>988.23800000000006</v>
      </c>
      <c r="D634">
        <v>5034.7749999999996</v>
      </c>
    </row>
    <row r="635" spans="1:4" x14ac:dyDescent="0.25">
      <c r="A635" s="1">
        <v>45409</v>
      </c>
      <c r="B635">
        <v>10</v>
      </c>
      <c r="C635">
        <v>623.72500000000002</v>
      </c>
      <c r="D635">
        <v>7472.6</v>
      </c>
    </row>
    <row r="636" spans="1:4" x14ac:dyDescent="0.25">
      <c r="A636" s="1">
        <v>45409</v>
      </c>
      <c r="B636">
        <v>11</v>
      </c>
      <c r="C636">
        <v>789.15</v>
      </c>
      <c r="D636">
        <v>9395.8880000000008</v>
      </c>
    </row>
    <row r="637" spans="1:4" x14ac:dyDescent="0.25">
      <c r="A637" s="1">
        <v>45409</v>
      </c>
      <c r="B637">
        <v>12</v>
      </c>
      <c r="C637">
        <v>1219.3130000000001</v>
      </c>
      <c r="D637">
        <v>9911.1129999999994</v>
      </c>
    </row>
    <row r="638" spans="1:4" x14ac:dyDescent="0.25">
      <c r="A638" s="1">
        <v>45409</v>
      </c>
      <c r="B638">
        <v>13</v>
      </c>
      <c r="C638">
        <v>1398.75</v>
      </c>
      <c r="D638">
        <v>8829.7749999999996</v>
      </c>
    </row>
    <row r="639" spans="1:4" x14ac:dyDescent="0.25">
      <c r="A639" s="1">
        <v>45409</v>
      </c>
      <c r="B639">
        <v>14</v>
      </c>
      <c r="C639">
        <v>1283.0630000000001</v>
      </c>
      <c r="D639">
        <v>7911.3</v>
      </c>
    </row>
    <row r="640" spans="1:4" x14ac:dyDescent="0.25">
      <c r="A640" s="1">
        <v>45409</v>
      </c>
      <c r="B640">
        <v>15</v>
      </c>
      <c r="C640">
        <v>1164.413</v>
      </c>
      <c r="D640">
        <v>7714.4</v>
      </c>
    </row>
    <row r="641" spans="1:4" x14ac:dyDescent="0.25">
      <c r="A641" s="1">
        <v>45409</v>
      </c>
      <c r="B641">
        <v>16</v>
      </c>
      <c r="C641">
        <v>1047.3630000000001</v>
      </c>
      <c r="D641">
        <v>7125.4129999999996</v>
      </c>
    </row>
    <row r="642" spans="1:4" x14ac:dyDescent="0.25">
      <c r="A642" s="1">
        <v>45409</v>
      </c>
      <c r="B642">
        <v>17</v>
      </c>
      <c r="C642">
        <v>1025.1500000000001</v>
      </c>
      <c r="D642">
        <v>5647.45</v>
      </c>
    </row>
    <row r="643" spans="1:4" x14ac:dyDescent="0.25">
      <c r="A643" s="1">
        <v>45409</v>
      </c>
      <c r="B643">
        <v>18</v>
      </c>
      <c r="C643">
        <v>1086.4880000000001</v>
      </c>
      <c r="D643">
        <v>4101.1379999999999</v>
      </c>
    </row>
    <row r="644" spans="1:4" x14ac:dyDescent="0.25">
      <c r="A644" s="1">
        <v>45409</v>
      </c>
      <c r="B644">
        <v>19</v>
      </c>
      <c r="C644">
        <v>1000.438</v>
      </c>
      <c r="D644">
        <v>1819</v>
      </c>
    </row>
    <row r="645" spans="1:4" x14ac:dyDescent="0.25">
      <c r="A645" s="1">
        <v>45409</v>
      </c>
      <c r="B645">
        <v>20</v>
      </c>
      <c r="C645">
        <v>1175.338</v>
      </c>
      <c r="D645">
        <v>490.83800000000002</v>
      </c>
    </row>
    <row r="646" spans="1:4" x14ac:dyDescent="0.25">
      <c r="A646" s="1">
        <v>45409</v>
      </c>
      <c r="B646">
        <v>21</v>
      </c>
      <c r="C646">
        <v>1868.4380000000001</v>
      </c>
      <c r="D646">
        <v>29.363</v>
      </c>
    </row>
    <row r="647" spans="1:4" x14ac:dyDescent="0.25">
      <c r="A647" s="1">
        <v>45409</v>
      </c>
      <c r="B647">
        <v>22</v>
      </c>
      <c r="C647">
        <v>3060.3</v>
      </c>
      <c r="D647">
        <v>0</v>
      </c>
    </row>
    <row r="648" spans="1:4" x14ac:dyDescent="0.25">
      <c r="A648" s="1">
        <v>45409</v>
      </c>
      <c r="B648">
        <v>23</v>
      </c>
      <c r="C648">
        <v>4255.8999999999996</v>
      </c>
      <c r="D648">
        <v>0</v>
      </c>
    </row>
    <row r="649" spans="1:4" x14ac:dyDescent="0.25">
      <c r="A649" s="1">
        <v>45409</v>
      </c>
      <c r="B649">
        <v>24</v>
      </c>
      <c r="C649">
        <v>5003.4250000000002</v>
      </c>
      <c r="D649">
        <v>0</v>
      </c>
    </row>
    <row r="650" spans="1:4" x14ac:dyDescent="0.25">
      <c r="A650" s="1">
        <v>45410</v>
      </c>
      <c r="B650">
        <v>1</v>
      </c>
      <c r="C650">
        <v>4937.6379999999999</v>
      </c>
      <c r="D650">
        <v>0</v>
      </c>
    </row>
    <row r="651" spans="1:4" x14ac:dyDescent="0.25">
      <c r="A651" s="1">
        <v>45410</v>
      </c>
      <c r="B651">
        <v>2</v>
      </c>
      <c r="C651">
        <v>4861.2129999999997</v>
      </c>
      <c r="D651">
        <v>0</v>
      </c>
    </row>
    <row r="652" spans="1:4" x14ac:dyDescent="0.25">
      <c r="A652" s="1">
        <v>45410</v>
      </c>
      <c r="B652">
        <v>3</v>
      </c>
      <c r="C652">
        <v>4697.5630000000001</v>
      </c>
      <c r="D652">
        <v>0</v>
      </c>
    </row>
    <row r="653" spans="1:4" x14ac:dyDescent="0.25">
      <c r="A653" s="1">
        <v>45410</v>
      </c>
      <c r="B653">
        <v>4</v>
      </c>
      <c r="C653">
        <v>4528.9129999999996</v>
      </c>
      <c r="D653">
        <v>0</v>
      </c>
    </row>
    <row r="654" spans="1:4" x14ac:dyDescent="0.25">
      <c r="A654" s="1">
        <v>45410</v>
      </c>
      <c r="B654">
        <v>5</v>
      </c>
      <c r="C654">
        <v>4417.8379999999997</v>
      </c>
      <c r="D654">
        <v>0</v>
      </c>
    </row>
    <row r="655" spans="1:4" x14ac:dyDescent="0.25">
      <c r="A655" s="1">
        <v>45410</v>
      </c>
      <c r="B655">
        <v>6</v>
      </c>
      <c r="C655">
        <v>4356.125</v>
      </c>
      <c r="D655">
        <v>168.47499999999999</v>
      </c>
    </row>
    <row r="656" spans="1:4" x14ac:dyDescent="0.25">
      <c r="A656" s="1">
        <v>45410</v>
      </c>
      <c r="B656">
        <v>7</v>
      </c>
      <c r="C656">
        <v>4266.1629999999996</v>
      </c>
      <c r="D656">
        <v>1088.675</v>
      </c>
    </row>
    <row r="657" spans="1:4" x14ac:dyDescent="0.25">
      <c r="A657" s="1">
        <v>45410</v>
      </c>
      <c r="B657">
        <v>8</v>
      </c>
      <c r="C657">
        <v>3305.3130000000001</v>
      </c>
      <c r="D657">
        <v>2829.788</v>
      </c>
    </row>
    <row r="658" spans="1:4" x14ac:dyDescent="0.25">
      <c r="A658" s="1">
        <v>45410</v>
      </c>
      <c r="B658">
        <v>9</v>
      </c>
      <c r="C658">
        <v>2211.1129999999998</v>
      </c>
      <c r="D658">
        <v>4604.8379999999997</v>
      </c>
    </row>
    <row r="659" spans="1:4" x14ac:dyDescent="0.25">
      <c r="A659" s="1">
        <v>45410</v>
      </c>
      <c r="B659">
        <v>10</v>
      </c>
      <c r="C659">
        <v>2445.8130000000001</v>
      </c>
      <c r="D659">
        <v>5843.4380000000001</v>
      </c>
    </row>
    <row r="660" spans="1:4" x14ac:dyDescent="0.25">
      <c r="A660" s="1">
        <v>45410</v>
      </c>
      <c r="B660">
        <v>11</v>
      </c>
      <c r="C660">
        <v>3334.0250000000001</v>
      </c>
      <c r="D660">
        <v>6848.5879999999997</v>
      </c>
    </row>
    <row r="661" spans="1:4" x14ac:dyDescent="0.25">
      <c r="A661" s="1">
        <v>45410</v>
      </c>
      <c r="B661">
        <v>12</v>
      </c>
      <c r="C661">
        <v>3987.3</v>
      </c>
      <c r="D661">
        <v>7276.5</v>
      </c>
    </row>
    <row r="662" spans="1:4" x14ac:dyDescent="0.25">
      <c r="A662" s="1">
        <v>45410</v>
      </c>
      <c r="B662">
        <v>13</v>
      </c>
      <c r="C662">
        <v>4037.15</v>
      </c>
      <c r="D662">
        <v>7053.0379999999996</v>
      </c>
    </row>
    <row r="663" spans="1:4" x14ac:dyDescent="0.25">
      <c r="A663" s="1">
        <v>45410</v>
      </c>
      <c r="B663">
        <v>14</v>
      </c>
      <c r="C663">
        <v>3850.6129999999998</v>
      </c>
      <c r="D663">
        <v>5970.6</v>
      </c>
    </row>
    <row r="664" spans="1:4" x14ac:dyDescent="0.25">
      <c r="A664" s="1">
        <v>45410</v>
      </c>
      <c r="B664">
        <v>15</v>
      </c>
      <c r="C664">
        <v>3850.9380000000001</v>
      </c>
      <c r="D664">
        <v>5464.1</v>
      </c>
    </row>
    <row r="665" spans="1:4" x14ac:dyDescent="0.25">
      <c r="A665" s="1">
        <v>45410</v>
      </c>
      <c r="B665">
        <v>16</v>
      </c>
      <c r="C665">
        <v>3784.788</v>
      </c>
      <c r="D665">
        <v>4990.8</v>
      </c>
    </row>
    <row r="666" spans="1:4" x14ac:dyDescent="0.25">
      <c r="A666" s="1">
        <v>45410</v>
      </c>
      <c r="B666">
        <v>17</v>
      </c>
      <c r="C666">
        <v>3922.8</v>
      </c>
      <c r="D666">
        <v>4352.375</v>
      </c>
    </row>
    <row r="667" spans="1:4" x14ac:dyDescent="0.25">
      <c r="A667" s="1">
        <v>45410</v>
      </c>
      <c r="B667">
        <v>18</v>
      </c>
      <c r="C667">
        <v>3755.6750000000002</v>
      </c>
      <c r="D667">
        <v>3567.15</v>
      </c>
    </row>
    <row r="668" spans="1:4" x14ac:dyDescent="0.25">
      <c r="A668" s="1">
        <v>45410</v>
      </c>
      <c r="B668">
        <v>19</v>
      </c>
      <c r="C668">
        <v>3201.7379999999998</v>
      </c>
      <c r="D668">
        <v>2078.913</v>
      </c>
    </row>
    <row r="669" spans="1:4" x14ac:dyDescent="0.25">
      <c r="A669" s="1">
        <v>45410</v>
      </c>
      <c r="B669">
        <v>20</v>
      </c>
      <c r="C669">
        <v>2948.0749999999998</v>
      </c>
      <c r="D669">
        <v>692.42499999999995</v>
      </c>
    </row>
    <row r="670" spans="1:4" x14ac:dyDescent="0.25">
      <c r="A670" s="1">
        <v>45410</v>
      </c>
      <c r="B670">
        <v>21</v>
      </c>
      <c r="C670">
        <v>3687.0880000000002</v>
      </c>
      <c r="D670">
        <v>36.174999999999997</v>
      </c>
    </row>
    <row r="671" spans="1:4" x14ac:dyDescent="0.25">
      <c r="A671" s="1">
        <v>45410</v>
      </c>
      <c r="B671">
        <v>22</v>
      </c>
      <c r="C671">
        <v>4782.7129999999997</v>
      </c>
      <c r="D671">
        <v>0</v>
      </c>
    </row>
    <row r="672" spans="1:4" x14ac:dyDescent="0.25">
      <c r="A672" s="1">
        <v>45410</v>
      </c>
      <c r="B672">
        <v>23</v>
      </c>
      <c r="C672">
        <v>5291.0630000000001</v>
      </c>
      <c r="D672">
        <v>0</v>
      </c>
    </row>
    <row r="673" spans="1:4" x14ac:dyDescent="0.25">
      <c r="A673" s="1">
        <v>45410</v>
      </c>
      <c r="B673">
        <v>24</v>
      </c>
      <c r="C673">
        <v>5382.25</v>
      </c>
      <c r="D673">
        <v>0</v>
      </c>
    </row>
    <row r="674" spans="1:4" x14ac:dyDescent="0.25">
      <c r="A674" s="1">
        <v>45411</v>
      </c>
      <c r="B674">
        <v>1</v>
      </c>
      <c r="C674">
        <v>5231.8130000000001</v>
      </c>
      <c r="D674">
        <v>0</v>
      </c>
    </row>
    <row r="675" spans="1:4" x14ac:dyDescent="0.25">
      <c r="A675" s="1">
        <v>45411</v>
      </c>
      <c r="B675">
        <v>2</v>
      </c>
      <c r="C675">
        <v>5017.125</v>
      </c>
      <c r="D675">
        <v>0</v>
      </c>
    </row>
    <row r="676" spans="1:4" x14ac:dyDescent="0.25">
      <c r="A676" s="1">
        <v>45411</v>
      </c>
      <c r="B676">
        <v>3</v>
      </c>
      <c r="C676">
        <v>4546.3999999999996</v>
      </c>
      <c r="D676">
        <v>0</v>
      </c>
    </row>
    <row r="677" spans="1:4" x14ac:dyDescent="0.25">
      <c r="A677" s="1">
        <v>45411</v>
      </c>
      <c r="B677">
        <v>4</v>
      </c>
      <c r="C677">
        <v>4131.4629999999997</v>
      </c>
      <c r="D677">
        <v>0</v>
      </c>
    </row>
    <row r="678" spans="1:4" x14ac:dyDescent="0.25">
      <c r="A678" s="1">
        <v>45411</v>
      </c>
      <c r="B678">
        <v>5</v>
      </c>
      <c r="C678">
        <v>3843.0749999999998</v>
      </c>
      <c r="D678">
        <v>0.35</v>
      </c>
    </row>
    <row r="679" spans="1:4" x14ac:dyDescent="0.25">
      <c r="A679" s="1">
        <v>45411</v>
      </c>
      <c r="B679">
        <v>6</v>
      </c>
      <c r="C679">
        <v>3584.4</v>
      </c>
      <c r="D679">
        <v>118.938</v>
      </c>
    </row>
    <row r="680" spans="1:4" x14ac:dyDescent="0.25">
      <c r="A680" s="1">
        <v>45411</v>
      </c>
      <c r="B680">
        <v>7</v>
      </c>
      <c r="C680">
        <v>3275.375</v>
      </c>
      <c r="D680">
        <v>937.13800000000003</v>
      </c>
    </row>
    <row r="681" spans="1:4" x14ac:dyDescent="0.25">
      <c r="A681" s="1">
        <v>45411</v>
      </c>
      <c r="B681">
        <v>8</v>
      </c>
      <c r="C681">
        <v>2384.5880000000002</v>
      </c>
      <c r="D681">
        <v>2822.6379999999999</v>
      </c>
    </row>
    <row r="682" spans="1:4" x14ac:dyDescent="0.25">
      <c r="A682" s="1">
        <v>45411</v>
      </c>
      <c r="B682">
        <v>9</v>
      </c>
      <c r="C682">
        <v>1347.375</v>
      </c>
      <c r="D682">
        <v>5446.0379999999996</v>
      </c>
    </row>
    <row r="683" spans="1:4" x14ac:dyDescent="0.25">
      <c r="A683" s="1">
        <v>45411</v>
      </c>
      <c r="B683">
        <v>10</v>
      </c>
      <c r="C683">
        <v>1094.95</v>
      </c>
      <c r="D683">
        <v>7641.9750000000004</v>
      </c>
    </row>
    <row r="684" spans="1:4" x14ac:dyDescent="0.25">
      <c r="A684" s="1">
        <v>45411</v>
      </c>
      <c r="B684">
        <v>11</v>
      </c>
      <c r="C684">
        <v>1180.338</v>
      </c>
      <c r="D684">
        <v>9545.7630000000008</v>
      </c>
    </row>
    <row r="685" spans="1:4" x14ac:dyDescent="0.25">
      <c r="A685" s="1">
        <v>45411</v>
      </c>
      <c r="B685">
        <v>12</v>
      </c>
      <c r="C685">
        <v>1330.15</v>
      </c>
      <c r="D685">
        <v>9180.5380000000005</v>
      </c>
    </row>
    <row r="686" spans="1:4" x14ac:dyDescent="0.25">
      <c r="A686" s="1">
        <v>45411</v>
      </c>
      <c r="B686">
        <v>13</v>
      </c>
      <c r="C686">
        <v>1515.0250000000001</v>
      </c>
      <c r="D686">
        <v>8799.4500000000007</v>
      </c>
    </row>
    <row r="687" spans="1:4" x14ac:dyDescent="0.25">
      <c r="A687" s="1">
        <v>45411</v>
      </c>
      <c r="B687">
        <v>14</v>
      </c>
      <c r="C687">
        <v>1608.875</v>
      </c>
      <c r="D687">
        <v>8568.4750000000004</v>
      </c>
    </row>
    <row r="688" spans="1:4" x14ac:dyDescent="0.25">
      <c r="A688" s="1">
        <v>45411</v>
      </c>
      <c r="B688">
        <v>15</v>
      </c>
      <c r="C688">
        <v>1706.5</v>
      </c>
      <c r="D688">
        <v>7865.4380000000001</v>
      </c>
    </row>
    <row r="689" spans="1:4" x14ac:dyDescent="0.25">
      <c r="A689" s="1">
        <v>45411</v>
      </c>
      <c r="B689">
        <v>16</v>
      </c>
      <c r="C689">
        <v>1699.413</v>
      </c>
      <c r="D689">
        <v>7673.0379999999996</v>
      </c>
    </row>
    <row r="690" spans="1:4" x14ac:dyDescent="0.25">
      <c r="A690" s="1">
        <v>45411</v>
      </c>
      <c r="B690">
        <v>17</v>
      </c>
      <c r="C690">
        <v>1678.7629999999999</v>
      </c>
      <c r="D690">
        <v>6558.375</v>
      </c>
    </row>
    <row r="691" spans="1:4" x14ac:dyDescent="0.25">
      <c r="A691" s="1">
        <v>45411</v>
      </c>
      <c r="B691">
        <v>18</v>
      </c>
      <c r="C691">
        <v>1672.45</v>
      </c>
      <c r="D691">
        <v>4528.4629999999997</v>
      </c>
    </row>
    <row r="692" spans="1:4" x14ac:dyDescent="0.25">
      <c r="A692" s="1">
        <v>45411</v>
      </c>
      <c r="B692">
        <v>19</v>
      </c>
      <c r="C692">
        <v>1669.963</v>
      </c>
      <c r="D692">
        <v>2260.35</v>
      </c>
    </row>
    <row r="693" spans="1:4" x14ac:dyDescent="0.25">
      <c r="A693" s="1">
        <v>45411</v>
      </c>
      <c r="B693">
        <v>20</v>
      </c>
      <c r="C693">
        <v>1912.2</v>
      </c>
      <c r="D693">
        <v>688.36300000000006</v>
      </c>
    </row>
    <row r="694" spans="1:4" x14ac:dyDescent="0.25">
      <c r="A694" s="1">
        <v>45411</v>
      </c>
      <c r="B694">
        <v>21</v>
      </c>
      <c r="C694">
        <v>2709.538</v>
      </c>
      <c r="D694">
        <v>64.45</v>
      </c>
    </row>
    <row r="695" spans="1:4" x14ac:dyDescent="0.25">
      <c r="A695" s="1">
        <v>45411</v>
      </c>
      <c r="B695">
        <v>22</v>
      </c>
      <c r="C695">
        <v>3575.3130000000001</v>
      </c>
      <c r="D695">
        <v>0</v>
      </c>
    </row>
    <row r="696" spans="1:4" x14ac:dyDescent="0.25">
      <c r="A696" s="1">
        <v>45411</v>
      </c>
      <c r="B696">
        <v>23</v>
      </c>
      <c r="C696">
        <v>4097.6750000000002</v>
      </c>
      <c r="D696">
        <v>0</v>
      </c>
    </row>
    <row r="697" spans="1:4" x14ac:dyDescent="0.25">
      <c r="A697" s="1">
        <v>45411</v>
      </c>
      <c r="B697">
        <v>24</v>
      </c>
      <c r="C697">
        <v>4326.8379999999997</v>
      </c>
      <c r="D697">
        <v>0</v>
      </c>
    </row>
    <row r="698" spans="1:4" x14ac:dyDescent="0.25">
      <c r="A698" s="1">
        <v>45412</v>
      </c>
      <c r="B698">
        <v>1</v>
      </c>
      <c r="C698">
        <v>4272.6629999999996</v>
      </c>
      <c r="D698">
        <v>0</v>
      </c>
    </row>
    <row r="699" spans="1:4" x14ac:dyDescent="0.25">
      <c r="A699" s="1">
        <v>45412</v>
      </c>
      <c r="B699">
        <v>2</v>
      </c>
      <c r="C699">
        <v>4037</v>
      </c>
      <c r="D699">
        <v>0</v>
      </c>
    </row>
    <row r="700" spans="1:4" x14ac:dyDescent="0.25">
      <c r="A700" s="1">
        <v>45412</v>
      </c>
      <c r="B700">
        <v>3</v>
      </c>
      <c r="C700">
        <v>3760.9380000000001</v>
      </c>
      <c r="D700">
        <v>0</v>
      </c>
    </row>
    <row r="701" spans="1:4" x14ac:dyDescent="0.25">
      <c r="A701" s="1">
        <v>45412</v>
      </c>
      <c r="B701">
        <v>4</v>
      </c>
      <c r="C701">
        <v>3717.3130000000001</v>
      </c>
      <c r="D701">
        <v>0</v>
      </c>
    </row>
    <row r="702" spans="1:4" x14ac:dyDescent="0.25">
      <c r="A702" s="1">
        <v>45412</v>
      </c>
      <c r="B702">
        <v>5</v>
      </c>
      <c r="C702">
        <v>3945.7379999999998</v>
      </c>
      <c r="D702">
        <v>0.48799999999999999</v>
      </c>
    </row>
    <row r="703" spans="1:4" x14ac:dyDescent="0.25">
      <c r="A703" s="1">
        <v>45412</v>
      </c>
      <c r="B703">
        <v>6</v>
      </c>
      <c r="C703">
        <v>4228.6000000000004</v>
      </c>
      <c r="D703">
        <v>126.438</v>
      </c>
    </row>
    <row r="704" spans="1:4" x14ac:dyDescent="0.25">
      <c r="A704" s="1">
        <v>45412</v>
      </c>
      <c r="B704">
        <v>7</v>
      </c>
      <c r="C704">
        <v>4063.1129999999998</v>
      </c>
      <c r="D704">
        <v>1112.8499999999999</v>
      </c>
    </row>
    <row r="705" spans="1:4" x14ac:dyDescent="0.25">
      <c r="A705" s="1">
        <v>45412</v>
      </c>
      <c r="B705">
        <v>8</v>
      </c>
      <c r="C705">
        <v>3116.538</v>
      </c>
      <c r="D705">
        <v>3288.9</v>
      </c>
    </row>
    <row r="706" spans="1:4" x14ac:dyDescent="0.25">
      <c r="A706" s="1">
        <v>45412</v>
      </c>
      <c r="B706">
        <v>9</v>
      </c>
      <c r="C706">
        <v>1871.9</v>
      </c>
      <c r="D706">
        <v>6150.0630000000001</v>
      </c>
    </row>
    <row r="707" spans="1:4" x14ac:dyDescent="0.25">
      <c r="A707" s="1">
        <v>45412</v>
      </c>
      <c r="B707">
        <v>10</v>
      </c>
      <c r="C707">
        <v>1349.9380000000001</v>
      </c>
      <c r="D707">
        <v>8576.3130000000001</v>
      </c>
    </row>
    <row r="708" spans="1:4" x14ac:dyDescent="0.25">
      <c r="A708" s="1">
        <v>45412</v>
      </c>
      <c r="B708">
        <v>11</v>
      </c>
      <c r="C708">
        <v>1425.5</v>
      </c>
      <c r="D708">
        <v>9089.5130000000008</v>
      </c>
    </row>
    <row r="709" spans="1:4" x14ac:dyDescent="0.25">
      <c r="A709" s="1">
        <v>45412</v>
      </c>
      <c r="B709">
        <v>12</v>
      </c>
      <c r="C709">
        <v>1697.8630000000001</v>
      </c>
      <c r="D709">
        <v>8942.65</v>
      </c>
    </row>
    <row r="710" spans="1:4" x14ac:dyDescent="0.25">
      <c r="A710" s="1">
        <v>45412</v>
      </c>
      <c r="B710">
        <v>13</v>
      </c>
      <c r="C710">
        <v>1998.0630000000001</v>
      </c>
      <c r="D710">
        <v>9074.2630000000008</v>
      </c>
    </row>
    <row r="711" spans="1:4" x14ac:dyDescent="0.25">
      <c r="A711" s="1">
        <v>45412</v>
      </c>
      <c r="B711">
        <v>14</v>
      </c>
      <c r="C711">
        <v>2532.5500000000002</v>
      </c>
      <c r="D711">
        <v>9028.4380000000001</v>
      </c>
    </row>
    <row r="712" spans="1:4" x14ac:dyDescent="0.25">
      <c r="A712" s="1">
        <v>45412</v>
      </c>
      <c r="B712">
        <v>15</v>
      </c>
      <c r="C712">
        <v>2994.6750000000002</v>
      </c>
      <c r="D712">
        <v>8596.2630000000008</v>
      </c>
    </row>
    <row r="713" spans="1:4" x14ac:dyDescent="0.25">
      <c r="A713" s="1">
        <v>45412</v>
      </c>
      <c r="B713">
        <v>16</v>
      </c>
      <c r="C713">
        <v>3244.65</v>
      </c>
      <c r="D713">
        <v>7601.8379999999997</v>
      </c>
    </row>
    <row r="714" spans="1:4" x14ac:dyDescent="0.25">
      <c r="A714" s="1">
        <v>45412</v>
      </c>
      <c r="B714">
        <v>17</v>
      </c>
      <c r="C714">
        <v>3232.6129999999998</v>
      </c>
      <c r="D714">
        <v>7113.8630000000003</v>
      </c>
    </row>
    <row r="715" spans="1:4" x14ac:dyDescent="0.25">
      <c r="A715" s="1">
        <v>45412</v>
      </c>
      <c r="B715">
        <v>18</v>
      </c>
      <c r="C715">
        <v>3254.4749999999999</v>
      </c>
      <c r="D715">
        <v>5229.6379999999999</v>
      </c>
    </row>
    <row r="716" spans="1:4" x14ac:dyDescent="0.25">
      <c r="A716" s="1">
        <v>45412</v>
      </c>
      <c r="B716">
        <v>19</v>
      </c>
      <c r="C716">
        <v>3098.8</v>
      </c>
      <c r="D716">
        <v>2741.8</v>
      </c>
    </row>
    <row r="717" spans="1:4" x14ac:dyDescent="0.25">
      <c r="A717" s="1">
        <v>45412</v>
      </c>
      <c r="B717">
        <v>20</v>
      </c>
      <c r="C717">
        <v>3200.6129999999998</v>
      </c>
      <c r="D717">
        <v>806.36300000000006</v>
      </c>
    </row>
    <row r="718" spans="1:4" x14ac:dyDescent="0.25">
      <c r="A718" s="1">
        <v>45412</v>
      </c>
      <c r="B718">
        <v>21</v>
      </c>
      <c r="C718">
        <v>4075.2629999999999</v>
      </c>
      <c r="D718">
        <v>65.525000000000006</v>
      </c>
    </row>
    <row r="719" spans="1:4" x14ac:dyDescent="0.25">
      <c r="A719" s="1">
        <v>45412</v>
      </c>
      <c r="B719">
        <v>22</v>
      </c>
      <c r="C719">
        <v>5190.4250000000002</v>
      </c>
      <c r="D719">
        <v>0</v>
      </c>
    </row>
    <row r="720" spans="1:4" x14ac:dyDescent="0.25">
      <c r="A720" s="1">
        <v>45412</v>
      </c>
      <c r="B720">
        <v>23</v>
      </c>
      <c r="C720">
        <v>5414.4750000000004</v>
      </c>
      <c r="D720">
        <v>0</v>
      </c>
    </row>
    <row r="721" spans="1:4" x14ac:dyDescent="0.25">
      <c r="A721" s="1">
        <v>45412</v>
      </c>
      <c r="B721">
        <v>24</v>
      </c>
      <c r="C721">
        <v>5379.9129999999996</v>
      </c>
      <c r="D721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98C2-C196-4773-9917-4B8E2E8E62A0}">
  <dimension ref="A1:N721"/>
  <sheetViews>
    <sheetView topLeftCell="D1" zoomScale="160" zoomScaleNormal="160" workbookViewId="0">
      <selection activeCell="H5" sqref="H5"/>
    </sheetView>
  </sheetViews>
  <sheetFormatPr defaultRowHeight="15" x14ac:dyDescent="0.25"/>
  <cols>
    <col min="1" max="1" width="10.5703125" bestFit="1" customWidth="1"/>
    <col min="2" max="2" width="8.140625" bestFit="1" customWidth="1"/>
    <col min="3" max="3" width="16.140625" bestFit="1" customWidth="1"/>
    <col min="4" max="4" width="21.140625" bestFit="1" customWidth="1"/>
    <col min="7" max="7" width="10.5703125" bestFit="1" customWidth="1"/>
    <col min="8" max="8" width="14.140625" bestFit="1" customWidth="1"/>
    <col min="10" max="10" width="10.5703125" bestFit="1" customWidth="1"/>
    <col min="11" max="14" width="9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</row>
    <row r="2" spans="1:14" x14ac:dyDescent="0.25">
      <c r="A2" s="1">
        <v>45383</v>
      </c>
      <c r="B2">
        <v>1</v>
      </c>
      <c r="C2">
        <v>3130.2629999999999</v>
      </c>
      <c r="D2">
        <v>0</v>
      </c>
      <c r="E2">
        <v>1</v>
      </c>
      <c r="H2" t="s">
        <v>14</v>
      </c>
    </row>
    <row r="3" spans="1:14" x14ac:dyDescent="0.25">
      <c r="A3" s="1">
        <v>45383</v>
      </c>
      <c r="B3">
        <v>2</v>
      </c>
      <c r="C3">
        <v>2765.5880000000002</v>
      </c>
      <c r="D3">
        <v>0</v>
      </c>
      <c r="E3">
        <f>IF(C3&gt;C2,E2+1,1)</f>
        <v>1</v>
      </c>
      <c r="H3">
        <f>MAX(E2:E721)</f>
        <v>16</v>
      </c>
      <c r="J3" s="12">
        <v>45384</v>
      </c>
      <c r="K3" s="5">
        <v>1</v>
      </c>
      <c r="L3" s="5">
        <v>3346.5749999999998</v>
      </c>
      <c r="M3" s="5">
        <v>0</v>
      </c>
      <c r="N3" s="5">
        <f t="shared" ref="N3:N18" si="0">IF(L3&gt;L2,N2+1,1)</f>
        <v>1</v>
      </c>
    </row>
    <row r="4" spans="1:14" x14ac:dyDescent="0.25">
      <c r="A4" s="1">
        <v>45383</v>
      </c>
      <c r="B4">
        <v>3</v>
      </c>
      <c r="C4">
        <v>2555.4380000000001</v>
      </c>
      <c r="D4">
        <v>0</v>
      </c>
      <c r="E4">
        <f t="shared" ref="E4:E67" si="1">IF(C4&gt;C3,E3+1,1)</f>
        <v>1</v>
      </c>
      <c r="J4" s="12">
        <v>45384</v>
      </c>
      <c r="K4" s="5">
        <v>2</v>
      </c>
      <c r="L4" s="5">
        <v>3446.2379999999998</v>
      </c>
      <c r="M4" s="5">
        <v>0</v>
      </c>
      <c r="N4" s="5">
        <f t="shared" si="0"/>
        <v>2</v>
      </c>
    </row>
    <row r="5" spans="1:14" x14ac:dyDescent="0.25">
      <c r="A5" s="1">
        <v>45383</v>
      </c>
      <c r="B5">
        <v>4</v>
      </c>
      <c r="C5">
        <v>2675.2379999999998</v>
      </c>
      <c r="D5">
        <v>0</v>
      </c>
      <c r="E5">
        <f t="shared" si="1"/>
        <v>2</v>
      </c>
      <c r="G5" s="12">
        <v>45384</v>
      </c>
      <c r="H5" s="5">
        <v>1</v>
      </c>
      <c r="J5" s="12">
        <v>45384</v>
      </c>
      <c r="K5" s="5">
        <v>3</v>
      </c>
      <c r="L5" s="5">
        <v>4149.3</v>
      </c>
      <c r="M5" s="5">
        <v>0</v>
      </c>
      <c r="N5" s="5">
        <f t="shared" si="0"/>
        <v>3</v>
      </c>
    </row>
    <row r="6" spans="1:14" x14ac:dyDescent="0.25">
      <c r="A6" s="1">
        <v>45383</v>
      </c>
      <c r="B6">
        <v>5</v>
      </c>
      <c r="C6">
        <v>2681.1750000000002</v>
      </c>
      <c r="D6">
        <v>0</v>
      </c>
      <c r="E6">
        <f t="shared" si="1"/>
        <v>3</v>
      </c>
      <c r="G6" s="12">
        <v>45384</v>
      </c>
      <c r="H6" s="5">
        <v>16</v>
      </c>
      <c r="J6" s="12">
        <v>45384</v>
      </c>
      <c r="K6" s="5">
        <v>4</v>
      </c>
      <c r="L6" s="5">
        <v>4457.1750000000002</v>
      </c>
      <c r="M6" s="5">
        <v>0</v>
      </c>
      <c r="N6" s="5">
        <f t="shared" si="0"/>
        <v>4</v>
      </c>
    </row>
    <row r="7" spans="1:14" x14ac:dyDescent="0.25">
      <c r="A7" s="1">
        <v>45383</v>
      </c>
      <c r="B7">
        <v>6</v>
      </c>
      <c r="C7">
        <v>2367.3249999999998</v>
      </c>
      <c r="D7">
        <v>0.21299999999999999</v>
      </c>
      <c r="E7">
        <f t="shared" si="1"/>
        <v>1</v>
      </c>
      <c r="J7" s="12">
        <v>45384</v>
      </c>
      <c r="K7" s="5">
        <v>5</v>
      </c>
      <c r="L7" s="5">
        <v>4588.4380000000001</v>
      </c>
      <c r="M7" s="5">
        <v>0</v>
      </c>
      <c r="N7" s="5">
        <f t="shared" si="0"/>
        <v>5</v>
      </c>
    </row>
    <row r="8" spans="1:14" x14ac:dyDescent="0.25">
      <c r="A8" s="1">
        <v>45383</v>
      </c>
      <c r="B8">
        <v>7</v>
      </c>
      <c r="C8">
        <v>2525.2249999999999</v>
      </c>
      <c r="D8">
        <v>117.075</v>
      </c>
      <c r="E8">
        <f t="shared" si="1"/>
        <v>2</v>
      </c>
      <c r="J8" s="12">
        <v>45384</v>
      </c>
      <c r="K8" s="5">
        <v>6</v>
      </c>
      <c r="L8" s="5">
        <v>4658.5</v>
      </c>
      <c r="M8" s="5">
        <v>1.075</v>
      </c>
      <c r="N8" s="5">
        <f t="shared" si="0"/>
        <v>6</v>
      </c>
    </row>
    <row r="9" spans="1:14" x14ac:dyDescent="0.25">
      <c r="A9" s="1">
        <v>45383</v>
      </c>
      <c r="B9">
        <v>8</v>
      </c>
      <c r="C9">
        <v>2360.9879999999998</v>
      </c>
      <c r="D9">
        <v>1162.075</v>
      </c>
      <c r="E9">
        <f t="shared" si="1"/>
        <v>1</v>
      </c>
      <c r="J9" s="12">
        <v>45384</v>
      </c>
      <c r="K9" s="5">
        <v>7</v>
      </c>
      <c r="L9" s="5">
        <v>4732.9750000000004</v>
      </c>
      <c r="M9" s="5">
        <v>61.274999999999999</v>
      </c>
      <c r="N9" s="5">
        <f t="shared" si="0"/>
        <v>7</v>
      </c>
    </row>
    <row r="10" spans="1:14" x14ac:dyDescent="0.25">
      <c r="A10" s="1">
        <v>45383</v>
      </c>
      <c r="B10">
        <v>9</v>
      </c>
      <c r="C10">
        <v>1940.838</v>
      </c>
      <c r="D10">
        <v>2680.5129999999999</v>
      </c>
      <c r="E10">
        <f t="shared" si="1"/>
        <v>1</v>
      </c>
      <c r="J10" s="12">
        <v>45384</v>
      </c>
      <c r="K10" s="5">
        <v>8</v>
      </c>
      <c r="L10" s="5">
        <v>4939.8249999999998</v>
      </c>
      <c r="M10" s="5">
        <v>440.625</v>
      </c>
      <c r="N10" s="5">
        <f t="shared" si="0"/>
        <v>8</v>
      </c>
    </row>
    <row r="11" spans="1:14" x14ac:dyDescent="0.25">
      <c r="A11" s="1">
        <v>45383</v>
      </c>
      <c r="B11">
        <v>10</v>
      </c>
      <c r="C11">
        <v>1368.675</v>
      </c>
      <c r="D11">
        <v>4416</v>
      </c>
      <c r="E11">
        <f t="shared" si="1"/>
        <v>1</v>
      </c>
      <c r="J11" s="12">
        <v>45384</v>
      </c>
      <c r="K11" s="5">
        <v>9</v>
      </c>
      <c r="L11" s="5">
        <v>5218.9629999999997</v>
      </c>
      <c r="M11" s="5">
        <v>1086.2750000000001</v>
      </c>
      <c r="N11" s="5">
        <f t="shared" si="0"/>
        <v>9</v>
      </c>
    </row>
    <row r="12" spans="1:14" x14ac:dyDescent="0.25">
      <c r="A12" s="1">
        <v>45383</v>
      </c>
      <c r="B12">
        <v>11</v>
      </c>
      <c r="C12">
        <v>1140.463</v>
      </c>
      <c r="D12">
        <v>5331.5749999999998</v>
      </c>
      <c r="E12">
        <f t="shared" si="1"/>
        <v>1</v>
      </c>
      <c r="J12" s="12">
        <v>45384</v>
      </c>
      <c r="K12" s="5">
        <v>10</v>
      </c>
      <c r="L12" s="5">
        <v>5539.7749999999996</v>
      </c>
      <c r="M12" s="5">
        <v>1915.2629999999999</v>
      </c>
      <c r="N12" s="5">
        <f t="shared" si="0"/>
        <v>10</v>
      </c>
    </row>
    <row r="13" spans="1:14" x14ac:dyDescent="0.25">
      <c r="A13" s="1">
        <v>45383</v>
      </c>
      <c r="B13">
        <v>12</v>
      </c>
      <c r="C13">
        <v>1305.8630000000001</v>
      </c>
      <c r="D13">
        <v>5812.2250000000004</v>
      </c>
      <c r="E13">
        <f t="shared" si="1"/>
        <v>2</v>
      </c>
      <c r="J13" s="12">
        <v>45384</v>
      </c>
      <c r="K13" s="5">
        <v>11</v>
      </c>
      <c r="L13" s="5">
        <v>5927.375</v>
      </c>
      <c r="M13" s="5">
        <v>2442.2629999999999</v>
      </c>
      <c r="N13" s="5">
        <f t="shared" si="0"/>
        <v>11</v>
      </c>
    </row>
    <row r="14" spans="1:14" x14ac:dyDescent="0.25">
      <c r="A14" s="1">
        <v>45383</v>
      </c>
      <c r="B14">
        <v>13</v>
      </c>
      <c r="C14">
        <v>1511.4880000000001</v>
      </c>
      <c r="D14">
        <v>5846.6130000000003</v>
      </c>
      <c r="E14">
        <f t="shared" si="1"/>
        <v>3</v>
      </c>
      <c r="J14" s="12">
        <v>45384</v>
      </c>
      <c r="K14" s="5">
        <v>12</v>
      </c>
      <c r="L14" s="5">
        <v>6218.0749999999998</v>
      </c>
      <c r="M14" s="5">
        <v>2724.6379999999999</v>
      </c>
      <c r="N14" s="5">
        <f t="shared" si="0"/>
        <v>12</v>
      </c>
    </row>
    <row r="15" spans="1:14" x14ac:dyDescent="0.25">
      <c r="A15" s="1">
        <v>45383</v>
      </c>
      <c r="B15">
        <v>14</v>
      </c>
      <c r="C15">
        <v>1931.05</v>
      </c>
      <c r="D15">
        <v>5471.4250000000002</v>
      </c>
      <c r="E15">
        <f t="shared" si="1"/>
        <v>4</v>
      </c>
      <c r="J15" s="12">
        <v>45384</v>
      </c>
      <c r="K15" s="5">
        <v>13</v>
      </c>
      <c r="L15" s="5">
        <v>6813.6629999999996</v>
      </c>
      <c r="M15" s="5">
        <v>2673.2629999999999</v>
      </c>
      <c r="N15" s="5">
        <f t="shared" si="0"/>
        <v>13</v>
      </c>
    </row>
    <row r="16" spans="1:14" x14ac:dyDescent="0.25">
      <c r="A16" s="1">
        <v>45383</v>
      </c>
      <c r="B16">
        <v>15</v>
      </c>
      <c r="C16">
        <v>2229.25</v>
      </c>
      <c r="D16">
        <v>5661.8249999999998</v>
      </c>
      <c r="E16">
        <f t="shared" si="1"/>
        <v>5</v>
      </c>
      <c r="J16" s="12">
        <v>45384</v>
      </c>
      <c r="K16" s="5">
        <v>14</v>
      </c>
      <c r="L16" s="5">
        <v>7025.85</v>
      </c>
      <c r="M16" s="5">
        <v>2775.5880000000002</v>
      </c>
      <c r="N16" s="5">
        <f t="shared" si="0"/>
        <v>14</v>
      </c>
    </row>
    <row r="17" spans="1:14" x14ac:dyDescent="0.25">
      <c r="A17" s="1">
        <v>45383</v>
      </c>
      <c r="B17">
        <v>16</v>
      </c>
      <c r="C17">
        <v>2467.125</v>
      </c>
      <c r="D17">
        <v>5067.9880000000003</v>
      </c>
      <c r="E17">
        <f t="shared" si="1"/>
        <v>6</v>
      </c>
      <c r="J17" s="12">
        <v>45384</v>
      </c>
      <c r="K17" s="5">
        <v>15</v>
      </c>
      <c r="L17" s="5">
        <v>7180.7629999999999</v>
      </c>
      <c r="M17" s="5">
        <v>2810.9380000000001</v>
      </c>
      <c r="N17" s="5">
        <f t="shared" si="0"/>
        <v>15</v>
      </c>
    </row>
    <row r="18" spans="1:14" x14ac:dyDescent="0.25">
      <c r="A18" s="1">
        <v>45383</v>
      </c>
      <c r="B18">
        <v>17</v>
      </c>
      <c r="C18">
        <v>2655.85</v>
      </c>
      <c r="D18">
        <v>3458.1379999999999</v>
      </c>
      <c r="E18">
        <f t="shared" si="1"/>
        <v>7</v>
      </c>
      <c r="J18" s="12">
        <v>45384</v>
      </c>
      <c r="K18" s="5">
        <v>16</v>
      </c>
      <c r="L18" s="5">
        <v>7220.4880000000003</v>
      </c>
      <c r="M18" s="5">
        <v>2744.5250000000001</v>
      </c>
      <c r="N18" s="5">
        <f t="shared" si="0"/>
        <v>16</v>
      </c>
    </row>
    <row r="19" spans="1:14" x14ac:dyDescent="0.25">
      <c r="A19" s="1">
        <v>45383</v>
      </c>
      <c r="B19">
        <v>18</v>
      </c>
      <c r="C19">
        <v>2572.7629999999999</v>
      </c>
      <c r="D19">
        <v>1719.088</v>
      </c>
      <c r="E19">
        <f t="shared" si="1"/>
        <v>1</v>
      </c>
    </row>
    <row r="20" spans="1:14" x14ac:dyDescent="0.25">
      <c r="A20" s="1">
        <v>45383</v>
      </c>
      <c r="B20">
        <v>19</v>
      </c>
      <c r="C20">
        <v>2891.1750000000002</v>
      </c>
      <c r="D20">
        <v>560.76300000000003</v>
      </c>
      <c r="E20">
        <f t="shared" si="1"/>
        <v>2</v>
      </c>
    </row>
    <row r="21" spans="1:14" x14ac:dyDescent="0.25">
      <c r="A21" s="1">
        <v>45383</v>
      </c>
      <c r="B21">
        <v>20</v>
      </c>
      <c r="C21">
        <v>3515.2</v>
      </c>
      <c r="D21">
        <v>51.438000000000002</v>
      </c>
      <c r="E21">
        <f t="shared" si="1"/>
        <v>3</v>
      </c>
    </row>
    <row r="22" spans="1:14" x14ac:dyDescent="0.25">
      <c r="A22" s="1">
        <v>45383</v>
      </c>
      <c r="B22">
        <v>21</v>
      </c>
      <c r="C22">
        <v>3941.538</v>
      </c>
      <c r="D22">
        <v>0</v>
      </c>
      <c r="E22">
        <f t="shared" si="1"/>
        <v>4</v>
      </c>
    </row>
    <row r="23" spans="1:14" x14ac:dyDescent="0.25">
      <c r="A23" s="1">
        <v>45383</v>
      </c>
      <c r="B23">
        <v>22</v>
      </c>
      <c r="C23">
        <v>4127.375</v>
      </c>
      <c r="D23">
        <v>0</v>
      </c>
      <c r="E23">
        <f t="shared" si="1"/>
        <v>5</v>
      </c>
    </row>
    <row r="24" spans="1:14" x14ac:dyDescent="0.25">
      <c r="A24" s="1">
        <v>45383</v>
      </c>
      <c r="B24">
        <v>23</v>
      </c>
      <c r="C24">
        <v>4248.55</v>
      </c>
      <c r="D24">
        <v>0</v>
      </c>
      <c r="E24">
        <f t="shared" si="1"/>
        <v>6</v>
      </c>
    </row>
    <row r="25" spans="1:14" x14ac:dyDescent="0.25">
      <c r="A25" s="1">
        <v>45383</v>
      </c>
      <c r="B25">
        <v>24</v>
      </c>
      <c r="C25">
        <v>4027.7249999999999</v>
      </c>
      <c r="D25">
        <v>0</v>
      </c>
      <c r="E25">
        <f t="shared" si="1"/>
        <v>1</v>
      </c>
    </row>
    <row r="26" spans="1:14" x14ac:dyDescent="0.25">
      <c r="A26" s="1">
        <v>45384</v>
      </c>
      <c r="B26">
        <v>1</v>
      </c>
      <c r="C26">
        <v>3346.5749999999998</v>
      </c>
      <c r="D26">
        <v>0</v>
      </c>
      <c r="E26">
        <f t="shared" si="1"/>
        <v>1</v>
      </c>
    </row>
    <row r="27" spans="1:14" x14ac:dyDescent="0.25">
      <c r="A27" s="1">
        <v>45384</v>
      </c>
      <c r="B27">
        <v>2</v>
      </c>
      <c r="C27">
        <v>3446.2379999999998</v>
      </c>
      <c r="D27">
        <v>0</v>
      </c>
      <c r="E27">
        <f t="shared" si="1"/>
        <v>2</v>
      </c>
    </row>
    <row r="28" spans="1:14" x14ac:dyDescent="0.25">
      <c r="A28" s="1">
        <v>45384</v>
      </c>
      <c r="B28">
        <v>3</v>
      </c>
      <c r="C28">
        <v>4149.3</v>
      </c>
      <c r="D28">
        <v>0</v>
      </c>
      <c r="E28">
        <f t="shared" si="1"/>
        <v>3</v>
      </c>
    </row>
    <row r="29" spans="1:14" x14ac:dyDescent="0.25">
      <c r="A29" s="1">
        <v>45384</v>
      </c>
      <c r="B29">
        <v>4</v>
      </c>
      <c r="C29">
        <v>4457.1750000000002</v>
      </c>
      <c r="D29">
        <v>0</v>
      </c>
      <c r="E29">
        <f t="shared" si="1"/>
        <v>4</v>
      </c>
    </row>
    <row r="30" spans="1:14" x14ac:dyDescent="0.25">
      <c r="A30" s="1">
        <v>45384</v>
      </c>
      <c r="B30">
        <v>5</v>
      </c>
      <c r="C30">
        <v>4588.4380000000001</v>
      </c>
      <c r="D30">
        <v>0</v>
      </c>
      <c r="E30">
        <f t="shared" si="1"/>
        <v>5</v>
      </c>
    </row>
    <row r="31" spans="1:14" x14ac:dyDescent="0.25">
      <c r="A31" s="1">
        <v>45384</v>
      </c>
      <c r="B31">
        <v>6</v>
      </c>
      <c r="C31">
        <v>4658.5</v>
      </c>
      <c r="D31">
        <v>1.075</v>
      </c>
      <c r="E31">
        <f t="shared" si="1"/>
        <v>6</v>
      </c>
    </row>
    <row r="32" spans="1:14" x14ac:dyDescent="0.25">
      <c r="A32" s="1">
        <v>45384</v>
      </c>
      <c r="B32">
        <v>7</v>
      </c>
      <c r="C32">
        <v>4732.9750000000004</v>
      </c>
      <c r="D32">
        <v>61.274999999999999</v>
      </c>
      <c r="E32">
        <f t="shared" si="1"/>
        <v>7</v>
      </c>
    </row>
    <row r="33" spans="1:5" x14ac:dyDescent="0.25">
      <c r="A33" s="1">
        <v>45384</v>
      </c>
      <c r="B33">
        <v>8</v>
      </c>
      <c r="C33">
        <v>4939.8249999999998</v>
      </c>
      <c r="D33">
        <v>440.625</v>
      </c>
      <c r="E33">
        <f t="shared" si="1"/>
        <v>8</v>
      </c>
    </row>
    <row r="34" spans="1:5" x14ac:dyDescent="0.25">
      <c r="A34" s="1">
        <v>45384</v>
      </c>
      <c r="B34">
        <v>9</v>
      </c>
      <c r="C34">
        <v>5218.9629999999997</v>
      </c>
      <c r="D34">
        <v>1086.2750000000001</v>
      </c>
      <c r="E34">
        <f t="shared" si="1"/>
        <v>9</v>
      </c>
    </row>
    <row r="35" spans="1:5" x14ac:dyDescent="0.25">
      <c r="A35" s="1">
        <v>45384</v>
      </c>
      <c r="B35">
        <v>10</v>
      </c>
      <c r="C35">
        <v>5539.7749999999996</v>
      </c>
      <c r="D35">
        <v>1915.2629999999999</v>
      </c>
      <c r="E35">
        <f t="shared" si="1"/>
        <v>10</v>
      </c>
    </row>
    <row r="36" spans="1:5" x14ac:dyDescent="0.25">
      <c r="A36" s="1">
        <v>45384</v>
      </c>
      <c r="B36">
        <v>11</v>
      </c>
      <c r="C36">
        <v>5927.375</v>
      </c>
      <c r="D36">
        <v>2442.2629999999999</v>
      </c>
      <c r="E36">
        <f t="shared" si="1"/>
        <v>11</v>
      </c>
    </row>
    <row r="37" spans="1:5" x14ac:dyDescent="0.25">
      <c r="A37" s="1">
        <v>45384</v>
      </c>
      <c r="B37">
        <v>12</v>
      </c>
      <c r="C37">
        <v>6218.0749999999998</v>
      </c>
      <c r="D37">
        <v>2724.6379999999999</v>
      </c>
      <c r="E37">
        <f t="shared" si="1"/>
        <v>12</v>
      </c>
    </row>
    <row r="38" spans="1:5" x14ac:dyDescent="0.25">
      <c r="A38" s="1">
        <v>45384</v>
      </c>
      <c r="B38">
        <v>13</v>
      </c>
      <c r="C38">
        <v>6813.6629999999996</v>
      </c>
      <c r="D38">
        <v>2673.2629999999999</v>
      </c>
      <c r="E38">
        <f t="shared" si="1"/>
        <v>13</v>
      </c>
    </row>
    <row r="39" spans="1:5" x14ac:dyDescent="0.25">
      <c r="A39" s="1">
        <v>45384</v>
      </c>
      <c r="B39">
        <v>14</v>
      </c>
      <c r="C39">
        <v>7025.85</v>
      </c>
      <c r="D39">
        <v>2775.5880000000002</v>
      </c>
      <c r="E39">
        <f t="shared" si="1"/>
        <v>14</v>
      </c>
    </row>
    <row r="40" spans="1:5" x14ac:dyDescent="0.25">
      <c r="A40" s="1">
        <v>45384</v>
      </c>
      <c r="B40">
        <v>15</v>
      </c>
      <c r="C40">
        <v>7180.7629999999999</v>
      </c>
      <c r="D40">
        <v>2810.9380000000001</v>
      </c>
      <c r="E40">
        <f t="shared" si="1"/>
        <v>15</v>
      </c>
    </row>
    <row r="41" spans="1:5" x14ac:dyDescent="0.25">
      <c r="A41" s="1">
        <v>45384</v>
      </c>
      <c r="B41">
        <v>16</v>
      </c>
      <c r="C41">
        <v>7220.4880000000003</v>
      </c>
      <c r="D41">
        <v>2744.5250000000001</v>
      </c>
      <c r="E41">
        <f t="shared" si="1"/>
        <v>16</v>
      </c>
    </row>
    <row r="42" spans="1:5" x14ac:dyDescent="0.25">
      <c r="A42" s="1">
        <v>45384</v>
      </c>
      <c r="B42">
        <v>17</v>
      </c>
      <c r="C42">
        <v>7167.5630000000001</v>
      </c>
      <c r="D42">
        <v>2404.7750000000001</v>
      </c>
      <c r="E42">
        <f t="shared" si="1"/>
        <v>1</v>
      </c>
    </row>
    <row r="43" spans="1:5" x14ac:dyDescent="0.25">
      <c r="A43" s="1">
        <v>45384</v>
      </c>
      <c r="B43">
        <v>18</v>
      </c>
      <c r="C43">
        <v>6882.125</v>
      </c>
      <c r="D43">
        <v>1488.125</v>
      </c>
      <c r="E43">
        <f t="shared" si="1"/>
        <v>1</v>
      </c>
    </row>
    <row r="44" spans="1:5" x14ac:dyDescent="0.25">
      <c r="A44" s="1">
        <v>45384</v>
      </c>
      <c r="B44">
        <v>19</v>
      </c>
      <c r="C44">
        <v>6806.5630000000001</v>
      </c>
      <c r="D44">
        <v>581.4</v>
      </c>
      <c r="E44">
        <f t="shared" si="1"/>
        <v>1</v>
      </c>
    </row>
    <row r="45" spans="1:5" x14ac:dyDescent="0.25">
      <c r="A45" s="1">
        <v>45384</v>
      </c>
      <c r="B45">
        <v>20</v>
      </c>
      <c r="C45">
        <v>7039.9629999999997</v>
      </c>
      <c r="D45">
        <v>56.85</v>
      </c>
      <c r="E45">
        <f t="shared" si="1"/>
        <v>2</v>
      </c>
    </row>
    <row r="46" spans="1:5" x14ac:dyDescent="0.25">
      <c r="A46" s="1">
        <v>45384</v>
      </c>
      <c r="B46">
        <v>21</v>
      </c>
      <c r="C46">
        <v>7089.2380000000003</v>
      </c>
      <c r="D46">
        <v>0</v>
      </c>
      <c r="E46">
        <f t="shared" si="1"/>
        <v>3</v>
      </c>
    </row>
    <row r="47" spans="1:5" x14ac:dyDescent="0.25">
      <c r="A47" s="1">
        <v>45384</v>
      </c>
      <c r="B47">
        <v>22</v>
      </c>
      <c r="C47">
        <v>6955.6379999999999</v>
      </c>
      <c r="D47">
        <v>0</v>
      </c>
      <c r="E47">
        <f t="shared" si="1"/>
        <v>1</v>
      </c>
    </row>
    <row r="48" spans="1:5" x14ac:dyDescent="0.25">
      <c r="A48" s="1">
        <v>45384</v>
      </c>
      <c r="B48">
        <v>23</v>
      </c>
      <c r="C48">
        <v>6667.7749999999996</v>
      </c>
      <c r="D48">
        <v>0</v>
      </c>
      <c r="E48">
        <f t="shared" si="1"/>
        <v>1</v>
      </c>
    </row>
    <row r="49" spans="1:5" x14ac:dyDescent="0.25">
      <c r="A49" s="1">
        <v>45384</v>
      </c>
      <c r="B49">
        <v>24</v>
      </c>
      <c r="C49">
        <v>6771.0879999999997</v>
      </c>
      <c r="D49">
        <v>0</v>
      </c>
      <c r="E49">
        <f t="shared" si="1"/>
        <v>2</v>
      </c>
    </row>
    <row r="50" spans="1:5" x14ac:dyDescent="0.25">
      <c r="A50" s="1">
        <v>45385</v>
      </c>
      <c r="B50">
        <v>1</v>
      </c>
      <c r="C50">
        <v>6683.55</v>
      </c>
      <c r="D50">
        <v>0</v>
      </c>
      <c r="E50">
        <f t="shared" si="1"/>
        <v>1</v>
      </c>
    </row>
    <row r="51" spans="1:5" x14ac:dyDescent="0.25">
      <c r="A51" s="1">
        <v>45385</v>
      </c>
      <c r="B51">
        <v>2</v>
      </c>
      <c r="C51">
        <v>6485.2250000000004</v>
      </c>
      <c r="D51">
        <v>0</v>
      </c>
      <c r="E51">
        <f t="shared" si="1"/>
        <v>1</v>
      </c>
    </row>
    <row r="52" spans="1:5" x14ac:dyDescent="0.25">
      <c r="A52" s="1">
        <v>45385</v>
      </c>
      <c r="B52">
        <v>3</v>
      </c>
      <c r="C52">
        <v>6362.625</v>
      </c>
      <c r="D52">
        <v>0</v>
      </c>
      <c r="E52">
        <f t="shared" si="1"/>
        <v>1</v>
      </c>
    </row>
    <row r="53" spans="1:5" x14ac:dyDescent="0.25">
      <c r="A53" s="1">
        <v>45385</v>
      </c>
      <c r="B53">
        <v>4</v>
      </c>
      <c r="C53">
        <v>5948.9250000000002</v>
      </c>
      <c r="D53">
        <v>0</v>
      </c>
      <c r="E53">
        <f t="shared" si="1"/>
        <v>1</v>
      </c>
    </row>
    <row r="54" spans="1:5" x14ac:dyDescent="0.25">
      <c r="A54" s="1">
        <v>45385</v>
      </c>
      <c r="B54">
        <v>5</v>
      </c>
      <c r="C54">
        <v>5874.1880000000001</v>
      </c>
      <c r="D54">
        <v>0</v>
      </c>
      <c r="E54">
        <f t="shared" si="1"/>
        <v>1</v>
      </c>
    </row>
    <row r="55" spans="1:5" x14ac:dyDescent="0.25">
      <c r="A55" s="1">
        <v>45385</v>
      </c>
      <c r="B55">
        <v>6</v>
      </c>
      <c r="C55">
        <v>5815.1629999999996</v>
      </c>
      <c r="D55">
        <v>0.625</v>
      </c>
      <c r="E55">
        <f t="shared" si="1"/>
        <v>1</v>
      </c>
    </row>
    <row r="56" spans="1:5" x14ac:dyDescent="0.25">
      <c r="A56" s="1">
        <v>45385</v>
      </c>
      <c r="B56">
        <v>7</v>
      </c>
      <c r="C56">
        <v>5951.2879999999996</v>
      </c>
      <c r="D56">
        <v>76.875</v>
      </c>
      <c r="E56">
        <f t="shared" si="1"/>
        <v>2</v>
      </c>
    </row>
    <row r="57" spans="1:5" x14ac:dyDescent="0.25">
      <c r="A57" s="1">
        <v>45385</v>
      </c>
      <c r="B57">
        <v>8</v>
      </c>
      <c r="C57">
        <v>5858.2879999999996</v>
      </c>
      <c r="D57">
        <v>704.4</v>
      </c>
      <c r="E57">
        <f t="shared" si="1"/>
        <v>1</v>
      </c>
    </row>
    <row r="58" spans="1:5" x14ac:dyDescent="0.25">
      <c r="A58" s="1">
        <v>45385</v>
      </c>
      <c r="B58">
        <v>9</v>
      </c>
      <c r="C58">
        <v>5839.8249999999998</v>
      </c>
      <c r="D58">
        <v>1911</v>
      </c>
      <c r="E58">
        <f t="shared" si="1"/>
        <v>1</v>
      </c>
    </row>
    <row r="59" spans="1:5" x14ac:dyDescent="0.25">
      <c r="A59" s="1">
        <v>45385</v>
      </c>
      <c r="B59">
        <v>10</v>
      </c>
      <c r="C59">
        <v>5734.2629999999999</v>
      </c>
      <c r="D59">
        <v>3500</v>
      </c>
      <c r="E59">
        <f t="shared" si="1"/>
        <v>1</v>
      </c>
    </row>
    <row r="60" spans="1:5" x14ac:dyDescent="0.25">
      <c r="A60" s="1">
        <v>45385</v>
      </c>
      <c r="B60">
        <v>11</v>
      </c>
      <c r="C60">
        <v>5387.15</v>
      </c>
      <c r="D60">
        <v>4405.4129999999996</v>
      </c>
      <c r="E60">
        <f t="shared" si="1"/>
        <v>1</v>
      </c>
    </row>
    <row r="61" spans="1:5" x14ac:dyDescent="0.25">
      <c r="A61" s="1">
        <v>45385</v>
      </c>
      <c r="B61">
        <v>12</v>
      </c>
      <c r="C61">
        <v>5066.9380000000001</v>
      </c>
      <c r="D61">
        <v>4657.0379999999996</v>
      </c>
      <c r="E61">
        <f t="shared" si="1"/>
        <v>1</v>
      </c>
    </row>
    <row r="62" spans="1:5" x14ac:dyDescent="0.25">
      <c r="A62" s="1">
        <v>45385</v>
      </c>
      <c r="B62">
        <v>13</v>
      </c>
      <c r="C62">
        <v>4827.9750000000004</v>
      </c>
      <c r="D62">
        <v>5127.7879999999996</v>
      </c>
      <c r="E62">
        <f t="shared" si="1"/>
        <v>1</v>
      </c>
    </row>
    <row r="63" spans="1:5" x14ac:dyDescent="0.25">
      <c r="A63" s="1">
        <v>45385</v>
      </c>
      <c r="B63">
        <v>14</v>
      </c>
      <c r="C63">
        <v>4638.2129999999997</v>
      </c>
      <c r="D63">
        <v>5204.4750000000004</v>
      </c>
      <c r="E63">
        <f t="shared" si="1"/>
        <v>1</v>
      </c>
    </row>
    <row r="64" spans="1:5" x14ac:dyDescent="0.25">
      <c r="A64" s="1">
        <v>45385</v>
      </c>
      <c r="B64">
        <v>15</v>
      </c>
      <c r="C64">
        <v>4444.0129999999999</v>
      </c>
      <c r="D64">
        <v>5284.65</v>
      </c>
      <c r="E64">
        <f t="shared" si="1"/>
        <v>1</v>
      </c>
    </row>
    <row r="65" spans="1:5" x14ac:dyDescent="0.25">
      <c r="A65" s="1">
        <v>45385</v>
      </c>
      <c r="B65">
        <v>16</v>
      </c>
      <c r="C65">
        <v>4060.7249999999999</v>
      </c>
      <c r="D65">
        <v>4440.7879999999996</v>
      </c>
      <c r="E65">
        <f t="shared" si="1"/>
        <v>1</v>
      </c>
    </row>
    <row r="66" spans="1:5" x14ac:dyDescent="0.25">
      <c r="A66" s="1">
        <v>45385</v>
      </c>
      <c r="B66">
        <v>17</v>
      </c>
      <c r="C66">
        <v>3365</v>
      </c>
      <c r="D66">
        <v>3380.625</v>
      </c>
      <c r="E66">
        <f t="shared" si="1"/>
        <v>1</v>
      </c>
    </row>
    <row r="67" spans="1:5" x14ac:dyDescent="0.25">
      <c r="A67" s="1">
        <v>45385</v>
      </c>
      <c r="B67">
        <v>18</v>
      </c>
      <c r="C67">
        <v>2697.3380000000002</v>
      </c>
      <c r="D67">
        <v>1752.175</v>
      </c>
      <c r="E67">
        <f t="shared" si="1"/>
        <v>1</v>
      </c>
    </row>
    <row r="68" spans="1:5" x14ac:dyDescent="0.25">
      <c r="A68" s="1">
        <v>45385</v>
      </c>
      <c r="B68">
        <v>19</v>
      </c>
      <c r="C68">
        <v>2075.5749999999998</v>
      </c>
      <c r="D68">
        <v>515.93799999999999</v>
      </c>
      <c r="E68">
        <f t="shared" ref="E68:E131" si="2">IF(C68&gt;C67,E67+1,1)</f>
        <v>1</v>
      </c>
    </row>
    <row r="69" spans="1:5" x14ac:dyDescent="0.25">
      <c r="A69" s="1">
        <v>45385</v>
      </c>
      <c r="B69">
        <v>20</v>
      </c>
      <c r="C69">
        <v>1725.175</v>
      </c>
      <c r="D69">
        <v>98.513000000000005</v>
      </c>
      <c r="E69">
        <f t="shared" si="2"/>
        <v>1</v>
      </c>
    </row>
    <row r="70" spans="1:5" x14ac:dyDescent="0.25">
      <c r="A70" s="1">
        <v>45385</v>
      </c>
      <c r="B70">
        <v>21</v>
      </c>
      <c r="C70">
        <v>1506.8630000000001</v>
      </c>
      <c r="D70">
        <v>0</v>
      </c>
      <c r="E70">
        <f t="shared" si="2"/>
        <v>1</v>
      </c>
    </row>
    <row r="71" spans="1:5" x14ac:dyDescent="0.25">
      <c r="A71" s="1">
        <v>45385</v>
      </c>
      <c r="B71">
        <v>22</v>
      </c>
      <c r="C71">
        <v>1343.6</v>
      </c>
      <c r="D71">
        <v>0</v>
      </c>
      <c r="E71">
        <f t="shared" si="2"/>
        <v>1</v>
      </c>
    </row>
    <row r="72" spans="1:5" x14ac:dyDescent="0.25">
      <c r="A72" s="1">
        <v>45385</v>
      </c>
      <c r="B72">
        <v>23</v>
      </c>
      <c r="C72">
        <v>1320.5630000000001</v>
      </c>
      <c r="D72">
        <v>0</v>
      </c>
      <c r="E72">
        <f t="shared" si="2"/>
        <v>1</v>
      </c>
    </row>
    <row r="73" spans="1:5" x14ac:dyDescent="0.25">
      <c r="A73" s="1">
        <v>45385</v>
      </c>
      <c r="B73">
        <v>24</v>
      </c>
      <c r="C73">
        <v>1277.1379999999999</v>
      </c>
      <c r="D73">
        <v>0</v>
      </c>
      <c r="E73">
        <f t="shared" si="2"/>
        <v>1</v>
      </c>
    </row>
    <row r="74" spans="1:5" x14ac:dyDescent="0.25">
      <c r="A74" s="1">
        <v>45386</v>
      </c>
      <c r="B74">
        <v>1</v>
      </c>
      <c r="C74">
        <v>1296.9380000000001</v>
      </c>
      <c r="D74">
        <v>0</v>
      </c>
      <c r="E74">
        <f t="shared" si="2"/>
        <v>2</v>
      </c>
    </row>
    <row r="75" spans="1:5" x14ac:dyDescent="0.25">
      <c r="A75" s="1">
        <v>45386</v>
      </c>
      <c r="B75">
        <v>2</v>
      </c>
      <c r="C75">
        <v>1376.75</v>
      </c>
      <c r="D75">
        <v>0</v>
      </c>
      <c r="E75">
        <f t="shared" si="2"/>
        <v>3</v>
      </c>
    </row>
    <row r="76" spans="1:5" x14ac:dyDescent="0.25">
      <c r="A76" s="1">
        <v>45386</v>
      </c>
      <c r="B76">
        <v>3</v>
      </c>
      <c r="C76">
        <v>1459.925</v>
      </c>
      <c r="D76">
        <v>0</v>
      </c>
      <c r="E76">
        <f t="shared" si="2"/>
        <v>4</v>
      </c>
    </row>
    <row r="77" spans="1:5" x14ac:dyDescent="0.25">
      <c r="A77" s="1">
        <v>45386</v>
      </c>
      <c r="B77">
        <v>4</v>
      </c>
      <c r="C77">
        <v>1527.538</v>
      </c>
      <c r="D77">
        <v>0</v>
      </c>
      <c r="E77">
        <f t="shared" si="2"/>
        <v>5</v>
      </c>
    </row>
    <row r="78" spans="1:5" x14ac:dyDescent="0.25">
      <c r="A78" s="1">
        <v>45386</v>
      </c>
      <c r="B78">
        <v>5</v>
      </c>
      <c r="C78">
        <v>1725.0630000000001</v>
      </c>
      <c r="D78">
        <v>0</v>
      </c>
      <c r="E78">
        <f t="shared" si="2"/>
        <v>6</v>
      </c>
    </row>
    <row r="79" spans="1:5" x14ac:dyDescent="0.25">
      <c r="A79" s="1">
        <v>45386</v>
      </c>
      <c r="B79">
        <v>6</v>
      </c>
      <c r="C79">
        <v>1804.5630000000001</v>
      </c>
      <c r="D79">
        <v>0.52500000000000002</v>
      </c>
      <c r="E79">
        <f t="shared" si="2"/>
        <v>7</v>
      </c>
    </row>
    <row r="80" spans="1:5" x14ac:dyDescent="0.25">
      <c r="A80" s="1">
        <v>45386</v>
      </c>
      <c r="B80">
        <v>7</v>
      </c>
      <c r="C80">
        <v>1882.8</v>
      </c>
      <c r="D80">
        <v>182.78800000000001</v>
      </c>
      <c r="E80">
        <f t="shared" si="2"/>
        <v>8</v>
      </c>
    </row>
    <row r="81" spans="1:5" x14ac:dyDescent="0.25">
      <c r="A81" s="1">
        <v>45386</v>
      </c>
      <c r="B81">
        <v>8</v>
      </c>
      <c r="C81">
        <v>1927.5</v>
      </c>
      <c r="D81">
        <v>903.98800000000006</v>
      </c>
      <c r="E81">
        <f t="shared" si="2"/>
        <v>9</v>
      </c>
    </row>
    <row r="82" spans="1:5" x14ac:dyDescent="0.25">
      <c r="A82" s="1">
        <v>45386</v>
      </c>
      <c r="B82">
        <v>9</v>
      </c>
      <c r="C82">
        <v>1803.0630000000001</v>
      </c>
      <c r="D82">
        <v>2087.2249999999999</v>
      </c>
      <c r="E82">
        <f t="shared" si="2"/>
        <v>1</v>
      </c>
    </row>
    <row r="83" spans="1:5" x14ac:dyDescent="0.25">
      <c r="A83" s="1">
        <v>45386</v>
      </c>
      <c r="B83">
        <v>10</v>
      </c>
      <c r="C83">
        <v>1611.05</v>
      </c>
      <c r="D83">
        <v>3579.6</v>
      </c>
      <c r="E83">
        <f t="shared" si="2"/>
        <v>1</v>
      </c>
    </row>
    <row r="84" spans="1:5" x14ac:dyDescent="0.25">
      <c r="A84" s="1">
        <v>45386</v>
      </c>
      <c r="B84">
        <v>11</v>
      </c>
      <c r="C84">
        <v>1517.413</v>
      </c>
      <c r="D84">
        <v>4306.8379999999997</v>
      </c>
      <c r="E84">
        <f t="shared" si="2"/>
        <v>1</v>
      </c>
    </row>
    <row r="85" spans="1:5" x14ac:dyDescent="0.25">
      <c r="A85" s="1">
        <v>45386</v>
      </c>
      <c r="B85">
        <v>12</v>
      </c>
      <c r="C85">
        <v>1464.9380000000001</v>
      </c>
      <c r="D85">
        <v>5172.3</v>
      </c>
      <c r="E85">
        <f t="shared" si="2"/>
        <v>1</v>
      </c>
    </row>
    <row r="86" spans="1:5" x14ac:dyDescent="0.25">
      <c r="A86" s="1">
        <v>45386</v>
      </c>
      <c r="B86">
        <v>13</v>
      </c>
      <c r="C86">
        <v>1616.9</v>
      </c>
      <c r="D86">
        <v>5723.5129999999999</v>
      </c>
      <c r="E86">
        <f t="shared" si="2"/>
        <v>2</v>
      </c>
    </row>
    <row r="87" spans="1:5" x14ac:dyDescent="0.25">
      <c r="A87" s="1">
        <v>45386</v>
      </c>
      <c r="B87">
        <v>14</v>
      </c>
      <c r="C87">
        <v>1760.9880000000001</v>
      </c>
      <c r="D87">
        <v>5583.875</v>
      </c>
      <c r="E87">
        <f t="shared" si="2"/>
        <v>3</v>
      </c>
    </row>
    <row r="88" spans="1:5" x14ac:dyDescent="0.25">
      <c r="A88" s="1">
        <v>45386</v>
      </c>
      <c r="B88">
        <v>15</v>
      </c>
      <c r="C88">
        <v>1910.588</v>
      </c>
      <c r="D88">
        <v>5109.6000000000004</v>
      </c>
      <c r="E88">
        <f t="shared" si="2"/>
        <v>4</v>
      </c>
    </row>
    <row r="89" spans="1:5" x14ac:dyDescent="0.25">
      <c r="A89" s="1">
        <v>45386</v>
      </c>
      <c r="B89">
        <v>16</v>
      </c>
      <c r="C89">
        <v>2147.8380000000002</v>
      </c>
      <c r="D89">
        <v>4166.7</v>
      </c>
      <c r="E89">
        <f t="shared" si="2"/>
        <v>5</v>
      </c>
    </row>
    <row r="90" spans="1:5" x14ac:dyDescent="0.25">
      <c r="A90" s="1">
        <v>45386</v>
      </c>
      <c r="B90">
        <v>17</v>
      </c>
      <c r="C90">
        <v>2389</v>
      </c>
      <c r="D90">
        <v>3069.4630000000002</v>
      </c>
      <c r="E90">
        <f t="shared" si="2"/>
        <v>6</v>
      </c>
    </row>
    <row r="91" spans="1:5" x14ac:dyDescent="0.25">
      <c r="A91" s="1">
        <v>45386</v>
      </c>
      <c r="B91">
        <v>18</v>
      </c>
      <c r="C91">
        <v>2445.2249999999999</v>
      </c>
      <c r="D91">
        <v>1544.663</v>
      </c>
      <c r="E91">
        <f t="shared" si="2"/>
        <v>7</v>
      </c>
    </row>
    <row r="92" spans="1:5" x14ac:dyDescent="0.25">
      <c r="A92" s="1">
        <v>45386</v>
      </c>
      <c r="B92">
        <v>19</v>
      </c>
      <c r="C92">
        <v>2756.4380000000001</v>
      </c>
      <c r="D92">
        <v>540.16300000000001</v>
      </c>
      <c r="E92">
        <f t="shared" si="2"/>
        <v>8</v>
      </c>
    </row>
    <row r="93" spans="1:5" x14ac:dyDescent="0.25">
      <c r="A93" s="1">
        <v>45386</v>
      </c>
      <c r="B93">
        <v>20</v>
      </c>
      <c r="C93">
        <v>3537.875</v>
      </c>
      <c r="D93">
        <v>97.013000000000005</v>
      </c>
      <c r="E93">
        <f t="shared" si="2"/>
        <v>9</v>
      </c>
    </row>
    <row r="94" spans="1:5" x14ac:dyDescent="0.25">
      <c r="A94" s="1">
        <v>45386</v>
      </c>
      <c r="B94">
        <v>21</v>
      </c>
      <c r="C94">
        <v>4276.8500000000004</v>
      </c>
      <c r="D94">
        <v>0</v>
      </c>
      <c r="E94">
        <f t="shared" si="2"/>
        <v>10</v>
      </c>
    </row>
    <row r="95" spans="1:5" x14ac:dyDescent="0.25">
      <c r="A95" s="1">
        <v>45386</v>
      </c>
      <c r="B95">
        <v>22</v>
      </c>
      <c r="C95">
        <v>4835.1750000000002</v>
      </c>
      <c r="D95">
        <v>0</v>
      </c>
      <c r="E95">
        <f t="shared" si="2"/>
        <v>11</v>
      </c>
    </row>
    <row r="96" spans="1:5" x14ac:dyDescent="0.25">
      <c r="A96" s="1">
        <v>45386</v>
      </c>
      <c r="B96">
        <v>23</v>
      </c>
      <c r="C96">
        <v>5044.7250000000004</v>
      </c>
      <c r="D96">
        <v>0</v>
      </c>
      <c r="E96">
        <f t="shared" si="2"/>
        <v>12</v>
      </c>
    </row>
    <row r="97" spans="1:5" x14ac:dyDescent="0.25">
      <c r="A97" s="1">
        <v>45386</v>
      </c>
      <c r="B97">
        <v>24</v>
      </c>
      <c r="C97">
        <v>5564.6750000000002</v>
      </c>
      <c r="D97">
        <v>0</v>
      </c>
      <c r="E97">
        <f t="shared" si="2"/>
        <v>13</v>
      </c>
    </row>
    <row r="98" spans="1:5" x14ac:dyDescent="0.25">
      <c r="A98" s="1">
        <v>45387</v>
      </c>
      <c r="B98">
        <v>1</v>
      </c>
      <c r="C98">
        <v>5803.1130000000003</v>
      </c>
      <c r="D98">
        <v>0</v>
      </c>
      <c r="E98">
        <f t="shared" si="2"/>
        <v>14</v>
      </c>
    </row>
    <row r="99" spans="1:5" x14ac:dyDescent="0.25">
      <c r="A99" s="1">
        <v>45387</v>
      </c>
      <c r="B99">
        <v>2</v>
      </c>
      <c r="C99">
        <v>5764.2749999999996</v>
      </c>
      <c r="D99">
        <v>0</v>
      </c>
      <c r="E99">
        <f t="shared" si="2"/>
        <v>1</v>
      </c>
    </row>
    <row r="100" spans="1:5" x14ac:dyDescent="0.25">
      <c r="A100" s="1">
        <v>45387</v>
      </c>
      <c r="B100">
        <v>3</v>
      </c>
      <c r="C100">
        <v>5571.0749999999998</v>
      </c>
      <c r="D100">
        <v>0</v>
      </c>
      <c r="E100">
        <f t="shared" si="2"/>
        <v>1</v>
      </c>
    </row>
    <row r="101" spans="1:5" x14ac:dyDescent="0.25">
      <c r="A101" s="1">
        <v>45387</v>
      </c>
      <c r="B101">
        <v>4</v>
      </c>
      <c r="C101">
        <v>5487.2380000000003</v>
      </c>
      <c r="D101">
        <v>0</v>
      </c>
      <c r="E101">
        <f t="shared" si="2"/>
        <v>1</v>
      </c>
    </row>
    <row r="102" spans="1:5" x14ac:dyDescent="0.25">
      <c r="A102" s="1">
        <v>45387</v>
      </c>
      <c r="B102">
        <v>5</v>
      </c>
      <c r="C102">
        <v>5289.1629999999996</v>
      </c>
      <c r="D102">
        <v>0</v>
      </c>
      <c r="E102">
        <f t="shared" si="2"/>
        <v>1</v>
      </c>
    </row>
    <row r="103" spans="1:5" x14ac:dyDescent="0.25">
      <c r="A103" s="1">
        <v>45387</v>
      </c>
      <c r="B103">
        <v>6</v>
      </c>
      <c r="C103">
        <v>4720.9750000000004</v>
      </c>
      <c r="D103">
        <v>2.6880000000000002</v>
      </c>
      <c r="E103">
        <f t="shared" si="2"/>
        <v>1</v>
      </c>
    </row>
    <row r="104" spans="1:5" x14ac:dyDescent="0.25">
      <c r="A104" s="1">
        <v>45387</v>
      </c>
      <c r="B104">
        <v>7</v>
      </c>
      <c r="C104">
        <v>4460.4880000000003</v>
      </c>
      <c r="D104">
        <v>207.26300000000001</v>
      </c>
      <c r="E104">
        <f t="shared" si="2"/>
        <v>1</v>
      </c>
    </row>
    <row r="105" spans="1:5" x14ac:dyDescent="0.25">
      <c r="A105" s="1">
        <v>45387</v>
      </c>
      <c r="B105">
        <v>8</v>
      </c>
      <c r="C105">
        <v>4055.7249999999999</v>
      </c>
      <c r="D105">
        <v>1171.5999999999999</v>
      </c>
      <c r="E105">
        <f t="shared" si="2"/>
        <v>1</v>
      </c>
    </row>
    <row r="106" spans="1:5" x14ac:dyDescent="0.25">
      <c r="A106" s="1">
        <v>45387</v>
      </c>
      <c r="B106">
        <v>9</v>
      </c>
      <c r="C106">
        <v>3390.5880000000002</v>
      </c>
      <c r="D106">
        <v>2805.5250000000001</v>
      </c>
      <c r="E106">
        <f t="shared" si="2"/>
        <v>1</v>
      </c>
    </row>
    <row r="107" spans="1:5" x14ac:dyDescent="0.25">
      <c r="A107" s="1">
        <v>45387</v>
      </c>
      <c r="B107">
        <v>10</v>
      </c>
      <c r="C107">
        <v>3101.2249999999999</v>
      </c>
      <c r="D107">
        <v>4478.6379999999999</v>
      </c>
      <c r="E107">
        <f t="shared" si="2"/>
        <v>1</v>
      </c>
    </row>
    <row r="108" spans="1:5" x14ac:dyDescent="0.25">
      <c r="A108" s="1">
        <v>45387</v>
      </c>
      <c r="B108">
        <v>11</v>
      </c>
      <c r="C108">
        <v>2969.0630000000001</v>
      </c>
      <c r="D108">
        <v>6019.9129999999996</v>
      </c>
      <c r="E108">
        <f t="shared" si="2"/>
        <v>1</v>
      </c>
    </row>
    <row r="109" spans="1:5" x14ac:dyDescent="0.25">
      <c r="A109" s="1">
        <v>45387</v>
      </c>
      <c r="B109">
        <v>12</v>
      </c>
      <c r="C109">
        <v>3016.9749999999999</v>
      </c>
      <c r="D109">
        <v>6657.3249999999998</v>
      </c>
      <c r="E109">
        <f t="shared" si="2"/>
        <v>2</v>
      </c>
    </row>
    <row r="110" spans="1:5" x14ac:dyDescent="0.25">
      <c r="A110" s="1">
        <v>45387</v>
      </c>
      <c r="B110">
        <v>13</v>
      </c>
      <c r="C110">
        <v>3085.65</v>
      </c>
      <c r="D110">
        <v>6455.375</v>
      </c>
      <c r="E110">
        <f t="shared" si="2"/>
        <v>3</v>
      </c>
    </row>
    <row r="111" spans="1:5" x14ac:dyDescent="0.25">
      <c r="A111" s="1">
        <v>45387</v>
      </c>
      <c r="B111">
        <v>14</v>
      </c>
      <c r="C111">
        <v>3147</v>
      </c>
      <c r="D111">
        <v>6064.8</v>
      </c>
      <c r="E111">
        <f t="shared" si="2"/>
        <v>4</v>
      </c>
    </row>
    <row r="112" spans="1:5" x14ac:dyDescent="0.25">
      <c r="A112" s="1">
        <v>45387</v>
      </c>
      <c r="B112">
        <v>15</v>
      </c>
      <c r="C112">
        <v>2894.8249999999998</v>
      </c>
      <c r="D112">
        <v>5635.875</v>
      </c>
      <c r="E112">
        <f t="shared" si="2"/>
        <v>1</v>
      </c>
    </row>
    <row r="113" spans="1:5" x14ac:dyDescent="0.25">
      <c r="A113" s="1">
        <v>45387</v>
      </c>
      <c r="B113">
        <v>16</v>
      </c>
      <c r="C113">
        <v>2652.625</v>
      </c>
      <c r="D113">
        <v>5442.65</v>
      </c>
      <c r="E113">
        <f t="shared" si="2"/>
        <v>1</v>
      </c>
    </row>
    <row r="114" spans="1:5" x14ac:dyDescent="0.25">
      <c r="A114" s="1">
        <v>45387</v>
      </c>
      <c r="B114">
        <v>17</v>
      </c>
      <c r="C114">
        <v>2686.5630000000001</v>
      </c>
      <c r="D114">
        <v>4334.0749999999998</v>
      </c>
      <c r="E114">
        <f t="shared" si="2"/>
        <v>2</v>
      </c>
    </row>
    <row r="115" spans="1:5" x14ac:dyDescent="0.25">
      <c r="A115" s="1">
        <v>45387</v>
      </c>
      <c r="B115">
        <v>18</v>
      </c>
      <c r="C115">
        <v>2823.8879999999999</v>
      </c>
      <c r="D115">
        <v>2446.5129999999999</v>
      </c>
      <c r="E115">
        <f t="shared" si="2"/>
        <v>3</v>
      </c>
    </row>
    <row r="116" spans="1:5" x14ac:dyDescent="0.25">
      <c r="A116" s="1">
        <v>45387</v>
      </c>
      <c r="B116">
        <v>19</v>
      </c>
      <c r="C116">
        <v>3079.1</v>
      </c>
      <c r="D116">
        <v>770</v>
      </c>
      <c r="E116">
        <f t="shared" si="2"/>
        <v>4</v>
      </c>
    </row>
    <row r="117" spans="1:5" x14ac:dyDescent="0.25">
      <c r="A117" s="1">
        <v>45387</v>
      </c>
      <c r="B117">
        <v>20</v>
      </c>
      <c r="C117">
        <v>3840.15</v>
      </c>
      <c r="D117">
        <v>128.93799999999999</v>
      </c>
      <c r="E117">
        <f t="shared" si="2"/>
        <v>5</v>
      </c>
    </row>
    <row r="118" spans="1:5" x14ac:dyDescent="0.25">
      <c r="A118" s="1">
        <v>45387</v>
      </c>
      <c r="B118">
        <v>21</v>
      </c>
      <c r="C118">
        <v>4883.0379999999996</v>
      </c>
      <c r="D118">
        <v>0</v>
      </c>
      <c r="E118">
        <f t="shared" si="2"/>
        <v>6</v>
      </c>
    </row>
    <row r="119" spans="1:5" x14ac:dyDescent="0.25">
      <c r="A119" s="1">
        <v>45387</v>
      </c>
      <c r="B119">
        <v>22</v>
      </c>
      <c r="C119">
        <v>5978.1379999999999</v>
      </c>
      <c r="D119">
        <v>0</v>
      </c>
      <c r="E119">
        <f t="shared" si="2"/>
        <v>7</v>
      </c>
    </row>
    <row r="120" spans="1:5" x14ac:dyDescent="0.25">
      <c r="A120" s="1">
        <v>45387</v>
      </c>
      <c r="B120">
        <v>23</v>
      </c>
      <c r="C120">
        <v>6598.9129999999996</v>
      </c>
      <c r="D120">
        <v>0</v>
      </c>
      <c r="E120">
        <f t="shared" si="2"/>
        <v>8</v>
      </c>
    </row>
    <row r="121" spans="1:5" x14ac:dyDescent="0.25">
      <c r="A121" s="1">
        <v>45387</v>
      </c>
      <c r="B121">
        <v>24</v>
      </c>
      <c r="C121">
        <v>6643.1130000000003</v>
      </c>
      <c r="D121">
        <v>0</v>
      </c>
      <c r="E121">
        <f t="shared" si="2"/>
        <v>9</v>
      </c>
    </row>
    <row r="122" spans="1:5" x14ac:dyDescent="0.25">
      <c r="A122" s="1">
        <v>45388</v>
      </c>
      <c r="B122">
        <v>1</v>
      </c>
      <c r="C122">
        <v>6379.6750000000002</v>
      </c>
      <c r="D122">
        <v>0</v>
      </c>
      <c r="E122">
        <f t="shared" si="2"/>
        <v>1</v>
      </c>
    </row>
    <row r="123" spans="1:5" x14ac:dyDescent="0.25">
      <c r="A123" s="1">
        <v>45388</v>
      </c>
      <c r="B123">
        <v>2</v>
      </c>
      <c r="C123">
        <v>6134.5129999999999</v>
      </c>
      <c r="D123">
        <v>0</v>
      </c>
      <c r="E123">
        <f t="shared" si="2"/>
        <v>1</v>
      </c>
    </row>
    <row r="124" spans="1:5" x14ac:dyDescent="0.25">
      <c r="A124" s="1">
        <v>45388</v>
      </c>
      <c r="B124">
        <v>3</v>
      </c>
      <c r="C124">
        <v>5890.1</v>
      </c>
      <c r="D124">
        <v>0</v>
      </c>
      <c r="E124">
        <f t="shared" si="2"/>
        <v>1</v>
      </c>
    </row>
    <row r="125" spans="1:5" x14ac:dyDescent="0.25">
      <c r="A125" s="1">
        <v>45388</v>
      </c>
      <c r="B125">
        <v>4</v>
      </c>
      <c r="C125">
        <v>5587.5249999999996</v>
      </c>
      <c r="D125">
        <v>0</v>
      </c>
      <c r="E125">
        <f t="shared" si="2"/>
        <v>1</v>
      </c>
    </row>
    <row r="126" spans="1:5" x14ac:dyDescent="0.25">
      <c r="A126" s="1">
        <v>45388</v>
      </c>
      <c r="B126">
        <v>5</v>
      </c>
      <c r="C126">
        <v>5163.8999999999996</v>
      </c>
      <c r="D126">
        <v>0</v>
      </c>
      <c r="E126">
        <f t="shared" si="2"/>
        <v>1</v>
      </c>
    </row>
    <row r="127" spans="1:5" x14ac:dyDescent="0.25">
      <c r="A127" s="1">
        <v>45388</v>
      </c>
      <c r="B127">
        <v>6</v>
      </c>
      <c r="C127">
        <v>5173.3879999999999</v>
      </c>
      <c r="D127">
        <v>10.95</v>
      </c>
      <c r="E127">
        <f t="shared" si="2"/>
        <v>2</v>
      </c>
    </row>
    <row r="128" spans="1:5" x14ac:dyDescent="0.25">
      <c r="A128" s="1">
        <v>45388</v>
      </c>
      <c r="B128">
        <v>7</v>
      </c>
      <c r="C128">
        <v>5060.5630000000001</v>
      </c>
      <c r="D128">
        <v>302.375</v>
      </c>
      <c r="E128">
        <f t="shared" si="2"/>
        <v>1</v>
      </c>
    </row>
    <row r="129" spans="1:5" x14ac:dyDescent="0.25">
      <c r="A129" s="1">
        <v>45388</v>
      </c>
      <c r="B129">
        <v>8</v>
      </c>
      <c r="C129">
        <v>4595.5879999999997</v>
      </c>
      <c r="D129">
        <v>1375.088</v>
      </c>
      <c r="E129">
        <f t="shared" si="2"/>
        <v>1</v>
      </c>
    </row>
    <row r="130" spans="1:5" x14ac:dyDescent="0.25">
      <c r="A130" s="1">
        <v>45388</v>
      </c>
      <c r="B130">
        <v>9</v>
      </c>
      <c r="C130">
        <v>4078.0880000000002</v>
      </c>
      <c r="D130">
        <v>3297.1379999999999</v>
      </c>
      <c r="E130">
        <f t="shared" si="2"/>
        <v>1</v>
      </c>
    </row>
    <row r="131" spans="1:5" x14ac:dyDescent="0.25">
      <c r="A131" s="1">
        <v>45388</v>
      </c>
      <c r="B131">
        <v>10</v>
      </c>
      <c r="C131">
        <v>3480.3879999999999</v>
      </c>
      <c r="D131">
        <v>5189.4380000000001</v>
      </c>
      <c r="E131">
        <f t="shared" si="2"/>
        <v>1</v>
      </c>
    </row>
    <row r="132" spans="1:5" x14ac:dyDescent="0.25">
      <c r="A132" s="1">
        <v>45388</v>
      </c>
      <c r="B132">
        <v>11</v>
      </c>
      <c r="C132">
        <v>3477.2130000000002</v>
      </c>
      <c r="D132">
        <v>6562.7629999999999</v>
      </c>
      <c r="E132">
        <f t="shared" ref="E132:E195" si="3">IF(C132&gt;C131,E131+1,1)</f>
        <v>1</v>
      </c>
    </row>
    <row r="133" spans="1:5" x14ac:dyDescent="0.25">
      <c r="A133" s="1">
        <v>45388</v>
      </c>
      <c r="B133">
        <v>12</v>
      </c>
      <c r="C133">
        <v>3550.9380000000001</v>
      </c>
      <c r="D133">
        <v>8038.3</v>
      </c>
      <c r="E133">
        <f t="shared" si="3"/>
        <v>2</v>
      </c>
    </row>
    <row r="134" spans="1:5" x14ac:dyDescent="0.25">
      <c r="A134" s="1">
        <v>45388</v>
      </c>
      <c r="B134">
        <v>13</v>
      </c>
      <c r="C134">
        <v>3686</v>
      </c>
      <c r="D134">
        <v>8002.6379999999999</v>
      </c>
      <c r="E134">
        <f t="shared" si="3"/>
        <v>3</v>
      </c>
    </row>
    <row r="135" spans="1:5" x14ac:dyDescent="0.25">
      <c r="A135" s="1">
        <v>45388</v>
      </c>
      <c r="B135">
        <v>14</v>
      </c>
      <c r="C135">
        <v>3637.75</v>
      </c>
      <c r="D135">
        <v>7691.7380000000003</v>
      </c>
      <c r="E135">
        <f t="shared" si="3"/>
        <v>1</v>
      </c>
    </row>
    <row r="136" spans="1:5" x14ac:dyDescent="0.25">
      <c r="A136" s="1">
        <v>45388</v>
      </c>
      <c r="B136">
        <v>15</v>
      </c>
      <c r="C136">
        <v>3250.6129999999998</v>
      </c>
      <c r="D136">
        <v>7518.45</v>
      </c>
      <c r="E136">
        <f t="shared" si="3"/>
        <v>1</v>
      </c>
    </row>
    <row r="137" spans="1:5" x14ac:dyDescent="0.25">
      <c r="A137" s="1">
        <v>45388</v>
      </c>
      <c r="B137">
        <v>16</v>
      </c>
      <c r="C137">
        <v>2574.2379999999998</v>
      </c>
      <c r="D137">
        <v>6545.4380000000001</v>
      </c>
      <c r="E137">
        <f t="shared" si="3"/>
        <v>1</v>
      </c>
    </row>
    <row r="138" spans="1:5" x14ac:dyDescent="0.25">
      <c r="A138" s="1">
        <v>45388</v>
      </c>
      <c r="B138">
        <v>17</v>
      </c>
      <c r="C138">
        <v>1815.1</v>
      </c>
      <c r="D138">
        <v>5289.75</v>
      </c>
      <c r="E138">
        <f t="shared" si="3"/>
        <v>1</v>
      </c>
    </row>
    <row r="139" spans="1:5" x14ac:dyDescent="0.25">
      <c r="A139" s="1">
        <v>45388</v>
      </c>
      <c r="B139">
        <v>18</v>
      </c>
      <c r="C139">
        <v>1170.7629999999999</v>
      </c>
      <c r="D139">
        <v>3107.4630000000002</v>
      </c>
      <c r="E139">
        <f t="shared" si="3"/>
        <v>1</v>
      </c>
    </row>
    <row r="140" spans="1:5" x14ac:dyDescent="0.25">
      <c r="A140" s="1">
        <v>45388</v>
      </c>
      <c r="B140">
        <v>19</v>
      </c>
      <c r="C140">
        <v>628.33799999999997</v>
      </c>
      <c r="D140">
        <v>1035.1379999999999</v>
      </c>
      <c r="E140">
        <f t="shared" si="3"/>
        <v>1</v>
      </c>
    </row>
    <row r="141" spans="1:5" x14ac:dyDescent="0.25">
      <c r="A141" s="1">
        <v>45388</v>
      </c>
      <c r="B141">
        <v>20</v>
      </c>
      <c r="C141">
        <v>510.488</v>
      </c>
      <c r="D141">
        <v>152.863</v>
      </c>
      <c r="E141">
        <f t="shared" si="3"/>
        <v>1</v>
      </c>
    </row>
    <row r="142" spans="1:5" x14ac:dyDescent="0.25">
      <c r="A142" s="1">
        <v>45388</v>
      </c>
      <c r="B142">
        <v>21</v>
      </c>
      <c r="C142">
        <v>640.72500000000002</v>
      </c>
      <c r="D142">
        <v>0</v>
      </c>
      <c r="E142">
        <f t="shared" si="3"/>
        <v>2</v>
      </c>
    </row>
    <row r="143" spans="1:5" x14ac:dyDescent="0.25">
      <c r="A143" s="1">
        <v>45388</v>
      </c>
      <c r="B143">
        <v>22</v>
      </c>
      <c r="C143">
        <v>841.47500000000002</v>
      </c>
      <c r="D143">
        <v>0</v>
      </c>
      <c r="E143">
        <f t="shared" si="3"/>
        <v>3</v>
      </c>
    </row>
    <row r="144" spans="1:5" x14ac:dyDescent="0.25">
      <c r="A144" s="1">
        <v>45388</v>
      </c>
      <c r="B144">
        <v>23</v>
      </c>
      <c r="C144">
        <v>1385.2</v>
      </c>
      <c r="D144">
        <v>0</v>
      </c>
      <c r="E144">
        <f t="shared" si="3"/>
        <v>4</v>
      </c>
    </row>
    <row r="145" spans="1:5" x14ac:dyDescent="0.25">
      <c r="A145" s="1">
        <v>45388</v>
      </c>
      <c r="B145">
        <v>24</v>
      </c>
      <c r="C145">
        <v>2037.3130000000001</v>
      </c>
      <c r="D145">
        <v>0</v>
      </c>
      <c r="E145">
        <f t="shared" si="3"/>
        <v>5</v>
      </c>
    </row>
    <row r="146" spans="1:5" x14ac:dyDescent="0.25">
      <c r="A146" s="1">
        <v>45389</v>
      </c>
      <c r="B146">
        <v>1</v>
      </c>
      <c r="C146">
        <v>2619.7629999999999</v>
      </c>
      <c r="D146">
        <v>0</v>
      </c>
      <c r="E146">
        <f t="shared" si="3"/>
        <v>6</v>
      </c>
    </row>
    <row r="147" spans="1:5" x14ac:dyDescent="0.25">
      <c r="A147" s="1">
        <v>45389</v>
      </c>
      <c r="B147">
        <v>2</v>
      </c>
      <c r="C147">
        <v>3091.0129999999999</v>
      </c>
      <c r="D147">
        <v>0</v>
      </c>
      <c r="E147">
        <f t="shared" si="3"/>
        <v>7</v>
      </c>
    </row>
    <row r="148" spans="1:5" x14ac:dyDescent="0.25">
      <c r="A148" s="1">
        <v>45389</v>
      </c>
      <c r="B148">
        <v>3</v>
      </c>
      <c r="C148">
        <v>3662.3879999999999</v>
      </c>
      <c r="D148">
        <v>0</v>
      </c>
      <c r="E148">
        <f t="shared" si="3"/>
        <v>8</v>
      </c>
    </row>
    <row r="149" spans="1:5" x14ac:dyDescent="0.25">
      <c r="A149" s="1">
        <v>45389</v>
      </c>
      <c r="B149">
        <v>4</v>
      </c>
      <c r="C149">
        <v>4079.4250000000002</v>
      </c>
      <c r="D149">
        <v>0</v>
      </c>
      <c r="E149">
        <f t="shared" si="3"/>
        <v>9</v>
      </c>
    </row>
    <row r="150" spans="1:5" x14ac:dyDescent="0.25">
      <c r="A150" s="1">
        <v>45389</v>
      </c>
      <c r="B150">
        <v>5</v>
      </c>
      <c r="C150">
        <v>4390.8500000000004</v>
      </c>
      <c r="D150">
        <v>0</v>
      </c>
      <c r="E150">
        <f t="shared" si="3"/>
        <v>10</v>
      </c>
    </row>
    <row r="151" spans="1:5" x14ac:dyDescent="0.25">
      <c r="A151" s="1">
        <v>45389</v>
      </c>
      <c r="B151">
        <v>6</v>
      </c>
      <c r="C151">
        <v>4557.6130000000003</v>
      </c>
      <c r="D151">
        <v>6.7880000000000003</v>
      </c>
      <c r="E151">
        <f t="shared" si="3"/>
        <v>11</v>
      </c>
    </row>
    <row r="152" spans="1:5" x14ac:dyDescent="0.25">
      <c r="A152" s="1">
        <v>45389</v>
      </c>
      <c r="B152">
        <v>7</v>
      </c>
      <c r="C152">
        <v>4803.3500000000004</v>
      </c>
      <c r="D152">
        <v>327.39999999999998</v>
      </c>
      <c r="E152">
        <f t="shared" si="3"/>
        <v>12</v>
      </c>
    </row>
    <row r="153" spans="1:5" x14ac:dyDescent="0.25">
      <c r="A153" s="1">
        <v>45389</v>
      </c>
      <c r="B153">
        <v>8</v>
      </c>
      <c r="C153">
        <v>4993.1880000000001</v>
      </c>
      <c r="D153">
        <v>1778.9380000000001</v>
      </c>
      <c r="E153">
        <f t="shared" si="3"/>
        <v>13</v>
      </c>
    </row>
    <row r="154" spans="1:5" x14ac:dyDescent="0.25">
      <c r="A154" s="1">
        <v>45389</v>
      </c>
      <c r="B154">
        <v>9</v>
      </c>
      <c r="C154">
        <v>4525.8130000000001</v>
      </c>
      <c r="D154">
        <v>3994.5250000000001</v>
      </c>
      <c r="E154">
        <f t="shared" si="3"/>
        <v>1</v>
      </c>
    </row>
    <row r="155" spans="1:5" x14ac:dyDescent="0.25">
      <c r="A155" s="1">
        <v>45389</v>
      </c>
      <c r="B155">
        <v>10</v>
      </c>
      <c r="C155">
        <v>3707.1880000000001</v>
      </c>
      <c r="D155">
        <v>5784.4880000000003</v>
      </c>
      <c r="E155">
        <f t="shared" si="3"/>
        <v>1</v>
      </c>
    </row>
    <row r="156" spans="1:5" x14ac:dyDescent="0.25">
      <c r="A156" s="1">
        <v>45389</v>
      </c>
      <c r="B156">
        <v>11</v>
      </c>
      <c r="C156">
        <v>3536.3629999999998</v>
      </c>
      <c r="D156">
        <v>7371.8379999999997</v>
      </c>
      <c r="E156">
        <f t="shared" si="3"/>
        <v>1</v>
      </c>
    </row>
    <row r="157" spans="1:5" x14ac:dyDescent="0.25">
      <c r="A157" s="1">
        <v>45389</v>
      </c>
      <c r="B157">
        <v>12</v>
      </c>
      <c r="C157">
        <v>3839.4250000000002</v>
      </c>
      <c r="D157">
        <v>7463.9750000000004</v>
      </c>
      <c r="E157">
        <f t="shared" si="3"/>
        <v>2</v>
      </c>
    </row>
    <row r="158" spans="1:5" x14ac:dyDescent="0.25">
      <c r="A158" s="1">
        <v>45389</v>
      </c>
      <c r="B158">
        <v>13</v>
      </c>
      <c r="C158">
        <v>4186.2</v>
      </c>
      <c r="D158">
        <v>7302.5</v>
      </c>
      <c r="E158">
        <f t="shared" si="3"/>
        <v>3</v>
      </c>
    </row>
    <row r="159" spans="1:5" x14ac:dyDescent="0.25">
      <c r="A159" s="1">
        <v>45389</v>
      </c>
      <c r="B159">
        <v>14</v>
      </c>
      <c r="C159">
        <v>3318.25</v>
      </c>
      <c r="D159">
        <v>7102.75</v>
      </c>
      <c r="E159">
        <f t="shared" si="3"/>
        <v>1</v>
      </c>
    </row>
    <row r="160" spans="1:5" x14ac:dyDescent="0.25">
      <c r="A160" s="1">
        <v>45389</v>
      </c>
      <c r="B160">
        <v>15</v>
      </c>
      <c r="C160">
        <v>2636.8879999999999</v>
      </c>
      <c r="D160">
        <v>6636.6</v>
      </c>
      <c r="E160">
        <f t="shared" si="3"/>
        <v>1</v>
      </c>
    </row>
    <row r="161" spans="1:5" x14ac:dyDescent="0.25">
      <c r="A161" s="1">
        <v>45389</v>
      </c>
      <c r="B161">
        <v>16</v>
      </c>
      <c r="C161">
        <v>2253.6999999999998</v>
      </c>
      <c r="D161">
        <v>5685.6880000000001</v>
      </c>
      <c r="E161">
        <f t="shared" si="3"/>
        <v>1</v>
      </c>
    </row>
    <row r="162" spans="1:5" x14ac:dyDescent="0.25">
      <c r="A162" s="1">
        <v>45389</v>
      </c>
      <c r="B162">
        <v>17</v>
      </c>
      <c r="C162">
        <v>1804.35</v>
      </c>
      <c r="D162">
        <v>5050.8500000000004</v>
      </c>
      <c r="E162">
        <f t="shared" si="3"/>
        <v>1</v>
      </c>
    </row>
    <row r="163" spans="1:5" x14ac:dyDescent="0.25">
      <c r="A163" s="1">
        <v>45389</v>
      </c>
      <c r="B163">
        <v>18</v>
      </c>
      <c r="C163">
        <v>1486.4749999999999</v>
      </c>
      <c r="D163">
        <v>3331.9630000000002</v>
      </c>
      <c r="E163">
        <f t="shared" si="3"/>
        <v>1</v>
      </c>
    </row>
    <row r="164" spans="1:5" x14ac:dyDescent="0.25">
      <c r="A164" s="1">
        <v>45389</v>
      </c>
      <c r="B164">
        <v>19</v>
      </c>
      <c r="C164">
        <v>1384</v>
      </c>
      <c r="D164">
        <v>1437.3</v>
      </c>
      <c r="E164">
        <f t="shared" si="3"/>
        <v>1</v>
      </c>
    </row>
    <row r="165" spans="1:5" x14ac:dyDescent="0.25">
      <c r="A165" s="1">
        <v>45389</v>
      </c>
      <c r="B165">
        <v>20</v>
      </c>
      <c r="C165">
        <v>1703.15</v>
      </c>
      <c r="D165">
        <v>184.92500000000001</v>
      </c>
      <c r="E165">
        <f t="shared" si="3"/>
        <v>2</v>
      </c>
    </row>
    <row r="166" spans="1:5" x14ac:dyDescent="0.25">
      <c r="A166" s="1">
        <v>45389</v>
      </c>
      <c r="B166">
        <v>21</v>
      </c>
      <c r="C166">
        <v>2095.3249999999998</v>
      </c>
      <c r="D166">
        <v>0</v>
      </c>
      <c r="E166">
        <f t="shared" si="3"/>
        <v>3</v>
      </c>
    </row>
    <row r="167" spans="1:5" x14ac:dyDescent="0.25">
      <c r="A167" s="1">
        <v>45389</v>
      </c>
      <c r="B167">
        <v>22</v>
      </c>
      <c r="C167">
        <v>2056.4380000000001</v>
      </c>
      <c r="D167">
        <v>0</v>
      </c>
      <c r="E167">
        <f t="shared" si="3"/>
        <v>1</v>
      </c>
    </row>
    <row r="168" spans="1:5" x14ac:dyDescent="0.25">
      <c r="A168" s="1">
        <v>45389</v>
      </c>
      <c r="B168">
        <v>23</v>
      </c>
      <c r="C168">
        <v>2193.1750000000002</v>
      </c>
      <c r="D168">
        <v>0</v>
      </c>
      <c r="E168">
        <f t="shared" si="3"/>
        <v>2</v>
      </c>
    </row>
    <row r="169" spans="1:5" x14ac:dyDescent="0.25">
      <c r="A169" s="1">
        <v>45389</v>
      </c>
      <c r="B169">
        <v>24</v>
      </c>
      <c r="C169">
        <v>2213.663</v>
      </c>
      <c r="D169">
        <v>0</v>
      </c>
      <c r="E169">
        <f t="shared" si="3"/>
        <v>3</v>
      </c>
    </row>
    <row r="170" spans="1:5" x14ac:dyDescent="0.25">
      <c r="A170" s="1">
        <v>45390</v>
      </c>
      <c r="B170">
        <v>1</v>
      </c>
      <c r="C170">
        <v>2449.7379999999998</v>
      </c>
      <c r="D170">
        <v>0</v>
      </c>
      <c r="E170">
        <f t="shared" si="3"/>
        <v>4</v>
      </c>
    </row>
    <row r="171" spans="1:5" x14ac:dyDescent="0.25">
      <c r="A171" s="1">
        <v>45390</v>
      </c>
      <c r="B171">
        <v>2</v>
      </c>
      <c r="C171">
        <v>2901.4879999999998</v>
      </c>
      <c r="D171">
        <v>0</v>
      </c>
      <c r="E171">
        <f t="shared" si="3"/>
        <v>5</v>
      </c>
    </row>
    <row r="172" spans="1:5" x14ac:dyDescent="0.25">
      <c r="A172" s="1">
        <v>45390</v>
      </c>
      <c r="B172">
        <v>3</v>
      </c>
      <c r="C172">
        <v>3262.35</v>
      </c>
      <c r="D172">
        <v>0</v>
      </c>
      <c r="E172">
        <f t="shared" si="3"/>
        <v>6</v>
      </c>
    </row>
    <row r="173" spans="1:5" x14ac:dyDescent="0.25">
      <c r="A173" s="1">
        <v>45390</v>
      </c>
      <c r="B173">
        <v>4</v>
      </c>
      <c r="C173">
        <v>3337.75</v>
      </c>
      <c r="D173">
        <v>0</v>
      </c>
      <c r="E173">
        <f t="shared" si="3"/>
        <v>7</v>
      </c>
    </row>
    <row r="174" spans="1:5" x14ac:dyDescent="0.25">
      <c r="A174" s="1">
        <v>45390</v>
      </c>
      <c r="B174">
        <v>5</v>
      </c>
      <c r="C174">
        <v>3526.95</v>
      </c>
      <c r="D174">
        <v>0</v>
      </c>
      <c r="E174">
        <f t="shared" si="3"/>
        <v>8</v>
      </c>
    </row>
    <row r="175" spans="1:5" x14ac:dyDescent="0.25">
      <c r="A175" s="1">
        <v>45390</v>
      </c>
      <c r="B175">
        <v>6</v>
      </c>
      <c r="C175">
        <v>3359.0880000000002</v>
      </c>
      <c r="D175">
        <v>5.45</v>
      </c>
      <c r="E175">
        <f t="shared" si="3"/>
        <v>1</v>
      </c>
    </row>
    <row r="176" spans="1:5" x14ac:dyDescent="0.25">
      <c r="A176" s="1">
        <v>45390</v>
      </c>
      <c r="B176">
        <v>7</v>
      </c>
      <c r="C176">
        <v>3238.2379999999998</v>
      </c>
      <c r="D176">
        <v>252.85</v>
      </c>
      <c r="E176">
        <f t="shared" si="3"/>
        <v>1</v>
      </c>
    </row>
    <row r="177" spans="1:5" x14ac:dyDescent="0.25">
      <c r="A177" s="1">
        <v>45390</v>
      </c>
      <c r="B177">
        <v>8</v>
      </c>
      <c r="C177">
        <v>2777.2130000000002</v>
      </c>
      <c r="D177">
        <v>1385.5250000000001</v>
      </c>
      <c r="E177">
        <f t="shared" si="3"/>
        <v>1</v>
      </c>
    </row>
    <row r="178" spans="1:5" x14ac:dyDescent="0.25">
      <c r="A178" s="1">
        <v>45390</v>
      </c>
      <c r="B178">
        <v>9</v>
      </c>
      <c r="C178">
        <v>2223.1379999999999</v>
      </c>
      <c r="D178">
        <v>3341.9250000000002</v>
      </c>
      <c r="E178">
        <f t="shared" si="3"/>
        <v>1</v>
      </c>
    </row>
    <row r="179" spans="1:5" x14ac:dyDescent="0.25">
      <c r="A179" s="1">
        <v>45390</v>
      </c>
      <c r="B179">
        <v>10</v>
      </c>
      <c r="C179">
        <v>1588.538</v>
      </c>
      <c r="D179">
        <v>5432.875</v>
      </c>
      <c r="E179">
        <f t="shared" si="3"/>
        <v>1</v>
      </c>
    </row>
    <row r="180" spans="1:5" x14ac:dyDescent="0.25">
      <c r="A180" s="1">
        <v>45390</v>
      </c>
      <c r="B180">
        <v>11</v>
      </c>
      <c r="C180">
        <v>915.98800000000006</v>
      </c>
      <c r="D180">
        <v>7068.7129999999997</v>
      </c>
      <c r="E180">
        <f t="shared" si="3"/>
        <v>1</v>
      </c>
    </row>
    <row r="181" spans="1:5" x14ac:dyDescent="0.25">
      <c r="A181" s="1">
        <v>45390</v>
      </c>
      <c r="B181">
        <v>12</v>
      </c>
      <c r="C181">
        <v>832.625</v>
      </c>
      <c r="D181">
        <v>8205.9</v>
      </c>
      <c r="E181">
        <f t="shared" si="3"/>
        <v>1</v>
      </c>
    </row>
    <row r="182" spans="1:5" x14ac:dyDescent="0.25">
      <c r="A182" s="1">
        <v>45390</v>
      </c>
      <c r="B182">
        <v>13</v>
      </c>
      <c r="C182">
        <v>892.85</v>
      </c>
      <c r="D182">
        <v>8629.9750000000004</v>
      </c>
      <c r="E182">
        <f t="shared" si="3"/>
        <v>2</v>
      </c>
    </row>
    <row r="183" spans="1:5" x14ac:dyDescent="0.25">
      <c r="A183" s="1">
        <v>45390</v>
      </c>
      <c r="B183">
        <v>14</v>
      </c>
      <c r="C183">
        <v>870.73800000000006</v>
      </c>
      <c r="D183">
        <v>8919.8880000000008</v>
      </c>
      <c r="E183">
        <f t="shared" si="3"/>
        <v>1</v>
      </c>
    </row>
    <row r="184" spans="1:5" x14ac:dyDescent="0.25">
      <c r="A184" s="1">
        <v>45390</v>
      </c>
      <c r="B184">
        <v>15</v>
      </c>
      <c r="C184">
        <v>959.05</v>
      </c>
      <c r="D184">
        <v>8460.6630000000005</v>
      </c>
      <c r="E184">
        <f t="shared" si="3"/>
        <v>2</v>
      </c>
    </row>
    <row r="185" spans="1:5" x14ac:dyDescent="0.25">
      <c r="A185" s="1">
        <v>45390</v>
      </c>
      <c r="B185">
        <v>16</v>
      </c>
      <c r="C185">
        <v>1044.413</v>
      </c>
      <c r="D185">
        <v>7095.7250000000004</v>
      </c>
      <c r="E185">
        <f t="shared" si="3"/>
        <v>3</v>
      </c>
    </row>
    <row r="186" spans="1:5" x14ac:dyDescent="0.25">
      <c r="A186" s="1">
        <v>45390</v>
      </c>
      <c r="B186">
        <v>17</v>
      </c>
      <c r="C186">
        <v>1297.075</v>
      </c>
      <c r="D186">
        <v>5410.875</v>
      </c>
      <c r="E186">
        <f t="shared" si="3"/>
        <v>4</v>
      </c>
    </row>
    <row r="187" spans="1:5" x14ac:dyDescent="0.25">
      <c r="A187" s="1">
        <v>45390</v>
      </c>
      <c r="B187">
        <v>18</v>
      </c>
      <c r="C187">
        <v>1413.0630000000001</v>
      </c>
      <c r="D187">
        <v>3017.8629999999998</v>
      </c>
      <c r="E187">
        <f t="shared" si="3"/>
        <v>5</v>
      </c>
    </row>
    <row r="188" spans="1:5" x14ac:dyDescent="0.25">
      <c r="A188" s="1">
        <v>45390</v>
      </c>
      <c r="B188">
        <v>19</v>
      </c>
      <c r="C188">
        <v>1538.7249999999999</v>
      </c>
      <c r="D188">
        <v>1106.213</v>
      </c>
      <c r="E188">
        <f t="shared" si="3"/>
        <v>6</v>
      </c>
    </row>
    <row r="189" spans="1:5" x14ac:dyDescent="0.25">
      <c r="A189" s="1">
        <v>45390</v>
      </c>
      <c r="B189">
        <v>20</v>
      </c>
      <c r="C189">
        <v>1852.038</v>
      </c>
      <c r="D189">
        <v>256.01299999999998</v>
      </c>
      <c r="E189">
        <f t="shared" si="3"/>
        <v>7</v>
      </c>
    </row>
    <row r="190" spans="1:5" x14ac:dyDescent="0.25">
      <c r="A190" s="1">
        <v>45390</v>
      </c>
      <c r="B190">
        <v>21</v>
      </c>
      <c r="C190">
        <v>2617.7249999999999</v>
      </c>
      <c r="D190">
        <v>0</v>
      </c>
      <c r="E190">
        <f t="shared" si="3"/>
        <v>8</v>
      </c>
    </row>
    <row r="191" spans="1:5" x14ac:dyDescent="0.25">
      <c r="A191" s="1">
        <v>45390</v>
      </c>
      <c r="B191">
        <v>22</v>
      </c>
      <c r="C191">
        <v>3282.9</v>
      </c>
      <c r="D191">
        <v>0</v>
      </c>
      <c r="E191">
        <f t="shared" si="3"/>
        <v>9</v>
      </c>
    </row>
    <row r="192" spans="1:5" x14ac:dyDescent="0.25">
      <c r="A192" s="1">
        <v>45390</v>
      </c>
      <c r="B192">
        <v>23</v>
      </c>
      <c r="C192">
        <v>3672.3</v>
      </c>
      <c r="D192">
        <v>0</v>
      </c>
      <c r="E192">
        <f t="shared" si="3"/>
        <v>10</v>
      </c>
    </row>
    <row r="193" spans="1:5" x14ac:dyDescent="0.25">
      <c r="A193" s="1">
        <v>45390</v>
      </c>
      <c r="B193">
        <v>24</v>
      </c>
      <c r="C193">
        <v>3816.875</v>
      </c>
      <c r="D193">
        <v>0</v>
      </c>
      <c r="E193">
        <f t="shared" si="3"/>
        <v>11</v>
      </c>
    </row>
    <row r="194" spans="1:5" x14ac:dyDescent="0.25">
      <c r="A194" s="1">
        <v>45391</v>
      </c>
      <c r="B194">
        <v>1</v>
      </c>
      <c r="C194">
        <v>3853.125</v>
      </c>
      <c r="D194">
        <v>0</v>
      </c>
      <c r="E194">
        <f t="shared" si="3"/>
        <v>12</v>
      </c>
    </row>
    <row r="195" spans="1:5" x14ac:dyDescent="0.25">
      <c r="A195" s="1">
        <v>45391</v>
      </c>
      <c r="B195">
        <v>2</v>
      </c>
      <c r="C195">
        <v>3738.3249999999998</v>
      </c>
      <c r="D195">
        <v>0</v>
      </c>
      <c r="E195">
        <f t="shared" si="3"/>
        <v>1</v>
      </c>
    </row>
    <row r="196" spans="1:5" x14ac:dyDescent="0.25">
      <c r="A196" s="1">
        <v>45391</v>
      </c>
      <c r="B196">
        <v>3</v>
      </c>
      <c r="C196">
        <v>3232.5749999999998</v>
      </c>
      <c r="D196">
        <v>0</v>
      </c>
      <c r="E196">
        <f t="shared" ref="E196:E259" si="4">IF(C196&gt;C195,E195+1,1)</f>
        <v>1</v>
      </c>
    </row>
    <row r="197" spans="1:5" x14ac:dyDescent="0.25">
      <c r="A197" s="1">
        <v>45391</v>
      </c>
      <c r="B197">
        <v>4</v>
      </c>
      <c r="C197">
        <v>2819.7629999999999</v>
      </c>
      <c r="D197">
        <v>0</v>
      </c>
      <c r="E197">
        <f t="shared" si="4"/>
        <v>1</v>
      </c>
    </row>
    <row r="198" spans="1:5" x14ac:dyDescent="0.25">
      <c r="A198" s="1">
        <v>45391</v>
      </c>
      <c r="B198">
        <v>5</v>
      </c>
      <c r="C198">
        <v>2528.3130000000001</v>
      </c>
      <c r="D198">
        <v>0</v>
      </c>
      <c r="E198">
        <f t="shared" si="4"/>
        <v>1</v>
      </c>
    </row>
    <row r="199" spans="1:5" x14ac:dyDescent="0.25">
      <c r="A199" s="1">
        <v>45391</v>
      </c>
      <c r="B199">
        <v>6</v>
      </c>
      <c r="C199">
        <v>2277.6129999999998</v>
      </c>
      <c r="D199">
        <v>49.713000000000001</v>
      </c>
      <c r="E199">
        <f t="shared" si="4"/>
        <v>1</v>
      </c>
    </row>
    <row r="200" spans="1:5" x14ac:dyDescent="0.25">
      <c r="A200" s="1">
        <v>45391</v>
      </c>
      <c r="B200">
        <v>7</v>
      </c>
      <c r="C200">
        <v>1961.788</v>
      </c>
      <c r="D200">
        <v>451.45</v>
      </c>
      <c r="E200">
        <f t="shared" si="4"/>
        <v>1</v>
      </c>
    </row>
    <row r="201" spans="1:5" x14ac:dyDescent="0.25">
      <c r="A201" s="1">
        <v>45391</v>
      </c>
      <c r="B201">
        <v>8</v>
      </c>
      <c r="C201">
        <v>1698.2750000000001</v>
      </c>
      <c r="D201">
        <v>1940.575</v>
      </c>
      <c r="E201">
        <f t="shared" si="4"/>
        <v>1</v>
      </c>
    </row>
    <row r="202" spans="1:5" x14ac:dyDescent="0.25">
      <c r="A202" s="1">
        <v>45391</v>
      </c>
      <c r="B202">
        <v>9</v>
      </c>
      <c r="C202">
        <v>1245.0999999999999</v>
      </c>
      <c r="D202">
        <v>4466.875</v>
      </c>
      <c r="E202">
        <f t="shared" si="4"/>
        <v>1</v>
      </c>
    </row>
    <row r="203" spans="1:5" x14ac:dyDescent="0.25">
      <c r="A203" s="1">
        <v>45391</v>
      </c>
      <c r="B203">
        <v>10</v>
      </c>
      <c r="C203">
        <v>799.86300000000006</v>
      </c>
      <c r="D203">
        <v>7182.9750000000004</v>
      </c>
      <c r="E203">
        <f t="shared" si="4"/>
        <v>1</v>
      </c>
    </row>
    <row r="204" spans="1:5" x14ac:dyDescent="0.25">
      <c r="A204" s="1">
        <v>45391</v>
      </c>
      <c r="B204">
        <v>11</v>
      </c>
      <c r="C204">
        <v>671</v>
      </c>
      <c r="D204">
        <v>8564.7250000000004</v>
      </c>
      <c r="E204">
        <f t="shared" si="4"/>
        <v>1</v>
      </c>
    </row>
    <row r="205" spans="1:5" x14ac:dyDescent="0.25">
      <c r="A205" s="1">
        <v>45391</v>
      </c>
      <c r="B205">
        <v>12</v>
      </c>
      <c r="C205">
        <v>777.7</v>
      </c>
      <c r="D205">
        <v>9683.5750000000007</v>
      </c>
      <c r="E205">
        <f t="shared" si="4"/>
        <v>2</v>
      </c>
    </row>
    <row r="206" spans="1:5" x14ac:dyDescent="0.25">
      <c r="A206" s="1">
        <v>45391</v>
      </c>
      <c r="B206">
        <v>13</v>
      </c>
      <c r="C206">
        <v>1114.325</v>
      </c>
      <c r="D206">
        <v>10529.963</v>
      </c>
      <c r="E206">
        <f t="shared" si="4"/>
        <v>3</v>
      </c>
    </row>
    <row r="207" spans="1:5" x14ac:dyDescent="0.25">
      <c r="A207" s="1">
        <v>45391</v>
      </c>
      <c r="B207">
        <v>14</v>
      </c>
      <c r="C207">
        <v>1516.713</v>
      </c>
      <c r="D207">
        <v>10167.013000000001</v>
      </c>
      <c r="E207">
        <f t="shared" si="4"/>
        <v>4</v>
      </c>
    </row>
    <row r="208" spans="1:5" x14ac:dyDescent="0.25">
      <c r="A208" s="1">
        <v>45391</v>
      </c>
      <c r="B208">
        <v>15</v>
      </c>
      <c r="C208">
        <v>1790.7249999999999</v>
      </c>
      <c r="D208">
        <v>9447.0249999999996</v>
      </c>
      <c r="E208">
        <f t="shared" si="4"/>
        <v>5</v>
      </c>
    </row>
    <row r="209" spans="1:5" x14ac:dyDescent="0.25">
      <c r="A209" s="1">
        <v>45391</v>
      </c>
      <c r="B209">
        <v>16</v>
      </c>
      <c r="C209">
        <v>2123.25</v>
      </c>
      <c r="D209">
        <v>8104.0129999999999</v>
      </c>
      <c r="E209">
        <f t="shared" si="4"/>
        <v>6</v>
      </c>
    </row>
    <row r="210" spans="1:5" x14ac:dyDescent="0.25">
      <c r="A210" s="1">
        <v>45391</v>
      </c>
      <c r="B210">
        <v>17</v>
      </c>
      <c r="C210">
        <v>2324.5630000000001</v>
      </c>
      <c r="D210">
        <v>5836.4750000000004</v>
      </c>
      <c r="E210">
        <f t="shared" si="4"/>
        <v>7</v>
      </c>
    </row>
    <row r="211" spans="1:5" x14ac:dyDescent="0.25">
      <c r="A211" s="1">
        <v>45391</v>
      </c>
      <c r="B211">
        <v>18</v>
      </c>
      <c r="C211">
        <v>2379.5500000000002</v>
      </c>
      <c r="D211">
        <v>3212.9879999999998</v>
      </c>
      <c r="E211">
        <f t="shared" si="4"/>
        <v>8</v>
      </c>
    </row>
    <row r="212" spans="1:5" x14ac:dyDescent="0.25">
      <c r="A212" s="1">
        <v>45391</v>
      </c>
      <c r="B212">
        <v>19</v>
      </c>
      <c r="C212">
        <v>2677.45</v>
      </c>
      <c r="D212">
        <v>1144.95</v>
      </c>
      <c r="E212">
        <f t="shared" si="4"/>
        <v>9</v>
      </c>
    </row>
    <row r="213" spans="1:5" x14ac:dyDescent="0.25">
      <c r="A213" s="1">
        <v>45391</v>
      </c>
      <c r="B213">
        <v>20</v>
      </c>
      <c r="C213">
        <v>3303.875</v>
      </c>
      <c r="D213">
        <v>249.01300000000001</v>
      </c>
      <c r="E213">
        <f t="shared" si="4"/>
        <v>10</v>
      </c>
    </row>
    <row r="214" spans="1:5" x14ac:dyDescent="0.25">
      <c r="A214" s="1">
        <v>45391</v>
      </c>
      <c r="B214">
        <v>21</v>
      </c>
      <c r="C214">
        <v>4048.4630000000002</v>
      </c>
      <c r="D214">
        <v>0</v>
      </c>
      <c r="E214">
        <f t="shared" si="4"/>
        <v>11</v>
      </c>
    </row>
    <row r="215" spans="1:5" x14ac:dyDescent="0.25">
      <c r="A215" s="1">
        <v>45391</v>
      </c>
      <c r="B215">
        <v>22</v>
      </c>
      <c r="C215">
        <v>4693.8379999999997</v>
      </c>
      <c r="D215">
        <v>0</v>
      </c>
      <c r="E215">
        <f t="shared" si="4"/>
        <v>12</v>
      </c>
    </row>
    <row r="216" spans="1:5" x14ac:dyDescent="0.25">
      <c r="A216" s="1">
        <v>45391</v>
      </c>
      <c r="B216">
        <v>23</v>
      </c>
      <c r="C216">
        <v>5564.8</v>
      </c>
      <c r="D216">
        <v>0</v>
      </c>
      <c r="E216">
        <f t="shared" si="4"/>
        <v>13</v>
      </c>
    </row>
    <row r="217" spans="1:5" x14ac:dyDescent="0.25">
      <c r="A217" s="1">
        <v>45391</v>
      </c>
      <c r="B217">
        <v>24</v>
      </c>
      <c r="C217">
        <v>5323.7250000000004</v>
      </c>
      <c r="D217">
        <v>0</v>
      </c>
      <c r="E217">
        <f t="shared" si="4"/>
        <v>1</v>
      </c>
    </row>
    <row r="218" spans="1:5" x14ac:dyDescent="0.25">
      <c r="A218" s="1">
        <v>45392</v>
      </c>
      <c r="B218">
        <v>1</v>
      </c>
      <c r="C218">
        <v>4951.875</v>
      </c>
      <c r="D218">
        <v>0</v>
      </c>
      <c r="E218">
        <f t="shared" si="4"/>
        <v>1</v>
      </c>
    </row>
    <row r="219" spans="1:5" x14ac:dyDescent="0.25">
      <c r="A219" s="1">
        <v>45392</v>
      </c>
      <c r="B219">
        <v>2</v>
      </c>
      <c r="C219">
        <v>4908.4129999999996</v>
      </c>
      <c r="D219">
        <v>0</v>
      </c>
      <c r="E219">
        <f t="shared" si="4"/>
        <v>1</v>
      </c>
    </row>
    <row r="220" spans="1:5" x14ac:dyDescent="0.25">
      <c r="A220" s="1">
        <v>45392</v>
      </c>
      <c r="B220">
        <v>3</v>
      </c>
      <c r="C220">
        <v>4634.95</v>
      </c>
      <c r="D220">
        <v>0</v>
      </c>
      <c r="E220">
        <f t="shared" si="4"/>
        <v>1</v>
      </c>
    </row>
    <row r="221" spans="1:5" x14ac:dyDescent="0.25">
      <c r="A221" s="1">
        <v>45392</v>
      </c>
      <c r="B221">
        <v>4</v>
      </c>
      <c r="C221">
        <v>4623.1130000000003</v>
      </c>
      <c r="D221">
        <v>0</v>
      </c>
      <c r="E221">
        <f t="shared" si="4"/>
        <v>1</v>
      </c>
    </row>
    <row r="222" spans="1:5" x14ac:dyDescent="0.25">
      <c r="A222" s="1">
        <v>45392</v>
      </c>
      <c r="B222">
        <v>5</v>
      </c>
      <c r="C222">
        <v>4552.6379999999999</v>
      </c>
      <c r="D222">
        <v>0</v>
      </c>
      <c r="E222">
        <f t="shared" si="4"/>
        <v>1</v>
      </c>
    </row>
    <row r="223" spans="1:5" x14ac:dyDescent="0.25">
      <c r="A223" s="1">
        <v>45392</v>
      </c>
      <c r="B223">
        <v>6</v>
      </c>
      <c r="C223">
        <v>4404.45</v>
      </c>
      <c r="D223">
        <v>51.438000000000002</v>
      </c>
      <c r="E223">
        <f t="shared" si="4"/>
        <v>1</v>
      </c>
    </row>
    <row r="224" spans="1:5" x14ac:dyDescent="0.25">
      <c r="A224" s="1">
        <v>45392</v>
      </c>
      <c r="B224">
        <v>7</v>
      </c>
      <c r="C224">
        <v>4126.7879999999996</v>
      </c>
      <c r="D224">
        <v>383.1</v>
      </c>
      <c r="E224">
        <f t="shared" si="4"/>
        <v>1</v>
      </c>
    </row>
    <row r="225" spans="1:5" x14ac:dyDescent="0.25">
      <c r="A225" s="1">
        <v>45392</v>
      </c>
      <c r="B225">
        <v>8</v>
      </c>
      <c r="C225">
        <v>4069.15</v>
      </c>
      <c r="D225">
        <v>1176.413</v>
      </c>
      <c r="E225">
        <f t="shared" si="4"/>
        <v>1</v>
      </c>
    </row>
    <row r="226" spans="1:5" x14ac:dyDescent="0.25">
      <c r="A226" s="1">
        <v>45392</v>
      </c>
      <c r="B226">
        <v>9</v>
      </c>
      <c r="C226">
        <v>3913.0250000000001</v>
      </c>
      <c r="D226">
        <v>2085.15</v>
      </c>
      <c r="E226">
        <f t="shared" si="4"/>
        <v>1</v>
      </c>
    </row>
    <row r="227" spans="1:5" x14ac:dyDescent="0.25">
      <c r="A227" s="1">
        <v>45392</v>
      </c>
      <c r="B227">
        <v>10</v>
      </c>
      <c r="C227">
        <v>3838.6750000000002</v>
      </c>
      <c r="D227">
        <v>2938.3380000000002</v>
      </c>
      <c r="E227">
        <f t="shared" si="4"/>
        <v>1</v>
      </c>
    </row>
    <row r="228" spans="1:5" x14ac:dyDescent="0.25">
      <c r="A228" s="1">
        <v>45392</v>
      </c>
      <c r="B228">
        <v>11</v>
      </c>
      <c r="C228">
        <v>4091.8629999999998</v>
      </c>
      <c r="D228">
        <v>4072.788</v>
      </c>
      <c r="E228">
        <f t="shared" si="4"/>
        <v>2</v>
      </c>
    </row>
    <row r="229" spans="1:5" x14ac:dyDescent="0.25">
      <c r="A229" s="1">
        <v>45392</v>
      </c>
      <c r="B229">
        <v>12</v>
      </c>
      <c r="C229">
        <v>4197.125</v>
      </c>
      <c r="D229">
        <v>4948.7</v>
      </c>
      <c r="E229">
        <f t="shared" si="4"/>
        <v>3</v>
      </c>
    </row>
    <row r="230" spans="1:5" x14ac:dyDescent="0.25">
      <c r="A230" s="1">
        <v>45392</v>
      </c>
      <c r="B230">
        <v>13</v>
      </c>
      <c r="C230">
        <v>4160.1499999999996</v>
      </c>
      <c r="D230">
        <v>5479.7250000000004</v>
      </c>
      <c r="E230">
        <f t="shared" si="4"/>
        <v>1</v>
      </c>
    </row>
    <row r="231" spans="1:5" x14ac:dyDescent="0.25">
      <c r="A231" s="1">
        <v>45392</v>
      </c>
      <c r="B231">
        <v>14</v>
      </c>
      <c r="C231">
        <v>3900.95</v>
      </c>
      <c r="D231">
        <v>5619</v>
      </c>
      <c r="E231">
        <f t="shared" si="4"/>
        <v>1</v>
      </c>
    </row>
    <row r="232" spans="1:5" x14ac:dyDescent="0.25">
      <c r="A232" s="1">
        <v>45392</v>
      </c>
      <c r="B232">
        <v>15</v>
      </c>
      <c r="C232">
        <v>3837.4250000000002</v>
      </c>
      <c r="D232">
        <v>5315.4250000000002</v>
      </c>
      <c r="E232">
        <f t="shared" si="4"/>
        <v>1</v>
      </c>
    </row>
    <row r="233" spans="1:5" x14ac:dyDescent="0.25">
      <c r="A233" s="1">
        <v>45392</v>
      </c>
      <c r="B233">
        <v>16</v>
      </c>
      <c r="C233">
        <v>3739.0630000000001</v>
      </c>
      <c r="D233">
        <v>4515.6379999999999</v>
      </c>
      <c r="E233">
        <f t="shared" si="4"/>
        <v>1</v>
      </c>
    </row>
    <row r="234" spans="1:5" x14ac:dyDescent="0.25">
      <c r="A234" s="1">
        <v>45392</v>
      </c>
      <c r="B234">
        <v>17</v>
      </c>
      <c r="C234">
        <v>3906.1750000000002</v>
      </c>
      <c r="D234">
        <v>3256.5880000000002</v>
      </c>
      <c r="E234">
        <f t="shared" si="4"/>
        <v>2</v>
      </c>
    </row>
    <row r="235" spans="1:5" x14ac:dyDescent="0.25">
      <c r="A235" s="1">
        <v>45392</v>
      </c>
      <c r="B235">
        <v>18</v>
      </c>
      <c r="C235">
        <v>3960.7629999999999</v>
      </c>
      <c r="D235">
        <v>1974.6130000000001</v>
      </c>
      <c r="E235">
        <f t="shared" si="4"/>
        <v>3</v>
      </c>
    </row>
    <row r="236" spans="1:5" x14ac:dyDescent="0.25">
      <c r="A236" s="1">
        <v>45392</v>
      </c>
      <c r="B236">
        <v>19</v>
      </c>
      <c r="C236">
        <v>3623.4250000000002</v>
      </c>
      <c r="D236">
        <v>886.15</v>
      </c>
      <c r="E236">
        <f t="shared" si="4"/>
        <v>1</v>
      </c>
    </row>
    <row r="237" spans="1:5" x14ac:dyDescent="0.25">
      <c r="A237" s="1">
        <v>45392</v>
      </c>
      <c r="B237">
        <v>20</v>
      </c>
      <c r="C237">
        <v>3358</v>
      </c>
      <c r="D237">
        <v>246.68799999999999</v>
      </c>
      <c r="E237">
        <f t="shared" si="4"/>
        <v>1</v>
      </c>
    </row>
    <row r="238" spans="1:5" x14ac:dyDescent="0.25">
      <c r="A238" s="1">
        <v>45392</v>
      </c>
      <c r="B238">
        <v>21</v>
      </c>
      <c r="C238">
        <v>2812.4630000000002</v>
      </c>
      <c r="D238">
        <v>0</v>
      </c>
      <c r="E238">
        <f t="shared" si="4"/>
        <v>1</v>
      </c>
    </row>
    <row r="239" spans="1:5" x14ac:dyDescent="0.25">
      <c r="A239" s="1">
        <v>45392</v>
      </c>
      <c r="B239">
        <v>22</v>
      </c>
      <c r="C239">
        <v>2481.4879999999998</v>
      </c>
      <c r="D239">
        <v>0</v>
      </c>
      <c r="E239">
        <f t="shared" si="4"/>
        <v>1</v>
      </c>
    </row>
    <row r="240" spans="1:5" x14ac:dyDescent="0.25">
      <c r="A240" s="1">
        <v>45392</v>
      </c>
      <c r="B240">
        <v>23</v>
      </c>
      <c r="C240">
        <v>2211.875</v>
      </c>
      <c r="D240">
        <v>0</v>
      </c>
      <c r="E240">
        <f t="shared" si="4"/>
        <v>1</v>
      </c>
    </row>
    <row r="241" spans="1:5" x14ac:dyDescent="0.25">
      <c r="A241" s="1">
        <v>45392</v>
      </c>
      <c r="B241">
        <v>24</v>
      </c>
      <c r="C241">
        <v>1934.45</v>
      </c>
      <c r="D241">
        <v>0</v>
      </c>
      <c r="E241">
        <f t="shared" si="4"/>
        <v>1</v>
      </c>
    </row>
    <row r="242" spans="1:5" x14ac:dyDescent="0.25">
      <c r="A242" s="1">
        <v>45393</v>
      </c>
      <c r="B242">
        <v>1</v>
      </c>
      <c r="C242">
        <v>1638.913</v>
      </c>
      <c r="D242">
        <v>0</v>
      </c>
      <c r="E242">
        <f t="shared" si="4"/>
        <v>1</v>
      </c>
    </row>
    <row r="243" spans="1:5" x14ac:dyDescent="0.25">
      <c r="A243" s="1">
        <v>45393</v>
      </c>
      <c r="B243">
        <v>2</v>
      </c>
      <c r="C243">
        <v>1527.213</v>
      </c>
      <c r="D243">
        <v>0</v>
      </c>
      <c r="E243">
        <f t="shared" si="4"/>
        <v>1</v>
      </c>
    </row>
    <row r="244" spans="1:5" x14ac:dyDescent="0.25">
      <c r="A244" s="1">
        <v>45393</v>
      </c>
      <c r="B244">
        <v>3</v>
      </c>
      <c r="C244">
        <v>1750.7380000000001</v>
      </c>
      <c r="D244">
        <v>0</v>
      </c>
      <c r="E244">
        <f t="shared" si="4"/>
        <v>2</v>
      </c>
    </row>
    <row r="245" spans="1:5" x14ac:dyDescent="0.25">
      <c r="A245" s="1">
        <v>45393</v>
      </c>
      <c r="B245">
        <v>4</v>
      </c>
      <c r="C245">
        <v>1987.7750000000001</v>
      </c>
      <c r="D245">
        <v>0</v>
      </c>
      <c r="E245">
        <f t="shared" si="4"/>
        <v>3</v>
      </c>
    </row>
    <row r="246" spans="1:5" x14ac:dyDescent="0.25">
      <c r="A246" s="1">
        <v>45393</v>
      </c>
      <c r="B246">
        <v>5</v>
      </c>
      <c r="C246">
        <v>2160.15</v>
      </c>
      <c r="D246">
        <v>0</v>
      </c>
      <c r="E246">
        <f t="shared" si="4"/>
        <v>4</v>
      </c>
    </row>
    <row r="247" spans="1:5" x14ac:dyDescent="0.25">
      <c r="A247" s="1">
        <v>45393</v>
      </c>
      <c r="B247">
        <v>6</v>
      </c>
      <c r="C247">
        <v>2402.913</v>
      </c>
      <c r="D247">
        <v>88.174999999999997</v>
      </c>
      <c r="E247">
        <f t="shared" si="4"/>
        <v>5</v>
      </c>
    </row>
    <row r="248" spans="1:5" x14ac:dyDescent="0.25">
      <c r="A248" s="1">
        <v>45393</v>
      </c>
      <c r="B248">
        <v>7</v>
      </c>
      <c r="C248">
        <v>2549.5880000000002</v>
      </c>
      <c r="D248">
        <v>582.45000000000005</v>
      </c>
      <c r="E248">
        <f t="shared" si="4"/>
        <v>6</v>
      </c>
    </row>
    <row r="249" spans="1:5" x14ac:dyDescent="0.25">
      <c r="A249" s="1">
        <v>45393</v>
      </c>
      <c r="B249">
        <v>8</v>
      </c>
      <c r="C249">
        <v>2267.6880000000001</v>
      </c>
      <c r="D249">
        <v>2271.6</v>
      </c>
      <c r="E249">
        <f t="shared" si="4"/>
        <v>1</v>
      </c>
    </row>
    <row r="250" spans="1:5" x14ac:dyDescent="0.25">
      <c r="A250" s="1">
        <v>45393</v>
      </c>
      <c r="B250">
        <v>9</v>
      </c>
      <c r="C250">
        <v>1581.6</v>
      </c>
      <c r="D250">
        <v>5042.7749999999996</v>
      </c>
      <c r="E250">
        <f t="shared" si="4"/>
        <v>1</v>
      </c>
    </row>
    <row r="251" spans="1:5" x14ac:dyDescent="0.25">
      <c r="A251" s="1">
        <v>45393</v>
      </c>
      <c r="B251">
        <v>10</v>
      </c>
      <c r="C251">
        <v>1755.35</v>
      </c>
      <c r="D251">
        <v>7490.9129999999996</v>
      </c>
      <c r="E251">
        <f t="shared" si="4"/>
        <v>2</v>
      </c>
    </row>
    <row r="252" spans="1:5" x14ac:dyDescent="0.25">
      <c r="A252" s="1">
        <v>45393</v>
      </c>
      <c r="B252">
        <v>11</v>
      </c>
      <c r="C252">
        <v>2822.663</v>
      </c>
      <c r="D252">
        <v>9037.7749999999996</v>
      </c>
      <c r="E252">
        <f t="shared" si="4"/>
        <v>3</v>
      </c>
    </row>
    <row r="253" spans="1:5" x14ac:dyDescent="0.25">
      <c r="A253" s="1">
        <v>45393</v>
      </c>
      <c r="B253">
        <v>12</v>
      </c>
      <c r="C253">
        <v>3507.3879999999999</v>
      </c>
      <c r="D253">
        <v>9569.2880000000005</v>
      </c>
      <c r="E253">
        <f t="shared" si="4"/>
        <v>4</v>
      </c>
    </row>
    <row r="254" spans="1:5" x14ac:dyDescent="0.25">
      <c r="A254" s="1">
        <v>45393</v>
      </c>
      <c r="B254">
        <v>13</v>
      </c>
      <c r="C254">
        <v>3629.288</v>
      </c>
      <c r="D254">
        <v>8547.5249999999996</v>
      </c>
      <c r="E254">
        <f t="shared" si="4"/>
        <v>5</v>
      </c>
    </row>
    <row r="255" spans="1:5" x14ac:dyDescent="0.25">
      <c r="A255" s="1">
        <v>45393</v>
      </c>
      <c r="B255">
        <v>14</v>
      </c>
      <c r="C255">
        <v>3533.5749999999998</v>
      </c>
      <c r="D255">
        <v>8090.6</v>
      </c>
      <c r="E255">
        <f t="shared" si="4"/>
        <v>1</v>
      </c>
    </row>
    <row r="256" spans="1:5" x14ac:dyDescent="0.25">
      <c r="A256" s="1">
        <v>45393</v>
      </c>
      <c r="B256">
        <v>15</v>
      </c>
      <c r="C256">
        <v>3454.413</v>
      </c>
      <c r="D256">
        <v>7545.5749999999998</v>
      </c>
      <c r="E256">
        <f t="shared" si="4"/>
        <v>1</v>
      </c>
    </row>
    <row r="257" spans="1:5" x14ac:dyDescent="0.25">
      <c r="A257" s="1">
        <v>45393</v>
      </c>
      <c r="B257">
        <v>16</v>
      </c>
      <c r="C257">
        <v>3591.6129999999998</v>
      </c>
      <c r="D257">
        <v>6990.2250000000004</v>
      </c>
      <c r="E257">
        <f t="shared" si="4"/>
        <v>2</v>
      </c>
    </row>
    <row r="258" spans="1:5" x14ac:dyDescent="0.25">
      <c r="A258" s="1">
        <v>45393</v>
      </c>
      <c r="B258">
        <v>17</v>
      </c>
      <c r="C258">
        <v>3269.375</v>
      </c>
      <c r="D258">
        <v>5827.9629999999997</v>
      </c>
      <c r="E258">
        <f t="shared" si="4"/>
        <v>1</v>
      </c>
    </row>
    <row r="259" spans="1:5" x14ac:dyDescent="0.25">
      <c r="A259" s="1">
        <v>45393</v>
      </c>
      <c r="B259">
        <v>18</v>
      </c>
      <c r="C259">
        <v>2779.7249999999999</v>
      </c>
      <c r="D259">
        <v>3712.3249999999998</v>
      </c>
      <c r="E259">
        <f t="shared" si="4"/>
        <v>1</v>
      </c>
    </row>
    <row r="260" spans="1:5" x14ac:dyDescent="0.25">
      <c r="A260" s="1">
        <v>45393</v>
      </c>
      <c r="B260">
        <v>19</v>
      </c>
      <c r="C260">
        <v>2522.7629999999999</v>
      </c>
      <c r="D260">
        <v>1590.8</v>
      </c>
      <c r="E260">
        <f t="shared" ref="E260:E323" si="5">IF(C260&gt;C259,E259+1,1)</f>
        <v>1</v>
      </c>
    </row>
    <row r="261" spans="1:5" x14ac:dyDescent="0.25">
      <c r="A261" s="1">
        <v>45393</v>
      </c>
      <c r="B261">
        <v>20</v>
      </c>
      <c r="C261">
        <v>2597.7249999999999</v>
      </c>
      <c r="D261">
        <v>252.31299999999999</v>
      </c>
      <c r="E261">
        <f t="shared" si="5"/>
        <v>2</v>
      </c>
    </row>
    <row r="262" spans="1:5" x14ac:dyDescent="0.25">
      <c r="A262" s="1">
        <v>45393</v>
      </c>
      <c r="B262">
        <v>21</v>
      </c>
      <c r="C262">
        <v>2912.288</v>
      </c>
      <c r="D262">
        <v>0</v>
      </c>
      <c r="E262">
        <f t="shared" si="5"/>
        <v>3</v>
      </c>
    </row>
    <row r="263" spans="1:5" x14ac:dyDescent="0.25">
      <c r="A263" s="1">
        <v>45393</v>
      </c>
      <c r="B263">
        <v>22</v>
      </c>
      <c r="C263">
        <v>2870.375</v>
      </c>
      <c r="D263">
        <v>0</v>
      </c>
      <c r="E263">
        <f t="shared" si="5"/>
        <v>1</v>
      </c>
    </row>
    <row r="264" spans="1:5" x14ac:dyDescent="0.25">
      <c r="A264" s="1">
        <v>45393</v>
      </c>
      <c r="B264">
        <v>23</v>
      </c>
      <c r="C264">
        <v>2862.6129999999998</v>
      </c>
      <c r="D264">
        <v>0</v>
      </c>
      <c r="E264">
        <f t="shared" si="5"/>
        <v>1</v>
      </c>
    </row>
    <row r="265" spans="1:5" x14ac:dyDescent="0.25">
      <c r="A265" s="1">
        <v>45393</v>
      </c>
      <c r="B265">
        <v>24</v>
      </c>
      <c r="C265">
        <v>3080.8629999999998</v>
      </c>
      <c r="D265">
        <v>0</v>
      </c>
      <c r="E265">
        <f t="shared" si="5"/>
        <v>2</v>
      </c>
    </row>
    <row r="266" spans="1:5" x14ac:dyDescent="0.25">
      <c r="A266" s="1">
        <v>45394</v>
      </c>
      <c r="B266">
        <v>1</v>
      </c>
      <c r="C266">
        <v>3101.038</v>
      </c>
      <c r="D266">
        <v>0</v>
      </c>
      <c r="E266">
        <f t="shared" si="5"/>
        <v>3</v>
      </c>
    </row>
    <row r="267" spans="1:5" x14ac:dyDescent="0.25">
      <c r="A267" s="1">
        <v>45394</v>
      </c>
      <c r="B267">
        <v>2</v>
      </c>
      <c r="C267">
        <v>3173.8380000000002</v>
      </c>
      <c r="D267">
        <v>0</v>
      </c>
      <c r="E267">
        <f t="shared" si="5"/>
        <v>4</v>
      </c>
    </row>
    <row r="268" spans="1:5" x14ac:dyDescent="0.25">
      <c r="A268" s="1">
        <v>45394</v>
      </c>
      <c r="B268">
        <v>3</v>
      </c>
      <c r="C268">
        <v>3074.85</v>
      </c>
      <c r="D268">
        <v>0</v>
      </c>
      <c r="E268">
        <f t="shared" si="5"/>
        <v>1</v>
      </c>
    </row>
    <row r="269" spans="1:5" x14ac:dyDescent="0.25">
      <c r="A269" s="1">
        <v>45394</v>
      </c>
      <c r="B269">
        <v>4</v>
      </c>
      <c r="C269">
        <v>2967.7</v>
      </c>
      <c r="D269">
        <v>0</v>
      </c>
      <c r="E269">
        <f t="shared" si="5"/>
        <v>1</v>
      </c>
    </row>
    <row r="270" spans="1:5" x14ac:dyDescent="0.25">
      <c r="A270" s="1">
        <v>45394</v>
      </c>
      <c r="B270">
        <v>5</v>
      </c>
      <c r="C270">
        <v>2681.7750000000001</v>
      </c>
      <c r="D270">
        <v>0</v>
      </c>
      <c r="E270">
        <f t="shared" si="5"/>
        <v>1</v>
      </c>
    </row>
    <row r="271" spans="1:5" x14ac:dyDescent="0.25">
      <c r="A271" s="1">
        <v>45394</v>
      </c>
      <c r="B271">
        <v>6</v>
      </c>
      <c r="C271">
        <v>2472.538</v>
      </c>
      <c r="D271">
        <v>6.7</v>
      </c>
      <c r="E271">
        <f t="shared" si="5"/>
        <v>1</v>
      </c>
    </row>
    <row r="272" spans="1:5" x14ac:dyDescent="0.25">
      <c r="A272" s="1">
        <v>45394</v>
      </c>
      <c r="B272">
        <v>7</v>
      </c>
      <c r="C272">
        <v>2407.9380000000001</v>
      </c>
      <c r="D272">
        <v>319.18799999999999</v>
      </c>
      <c r="E272">
        <f t="shared" si="5"/>
        <v>1</v>
      </c>
    </row>
    <row r="273" spans="1:5" x14ac:dyDescent="0.25">
      <c r="A273" s="1">
        <v>45394</v>
      </c>
      <c r="B273">
        <v>8</v>
      </c>
      <c r="C273">
        <v>2295.8380000000002</v>
      </c>
      <c r="D273">
        <v>1527.6</v>
      </c>
      <c r="E273">
        <f t="shared" si="5"/>
        <v>1</v>
      </c>
    </row>
    <row r="274" spans="1:5" x14ac:dyDescent="0.25">
      <c r="A274" s="1">
        <v>45394</v>
      </c>
      <c r="B274">
        <v>9</v>
      </c>
      <c r="C274">
        <v>1778.85</v>
      </c>
      <c r="D274">
        <v>3144.538</v>
      </c>
      <c r="E274">
        <f t="shared" si="5"/>
        <v>1</v>
      </c>
    </row>
    <row r="275" spans="1:5" x14ac:dyDescent="0.25">
      <c r="A275" s="1">
        <v>45394</v>
      </c>
      <c r="B275">
        <v>10</v>
      </c>
      <c r="C275">
        <v>1540.3130000000001</v>
      </c>
      <c r="D275">
        <v>4851.7129999999997</v>
      </c>
      <c r="E275">
        <f t="shared" si="5"/>
        <v>1</v>
      </c>
    </row>
    <row r="276" spans="1:5" x14ac:dyDescent="0.25">
      <c r="A276" s="1">
        <v>45394</v>
      </c>
      <c r="B276">
        <v>11</v>
      </c>
      <c r="C276">
        <v>1619.088</v>
      </c>
      <c r="D276">
        <v>6000.0879999999997</v>
      </c>
      <c r="E276">
        <f t="shared" si="5"/>
        <v>2</v>
      </c>
    </row>
    <row r="277" spans="1:5" x14ac:dyDescent="0.25">
      <c r="A277" s="1">
        <v>45394</v>
      </c>
      <c r="B277">
        <v>12</v>
      </c>
      <c r="C277">
        <v>2047.963</v>
      </c>
      <c r="D277">
        <v>6624.1</v>
      </c>
      <c r="E277">
        <f t="shared" si="5"/>
        <v>3</v>
      </c>
    </row>
    <row r="278" spans="1:5" x14ac:dyDescent="0.25">
      <c r="A278" s="1">
        <v>45394</v>
      </c>
      <c r="B278">
        <v>13</v>
      </c>
      <c r="C278">
        <v>2346.5500000000002</v>
      </c>
      <c r="D278">
        <v>7019.0129999999999</v>
      </c>
      <c r="E278">
        <f t="shared" si="5"/>
        <v>4</v>
      </c>
    </row>
    <row r="279" spans="1:5" x14ac:dyDescent="0.25">
      <c r="A279" s="1">
        <v>45394</v>
      </c>
      <c r="B279">
        <v>14</v>
      </c>
      <c r="C279">
        <v>2456.4749999999999</v>
      </c>
      <c r="D279">
        <v>7136.65</v>
      </c>
      <c r="E279">
        <f t="shared" si="5"/>
        <v>5</v>
      </c>
    </row>
    <row r="280" spans="1:5" x14ac:dyDescent="0.25">
      <c r="A280" s="1">
        <v>45394</v>
      </c>
      <c r="B280">
        <v>15</v>
      </c>
      <c r="C280">
        <v>2641.05</v>
      </c>
      <c r="D280">
        <v>6773.8130000000001</v>
      </c>
      <c r="E280">
        <f t="shared" si="5"/>
        <v>6</v>
      </c>
    </row>
    <row r="281" spans="1:5" x14ac:dyDescent="0.25">
      <c r="A281" s="1">
        <v>45394</v>
      </c>
      <c r="B281">
        <v>16</v>
      </c>
      <c r="C281">
        <v>2535.6999999999998</v>
      </c>
      <c r="D281">
        <v>6178.1750000000002</v>
      </c>
      <c r="E281">
        <f t="shared" si="5"/>
        <v>1</v>
      </c>
    </row>
    <row r="282" spans="1:5" x14ac:dyDescent="0.25">
      <c r="A282" s="1">
        <v>45394</v>
      </c>
      <c r="B282">
        <v>17</v>
      </c>
      <c r="C282">
        <v>2506.4250000000002</v>
      </c>
      <c r="D282">
        <v>4660.6379999999999</v>
      </c>
      <c r="E282">
        <f t="shared" si="5"/>
        <v>1</v>
      </c>
    </row>
    <row r="283" spans="1:5" x14ac:dyDescent="0.25">
      <c r="A283" s="1">
        <v>45394</v>
      </c>
      <c r="B283">
        <v>18</v>
      </c>
      <c r="C283">
        <v>2113.7629999999999</v>
      </c>
      <c r="D283">
        <v>2813.1880000000001</v>
      </c>
      <c r="E283">
        <f t="shared" si="5"/>
        <v>1</v>
      </c>
    </row>
    <row r="284" spans="1:5" x14ac:dyDescent="0.25">
      <c r="A284" s="1">
        <v>45394</v>
      </c>
      <c r="B284">
        <v>19</v>
      </c>
      <c r="C284">
        <v>1639.45</v>
      </c>
      <c r="D284">
        <v>1075.4880000000001</v>
      </c>
      <c r="E284">
        <f t="shared" si="5"/>
        <v>1</v>
      </c>
    </row>
    <row r="285" spans="1:5" x14ac:dyDescent="0.25">
      <c r="A285" s="1">
        <v>45394</v>
      </c>
      <c r="B285">
        <v>20</v>
      </c>
      <c r="C285">
        <v>1887.0630000000001</v>
      </c>
      <c r="D285">
        <v>273.91300000000001</v>
      </c>
      <c r="E285">
        <f t="shared" si="5"/>
        <v>2</v>
      </c>
    </row>
    <row r="286" spans="1:5" x14ac:dyDescent="0.25">
      <c r="A286" s="1">
        <v>45394</v>
      </c>
      <c r="B286">
        <v>21</v>
      </c>
      <c r="C286">
        <v>2483.0129999999999</v>
      </c>
      <c r="D286">
        <v>0</v>
      </c>
      <c r="E286">
        <f t="shared" si="5"/>
        <v>3</v>
      </c>
    </row>
    <row r="287" spans="1:5" x14ac:dyDescent="0.25">
      <c r="A287" s="1">
        <v>45394</v>
      </c>
      <c r="B287">
        <v>22</v>
      </c>
      <c r="C287">
        <v>3017.25</v>
      </c>
      <c r="D287">
        <v>0</v>
      </c>
      <c r="E287">
        <f t="shared" si="5"/>
        <v>4</v>
      </c>
    </row>
    <row r="288" spans="1:5" x14ac:dyDescent="0.25">
      <c r="A288" s="1">
        <v>45394</v>
      </c>
      <c r="B288">
        <v>23</v>
      </c>
      <c r="C288">
        <v>3583.2130000000002</v>
      </c>
      <c r="D288">
        <v>0</v>
      </c>
      <c r="E288">
        <f t="shared" si="5"/>
        <v>5</v>
      </c>
    </row>
    <row r="289" spans="1:5" x14ac:dyDescent="0.25">
      <c r="A289" s="1">
        <v>45394</v>
      </c>
      <c r="B289">
        <v>24</v>
      </c>
      <c r="C289">
        <v>4276.1000000000004</v>
      </c>
      <c r="D289">
        <v>0</v>
      </c>
      <c r="E289">
        <f t="shared" si="5"/>
        <v>6</v>
      </c>
    </row>
    <row r="290" spans="1:5" x14ac:dyDescent="0.25">
      <c r="A290" s="1">
        <v>45395</v>
      </c>
      <c r="B290">
        <v>1</v>
      </c>
      <c r="C290">
        <v>4388.3130000000001</v>
      </c>
      <c r="D290">
        <v>0</v>
      </c>
      <c r="E290">
        <f t="shared" si="5"/>
        <v>7</v>
      </c>
    </row>
    <row r="291" spans="1:5" x14ac:dyDescent="0.25">
      <c r="A291" s="1">
        <v>45395</v>
      </c>
      <c r="B291">
        <v>2</v>
      </c>
      <c r="C291">
        <v>4199.5129999999999</v>
      </c>
      <c r="D291">
        <v>0</v>
      </c>
      <c r="E291">
        <f t="shared" si="5"/>
        <v>1</v>
      </c>
    </row>
    <row r="292" spans="1:5" x14ac:dyDescent="0.25">
      <c r="A292" s="1">
        <v>45395</v>
      </c>
      <c r="B292">
        <v>3</v>
      </c>
      <c r="C292">
        <v>4164.5379999999996</v>
      </c>
      <c r="D292">
        <v>0</v>
      </c>
      <c r="E292">
        <f t="shared" si="5"/>
        <v>1</v>
      </c>
    </row>
    <row r="293" spans="1:5" x14ac:dyDescent="0.25">
      <c r="A293" s="1">
        <v>45395</v>
      </c>
      <c r="B293">
        <v>4</v>
      </c>
      <c r="C293">
        <v>3954.7750000000001</v>
      </c>
      <c r="D293">
        <v>0</v>
      </c>
      <c r="E293">
        <f t="shared" si="5"/>
        <v>1</v>
      </c>
    </row>
    <row r="294" spans="1:5" x14ac:dyDescent="0.25">
      <c r="A294" s="1">
        <v>45395</v>
      </c>
      <c r="B294">
        <v>5</v>
      </c>
      <c r="C294">
        <v>3833.3249999999998</v>
      </c>
      <c r="D294">
        <v>0</v>
      </c>
      <c r="E294">
        <f t="shared" si="5"/>
        <v>1</v>
      </c>
    </row>
    <row r="295" spans="1:5" x14ac:dyDescent="0.25">
      <c r="A295" s="1">
        <v>45395</v>
      </c>
      <c r="B295">
        <v>6</v>
      </c>
      <c r="C295">
        <v>3715.1750000000002</v>
      </c>
      <c r="D295">
        <v>45.475000000000001</v>
      </c>
      <c r="E295">
        <f t="shared" si="5"/>
        <v>1</v>
      </c>
    </row>
    <row r="296" spans="1:5" x14ac:dyDescent="0.25">
      <c r="A296" s="1">
        <v>45395</v>
      </c>
      <c r="B296">
        <v>7</v>
      </c>
      <c r="C296">
        <v>3703.163</v>
      </c>
      <c r="D296">
        <v>473.51299999999998</v>
      </c>
      <c r="E296">
        <f t="shared" si="5"/>
        <v>1</v>
      </c>
    </row>
    <row r="297" spans="1:5" x14ac:dyDescent="0.25">
      <c r="A297" s="1">
        <v>45395</v>
      </c>
      <c r="B297">
        <v>8</v>
      </c>
      <c r="C297">
        <v>3279.1</v>
      </c>
      <c r="D297">
        <v>1814.3</v>
      </c>
      <c r="E297">
        <f t="shared" si="5"/>
        <v>1</v>
      </c>
    </row>
    <row r="298" spans="1:5" x14ac:dyDescent="0.25">
      <c r="A298" s="1">
        <v>45395</v>
      </c>
      <c r="B298">
        <v>9</v>
      </c>
      <c r="C298">
        <v>3139.8</v>
      </c>
      <c r="D298">
        <v>3936.6750000000002</v>
      </c>
      <c r="E298">
        <f t="shared" si="5"/>
        <v>1</v>
      </c>
    </row>
    <row r="299" spans="1:5" x14ac:dyDescent="0.25">
      <c r="A299" s="1">
        <v>45395</v>
      </c>
      <c r="B299">
        <v>10</v>
      </c>
      <c r="C299">
        <v>3365.2249999999999</v>
      </c>
      <c r="D299">
        <v>5956.6130000000003</v>
      </c>
      <c r="E299">
        <f t="shared" si="5"/>
        <v>2</v>
      </c>
    </row>
    <row r="300" spans="1:5" x14ac:dyDescent="0.25">
      <c r="A300" s="1">
        <v>45395</v>
      </c>
      <c r="B300">
        <v>11</v>
      </c>
      <c r="C300">
        <v>3626.2379999999998</v>
      </c>
      <c r="D300">
        <v>7713.0379999999996</v>
      </c>
      <c r="E300">
        <f t="shared" si="5"/>
        <v>3</v>
      </c>
    </row>
    <row r="301" spans="1:5" x14ac:dyDescent="0.25">
      <c r="A301" s="1">
        <v>45395</v>
      </c>
      <c r="B301">
        <v>12</v>
      </c>
      <c r="C301">
        <v>3878.9630000000002</v>
      </c>
      <c r="D301">
        <v>8376.7630000000008</v>
      </c>
      <c r="E301">
        <f t="shared" si="5"/>
        <v>4</v>
      </c>
    </row>
    <row r="302" spans="1:5" x14ac:dyDescent="0.25">
      <c r="A302" s="1">
        <v>45395</v>
      </c>
      <c r="B302">
        <v>13</v>
      </c>
      <c r="C302">
        <v>4186.2879999999996</v>
      </c>
      <c r="D302">
        <v>8718.6</v>
      </c>
      <c r="E302">
        <f t="shared" si="5"/>
        <v>5</v>
      </c>
    </row>
    <row r="303" spans="1:5" x14ac:dyDescent="0.25">
      <c r="A303" s="1">
        <v>45395</v>
      </c>
      <c r="B303">
        <v>14</v>
      </c>
      <c r="C303">
        <v>4575.2629999999999</v>
      </c>
      <c r="D303">
        <v>9145.2880000000005</v>
      </c>
      <c r="E303">
        <f t="shared" si="5"/>
        <v>6</v>
      </c>
    </row>
    <row r="304" spans="1:5" x14ac:dyDescent="0.25">
      <c r="A304" s="1">
        <v>45395</v>
      </c>
      <c r="B304">
        <v>15</v>
      </c>
      <c r="C304">
        <v>4728.1379999999999</v>
      </c>
      <c r="D304">
        <v>8144.0749999999998</v>
      </c>
      <c r="E304">
        <f t="shared" si="5"/>
        <v>7</v>
      </c>
    </row>
    <row r="305" spans="1:5" x14ac:dyDescent="0.25">
      <c r="A305" s="1">
        <v>45395</v>
      </c>
      <c r="B305">
        <v>16</v>
      </c>
      <c r="C305">
        <v>4374.7879999999996</v>
      </c>
      <c r="D305">
        <v>6291.4750000000004</v>
      </c>
      <c r="E305">
        <f t="shared" si="5"/>
        <v>1</v>
      </c>
    </row>
    <row r="306" spans="1:5" x14ac:dyDescent="0.25">
      <c r="A306" s="1">
        <v>45395</v>
      </c>
      <c r="B306">
        <v>17</v>
      </c>
      <c r="C306">
        <v>3919.3249999999998</v>
      </c>
      <c r="D306">
        <v>4863.9380000000001</v>
      </c>
      <c r="E306">
        <f t="shared" si="5"/>
        <v>1</v>
      </c>
    </row>
    <row r="307" spans="1:5" x14ac:dyDescent="0.25">
      <c r="A307" s="1">
        <v>45395</v>
      </c>
      <c r="B307">
        <v>18</v>
      </c>
      <c r="C307">
        <v>3067.6880000000001</v>
      </c>
      <c r="D307">
        <v>3051.0880000000002</v>
      </c>
      <c r="E307">
        <f t="shared" si="5"/>
        <v>1</v>
      </c>
    </row>
    <row r="308" spans="1:5" x14ac:dyDescent="0.25">
      <c r="A308" s="1">
        <v>45395</v>
      </c>
      <c r="B308">
        <v>19</v>
      </c>
      <c r="C308">
        <v>1823</v>
      </c>
      <c r="D308">
        <v>1224.5250000000001</v>
      </c>
      <c r="E308">
        <f t="shared" si="5"/>
        <v>1</v>
      </c>
    </row>
    <row r="309" spans="1:5" x14ac:dyDescent="0.25">
      <c r="A309" s="1">
        <v>45395</v>
      </c>
      <c r="B309">
        <v>20</v>
      </c>
      <c r="C309">
        <v>1388.1880000000001</v>
      </c>
      <c r="D309">
        <v>241.863</v>
      </c>
      <c r="E309">
        <f t="shared" si="5"/>
        <v>1</v>
      </c>
    </row>
    <row r="310" spans="1:5" x14ac:dyDescent="0.25">
      <c r="A310" s="1">
        <v>45395</v>
      </c>
      <c r="B310">
        <v>21</v>
      </c>
      <c r="C310">
        <v>1684.8</v>
      </c>
      <c r="D310">
        <v>0</v>
      </c>
      <c r="E310">
        <f t="shared" si="5"/>
        <v>2</v>
      </c>
    </row>
    <row r="311" spans="1:5" x14ac:dyDescent="0.25">
      <c r="A311" s="1">
        <v>45395</v>
      </c>
      <c r="B311">
        <v>22</v>
      </c>
      <c r="C311">
        <v>2293.1379999999999</v>
      </c>
      <c r="D311">
        <v>0</v>
      </c>
      <c r="E311">
        <f t="shared" si="5"/>
        <v>3</v>
      </c>
    </row>
    <row r="312" spans="1:5" x14ac:dyDescent="0.25">
      <c r="A312" s="1">
        <v>45395</v>
      </c>
      <c r="B312">
        <v>23</v>
      </c>
      <c r="C312">
        <v>3020.6129999999998</v>
      </c>
      <c r="D312">
        <v>0</v>
      </c>
      <c r="E312">
        <f t="shared" si="5"/>
        <v>4</v>
      </c>
    </row>
    <row r="313" spans="1:5" x14ac:dyDescent="0.25">
      <c r="A313" s="1">
        <v>45395</v>
      </c>
      <c r="B313">
        <v>24</v>
      </c>
      <c r="C313">
        <v>3427.6</v>
      </c>
      <c r="D313">
        <v>0</v>
      </c>
      <c r="E313">
        <f t="shared" si="5"/>
        <v>5</v>
      </c>
    </row>
    <row r="314" spans="1:5" x14ac:dyDescent="0.25">
      <c r="A314" s="1">
        <v>45396</v>
      </c>
      <c r="B314">
        <v>1</v>
      </c>
      <c r="C314">
        <v>3845.3629999999998</v>
      </c>
      <c r="D314">
        <v>0</v>
      </c>
      <c r="E314">
        <f t="shared" si="5"/>
        <v>6</v>
      </c>
    </row>
    <row r="315" spans="1:5" x14ac:dyDescent="0.25">
      <c r="A315" s="1">
        <v>45396</v>
      </c>
      <c r="B315">
        <v>2</v>
      </c>
      <c r="C315">
        <v>4625.7749999999996</v>
      </c>
      <c r="D315">
        <v>0</v>
      </c>
      <c r="E315">
        <f t="shared" si="5"/>
        <v>7</v>
      </c>
    </row>
    <row r="316" spans="1:5" x14ac:dyDescent="0.25">
      <c r="A316" s="1">
        <v>45396</v>
      </c>
      <c r="B316">
        <v>3</v>
      </c>
      <c r="C316">
        <v>5458.9129999999996</v>
      </c>
      <c r="D316">
        <v>0</v>
      </c>
      <c r="E316">
        <f t="shared" si="5"/>
        <v>8</v>
      </c>
    </row>
    <row r="317" spans="1:5" x14ac:dyDescent="0.25">
      <c r="A317" s="1">
        <v>45396</v>
      </c>
      <c r="B317">
        <v>4</v>
      </c>
      <c r="C317">
        <v>5633.7629999999999</v>
      </c>
      <c r="D317">
        <v>0</v>
      </c>
      <c r="E317">
        <f t="shared" si="5"/>
        <v>9</v>
      </c>
    </row>
    <row r="318" spans="1:5" x14ac:dyDescent="0.25">
      <c r="A318" s="1">
        <v>45396</v>
      </c>
      <c r="B318">
        <v>5</v>
      </c>
      <c r="C318">
        <v>5972.5</v>
      </c>
      <c r="D318">
        <v>0</v>
      </c>
      <c r="E318">
        <f t="shared" si="5"/>
        <v>10</v>
      </c>
    </row>
    <row r="319" spans="1:5" x14ac:dyDescent="0.25">
      <c r="A319" s="1">
        <v>45396</v>
      </c>
      <c r="B319">
        <v>6</v>
      </c>
      <c r="C319">
        <v>6276</v>
      </c>
      <c r="D319">
        <v>22.763000000000002</v>
      </c>
      <c r="E319">
        <f t="shared" si="5"/>
        <v>11</v>
      </c>
    </row>
    <row r="320" spans="1:5" x14ac:dyDescent="0.25">
      <c r="A320" s="1">
        <v>45396</v>
      </c>
      <c r="B320">
        <v>7</v>
      </c>
      <c r="C320">
        <v>6597.65</v>
      </c>
      <c r="D320">
        <v>393.1</v>
      </c>
      <c r="E320">
        <f t="shared" si="5"/>
        <v>12</v>
      </c>
    </row>
    <row r="321" spans="1:5" x14ac:dyDescent="0.25">
      <c r="A321" s="1">
        <v>45396</v>
      </c>
      <c r="B321">
        <v>8</v>
      </c>
      <c r="C321">
        <v>6402.85</v>
      </c>
      <c r="D321">
        <v>1521.95</v>
      </c>
      <c r="E321">
        <f t="shared" si="5"/>
        <v>1</v>
      </c>
    </row>
    <row r="322" spans="1:5" x14ac:dyDescent="0.25">
      <c r="A322" s="1">
        <v>45396</v>
      </c>
      <c r="B322">
        <v>9</v>
      </c>
      <c r="C322">
        <v>6034.7129999999997</v>
      </c>
      <c r="D322">
        <v>2818.1129999999998</v>
      </c>
      <c r="E322">
        <f t="shared" si="5"/>
        <v>1</v>
      </c>
    </row>
    <row r="323" spans="1:5" x14ac:dyDescent="0.25">
      <c r="A323" s="1">
        <v>45396</v>
      </c>
      <c r="B323">
        <v>10</v>
      </c>
      <c r="C323">
        <v>6372.4250000000002</v>
      </c>
      <c r="D323">
        <v>3986.95</v>
      </c>
      <c r="E323">
        <f t="shared" si="5"/>
        <v>2</v>
      </c>
    </row>
    <row r="324" spans="1:5" x14ac:dyDescent="0.25">
      <c r="A324" s="1">
        <v>45396</v>
      </c>
      <c r="B324">
        <v>11</v>
      </c>
      <c r="C324">
        <v>6298.8379999999997</v>
      </c>
      <c r="D324">
        <v>5170.5</v>
      </c>
      <c r="E324">
        <f t="shared" ref="E324:E387" si="6">IF(C324&gt;C323,E323+1,1)</f>
        <v>1</v>
      </c>
    </row>
    <row r="325" spans="1:5" x14ac:dyDescent="0.25">
      <c r="A325" s="1">
        <v>45396</v>
      </c>
      <c r="B325">
        <v>12</v>
      </c>
      <c r="C325">
        <v>6509.4380000000001</v>
      </c>
      <c r="D325">
        <v>5239.8999999999996</v>
      </c>
      <c r="E325">
        <f t="shared" si="6"/>
        <v>2</v>
      </c>
    </row>
    <row r="326" spans="1:5" x14ac:dyDescent="0.25">
      <c r="A326" s="1">
        <v>45396</v>
      </c>
      <c r="B326">
        <v>13</v>
      </c>
      <c r="C326">
        <v>6538.3</v>
      </c>
      <c r="D326">
        <v>5970</v>
      </c>
      <c r="E326">
        <f t="shared" si="6"/>
        <v>3</v>
      </c>
    </row>
    <row r="327" spans="1:5" x14ac:dyDescent="0.25">
      <c r="A327" s="1">
        <v>45396</v>
      </c>
      <c r="B327">
        <v>14</v>
      </c>
      <c r="C327">
        <v>6541.3379999999997</v>
      </c>
      <c r="D327">
        <v>6004.3379999999997</v>
      </c>
      <c r="E327">
        <f t="shared" si="6"/>
        <v>4</v>
      </c>
    </row>
    <row r="328" spans="1:5" x14ac:dyDescent="0.25">
      <c r="A328" s="1">
        <v>45396</v>
      </c>
      <c r="B328">
        <v>15</v>
      </c>
      <c r="C328">
        <v>6461.2</v>
      </c>
      <c r="D328">
        <v>5506.875</v>
      </c>
      <c r="E328">
        <f t="shared" si="6"/>
        <v>1</v>
      </c>
    </row>
    <row r="329" spans="1:5" x14ac:dyDescent="0.25">
      <c r="A329" s="1">
        <v>45396</v>
      </c>
      <c r="B329">
        <v>16</v>
      </c>
      <c r="C329">
        <v>6375.2129999999997</v>
      </c>
      <c r="D329">
        <v>5212.8630000000003</v>
      </c>
      <c r="E329">
        <f t="shared" si="6"/>
        <v>1</v>
      </c>
    </row>
    <row r="330" spans="1:5" x14ac:dyDescent="0.25">
      <c r="A330" s="1">
        <v>45396</v>
      </c>
      <c r="B330">
        <v>17</v>
      </c>
      <c r="C330">
        <v>6976.7380000000003</v>
      </c>
      <c r="D330">
        <v>4309.4629999999997</v>
      </c>
      <c r="E330">
        <f t="shared" si="6"/>
        <v>2</v>
      </c>
    </row>
    <row r="331" spans="1:5" x14ac:dyDescent="0.25">
      <c r="A331" s="1">
        <v>45396</v>
      </c>
      <c r="B331">
        <v>18</v>
      </c>
      <c r="C331">
        <v>6850.1880000000001</v>
      </c>
      <c r="D331">
        <v>2943.1</v>
      </c>
      <c r="E331">
        <f t="shared" si="6"/>
        <v>1</v>
      </c>
    </row>
    <row r="332" spans="1:5" x14ac:dyDescent="0.25">
      <c r="A332" s="1">
        <v>45396</v>
      </c>
      <c r="B332">
        <v>19</v>
      </c>
      <c r="C332">
        <v>6512.7129999999997</v>
      </c>
      <c r="D332">
        <v>1639.95</v>
      </c>
      <c r="E332">
        <f t="shared" si="6"/>
        <v>1</v>
      </c>
    </row>
    <row r="333" spans="1:5" x14ac:dyDescent="0.25">
      <c r="A333" s="1">
        <v>45396</v>
      </c>
      <c r="B333">
        <v>20</v>
      </c>
      <c r="C333">
        <v>5602.85</v>
      </c>
      <c r="D333">
        <v>401.43799999999999</v>
      </c>
      <c r="E333">
        <f t="shared" si="6"/>
        <v>1</v>
      </c>
    </row>
    <row r="334" spans="1:5" x14ac:dyDescent="0.25">
      <c r="A334" s="1">
        <v>45396</v>
      </c>
      <c r="B334">
        <v>21</v>
      </c>
      <c r="C334">
        <v>5012.5749999999998</v>
      </c>
      <c r="D334">
        <v>0</v>
      </c>
      <c r="E334">
        <f t="shared" si="6"/>
        <v>1</v>
      </c>
    </row>
    <row r="335" spans="1:5" x14ac:dyDescent="0.25">
      <c r="A335" s="1">
        <v>45396</v>
      </c>
      <c r="B335">
        <v>22</v>
      </c>
      <c r="C335">
        <v>4847.3879999999999</v>
      </c>
      <c r="D335">
        <v>0</v>
      </c>
      <c r="E335">
        <f t="shared" si="6"/>
        <v>1</v>
      </c>
    </row>
    <row r="336" spans="1:5" x14ac:dyDescent="0.25">
      <c r="A336" s="1">
        <v>45396</v>
      </c>
      <c r="B336">
        <v>23</v>
      </c>
      <c r="C336">
        <v>4398.375</v>
      </c>
      <c r="D336">
        <v>0</v>
      </c>
      <c r="E336">
        <f t="shared" si="6"/>
        <v>1</v>
      </c>
    </row>
    <row r="337" spans="1:5" x14ac:dyDescent="0.25">
      <c r="A337" s="1">
        <v>45396</v>
      </c>
      <c r="B337">
        <v>24</v>
      </c>
      <c r="C337">
        <v>3962.788</v>
      </c>
      <c r="D337">
        <v>0</v>
      </c>
      <c r="E337">
        <f t="shared" si="6"/>
        <v>1</v>
      </c>
    </row>
    <row r="338" spans="1:5" x14ac:dyDescent="0.25">
      <c r="A338" s="1">
        <v>45397</v>
      </c>
      <c r="B338">
        <v>1</v>
      </c>
      <c r="C338">
        <v>3412.875</v>
      </c>
      <c r="D338">
        <v>0</v>
      </c>
      <c r="E338">
        <f t="shared" si="6"/>
        <v>1</v>
      </c>
    </row>
    <row r="339" spans="1:5" x14ac:dyDescent="0.25">
      <c r="A339" s="1">
        <v>45397</v>
      </c>
      <c r="B339">
        <v>2</v>
      </c>
      <c r="C339">
        <v>2599.9250000000002</v>
      </c>
      <c r="D339">
        <v>0</v>
      </c>
      <c r="E339">
        <f t="shared" si="6"/>
        <v>1</v>
      </c>
    </row>
    <row r="340" spans="1:5" x14ac:dyDescent="0.25">
      <c r="A340" s="1">
        <v>45397</v>
      </c>
      <c r="B340">
        <v>3</v>
      </c>
      <c r="C340">
        <v>2349.8629999999998</v>
      </c>
      <c r="D340">
        <v>0</v>
      </c>
      <c r="E340">
        <f t="shared" si="6"/>
        <v>1</v>
      </c>
    </row>
    <row r="341" spans="1:5" x14ac:dyDescent="0.25">
      <c r="A341" s="1">
        <v>45397</v>
      </c>
      <c r="B341">
        <v>4</v>
      </c>
      <c r="C341">
        <v>2203.0880000000002</v>
      </c>
      <c r="D341">
        <v>0</v>
      </c>
      <c r="E341">
        <f t="shared" si="6"/>
        <v>1</v>
      </c>
    </row>
    <row r="342" spans="1:5" x14ac:dyDescent="0.25">
      <c r="A342" s="1">
        <v>45397</v>
      </c>
      <c r="B342">
        <v>5</v>
      </c>
      <c r="C342">
        <v>2138.9250000000002</v>
      </c>
      <c r="D342">
        <v>0</v>
      </c>
      <c r="E342">
        <f t="shared" si="6"/>
        <v>1</v>
      </c>
    </row>
    <row r="343" spans="1:5" x14ac:dyDescent="0.25">
      <c r="A343" s="1">
        <v>45397</v>
      </c>
      <c r="B343">
        <v>6</v>
      </c>
      <c r="C343">
        <v>2209.0880000000002</v>
      </c>
      <c r="D343">
        <v>41.738</v>
      </c>
      <c r="E343">
        <f t="shared" si="6"/>
        <v>2</v>
      </c>
    </row>
    <row r="344" spans="1:5" x14ac:dyDescent="0.25">
      <c r="A344" s="1">
        <v>45397</v>
      </c>
      <c r="B344">
        <v>7</v>
      </c>
      <c r="C344">
        <v>2132.9630000000002</v>
      </c>
      <c r="D344">
        <v>265.21300000000002</v>
      </c>
      <c r="E344">
        <f t="shared" si="6"/>
        <v>1</v>
      </c>
    </row>
    <row r="345" spans="1:5" x14ac:dyDescent="0.25">
      <c r="A345" s="1">
        <v>45397</v>
      </c>
      <c r="B345">
        <v>8</v>
      </c>
      <c r="C345">
        <v>1704.163</v>
      </c>
      <c r="D345">
        <v>872.42499999999995</v>
      </c>
      <c r="E345">
        <f t="shared" si="6"/>
        <v>1</v>
      </c>
    </row>
    <row r="346" spans="1:5" x14ac:dyDescent="0.25">
      <c r="A346" s="1">
        <v>45397</v>
      </c>
      <c r="B346">
        <v>9</v>
      </c>
      <c r="C346">
        <v>1390</v>
      </c>
      <c r="D346">
        <v>2106.913</v>
      </c>
      <c r="E346">
        <f t="shared" si="6"/>
        <v>1</v>
      </c>
    </row>
    <row r="347" spans="1:5" x14ac:dyDescent="0.25">
      <c r="A347" s="1">
        <v>45397</v>
      </c>
      <c r="B347">
        <v>10</v>
      </c>
      <c r="C347">
        <v>1246.6500000000001</v>
      </c>
      <c r="D347">
        <v>4120.8879999999999</v>
      </c>
      <c r="E347">
        <f t="shared" si="6"/>
        <v>1</v>
      </c>
    </row>
    <row r="348" spans="1:5" x14ac:dyDescent="0.25">
      <c r="A348" s="1">
        <v>45397</v>
      </c>
      <c r="B348">
        <v>11</v>
      </c>
      <c r="C348">
        <v>1263.1130000000001</v>
      </c>
      <c r="D348">
        <v>5402.05</v>
      </c>
      <c r="E348">
        <f t="shared" si="6"/>
        <v>2</v>
      </c>
    </row>
    <row r="349" spans="1:5" x14ac:dyDescent="0.25">
      <c r="A349" s="1">
        <v>45397</v>
      </c>
      <c r="B349">
        <v>12</v>
      </c>
      <c r="C349">
        <v>1257.0129999999999</v>
      </c>
      <c r="D349">
        <v>6184.7879999999996</v>
      </c>
      <c r="E349">
        <f t="shared" si="6"/>
        <v>1</v>
      </c>
    </row>
    <row r="350" spans="1:5" x14ac:dyDescent="0.25">
      <c r="A350" s="1">
        <v>45397</v>
      </c>
      <c r="B350">
        <v>13</v>
      </c>
      <c r="C350">
        <v>1076.1500000000001</v>
      </c>
      <c r="D350">
        <v>6366.5379999999996</v>
      </c>
      <c r="E350">
        <f t="shared" si="6"/>
        <v>1</v>
      </c>
    </row>
    <row r="351" spans="1:5" x14ac:dyDescent="0.25">
      <c r="A351" s="1">
        <v>45397</v>
      </c>
      <c r="B351">
        <v>14</v>
      </c>
      <c r="C351">
        <v>842.32500000000005</v>
      </c>
      <c r="D351">
        <v>5958.9880000000003</v>
      </c>
      <c r="E351">
        <f t="shared" si="6"/>
        <v>1</v>
      </c>
    </row>
    <row r="352" spans="1:5" x14ac:dyDescent="0.25">
      <c r="A352" s="1">
        <v>45397</v>
      </c>
      <c r="B352">
        <v>15</v>
      </c>
      <c r="C352">
        <v>685.6</v>
      </c>
      <c r="D352">
        <v>5267.6379999999999</v>
      </c>
      <c r="E352">
        <f t="shared" si="6"/>
        <v>1</v>
      </c>
    </row>
    <row r="353" spans="1:5" x14ac:dyDescent="0.25">
      <c r="A353" s="1">
        <v>45397</v>
      </c>
      <c r="B353">
        <v>16</v>
      </c>
      <c r="C353">
        <v>696.32500000000005</v>
      </c>
      <c r="D353">
        <v>4558.4250000000002</v>
      </c>
      <c r="E353">
        <f t="shared" si="6"/>
        <v>2</v>
      </c>
    </row>
    <row r="354" spans="1:5" x14ac:dyDescent="0.25">
      <c r="A354" s="1">
        <v>45397</v>
      </c>
      <c r="B354">
        <v>17</v>
      </c>
      <c r="C354">
        <v>668.73800000000006</v>
      </c>
      <c r="D354">
        <v>3536.1129999999998</v>
      </c>
      <c r="E354">
        <f t="shared" si="6"/>
        <v>1</v>
      </c>
    </row>
    <row r="355" spans="1:5" x14ac:dyDescent="0.25">
      <c r="A355" s="1">
        <v>45397</v>
      </c>
      <c r="B355">
        <v>18</v>
      </c>
      <c r="C355">
        <v>613.68799999999999</v>
      </c>
      <c r="D355">
        <v>2229.5129999999999</v>
      </c>
      <c r="E355">
        <f t="shared" si="6"/>
        <v>1</v>
      </c>
    </row>
    <row r="356" spans="1:5" x14ac:dyDescent="0.25">
      <c r="A356" s="1">
        <v>45397</v>
      </c>
      <c r="B356">
        <v>19</v>
      </c>
      <c r="C356">
        <v>666.21299999999997</v>
      </c>
      <c r="D356">
        <v>1019.625</v>
      </c>
      <c r="E356">
        <f t="shared" si="6"/>
        <v>2</v>
      </c>
    </row>
    <row r="357" spans="1:5" x14ac:dyDescent="0.25">
      <c r="A357" s="1">
        <v>45397</v>
      </c>
      <c r="B357">
        <v>20</v>
      </c>
      <c r="C357">
        <v>1073.825</v>
      </c>
      <c r="D357">
        <v>275.10000000000002</v>
      </c>
      <c r="E357">
        <f t="shared" si="6"/>
        <v>3</v>
      </c>
    </row>
    <row r="358" spans="1:5" x14ac:dyDescent="0.25">
      <c r="A358" s="1">
        <v>45397</v>
      </c>
      <c r="B358">
        <v>21</v>
      </c>
      <c r="C358">
        <v>1802.7750000000001</v>
      </c>
      <c r="D358">
        <v>16.899999999999999</v>
      </c>
      <c r="E358">
        <f t="shared" si="6"/>
        <v>4</v>
      </c>
    </row>
    <row r="359" spans="1:5" x14ac:dyDescent="0.25">
      <c r="A359" s="1">
        <v>45397</v>
      </c>
      <c r="B359">
        <v>22</v>
      </c>
      <c r="C359">
        <v>2176.7379999999998</v>
      </c>
      <c r="D359">
        <v>0</v>
      </c>
      <c r="E359">
        <f t="shared" si="6"/>
        <v>5</v>
      </c>
    </row>
    <row r="360" spans="1:5" x14ac:dyDescent="0.25">
      <c r="A360" s="1">
        <v>45397</v>
      </c>
      <c r="B360">
        <v>23</v>
      </c>
      <c r="C360">
        <v>2737.8380000000002</v>
      </c>
      <c r="D360">
        <v>0</v>
      </c>
      <c r="E360">
        <f t="shared" si="6"/>
        <v>6</v>
      </c>
    </row>
    <row r="361" spans="1:5" x14ac:dyDescent="0.25">
      <c r="A361" s="1">
        <v>45397</v>
      </c>
      <c r="B361">
        <v>24</v>
      </c>
      <c r="C361">
        <v>2771.35</v>
      </c>
      <c r="D361">
        <v>0</v>
      </c>
      <c r="E361">
        <f t="shared" si="6"/>
        <v>7</v>
      </c>
    </row>
    <row r="362" spans="1:5" x14ac:dyDescent="0.25">
      <c r="A362" s="1">
        <v>45398</v>
      </c>
      <c r="B362">
        <v>1</v>
      </c>
      <c r="C362">
        <v>3206.038</v>
      </c>
      <c r="D362">
        <v>0</v>
      </c>
      <c r="E362">
        <f t="shared" si="6"/>
        <v>8</v>
      </c>
    </row>
    <row r="363" spans="1:5" x14ac:dyDescent="0.25">
      <c r="A363" s="1">
        <v>45398</v>
      </c>
      <c r="B363">
        <v>2</v>
      </c>
      <c r="C363">
        <v>3041.5749999999998</v>
      </c>
      <c r="D363">
        <v>0</v>
      </c>
      <c r="E363">
        <f t="shared" si="6"/>
        <v>1</v>
      </c>
    </row>
    <row r="364" spans="1:5" x14ac:dyDescent="0.25">
      <c r="A364" s="1">
        <v>45398</v>
      </c>
      <c r="B364">
        <v>3</v>
      </c>
      <c r="C364">
        <v>3059.288</v>
      </c>
      <c r="D364">
        <v>0</v>
      </c>
      <c r="E364">
        <f t="shared" si="6"/>
        <v>2</v>
      </c>
    </row>
    <row r="365" spans="1:5" x14ac:dyDescent="0.25">
      <c r="A365" s="1">
        <v>45398</v>
      </c>
      <c r="B365">
        <v>4</v>
      </c>
      <c r="C365">
        <v>3767.3</v>
      </c>
      <c r="D365">
        <v>0</v>
      </c>
      <c r="E365">
        <f t="shared" si="6"/>
        <v>3</v>
      </c>
    </row>
    <row r="366" spans="1:5" x14ac:dyDescent="0.25">
      <c r="A366" s="1">
        <v>45398</v>
      </c>
      <c r="B366">
        <v>5</v>
      </c>
      <c r="C366">
        <v>4547.4629999999997</v>
      </c>
      <c r="D366">
        <v>0</v>
      </c>
      <c r="E366">
        <f t="shared" si="6"/>
        <v>4</v>
      </c>
    </row>
    <row r="367" spans="1:5" x14ac:dyDescent="0.25">
      <c r="A367" s="1">
        <v>45398</v>
      </c>
      <c r="B367">
        <v>6</v>
      </c>
      <c r="C367">
        <v>4833.8500000000004</v>
      </c>
      <c r="D367">
        <v>54.274999999999999</v>
      </c>
      <c r="E367">
        <f t="shared" si="6"/>
        <v>5</v>
      </c>
    </row>
    <row r="368" spans="1:5" x14ac:dyDescent="0.25">
      <c r="A368" s="1">
        <v>45398</v>
      </c>
      <c r="B368">
        <v>7</v>
      </c>
      <c r="C368">
        <v>5403.1750000000002</v>
      </c>
      <c r="D368">
        <v>325.81299999999999</v>
      </c>
      <c r="E368">
        <f t="shared" si="6"/>
        <v>6</v>
      </c>
    </row>
    <row r="369" spans="1:5" x14ac:dyDescent="0.25">
      <c r="A369" s="1">
        <v>45398</v>
      </c>
      <c r="B369">
        <v>8</v>
      </c>
      <c r="C369">
        <v>5836.0249999999996</v>
      </c>
      <c r="D369">
        <v>1107.075</v>
      </c>
      <c r="E369">
        <f t="shared" si="6"/>
        <v>7</v>
      </c>
    </row>
    <row r="370" spans="1:5" x14ac:dyDescent="0.25">
      <c r="A370" s="1">
        <v>45398</v>
      </c>
      <c r="B370">
        <v>9</v>
      </c>
      <c r="C370">
        <v>6202.0630000000001</v>
      </c>
      <c r="D370">
        <v>2157.1129999999998</v>
      </c>
      <c r="E370">
        <f t="shared" si="6"/>
        <v>8</v>
      </c>
    </row>
    <row r="371" spans="1:5" x14ac:dyDescent="0.25">
      <c r="A371" s="1">
        <v>45398</v>
      </c>
      <c r="B371">
        <v>10</v>
      </c>
      <c r="C371">
        <v>6557.2129999999997</v>
      </c>
      <c r="D371">
        <v>3077.663</v>
      </c>
      <c r="E371">
        <f t="shared" si="6"/>
        <v>9</v>
      </c>
    </row>
    <row r="372" spans="1:5" x14ac:dyDescent="0.25">
      <c r="A372" s="1">
        <v>45398</v>
      </c>
      <c r="B372">
        <v>11</v>
      </c>
      <c r="C372">
        <v>6800.7629999999999</v>
      </c>
      <c r="D372">
        <v>4139.2</v>
      </c>
      <c r="E372">
        <f t="shared" si="6"/>
        <v>10</v>
      </c>
    </row>
    <row r="373" spans="1:5" x14ac:dyDescent="0.25">
      <c r="A373" s="1">
        <v>45398</v>
      </c>
      <c r="B373">
        <v>12</v>
      </c>
      <c r="C373">
        <v>6714.5</v>
      </c>
      <c r="D373">
        <v>4771.8879999999999</v>
      </c>
      <c r="E373">
        <f t="shared" si="6"/>
        <v>1</v>
      </c>
    </row>
    <row r="374" spans="1:5" x14ac:dyDescent="0.25">
      <c r="A374" s="1">
        <v>45398</v>
      </c>
      <c r="B374">
        <v>13</v>
      </c>
      <c r="C374">
        <v>6545.4380000000001</v>
      </c>
      <c r="D374">
        <v>5342.2749999999996</v>
      </c>
      <c r="E374">
        <f t="shared" si="6"/>
        <v>1</v>
      </c>
    </row>
    <row r="375" spans="1:5" x14ac:dyDescent="0.25">
      <c r="A375" s="1">
        <v>45398</v>
      </c>
      <c r="B375">
        <v>14</v>
      </c>
      <c r="C375">
        <v>6455.5749999999998</v>
      </c>
      <c r="D375">
        <v>5622.8379999999997</v>
      </c>
      <c r="E375">
        <f t="shared" si="6"/>
        <v>1</v>
      </c>
    </row>
    <row r="376" spans="1:5" x14ac:dyDescent="0.25">
      <c r="A376" s="1">
        <v>45398</v>
      </c>
      <c r="B376">
        <v>15</v>
      </c>
      <c r="C376">
        <v>6052.4250000000002</v>
      </c>
      <c r="D376">
        <v>5443.7629999999999</v>
      </c>
      <c r="E376">
        <f t="shared" si="6"/>
        <v>1</v>
      </c>
    </row>
    <row r="377" spans="1:5" x14ac:dyDescent="0.25">
      <c r="A377" s="1">
        <v>45398</v>
      </c>
      <c r="B377">
        <v>16</v>
      </c>
      <c r="C377">
        <v>5514.3249999999998</v>
      </c>
      <c r="D377">
        <v>4813.0129999999999</v>
      </c>
      <c r="E377">
        <f t="shared" si="6"/>
        <v>1</v>
      </c>
    </row>
    <row r="378" spans="1:5" x14ac:dyDescent="0.25">
      <c r="A378" s="1">
        <v>45398</v>
      </c>
      <c r="B378">
        <v>17</v>
      </c>
      <c r="C378">
        <v>4683.6379999999999</v>
      </c>
      <c r="D378">
        <v>3809.9879999999998</v>
      </c>
      <c r="E378">
        <f t="shared" si="6"/>
        <v>1</v>
      </c>
    </row>
    <row r="379" spans="1:5" x14ac:dyDescent="0.25">
      <c r="A379" s="1">
        <v>45398</v>
      </c>
      <c r="B379">
        <v>18</v>
      </c>
      <c r="C379">
        <v>4193.0249999999996</v>
      </c>
      <c r="D379">
        <v>2631.1880000000001</v>
      </c>
      <c r="E379">
        <f t="shared" si="6"/>
        <v>1</v>
      </c>
    </row>
    <row r="380" spans="1:5" x14ac:dyDescent="0.25">
      <c r="A380" s="1">
        <v>45398</v>
      </c>
      <c r="B380">
        <v>19</v>
      </c>
      <c r="C380">
        <v>3605.6</v>
      </c>
      <c r="D380">
        <v>1189.2750000000001</v>
      </c>
      <c r="E380">
        <f t="shared" si="6"/>
        <v>1</v>
      </c>
    </row>
    <row r="381" spans="1:5" x14ac:dyDescent="0.25">
      <c r="A381" s="1">
        <v>45398</v>
      </c>
      <c r="B381">
        <v>20</v>
      </c>
      <c r="C381">
        <v>3165.8130000000001</v>
      </c>
      <c r="D381">
        <v>346.08800000000002</v>
      </c>
      <c r="E381">
        <f t="shared" si="6"/>
        <v>1</v>
      </c>
    </row>
    <row r="382" spans="1:5" x14ac:dyDescent="0.25">
      <c r="A382" s="1">
        <v>45398</v>
      </c>
      <c r="B382">
        <v>21</v>
      </c>
      <c r="C382">
        <v>3181.3629999999998</v>
      </c>
      <c r="D382">
        <v>30.324999999999999</v>
      </c>
      <c r="E382">
        <f t="shared" si="6"/>
        <v>2</v>
      </c>
    </row>
    <row r="383" spans="1:5" x14ac:dyDescent="0.25">
      <c r="A383" s="1">
        <v>45398</v>
      </c>
      <c r="B383">
        <v>22</v>
      </c>
      <c r="C383">
        <v>3564.0129999999999</v>
      </c>
      <c r="D383">
        <v>0</v>
      </c>
      <c r="E383">
        <f t="shared" si="6"/>
        <v>3</v>
      </c>
    </row>
    <row r="384" spans="1:5" x14ac:dyDescent="0.25">
      <c r="A384" s="1">
        <v>45398</v>
      </c>
      <c r="B384">
        <v>23</v>
      </c>
      <c r="C384">
        <v>3475.4250000000002</v>
      </c>
      <c r="D384">
        <v>0</v>
      </c>
      <c r="E384">
        <f t="shared" si="6"/>
        <v>1</v>
      </c>
    </row>
    <row r="385" spans="1:5" x14ac:dyDescent="0.25">
      <c r="A385" s="1">
        <v>45398</v>
      </c>
      <c r="B385">
        <v>24</v>
      </c>
      <c r="C385">
        <v>3159.6379999999999</v>
      </c>
      <c r="D385">
        <v>0</v>
      </c>
      <c r="E385">
        <f t="shared" si="6"/>
        <v>1</v>
      </c>
    </row>
    <row r="386" spans="1:5" x14ac:dyDescent="0.25">
      <c r="A386" s="1">
        <v>45399</v>
      </c>
      <c r="B386">
        <v>1</v>
      </c>
      <c r="C386">
        <v>2878.875</v>
      </c>
      <c r="D386">
        <v>0</v>
      </c>
      <c r="E386">
        <f t="shared" si="6"/>
        <v>1</v>
      </c>
    </row>
    <row r="387" spans="1:5" x14ac:dyDescent="0.25">
      <c r="A387" s="1">
        <v>45399</v>
      </c>
      <c r="B387">
        <v>2</v>
      </c>
      <c r="C387">
        <v>2527.9749999999999</v>
      </c>
      <c r="D387">
        <v>0</v>
      </c>
      <c r="E387">
        <f t="shared" si="6"/>
        <v>1</v>
      </c>
    </row>
    <row r="388" spans="1:5" x14ac:dyDescent="0.25">
      <c r="A388" s="1">
        <v>45399</v>
      </c>
      <c r="B388">
        <v>3</v>
      </c>
      <c r="C388">
        <v>2261.4</v>
      </c>
      <c r="D388">
        <v>0</v>
      </c>
      <c r="E388">
        <f t="shared" ref="E388:E451" si="7">IF(C388&gt;C387,E387+1,1)</f>
        <v>1</v>
      </c>
    </row>
    <row r="389" spans="1:5" x14ac:dyDescent="0.25">
      <c r="A389" s="1">
        <v>45399</v>
      </c>
      <c r="B389">
        <v>4</v>
      </c>
      <c r="C389">
        <v>2010.65</v>
      </c>
      <c r="D389">
        <v>0</v>
      </c>
      <c r="E389">
        <f t="shared" si="7"/>
        <v>1</v>
      </c>
    </row>
    <row r="390" spans="1:5" x14ac:dyDescent="0.25">
      <c r="A390" s="1">
        <v>45399</v>
      </c>
      <c r="B390">
        <v>5</v>
      </c>
      <c r="C390">
        <v>2118.9250000000002</v>
      </c>
      <c r="D390">
        <v>0</v>
      </c>
      <c r="E390">
        <f t="shared" si="7"/>
        <v>2</v>
      </c>
    </row>
    <row r="391" spans="1:5" x14ac:dyDescent="0.25">
      <c r="A391" s="1">
        <v>45399</v>
      </c>
      <c r="B391">
        <v>6</v>
      </c>
      <c r="C391">
        <v>1950.7750000000001</v>
      </c>
      <c r="D391">
        <v>93.263000000000005</v>
      </c>
      <c r="E391">
        <f t="shared" si="7"/>
        <v>1</v>
      </c>
    </row>
    <row r="392" spans="1:5" x14ac:dyDescent="0.25">
      <c r="A392" s="1">
        <v>45399</v>
      </c>
      <c r="B392">
        <v>7</v>
      </c>
      <c r="C392">
        <v>1878.15</v>
      </c>
      <c r="D392">
        <v>431.625</v>
      </c>
      <c r="E392">
        <f t="shared" si="7"/>
        <v>1</v>
      </c>
    </row>
    <row r="393" spans="1:5" x14ac:dyDescent="0.25">
      <c r="A393" s="1">
        <v>45399</v>
      </c>
      <c r="B393">
        <v>8</v>
      </c>
      <c r="C393">
        <v>1701.65</v>
      </c>
      <c r="D393">
        <v>1212.6379999999999</v>
      </c>
      <c r="E393">
        <f t="shared" si="7"/>
        <v>1</v>
      </c>
    </row>
    <row r="394" spans="1:5" x14ac:dyDescent="0.25">
      <c r="A394" s="1">
        <v>45399</v>
      </c>
      <c r="B394">
        <v>9</v>
      </c>
      <c r="C394">
        <v>1884</v>
      </c>
      <c r="D394">
        <v>2365.538</v>
      </c>
      <c r="E394">
        <f t="shared" si="7"/>
        <v>2</v>
      </c>
    </row>
    <row r="395" spans="1:5" x14ac:dyDescent="0.25">
      <c r="A395" s="1">
        <v>45399</v>
      </c>
      <c r="B395">
        <v>10</v>
      </c>
      <c r="C395">
        <v>1902.7629999999999</v>
      </c>
      <c r="D395">
        <v>3505.5129999999999</v>
      </c>
      <c r="E395">
        <f t="shared" si="7"/>
        <v>3</v>
      </c>
    </row>
    <row r="396" spans="1:5" x14ac:dyDescent="0.25">
      <c r="A396" s="1">
        <v>45399</v>
      </c>
      <c r="B396">
        <v>11</v>
      </c>
      <c r="C396">
        <v>1701.713</v>
      </c>
      <c r="D396">
        <v>4333.3999999999996</v>
      </c>
      <c r="E396">
        <f t="shared" si="7"/>
        <v>1</v>
      </c>
    </row>
    <row r="397" spans="1:5" x14ac:dyDescent="0.25">
      <c r="A397" s="1">
        <v>45399</v>
      </c>
      <c r="B397">
        <v>12</v>
      </c>
      <c r="C397">
        <v>1613.3</v>
      </c>
      <c r="D397">
        <v>4681.125</v>
      </c>
      <c r="E397">
        <f t="shared" si="7"/>
        <v>1</v>
      </c>
    </row>
    <row r="398" spans="1:5" x14ac:dyDescent="0.25">
      <c r="A398" s="1">
        <v>45399</v>
      </c>
      <c r="B398">
        <v>13</v>
      </c>
      <c r="C398">
        <v>1565.875</v>
      </c>
      <c r="D398">
        <v>4732.4629999999997</v>
      </c>
      <c r="E398">
        <f t="shared" si="7"/>
        <v>1</v>
      </c>
    </row>
    <row r="399" spans="1:5" x14ac:dyDescent="0.25">
      <c r="A399" s="1">
        <v>45399</v>
      </c>
      <c r="B399">
        <v>14</v>
      </c>
      <c r="C399">
        <v>1509.5</v>
      </c>
      <c r="D399">
        <v>4975.9250000000002</v>
      </c>
      <c r="E399">
        <f t="shared" si="7"/>
        <v>1</v>
      </c>
    </row>
    <row r="400" spans="1:5" x14ac:dyDescent="0.25">
      <c r="A400" s="1">
        <v>45399</v>
      </c>
      <c r="B400">
        <v>15</v>
      </c>
      <c r="C400">
        <v>1533.288</v>
      </c>
      <c r="D400">
        <v>4614.1130000000003</v>
      </c>
      <c r="E400">
        <f t="shared" si="7"/>
        <v>2</v>
      </c>
    </row>
    <row r="401" spans="1:5" x14ac:dyDescent="0.25">
      <c r="A401" s="1">
        <v>45399</v>
      </c>
      <c r="B401">
        <v>16</v>
      </c>
      <c r="C401">
        <v>1480.588</v>
      </c>
      <c r="D401">
        <v>4263.0129999999999</v>
      </c>
      <c r="E401">
        <f t="shared" si="7"/>
        <v>1</v>
      </c>
    </row>
    <row r="402" spans="1:5" x14ac:dyDescent="0.25">
      <c r="A402" s="1">
        <v>45399</v>
      </c>
      <c r="B402">
        <v>17</v>
      </c>
      <c r="C402">
        <v>1392.4</v>
      </c>
      <c r="D402">
        <v>3740.45</v>
      </c>
      <c r="E402">
        <f t="shared" si="7"/>
        <v>1</v>
      </c>
    </row>
    <row r="403" spans="1:5" x14ac:dyDescent="0.25">
      <c r="A403" s="1">
        <v>45399</v>
      </c>
      <c r="B403">
        <v>18</v>
      </c>
      <c r="C403">
        <v>1282.713</v>
      </c>
      <c r="D403">
        <v>2461.4499999999998</v>
      </c>
      <c r="E403">
        <f t="shared" si="7"/>
        <v>1</v>
      </c>
    </row>
    <row r="404" spans="1:5" x14ac:dyDescent="0.25">
      <c r="A404" s="1">
        <v>45399</v>
      </c>
      <c r="B404">
        <v>19</v>
      </c>
      <c r="C404">
        <v>1154.8879999999999</v>
      </c>
      <c r="D404">
        <v>1051.2380000000001</v>
      </c>
      <c r="E404">
        <f t="shared" si="7"/>
        <v>1</v>
      </c>
    </row>
    <row r="405" spans="1:5" x14ac:dyDescent="0.25">
      <c r="A405" s="1">
        <v>45399</v>
      </c>
      <c r="B405">
        <v>20</v>
      </c>
      <c r="C405">
        <v>1046.0129999999999</v>
      </c>
      <c r="D405">
        <v>227.42500000000001</v>
      </c>
      <c r="E405">
        <f t="shared" si="7"/>
        <v>1</v>
      </c>
    </row>
    <row r="406" spans="1:5" x14ac:dyDescent="0.25">
      <c r="A406" s="1">
        <v>45399</v>
      </c>
      <c r="B406">
        <v>21</v>
      </c>
      <c r="C406">
        <v>924.46299999999997</v>
      </c>
      <c r="D406">
        <v>5.5250000000000004</v>
      </c>
      <c r="E406">
        <f t="shared" si="7"/>
        <v>1</v>
      </c>
    </row>
    <row r="407" spans="1:5" x14ac:dyDescent="0.25">
      <c r="A407" s="1">
        <v>45399</v>
      </c>
      <c r="B407">
        <v>22</v>
      </c>
      <c r="C407">
        <v>838.05</v>
      </c>
      <c r="D407">
        <v>0</v>
      </c>
      <c r="E407">
        <f t="shared" si="7"/>
        <v>1</v>
      </c>
    </row>
    <row r="408" spans="1:5" x14ac:dyDescent="0.25">
      <c r="A408" s="1">
        <v>45399</v>
      </c>
      <c r="B408">
        <v>23</v>
      </c>
      <c r="C408">
        <v>799.63800000000003</v>
      </c>
      <c r="D408">
        <v>0</v>
      </c>
      <c r="E408">
        <f t="shared" si="7"/>
        <v>1</v>
      </c>
    </row>
    <row r="409" spans="1:5" x14ac:dyDescent="0.25">
      <c r="A409" s="1">
        <v>45399</v>
      </c>
      <c r="B409">
        <v>24</v>
      </c>
      <c r="C409">
        <v>796.38800000000003</v>
      </c>
      <c r="D409">
        <v>0</v>
      </c>
      <c r="E409">
        <f t="shared" si="7"/>
        <v>1</v>
      </c>
    </row>
    <row r="410" spans="1:5" x14ac:dyDescent="0.25">
      <c r="A410" s="1">
        <v>45400</v>
      </c>
      <c r="B410">
        <v>1</v>
      </c>
      <c r="C410">
        <v>832.66300000000001</v>
      </c>
      <c r="D410">
        <v>0</v>
      </c>
      <c r="E410">
        <f t="shared" si="7"/>
        <v>2</v>
      </c>
    </row>
    <row r="411" spans="1:5" x14ac:dyDescent="0.25">
      <c r="A411" s="1">
        <v>45400</v>
      </c>
      <c r="B411">
        <v>2</v>
      </c>
      <c r="C411">
        <v>983.56299999999999</v>
      </c>
      <c r="D411">
        <v>0</v>
      </c>
      <c r="E411">
        <f t="shared" si="7"/>
        <v>3</v>
      </c>
    </row>
    <row r="412" spans="1:5" x14ac:dyDescent="0.25">
      <c r="A412" s="1">
        <v>45400</v>
      </c>
      <c r="B412">
        <v>3</v>
      </c>
      <c r="C412">
        <v>1133.9880000000001</v>
      </c>
      <c r="D412">
        <v>0</v>
      </c>
      <c r="E412">
        <f t="shared" si="7"/>
        <v>4</v>
      </c>
    </row>
    <row r="413" spans="1:5" x14ac:dyDescent="0.25">
      <c r="A413" s="1">
        <v>45400</v>
      </c>
      <c r="B413">
        <v>4</v>
      </c>
      <c r="C413">
        <v>1195.9000000000001</v>
      </c>
      <c r="D413">
        <v>0</v>
      </c>
      <c r="E413">
        <f t="shared" si="7"/>
        <v>5</v>
      </c>
    </row>
    <row r="414" spans="1:5" x14ac:dyDescent="0.25">
      <c r="A414" s="1">
        <v>45400</v>
      </c>
      <c r="B414">
        <v>5</v>
      </c>
      <c r="C414">
        <v>1108.713</v>
      </c>
      <c r="D414">
        <v>0</v>
      </c>
      <c r="E414">
        <f t="shared" si="7"/>
        <v>1</v>
      </c>
    </row>
    <row r="415" spans="1:5" x14ac:dyDescent="0.25">
      <c r="A415" s="1">
        <v>45400</v>
      </c>
      <c r="B415">
        <v>6</v>
      </c>
      <c r="C415">
        <v>1068.5250000000001</v>
      </c>
      <c r="D415">
        <v>23.388000000000002</v>
      </c>
      <c r="E415">
        <f t="shared" si="7"/>
        <v>1</v>
      </c>
    </row>
    <row r="416" spans="1:5" x14ac:dyDescent="0.25">
      <c r="A416" s="1">
        <v>45400</v>
      </c>
      <c r="B416">
        <v>7</v>
      </c>
      <c r="C416">
        <v>1048.038</v>
      </c>
      <c r="D416">
        <v>454.05</v>
      </c>
      <c r="E416">
        <f t="shared" si="7"/>
        <v>1</v>
      </c>
    </row>
    <row r="417" spans="1:5" x14ac:dyDescent="0.25">
      <c r="A417" s="1">
        <v>45400</v>
      </c>
      <c r="B417">
        <v>8</v>
      </c>
      <c r="C417">
        <v>944.56299999999999</v>
      </c>
      <c r="D417">
        <v>1750.7380000000001</v>
      </c>
      <c r="E417">
        <f t="shared" si="7"/>
        <v>1</v>
      </c>
    </row>
    <row r="418" spans="1:5" x14ac:dyDescent="0.25">
      <c r="A418" s="1">
        <v>45400</v>
      </c>
      <c r="B418">
        <v>9</v>
      </c>
      <c r="C418">
        <v>970.76300000000003</v>
      </c>
      <c r="D418">
        <v>3414.125</v>
      </c>
      <c r="E418">
        <f t="shared" si="7"/>
        <v>2</v>
      </c>
    </row>
    <row r="419" spans="1:5" x14ac:dyDescent="0.25">
      <c r="A419" s="1">
        <v>45400</v>
      </c>
      <c r="B419">
        <v>10</v>
      </c>
      <c r="C419">
        <v>1167.2750000000001</v>
      </c>
      <c r="D419">
        <v>4769.3879999999999</v>
      </c>
      <c r="E419">
        <f t="shared" si="7"/>
        <v>3</v>
      </c>
    </row>
    <row r="420" spans="1:5" x14ac:dyDescent="0.25">
      <c r="A420" s="1">
        <v>45400</v>
      </c>
      <c r="B420">
        <v>11</v>
      </c>
      <c r="C420">
        <v>1420.288</v>
      </c>
      <c r="D420">
        <v>5606.7380000000003</v>
      </c>
      <c r="E420">
        <f t="shared" si="7"/>
        <v>4</v>
      </c>
    </row>
    <row r="421" spans="1:5" x14ac:dyDescent="0.25">
      <c r="A421" s="1">
        <v>45400</v>
      </c>
      <c r="B421">
        <v>12</v>
      </c>
      <c r="C421">
        <v>1610.7629999999999</v>
      </c>
      <c r="D421">
        <v>6108</v>
      </c>
      <c r="E421">
        <f t="shared" si="7"/>
        <v>5</v>
      </c>
    </row>
    <row r="422" spans="1:5" x14ac:dyDescent="0.25">
      <c r="A422" s="1">
        <v>45400</v>
      </c>
      <c r="B422">
        <v>13</v>
      </c>
      <c r="C422">
        <v>1773.963</v>
      </c>
      <c r="D422">
        <v>6099.8630000000003</v>
      </c>
      <c r="E422">
        <f t="shared" si="7"/>
        <v>6</v>
      </c>
    </row>
    <row r="423" spans="1:5" x14ac:dyDescent="0.25">
      <c r="A423" s="1">
        <v>45400</v>
      </c>
      <c r="B423">
        <v>14</v>
      </c>
      <c r="C423">
        <v>2041.9380000000001</v>
      </c>
      <c r="D423">
        <v>5979.2129999999997</v>
      </c>
      <c r="E423">
        <f t="shared" si="7"/>
        <v>7</v>
      </c>
    </row>
    <row r="424" spans="1:5" x14ac:dyDescent="0.25">
      <c r="A424" s="1">
        <v>45400</v>
      </c>
      <c r="B424">
        <v>15</v>
      </c>
      <c r="C424">
        <v>2218.8000000000002</v>
      </c>
      <c r="D424">
        <v>6035.7380000000003</v>
      </c>
      <c r="E424">
        <f t="shared" si="7"/>
        <v>8</v>
      </c>
    </row>
    <row r="425" spans="1:5" x14ac:dyDescent="0.25">
      <c r="A425" s="1">
        <v>45400</v>
      </c>
      <c r="B425">
        <v>16</v>
      </c>
      <c r="C425">
        <v>2332.3249999999998</v>
      </c>
      <c r="D425">
        <v>5759.7879999999996</v>
      </c>
      <c r="E425">
        <f t="shared" si="7"/>
        <v>9</v>
      </c>
    </row>
    <row r="426" spans="1:5" x14ac:dyDescent="0.25">
      <c r="A426" s="1">
        <v>45400</v>
      </c>
      <c r="B426">
        <v>17</v>
      </c>
      <c r="C426">
        <v>2170.6750000000002</v>
      </c>
      <c r="D426">
        <v>4938.2129999999997</v>
      </c>
      <c r="E426">
        <f t="shared" si="7"/>
        <v>1</v>
      </c>
    </row>
    <row r="427" spans="1:5" x14ac:dyDescent="0.25">
      <c r="A427" s="1">
        <v>45400</v>
      </c>
      <c r="B427">
        <v>18</v>
      </c>
      <c r="C427">
        <v>1907.463</v>
      </c>
      <c r="D427">
        <v>3262.375</v>
      </c>
      <c r="E427">
        <f t="shared" si="7"/>
        <v>1</v>
      </c>
    </row>
    <row r="428" spans="1:5" x14ac:dyDescent="0.25">
      <c r="A428" s="1">
        <v>45400</v>
      </c>
      <c r="B428">
        <v>19</v>
      </c>
      <c r="C428">
        <v>1663.9749999999999</v>
      </c>
      <c r="D428">
        <v>1365.9</v>
      </c>
      <c r="E428">
        <f t="shared" si="7"/>
        <v>1</v>
      </c>
    </row>
    <row r="429" spans="1:5" x14ac:dyDescent="0.25">
      <c r="A429" s="1">
        <v>45400</v>
      </c>
      <c r="B429">
        <v>20</v>
      </c>
      <c r="C429">
        <v>1374.0630000000001</v>
      </c>
      <c r="D429">
        <v>343.58800000000002</v>
      </c>
      <c r="E429">
        <f t="shared" si="7"/>
        <v>1</v>
      </c>
    </row>
    <row r="430" spans="1:5" x14ac:dyDescent="0.25">
      <c r="A430" s="1">
        <v>45400</v>
      </c>
      <c r="B430">
        <v>21</v>
      </c>
      <c r="C430">
        <v>1570.6880000000001</v>
      </c>
      <c r="D430">
        <v>9.7750000000000004</v>
      </c>
      <c r="E430">
        <f t="shared" si="7"/>
        <v>2</v>
      </c>
    </row>
    <row r="431" spans="1:5" x14ac:dyDescent="0.25">
      <c r="A431" s="1">
        <v>45400</v>
      </c>
      <c r="B431">
        <v>22</v>
      </c>
      <c r="C431">
        <v>1720.0129999999999</v>
      </c>
      <c r="D431">
        <v>0</v>
      </c>
      <c r="E431">
        <f t="shared" si="7"/>
        <v>3</v>
      </c>
    </row>
    <row r="432" spans="1:5" x14ac:dyDescent="0.25">
      <c r="A432" s="1">
        <v>45400</v>
      </c>
      <c r="B432">
        <v>23</v>
      </c>
      <c r="C432">
        <v>1954.838</v>
      </c>
      <c r="D432">
        <v>0</v>
      </c>
      <c r="E432">
        <f t="shared" si="7"/>
        <v>4</v>
      </c>
    </row>
    <row r="433" spans="1:5" x14ac:dyDescent="0.25">
      <c r="A433" s="1">
        <v>45400</v>
      </c>
      <c r="B433">
        <v>24</v>
      </c>
      <c r="C433">
        <v>2022.1880000000001</v>
      </c>
      <c r="D433">
        <v>0</v>
      </c>
      <c r="E433">
        <f t="shared" si="7"/>
        <v>5</v>
      </c>
    </row>
    <row r="434" spans="1:5" x14ac:dyDescent="0.25">
      <c r="A434" s="1">
        <v>45401</v>
      </c>
      <c r="B434">
        <v>1</v>
      </c>
      <c r="C434">
        <v>2147.4</v>
      </c>
      <c r="D434">
        <v>0</v>
      </c>
      <c r="E434">
        <f t="shared" si="7"/>
        <v>6</v>
      </c>
    </row>
    <row r="435" spans="1:5" x14ac:dyDescent="0.25">
      <c r="A435" s="1">
        <v>45401</v>
      </c>
      <c r="B435">
        <v>2</v>
      </c>
      <c r="C435">
        <v>2305.1999999999998</v>
      </c>
      <c r="D435">
        <v>0</v>
      </c>
      <c r="E435">
        <f t="shared" si="7"/>
        <v>7</v>
      </c>
    </row>
    <row r="436" spans="1:5" x14ac:dyDescent="0.25">
      <c r="A436" s="1">
        <v>45401</v>
      </c>
      <c r="B436">
        <v>3</v>
      </c>
      <c r="C436">
        <v>2501.9630000000002</v>
      </c>
      <c r="D436">
        <v>0</v>
      </c>
      <c r="E436">
        <f t="shared" si="7"/>
        <v>8</v>
      </c>
    </row>
    <row r="437" spans="1:5" x14ac:dyDescent="0.25">
      <c r="A437" s="1">
        <v>45401</v>
      </c>
      <c r="B437">
        <v>4</v>
      </c>
      <c r="C437">
        <v>2833.625</v>
      </c>
      <c r="D437">
        <v>0</v>
      </c>
      <c r="E437">
        <f t="shared" si="7"/>
        <v>9</v>
      </c>
    </row>
    <row r="438" spans="1:5" x14ac:dyDescent="0.25">
      <c r="A438" s="1">
        <v>45401</v>
      </c>
      <c r="B438">
        <v>5</v>
      </c>
      <c r="C438">
        <v>2877.9630000000002</v>
      </c>
      <c r="D438">
        <v>0</v>
      </c>
      <c r="E438">
        <f t="shared" si="7"/>
        <v>10</v>
      </c>
    </row>
    <row r="439" spans="1:5" x14ac:dyDescent="0.25">
      <c r="A439" s="1">
        <v>45401</v>
      </c>
      <c r="B439">
        <v>6</v>
      </c>
      <c r="C439">
        <v>2784.9879999999998</v>
      </c>
      <c r="D439">
        <v>132.125</v>
      </c>
      <c r="E439">
        <f t="shared" si="7"/>
        <v>1</v>
      </c>
    </row>
    <row r="440" spans="1:5" x14ac:dyDescent="0.25">
      <c r="A440" s="1">
        <v>45401</v>
      </c>
      <c r="B440">
        <v>7</v>
      </c>
      <c r="C440">
        <v>2484.5250000000001</v>
      </c>
      <c r="D440">
        <v>723.76300000000003</v>
      </c>
      <c r="E440">
        <f t="shared" si="7"/>
        <v>1</v>
      </c>
    </row>
    <row r="441" spans="1:5" x14ac:dyDescent="0.25">
      <c r="A441" s="1">
        <v>45401</v>
      </c>
      <c r="B441">
        <v>8</v>
      </c>
      <c r="C441">
        <v>2028.2380000000001</v>
      </c>
      <c r="D441">
        <v>2284.4250000000002</v>
      </c>
      <c r="E441">
        <f t="shared" si="7"/>
        <v>1</v>
      </c>
    </row>
    <row r="442" spans="1:5" x14ac:dyDescent="0.25">
      <c r="A442" s="1">
        <v>45401</v>
      </c>
      <c r="B442">
        <v>9</v>
      </c>
      <c r="C442">
        <v>1521.088</v>
      </c>
      <c r="D442">
        <v>4433.2749999999996</v>
      </c>
      <c r="E442">
        <f t="shared" si="7"/>
        <v>1</v>
      </c>
    </row>
    <row r="443" spans="1:5" x14ac:dyDescent="0.25">
      <c r="A443" s="1">
        <v>45401</v>
      </c>
      <c r="B443">
        <v>10</v>
      </c>
      <c r="C443">
        <v>1461.3130000000001</v>
      </c>
      <c r="D443">
        <v>6028.0379999999996</v>
      </c>
      <c r="E443">
        <f t="shared" si="7"/>
        <v>1</v>
      </c>
    </row>
    <row r="444" spans="1:5" x14ac:dyDescent="0.25">
      <c r="A444" s="1">
        <v>45401</v>
      </c>
      <c r="B444">
        <v>11</v>
      </c>
      <c r="C444">
        <v>1696.35</v>
      </c>
      <c r="D444">
        <v>6467.6880000000001</v>
      </c>
      <c r="E444">
        <f t="shared" si="7"/>
        <v>2</v>
      </c>
    </row>
    <row r="445" spans="1:5" x14ac:dyDescent="0.25">
      <c r="A445" s="1">
        <v>45401</v>
      </c>
      <c r="B445">
        <v>12</v>
      </c>
      <c r="C445">
        <v>1765.338</v>
      </c>
      <c r="D445">
        <v>6435.5630000000001</v>
      </c>
      <c r="E445">
        <f t="shared" si="7"/>
        <v>3</v>
      </c>
    </row>
    <row r="446" spans="1:5" x14ac:dyDescent="0.25">
      <c r="A446" s="1">
        <v>45401</v>
      </c>
      <c r="B446">
        <v>13</v>
      </c>
      <c r="C446">
        <v>1944.213</v>
      </c>
      <c r="D446">
        <v>6565.6130000000003</v>
      </c>
      <c r="E446">
        <f t="shared" si="7"/>
        <v>4</v>
      </c>
    </row>
    <row r="447" spans="1:5" x14ac:dyDescent="0.25">
      <c r="A447" s="1">
        <v>45401</v>
      </c>
      <c r="B447">
        <v>14</v>
      </c>
      <c r="C447">
        <v>1947.65</v>
      </c>
      <c r="D447">
        <v>6601.0379999999996</v>
      </c>
      <c r="E447">
        <f t="shared" si="7"/>
        <v>5</v>
      </c>
    </row>
    <row r="448" spans="1:5" x14ac:dyDescent="0.25">
      <c r="A448" s="1">
        <v>45401</v>
      </c>
      <c r="B448">
        <v>15</v>
      </c>
      <c r="C448">
        <v>1829.925</v>
      </c>
      <c r="D448">
        <v>5915.05</v>
      </c>
      <c r="E448">
        <f t="shared" si="7"/>
        <v>1</v>
      </c>
    </row>
    <row r="449" spans="1:5" x14ac:dyDescent="0.25">
      <c r="A449" s="1">
        <v>45401</v>
      </c>
      <c r="B449">
        <v>16</v>
      </c>
      <c r="C449">
        <v>1870.1379999999999</v>
      </c>
      <c r="D449">
        <v>4890.9750000000004</v>
      </c>
      <c r="E449">
        <f t="shared" si="7"/>
        <v>2</v>
      </c>
    </row>
    <row r="450" spans="1:5" x14ac:dyDescent="0.25">
      <c r="A450" s="1">
        <v>45401</v>
      </c>
      <c r="B450">
        <v>17</v>
      </c>
      <c r="C450">
        <v>1758.125</v>
      </c>
      <c r="D450">
        <v>3690.0129999999999</v>
      </c>
      <c r="E450">
        <f t="shared" si="7"/>
        <v>1</v>
      </c>
    </row>
    <row r="451" spans="1:5" x14ac:dyDescent="0.25">
      <c r="A451" s="1">
        <v>45401</v>
      </c>
      <c r="B451">
        <v>18</v>
      </c>
      <c r="C451">
        <v>1628.6379999999999</v>
      </c>
      <c r="D451">
        <v>2319.663</v>
      </c>
      <c r="E451">
        <f t="shared" si="7"/>
        <v>1</v>
      </c>
    </row>
    <row r="452" spans="1:5" x14ac:dyDescent="0.25">
      <c r="A452" s="1">
        <v>45401</v>
      </c>
      <c r="B452">
        <v>19</v>
      </c>
      <c r="C452">
        <v>1580.4749999999999</v>
      </c>
      <c r="D452">
        <v>1186.9000000000001</v>
      </c>
      <c r="E452">
        <f t="shared" ref="E452:E515" si="8">IF(C452&gt;C451,E451+1,1)</f>
        <v>1</v>
      </c>
    </row>
    <row r="453" spans="1:5" x14ac:dyDescent="0.25">
      <c r="A453" s="1">
        <v>45401</v>
      </c>
      <c r="B453">
        <v>20</v>
      </c>
      <c r="C453">
        <v>1403.1880000000001</v>
      </c>
      <c r="D453">
        <v>457.76299999999998</v>
      </c>
      <c r="E453">
        <f t="shared" si="8"/>
        <v>1</v>
      </c>
    </row>
    <row r="454" spans="1:5" x14ac:dyDescent="0.25">
      <c r="A454" s="1">
        <v>45401</v>
      </c>
      <c r="B454">
        <v>21</v>
      </c>
      <c r="C454">
        <v>1497.7249999999999</v>
      </c>
      <c r="D454">
        <v>12.788</v>
      </c>
      <c r="E454">
        <f t="shared" si="8"/>
        <v>2</v>
      </c>
    </row>
    <row r="455" spans="1:5" x14ac:dyDescent="0.25">
      <c r="A455" s="1">
        <v>45401</v>
      </c>
      <c r="B455">
        <v>22</v>
      </c>
      <c r="C455">
        <v>1671.663</v>
      </c>
      <c r="D455">
        <v>0</v>
      </c>
      <c r="E455">
        <f t="shared" si="8"/>
        <v>3</v>
      </c>
    </row>
    <row r="456" spans="1:5" x14ac:dyDescent="0.25">
      <c r="A456" s="1">
        <v>45401</v>
      </c>
      <c r="B456">
        <v>23</v>
      </c>
      <c r="C456">
        <v>1720.963</v>
      </c>
      <c r="D456">
        <v>0</v>
      </c>
      <c r="E456">
        <f t="shared" si="8"/>
        <v>4</v>
      </c>
    </row>
    <row r="457" spans="1:5" x14ac:dyDescent="0.25">
      <c r="A457" s="1">
        <v>45401</v>
      </c>
      <c r="B457">
        <v>24</v>
      </c>
      <c r="C457">
        <v>1723.9</v>
      </c>
      <c r="D457">
        <v>0</v>
      </c>
      <c r="E457">
        <f t="shared" si="8"/>
        <v>5</v>
      </c>
    </row>
    <row r="458" spans="1:5" x14ac:dyDescent="0.25">
      <c r="A458" s="1">
        <v>45402</v>
      </c>
      <c r="B458">
        <v>1</v>
      </c>
      <c r="C458">
        <v>1948.213</v>
      </c>
      <c r="D458">
        <v>0</v>
      </c>
      <c r="E458">
        <f t="shared" si="8"/>
        <v>6</v>
      </c>
    </row>
    <row r="459" spans="1:5" x14ac:dyDescent="0.25">
      <c r="A459" s="1">
        <v>45402</v>
      </c>
      <c r="B459">
        <v>2</v>
      </c>
      <c r="C459">
        <v>2266.5630000000001</v>
      </c>
      <c r="D459">
        <v>0</v>
      </c>
      <c r="E459">
        <f t="shared" si="8"/>
        <v>7</v>
      </c>
    </row>
    <row r="460" spans="1:5" x14ac:dyDescent="0.25">
      <c r="A460" s="1">
        <v>45402</v>
      </c>
      <c r="B460">
        <v>3</v>
      </c>
      <c r="C460">
        <v>2522.8130000000001</v>
      </c>
      <c r="D460">
        <v>0</v>
      </c>
      <c r="E460">
        <f t="shared" si="8"/>
        <v>8</v>
      </c>
    </row>
    <row r="461" spans="1:5" x14ac:dyDescent="0.25">
      <c r="A461" s="1">
        <v>45402</v>
      </c>
      <c r="B461">
        <v>4</v>
      </c>
      <c r="C461">
        <v>2655.8879999999999</v>
      </c>
      <c r="D461">
        <v>0</v>
      </c>
      <c r="E461">
        <f t="shared" si="8"/>
        <v>9</v>
      </c>
    </row>
    <row r="462" spans="1:5" x14ac:dyDescent="0.25">
      <c r="A462" s="1">
        <v>45402</v>
      </c>
      <c r="B462">
        <v>5</v>
      </c>
      <c r="C462">
        <v>2681.55</v>
      </c>
      <c r="D462">
        <v>0</v>
      </c>
      <c r="E462">
        <f t="shared" si="8"/>
        <v>10</v>
      </c>
    </row>
    <row r="463" spans="1:5" x14ac:dyDescent="0.25">
      <c r="A463" s="1">
        <v>45402</v>
      </c>
      <c r="B463">
        <v>6</v>
      </c>
      <c r="C463">
        <v>2601.2750000000001</v>
      </c>
      <c r="D463">
        <v>260.22500000000002</v>
      </c>
      <c r="E463">
        <f t="shared" si="8"/>
        <v>1</v>
      </c>
    </row>
    <row r="464" spans="1:5" x14ac:dyDescent="0.25">
      <c r="A464" s="1">
        <v>45402</v>
      </c>
      <c r="B464">
        <v>7</v>
      </c>
      <c r="C464">
        <v>2638.5749999999998</v>
      </c>
      <c r="D464">
        <v>681.01300000000003</v>
      </c>
      <c r="E464">
        <f t="shared" si="8"/>
        <v>2</v>
      </c>
    </row>
    <row r="465" spans="1:5" x14ac:dyDescent="0.25">
      <c r="A465" s="1">
        <v>45402</v>
      </c>
      <c r="B465">
        <v>8</v>
      </c>
      <c r="C465">
        <v>2693.7379999999998</v>
      </c>
      <c r="D465">
        <v>1367.7249999999999</v>
      </c>
      <c r="E465">
        <f t="shared" si="8"/>
        <v>3</v>
      </c>
    </row>
    <row r="466" spans="1:5" x14ac:dyDescent="0.25">
      <c r="A466" s="1">
        <v>45402</v>
      </c>
      <c r="B466">
        <v>9</v>
      </c>
      <c r="C466">
        <v>2936.288</v>
      </c>
      <c r="D466">
        <v>2244.9879999999998</v>
      </c>
      <c r="E466">
        <f t="shared" si="8"/>
        <v>4</v>
      </c>
    </row>
    <row r="467" spans="1:5" x14ac:dyDescent="0.25">
      <c r="A467" s="1">
        <v>45402</v>
      </c>
      <c r="B467">
        <v>10</v>
      </c>
      <c r="C467">
        <v>3229.1880000000001</v>
      </c>
      <c r="D467">
        <v>3289.05</v>
      </c>
      <c r="E467">
        <f t="shared" si="8"/>
        <v>5</v>
      </c>
    </row>
    <row r="468" spans="1:5" x14ac:dyDescent="0.25">
      <c r="A468" s="1">
        <v>45402</v>
      </c>
      <c r="B468">
        <v>11</v>
      </c>
      <c r="C468">
        <v>3333.2750000000001</v>
      </c>
      <c r="D468">
        <v>3780.8</v>
      </c>
      <c r="E468">
        <f t="shared" si="8"/>
        <v>6</v>
      </c>
    </row>
    <row r="469" spans="1:5" x14ac:dyDescent="0.25">
      <c r="A469" s="1">
        <v>45402</v>
      </c>
      <c r="B469">
        <v>12</v>
      </c>
      <c r="C469">
        <v>3592.125</v>
      </c>
      <c r="D469">
        <v>4266.5379999999996</v>
      </c>
      <c r="E469">
        <f t="shared" si="8"/>
        <v>7</v>
      </c>
    </row>
    <row r="470" spans="1:5" x14ac:dyDescent="0.25">
      <c r="A470" s="1">
        <v>45402</v>
      </c>
      <c r="B470">
        <v>13</v>
      </c>
      <c r="C470">
        <v>3842.413</v>
      </c>
      <c r="D470">
        <v>4328.0379999999996</v>
      </c>
      <c r="E470">
        <f t="shared" si="8"/>
        <v>8</v>
      </c>
    </row>
    <row r="471" spans="1:5" x14ac:dyDescent="0.25">
      <c r="A471" s="1">
        <v>45402</v>
      </c>
      <c r="B471">
        <v>14</v>
      </c>
      <c r="C471">
        <v>3900.3380000000002</v>
      </c>
      <c r="D471">
        <v>4282.625</v>
      </c>
      <c r="E471">
        <f t="shared" si="8"/>
        <v>9</v>
      </c>
    </row>
    <row r="472" spans="1:5" x14ac:dyDescent="0.25">
      <c r="A472" s="1">
        <v>45402</v>
      </c>
      <c r="B472">
        <v>15</v>
      </c>
      <c r="C472">
        <v>3871.4879999999998</v>
      </c>
      <c r="D472">
        <v>3939.6</v>
      </c>
      <c r="E472">
        <f t="shared" si="8"/>
        <v>1</v>
      </c>
    </row>
    <row r="473" spans="1:5" x14ac:dyDescent="0.25">
      <c r="A473" s="1">
        <v>45402</v>
      </c>
      <c r="B473">
        <v>16</v>
      </c>
      <c r="C473">
        <v>3587.1880000000001</v>
      </c>
      <c r="D473">
        <v>3408.8380000000002</v>
      </c>
      <c r="E473">
        <f t="shared" si="8"/>
        <v>1</v>
      </c>
    </row>
    <row r="474" spans="1:5" x14ac:dyDescent="0.25">
      <c r="A474" s="1">
        <v>45402</v>
      </c>
      <c r="B474">
        <v>17</v>
      </c>
      <c r="C474">
        <v>3293.0129999999999</v>
      </c>
      <c r="D474">
        <v>2702.4749999999999</v>
      </c>
      <c r="E474">
        <f t="shared" si="8"/>
        <v>1</v>
      </c>
    </row>
    <row r="475" spans="1:5" x14ac:dyDescent="0.25">
      <c r="A475" s="1">
        <v>45402</v>
      </c>
      <c r="B475">
        <v>18</v>
      </c>
      <c r="C475">
        <v>2748.3879999999999</v>
      </c>
      <c r="D475">
        <v>1841.338</v>
      </c>
      <c r="E475">
        <f t="shared" si="8"/>
        <v>1</v>
      </c>
    </row>
    <row r="476" spans="1:5" x14ac:dyDescent="0.25">
      <c r="A476" s="1">
        <v>45402</v>
      </c>
      <c r="B476">
        <v>19</v>
      </c>
      <c r="C476">
        <v>2197.9250000000002</v>
      </c>
      <c r="D476">
        <v>893.51300000000003</v>
      </c>
      <c r="E476">
        <f t="shared" si="8"/>
        <v>1</v>
      </c>
    </row>
    <row r="477" spans="1:5" x14ac:dyDescent="0.25">
      <c r="A477" s="1">
        <v>45402</v>
      </c>
      <c r="B477">
        <v>20</v>
      </c>
      <c r="C477">
        <v>1794.8130000000001</v>
      </c>
      <c r="D477">
        <v>211.27500000000001</v>
      </c>
      <c r="E477">
        <f t="shared" si="8"/>
        <v>1</v>
      </c>
    </row>
    <row r="478" spans="1:5" x14ac:dyDescent="0.25">
      <c r="A478" s="1">
        <v>45402</v>
      </c>
      <c r="B478">
        <v>21</v>
      </c>
      <c r="C478">
        <v>1357.075</v>
      </c>
      <c r="D478">
        <v>6.0880000000000001</v>
      </c>
      <c r="E478">
        <f t="shared" si="8"/>
        <v>1</v>
      </c>
    </row>
    <row r="479" spans="1:5" x14ac:dyDescent="0.25">
      <c r="A479" s="1">
        <v>45402</v>
      </c>
      <c r="B479">
        <v>22</v>
      </c>
      <c r="C479">
        <v>1288.213</v>
      </c>
      <c r="D479">
        <v>0</v>
      </c>
      <c r="E479">
        <f t="shared" si="8"/>
        <v>1</v>
      </c>
    </row>
    <row r="480" spans="1:5" x14ac:dyDescent="0.25">
      <c r="A480" s="1">
        <v>45402</v>
      </c>
      <c r="B480">
        <v>23</v>
      </c>
      <c r="C480">
        <v>1273.3630000000001</v>
      </c>
      <c r="D480">
        <v>0</v>
      </c>
      <c r="E480">
        <f t="shared" si="8"/>
        <v>1</v>
      </c>
    </row>
    <row r="481" spans="1:5" x14ac:dyDescent="0.25">
      <c r="A481" s="1">
        <v>45402</v>
      </c>
      <c r="B481">
        <v>24</v>
      </c>
      <c r="C481">
        <v>1262.5250000000001</v>
      </c>
      <c r="D481">
        <v>0</v>
      </c>
      <c r="E481">
        <f t="shared" si="8"/>
        <v>1</v>
      </c>
    </row>
    <row r="482" spans="1:5" x14ac:dyDescent="0.25">
      <c r="A482" s="1">
        <v>45403</v>
      </c>
      <c r="B482">
        <v>1</v>
      </c>
      <c r="C482">
        <v>1398.838</v>
      </c>
      <c r="D482">
        <v>0</v>
      </c>
      <c r="E482">
        <f t="shared" si="8"/>
        <v>2</v>
      </c>
    </row>
    <row r="483" spans="1:5" x14ac:dyDescent="0.25">
      <c r="A483" s="1">
        <v>45403</v>
      </c>
      <c r="B483">
        <v>2</v>
      </c>
      <c r="C483">
        <v>1532.7249999999999</v>
      </c>
      <c r="D483">
        <v>0</v>
      </c>
      <c r="E483">
        <f t="shared" si="8"/>
        <v>3</v>
      </c>
    </row>
    <row r="484" spans="1:5" x14ac:dyDescent="0.25">
      <c r="A484" s="1">
        <v>45403</v>
      </c>
      <c r="B484">
        <v>3</v>
      </c>
      <c r="C484">
        <v>1704.1880000000001</v>
      </c>
      <c r="D484">
        <v>0</v>
      </c>
      <c r="E484">
        <f t="shared" si="8"/>
        <v>4</v>
      </c>
    </row>
    <row r="485" spans="1:5" x14ac:dyDescent="0.25">
      <c r="A485" s="1">
        <v>45403</v>
      </c>
      <c r="B485">
        <v>4</v>
      </c>
      <c r="C485">
        <v>1849.1</v>
      </c>
      <c r="D485">
        <v>0</v>
      </c>
      <c r="E485">
        <f t="shared" si="8"/>
        <v>5</v>
      </c>
    </row>
    <row r="486" spans="1:5" x14ac:dyDescent="0.25">
      <c r="A486" s="1">
        <v>45403</v>
      </c>
      <c r="B486">
        <v>5</v>
      </c>
      <c r="C486">
        <v>1937.375</v>
      </c>
      <c r="D486">
        <v>0</v>
      </c>
      <c r="E486">
        <f t="shared" si="8"/>
        <v>6</v>
      </c>
    </row>
    <row r="487" spans="1:5" x14ac:dyDescent="0.25">
      <c r="A487" s="1">
        <v>45403</v>
      </c>
      <c r="B487">
        <v>6</v>
      </c>
      <c r="C487">
        <v>2067.2629999999999</v>
      </c>
      <c r="D487">
        <v>38.700000000000003</v>
      </c>
      <c r="E487">
        <f t="shared" si="8"/>
        <v>7</v>
      </c>
    </row>
    <row r="488" spans="1:5" x14ac:dyDescent="0.25">
      <c r="A488" s="1">
        <v>45403</v>
      </c>
      <c r="B488">
        <v>7</v>
      </c>
      <c r="C488">
        <v>2184.8380000000002</v>
      </c>
      <c r="D488">
        <v>474.45</v>
      </c>
      <c r="E488">
        <f t="shared" si="8"/>
        <v>8</v>
      </c>
    </row>
    <row r="489" spans="1:5" x14ac:dyDescent="0.25">
      <c r="A489" s="1">
        <v>45403</v>
      </c>
      <c r="B489">
        <v>8</v>
      </c>
      <c r="C489">
        <v>1934.588</v>
      </c>
      <c r="D489">
        <v>1766.1880000000001</v>
      </c>
      <c r="E489">
        <f t="shared" si="8"/>
        <v>1</v>
      </c>
    </row>
    <row r="490" spans="1:5" x14ac:dyDescent="0.25">
      <c r="A490" s="1">
        <v>45403</v>
      </c>
      <c r="B490">
        <v>9</v>
      </c>
      <c r="C490">
        <v>1946.1130000000001</v>
      </c>
      <c r="D490">
        <v>3378.413</v>
      </c>
      <c r="E490">
        <f t="shared" si="8"/>
        <v>2</v>
      </c>
    </row>
    <row r="491" spans="1:5" x14ac:dyDescent="0.25">
      <c r="A491" s="1">
        <v>45403</v>
      </c>
      <c r="B491">
        <v>10</v>
      </c>
      <c r="C491">
        <v>2419.8380000000002</v>
      </c>
      <c r="D491">
        <v>4721.9629999999997</v>
      </c>
      <c r="E491">
        <f t="shared" si="8"/>
        <v>3</v>
      </c>
    </row>
    <row r="492" spans="1:5" x14ac:dyDescent="0.25">
      <c r="A492" s="1">
        <v>45403</v>
      </c>
      <c r="B492">
        <v>11</v>
      </c>
      <c r="C492">
        <v>2898.95</v>
      </c>
      <c r="D492">
        <v>5160.4629999999997</v>
      </c>
      <c r="E492">
        <f t="shared" si="8"/>
        <v>4</v>
      </c>
    </row>
    <row r="493" spans="1:5" x14ac:dyDescent="0.25">
      <c r="A493" s="1">
        <v>45403</v>
      </c>
      <c r="B493">
        <v>12</v>
      </c>
      <c r="C493">
        <v>3274.163</v>
      </c>
      <c r="D493">
        <v>5038.2629999999999</v>
      </c>
      <c r="E493">
        <f t="shared" si="8"/>
        <v>5</v>
      </c>
    </row>
    <row r="494" spans="1:5" x14ac:dyDescent="0.25">
      <c r="A494" s="1">
        <v>45403</v>
      </c>
      <c r="B494">
        <v>13</v>
      </c>
      <c r="C494">
        <v>3595.8380000000002</v>
      </c>
      <c r="D494">
        <v>4713.7879999999996</v>
      </c>
      <c r="E494">
        <f t="shared" si="8"/>
        <v>6</v>
      </c>
    </row>
    <row r="495" spans="1:5" x14ac:dyDescent="0.25">
      <c r="A495" s="1">
        <v>45403</v>
      </c>
      <c r="B495">
        <v>14</v>
      </c>
      <c r="C495">
        <v>3973.15</v>
      </c>
      <c r="D495">
        <v>4531.9250000000002</v>
      </c>
      <c r="E495">
        <f t="shared" si="8"/>
        <v>7</v>
      </c>
    </row>
    <row r="496" spans="1:5" x14ac:dyDescent="0.25">
      <c r="A496" s="1">
        <v>45403</v>
      </c>
      <c r="B496">
        <v>15</v>
      </c>
      <c r="C496">
        <v>4240.5249999999996</v>
      </c>
      <c r="D496">
        <v>4170.3500000000004</v>
      </c>
      <c r="E496">
        <f t="shared" si="8"/>
        <v>8</v>
      </c>
    </row>
    <row r="497" spans="1:5" x14ac:dyDescent="0.25">
      <c r="A497" s="1">
        <v>45403</v>
      </c>
      <c r="B497">
        <v>16</v>
      </c>
      <c r="C497">
        <v>4450.5879999999997</v>
      </c>
      <c r="D497">
        <v>3515.0630000000001</v>
      </c>
      <c r="E497">
        <f t="shared" si="8"/>
        <v>9</v>
      </c>
    </row>
    <row r="498" spans="1:5" x14ac:dyDescent="0.25">
      <c r="A498" s="1">
        <v>45403</v>
      </c>
      <c r="B498">
        <v>17</v>
      </c>
      <c r="C498">
        <v>4511.9629999999997</v>
      </c>
      <c r="D498">
        <v>2743.9879999999998</v>
      </c>
      <c r="E498">
        <f t="shared" si="8"/>
        <v>10</v>
      </c>
    </row>
    <row r="499" spans="1:5" x14ac:dyDescent="0.25">
      <c r="A499" s="1">
        <v>45403</v>
      </c>
      <c r="B499">
        <v>18</v>
      </c>
      <c r="C499">
        <v>4392.3630000000003</v>
      </c>
      <c r="D499">
        <v>1887.788</v>
      </c>
      <c r="E499">
        <f t="shared" si="8"/>
        <v>1</v>
      </c>
    </row>
    <row r="500" spans="1:5" x14ac:dyDescent="0.25">
      <c r="A500" s="1">
        <v>45403</v>
      </c>
      <c r="B500">
        <v>19</v>
      </c>
      <c r="C500">
        <v>4057.6880000000001</v>
      </c>
      <c r="D500">
        <v>909.85</v>
      </c>
      <c r="E500">
        <f t="shared" si="8"/>
        <v>1</v>
      </c>
    </row>
    <row r="501" spans="1:5" x14ac:dyDescent="0.25">
      <c r="A501" s="1">
        <v>45403</v>
      </c>
      <c r="B501">
        <v>20</v>
      </c>
      <c r="C501">
        <v>3567.875</v>
      </c>
      <c r="D501">
        <v>212.28800000000001</v>
      </c>
      <c r="E501">
        <f t="shared" si="8"/>
        <v>1</v>
      </c>
    </row>
    <row r="502" spans="1:5" x14ac:dyDescent="0.25">
      <c r="A502" s="1">
        <v>45403</v>
      </c>
      <c r="B502">
        <v>21</v>
      </c>
      <c r="C502">
        <v>3013.4380000000001</v>
      </c>
      <c r="D502">
        <v>6.1</v>
      </c>
      <c r="E502">
        <f t="shared" si="8"/>
        <v>1</v>
      </c>
    </row>
    <row r="503" spans="1:5" x14ac:dyDescent="0.25">
      <c r="A503" s="1">
        <v>45403</v>
      </c>
      <c r="B503">
        <v>22</v>
      </c>
      <c r="C503">
        <v>2788.8130000000001</v>
      </c>
      <c r="D503">
        <v>0</v>
      </c>
      <c r="E503">
        <f t="shared" si="8"/>
        <v>1</v>
      </c>
    </row>
    <row r="504" spans="1:5" x14ac:dyDescent="0.25">
      <c r="A504" s="1">
        <v>45403</v>
      </c>
      <c r="B504">
        <v>23</v>
      </c>
      <c r="C504">
        <v>2913.0880000000002</v>
      </c>
      <c r="D504">
        <v>0</v>
      </c>
      <c r="E504">
        <f t="shared" si="8"/>
        <v>2</v>
      </c>
    </row>
    <row r="505" spans="1:5" x14ac:dyDescent="0.25">
      <c r="A505" s="1">
        <v>45403</v>
      </c>
      <c r="B505">
        <v>24</v>
      </c>
      <c r="C505">
        <v>2756.2</v>
      </c>
      <c r="D505">
        <v>0</v>
      </c>
      <c r="E505">
        <f t="shared" si="8"/>
        <v>1</v>
      </c>
    </row>
    <row r="506" spans="1:5" x14ac:dyDescent="0.25">
      <c r="A506" s="1">
        <v>45404</v>
      </c>
      <c r="B506">
        <v>1</v>
      </c>
      <c r="C506">
        <v>2444.663</v>
      </c>
      <c r="D506">
        <v>0</v>
      </c>
      <c r="E506">
        <f t="shared" si="8"/>
        <v>1</v>
      </c>
    </row>
    <row r="507" spans="1:5" x14ac:dyDescent="0.25">
      <c r="A507" s="1">
        <v>45404</v>
      </c>
      <c r="B507">
        <v>2</v>
      </c>
      <c r="C507">
        <v>2285.6880000000001</v>
      </c>
      <c r="D507">
        <v>0</v>
      </c>
      <c r="E507">
        <f t="shared" si="8"/>
        <v>1</v>
      </c>
    </row>
    <row r="508" spans="1:5" x14ac:dyDescent="0.25">
      <c r="A508" s="1">
        <v>45404</v>
      </c>
      <c r="B508">
        <v>3</v>
      </c>
      <c r="C508">
        <v>2196.663</v>
      </c>
      <c r="D508">
        <v>0</v>
      </c>
      <c r="E508">
        <f t="shared" si="8"/>
        <v>1</v>
      </c>
    </row>
    <row r="509" spans="1:5" x14ac:dyDescent="0.25">
      <c r="A509" s="1">
        <v>45404</v>
      </c>
      <c r="B509">
        <v>4</v>
      </c>
      <c r="C509">
        <v>2105.1379999999999</v>
      </c>
      <c r="D509">
        <v>0</v>
      </c>
      <c r="E509">
        <f t="shared" si="8"/>
        <v>1</v>
      </c>
    </row>
    <row r="510" spans="1:5" x14ac:dyDescent="0.25">
      <c r="A510" s="1">
        <v>45404</v>
      </c>
      <c r="B510">
        <v>5</v>
      </c>
      <c r="C510">
        <v>2107.9250000000002</v>
      </c>
      <c r="D510">
        <v>0</v>
      </c>
      <c r="E510">
        <f t="shared" si="8"/>
        <v>2</v>
      </c>
    </row>
    <row r="511" spans="1:5" x14ac:dyDescent="0.25">
      <c r="A511" s="1">
        <v>45404</v>
      </c>
      <c r="B511">
        <v>6</v>
      </c>
      <c r="C511">
        <v>2172.9380000000001</v>
      </c>
      <c r="D511">
        <v>56.024999999999999</v>
      </c>
      <c r="E511">
        <f t="shared" si="8"/>
        <v>3</v>
      </c>
    </row>
    <row r="512" spans="1:5" x14ac:dyDescent="0.25">
      <c r="A512" s="1">
        <v>45404</v>
      </c>
      <c r="B512">
        <v>7</v>
      </c>
      <c r="C512">
        <v>2164.1129999999998</v>
      </c>
      <c r="D512">
        <v>442.78800000000001</v>
      </c>
      <c r="E512">
        <f t="shared" si="8"/>
        <v>1</v>
      </c>
    </row>
    <row r="513" spans="1:5" x14ac:dyDescent="0.25">
      <c r="A513" s="1">
        <v>45404</v>
      </c>
      <c r="B513">
        <v>8</v>
      </c>
      <c r="C513">
        <v>2141</v>
      </c>
      <c r="D513">
        <v>1446.9</v>
      </c>
      <c r="E513">
        <f t="shared" si="8"/>
        <v>1</v>
      </c>
    </row>
    <row r="514" spans="1:5" x14ac:dyDescent="0.25">
      <c r="A514" s="1">
        <v>45404</v>
      </c>
      <c r="B514">
        <v>9</v>
      </c>
      <c r="C514">
        <v>2122.288</v>
      </c>
      <c r="D514">
        <v>2735.5880000000002</v>
      </c>
      <c r="E514">
        <f t="shared" si="8"/>
        <v>1</v>
      </c>
    </row>
    <row r="515" spans="1:5" x14ac:dyDescent="0.25">
      <c r="A515" s="1">
        <v>45404</v>
      </c>
      <c r="B515">
        <v>10</v>
      </c>
      <c r="C515">
        <v>2205.788</v>
      </c>
      <c r="D515">
        <v>3847.4630000000002</v>
      </c>
      <c r="E515">
        <f t="shared" si="8"/>
        <v>2</v>
      </c>
    </row>
    <row r="516" spans="1:5" x14ac:dyDescent="0.25">
      <c r="A516" s="1">
        <v>45404</v>
      </c>
      <c r="B516">
        <v>11</v>
      </c>
      <c r="C516">
        <v>2236.8130000000001</v>
      </c>
      <c r="D516">
        <v>4368.1379999999999</v>
      </c>
      <c r="E516">
        <f t="shared" ref="E516:E579" si="9">IF(C516&gt;C515,E515+1,1)</f>
        <v>3</v>
      </c>
    </row>
    <row r="517" spans="1:5" x14ac:dyDescent="0.25">
      <c r="A517" s="1">
        <v>45404</v>
      </c>
      <c r="B517">
        <v>12</v>
      </c>
      <c r="C517">
        <v>2309.5500000000002</v>
      </c>
      <c r="D517">
        <v>4245.9380000000001</v>
      </c>
      <c r="E517">
        <f t="shared" si="9"/>
        <v>4</v>
      </c>
    </row>
    <row r="518" spans="1:5" x14ac:dyDescent="0.25">
      <c r="A518" s="1">
        <v>45404</v>
      </c>
      <c r="B518">
        <v>13</v>
      </c>
      <c r="C518">
        <v>2168.6129999999998</v>
      </c>
      <c r="D518">
        <v>4059.038</v>
      </c>
      <c r="E518">
        <f t="shared" si="9"/>
        <v>1</v>
      </c>
    </row>
    <row r="519" spans="1:5" x14ac:dyDescent="0.25">
      <c r="A519" s="1">
        <v>45404</v>
      </c>
      <c r="B519">
        <v>14</v>
      </c>
      <c r="C519">
        <v>2051.375</v>
      </c>
      <c r="D519">
        <v>3880.1750000000002</v>
      </c>
      <c r="E519">
        <f t="shared" si="9"/>
        <v>1</v>
      </c>
    </row>
    <row r="520" spans="1:5" x14ac:dyDescent="0.25">
      <c r="A520" s="1">
        <v>45404</v>
      </c>
      <c r="B520">
        <v>15</v>
      </c>
      <c r="C520">
        <v>1815.825</v>
      </c>
      <c r="D520">
        <v>3558.1129999999998</v>
      </c>
      <c r="E520">
        <f t="shared" si="9"/>
        <v>1</v>
      </c>
    </row>
    <row r="521" spans="1:5" x14ac:dyDescent="0.25">
      <c r="A521" s="1">
        <v>45404</v>
      </c>
      <c r="B521">
        <v>16</v>
      </c>
      <c r="C521">
        <v>1594.1379999999999</v>
      </c>
      <c r="D521">
        <v>3103.875</v>
      </c>
      <c r="E521">
        <f t="shared" si="9"/>
        <v>1</v>
      </c>
    </row>
    <row r="522" spans="1:5" x14ac:dyDescent="0.25">
      <c r="A522" s="1">
        <v>45404</v>
      </c>
      <c r="B522">
        <v>17</v>
      </c>
      <c r="C522">
        <v>1369.25</v>
      </c>
      <c r="D522">
        <v>2497.6129999999998</v>
      </c>
      <c r="E522">
        <f t="shared" si="9"/>
        <v>1</v>
      </c>
    </row>
    <row r="523" spans="1:5" x14ac:dyDescent="0.25">
      <c r="A523" s="1">
        <v>45404</v>
      </c>
      <c r="B523">
        <v>18</v>
      </c>
      <c r="C523">
        <v>1099.7249999999999</v>
      </c>
      <c r="D523">
        <v>1671.1130000000001</v>
      </c>
      <c r="E523">
        <f t="shared" si="9"/>
        <v>1</v>
      </c>
    </row>
    <row r="524" spans="1:5" x14ac:dyDescent="0.25">
      <c r="A524" s="1">
        <v>45404</v>
      </c>
      <c r="B524">
        <v>19</v>
      </c>
      <c r="C524">
        <v>862.26300000000003</v>
      </c>
      <c r="D524">
        <v>807.27499999999998</v>
      </c>
      <c r="E524">
        <f t="shared" si="9"/>
        <v>1</v>
      </c>
    </row>
    <row r="525" spans="1:5" x14ac:dyDescent="0.25">
      <c r="A525" s="1">
        <v>45404</v>
      </c>
      <c r="B525">
        <v>20</v>
      </c>
      <c r="C525">
        <v>603.875</v>
      </c>
      <c r="D525">
        <v>205.08799999999999</v>
      </c>
      <c r="E525">
        <f t="shared" si="9"/>
        <v>1</v>
      </c>
    </row>
    <row r="526" spans="1:5" x14ac:dyDescent="0.25">
      <c r="A526" s="1">
        <v>45404</v>
      </c>
      <c r="B526">
        <v>21</v>
      </c>
      <c r="C526">
        <v>531.21299999999997</v>
      </c>
      <c r="D526">
        <v>38.024999999999999</v>
      </c>
      <c r="E526">
        <f t="shared" si="9"/>
        <v>1</v>
      </c>
    </row>
    <row r="527" spans="1:5" x14ac:dyDescent="0.25">
      <c r="A527" s="1">
        <v>45404</v>
      </c>
      <c r="B527">
        <v>22</v>
      </c>
      <c r="C527">
        <v>493.91300000000001</v>
      </c>
      <c r="D527">
        <v>0</v>
      </c>
      <c r="E527">
        <f t="shared" si="9"/>
        <v>1</v>
      </c>
    </row>
    <row r="528" spans="1:5" x14ac:dyDescent="0.25">
      <c r="A528" s="1">
        <v>45404</v>
      </c>
      <c r="B528">
        <v>23</v>
      </c>
      <c r="C528">
        <v>434.97500000000002</v>
      </c>
      <c r="D528">
        <v>0</v>
      </c>
      <c r="E528">
        <f t="shared" si="9"/>
        <v>1</v>
      </c>
    </row>
    <row r="529" spans="1:5" x14ac:dyDescent="0.25">
      <c r="A529" s="1">
        <v>45404</v>
      </c>
      <c r="B529">
        <v>24</v>
      </c>
      <c r="C529">
        <v>443.738</v>
      </c>
      <c r="D529">
        <v>0</v>
      </c>
      <c r="E529">
        <f t="shared" si="9"/>
        <v>2</v>
      </c>
    </row>
    <row r="530" spans="1:5" x14ac:dyDescent="0.25">
      <c r="A530" s="1">
        <v>45405</v>
      </c>
      <c r="B530">
        <v>1</v>
      </c>
      <c r="C530">
        <v>421.71300000000002</v>
      </c>
      <c r="D530">
        <v>0</v>
      </c>
      <c r="E530">
        <f t="shared" si="9"/>
        <v>1</v>
      </c>
    </row>
    <row r="531" spans="1:5" x14ac:dyDescent="0.25">
      <c r="A531" s="1">
        <v>45405</v>
      </c>
      <c r="B531">
        <v>2</v>
      </c>
      <c r="C531">
        <v>421.41300000000001</v>
      </c>
      <c r="D531">
        <v>0</v>
      </c>
      <c r="E531">
        <f t="shared" si="9"/>
        <v>1</v>
      </c>
    </row>
    <row r="532" spans="1:5" x14ac:dyDescent="0.25">
      <c r="A532" s="1">
        <v>45405</v>
      </c>
      <c r="B532">
        <v>3</v>
      </c>
      <c r="C532">
        <v>424.32499999999999</v>
      </c>
      <c r="D532">
        <v>0</v>
      </c>
      <c r="E532">
        <f t="shared" si="9"/>
        <v>2</v>
      </c>
    </row>
    <row r="533" spans="1:5" x14ac:dyDescent="0.25">
      <c r="A533" s="1">
        <v>45405</v>
      </c>
      <c r="B533">
        <v>4</v>
      </c>
      <c r="C533">
        <v>475.82499999999999</v>
      </c>
      <c r="D533">
        <v>0</v>
      </c>
      <c r="E533">
        <f t="shared" si="9"/>
        <v>3</v>
      </c>
    </row>
    <row r="534" spans="1:5" x14ac:dyDescent="0.25">
      <c r="A534" s="1">
        <v>45405</v>
      </c>
      <c r="B534">
        <v>5</v>
      </c>
      <c r="C534">
        <v>548.22500000000002</v>
      </c>
      <c r="D534">
        <v>0</v>
      </c>
      <c r="E534">
        <f t="shared" si="9"/>
        <v>4</v>
      </c>
    </row>
    <row r="535" spans="1:5" x14ac:dyDescent="0.25">
      <c r="A535" s="1">
        <v>45405</v>
      </c>
      <c r="B535">
        <v>6</v>
      </c>
      <c r="C535">
        <v>646.76300000000003</v>
      </c>
      <c r="D535">
        <v>66.75</v>
      </c>
      <c r="E535">
        <f t="shared" si="9"/>
        <v>5</v>
      </c>
    </row>
    <row r="536" spans="1:5" x14ac:dyDescent="0.25">
      <c r="A536" s="1">
        <v>45405</v>
      </c>
      <c r="B536">
        <v>7</v>
      </c>
      <c r="C536">
        <v>730.15</v>
      </c>
      <c r="D536">
        <v>624.79999999999995</v>
      </c>
      <c r="E536">
        <f t="shared" si="9"/>
        <v>6</v>
      </c>
    </row>
    <row r="537" spans="1:5" x14ac:dyDescent="0.25">
      <c r="A537" s="1">
        <v>45405</v>
      </c>
      <c r="B537">
        <v>8</v>
      </c>
      <c r="C537">
        <v>611.51300000000003</v>
      </c>
      <c r="D537">
        <v>2220.038</v>
      </c>
      <c r="E537">
        <f t="shared" si="9"/>
        <v>1</v>
      </c>
    </row>
    <row r="538" spans="1:5" x14ac:dyDescent="0.25">
      <c r="A538" s="1">
        <v>45405</v>
      </c>
      <c r="B538">
        <v>9</v>
      </c>
      <c r="C538">
        <v>560.81299999999999</v>
      </c>
      <c r="D538">
        <v>4509.7629999999999</v>
      </c>
      <c r="E538">
        <f t="shared" si="9"/>
        <v>1</v>
      </c>
    </row>
    <row r="539" spans="1:5" x14ac:dyDescent="0.25">
      <c r="A539" s="1">
        <v>45405</v>
      </c>
      <c r="B539">
        <v>10</v>
      </c>
      <c r="C539">
        <v>604.07500000000005</v>
      </c>
      <c r="D539">
        <v>6009.375</v>
      </c>
      <c r="E539">
        <f t="shared" si="9"/>
        <v>2</v>
      </c>
    </row>
    <row r="540" spans="1:5" x14ac:dyDescent="0.25">
      <c r="A540" s="1">
        <v>45405</v>
      </c>
      <c r="B540">
        <v>11</v>
      </c>
      <c r="C540">
        <v>771.81299999999999</v>
      </c>
      <c r="D540">
        <v>6756.8130000000001</v>
      </c>
      <c r="E540">
        <f t="shared" si="9"/>
        <v>3</v>
      </c>
    </row>
    <row r="541" spans="1:5" x14ac:dyDescent="0.25">
      <c r="A541" s="1">
        <v>45405</v>
      </c>
      <c r="B541">
        <v>12</v>
      </c>
      <c r="C541">
        <v>884</v>
      </c>
      <c r="D541">
        <v>6561.5379999999996</v>
      </c>
      <c r="E541">
        <f t="shared" si="9"/>
        <v>4</v>
      </c>
    </row>
    <row r="542" spans="1:5" x14ac:dyDescent="0.25">
      <c r="A542" s="1">
        <v>45405</v>
      </c>
      <c r="B542">
        <v>13</v>
      </c>
      <c r="C542">
        <v>869.46299999999997</v>
      </c>
      <c r="D542">
        <v>6942.3130000000001</v>
      </c>
      <c r="E542">
        <f t="shared" si="9"/>
        <v>1</v>
      </c>
    </row>
    <row r="543" spans="1:5" x14ac:dyDescent="0.25">
      <c r="A543" s="1">
        <v>45405</v>
      </c>
      <c r="B543">
        <v>14</v>
      </c>
      <c r="C543">
        <v>865.21299999999997</v>
      </c>
      <c r="D543">
        <v>7253.5379999999996</v>
      </c>
      <c r="E543">
        <f t="shared" si="9"/>
        <v>1</v>
      </c>
    </row>
    <row r="544" spans="1:5" x14ac:dyDescent="0.25">
      <c r="A544" s="1">
        <v>45405</v>
      </c>
      <c r="B544">
        <v>15</v>
      </c>
      <c r="C544">
        <v>796.05</v>
      </c>
      <c r="D544">
        <v>7172.7380000000003</v>
      </c>
      <c r="E544">
        <f t="shared" si="9"/>
        <v>1</v>
      </c>
    </row>
    <row r="545" spans="1:5" x14ac:dyDescent="0.25">
      <c r="A545" s="1">
        <v>45405</v>
      </c>
      <c r="B545">
        <v>16</v>
      </c>
      <c r="C545">
        <v>676.75</v>
      </c>
      <c r="D545">
        <v>6145.2879999999996</v>
      </c>
      <c r="E545">
        <f t="shared" si="9"/>
        <v>1</v>
      </c>
    </row>
    <row r="546" spans="1:5" x14ac:dyDescent="0.25">
      <c r="A546" s="1">
        <v>45405</v>
      </c>
      <c r="B546">
        <v>17</v>
      </c>
      <c r="C546">
        <v>512.625</v>
      </c>
      <c r="D546">
        <v>4845.6000000000004</v>
      </c>
      <c r="E546">
        <f t="shared" si="9"/>
        <v>1</v>
      </c>
    </row>
    <row r="547" spans="1:5" x14ac:dyDescent="0.25">
      <c r="A547" s="1">
        <v>45405</v>
      </c>
      <c r="B547">
        <v>18</v>
      </c>
      <c r="C547">
        <v>417.5</v>
      </c>
      <c r="D547">
        <v>3004.7629999999999</v>
      </c>
      <c r="E547">
        <f t="shared" si="9"/>
        <v>1</v>
      </c>
    </row>
    <row r="548" spans="1:5" x14ac:dyDescent="0.25">
      <c r="A548" s="1">
        <v>45405</v>
      </c>
      <c r="B548">
        <v>19</v>
      </c>
      <c r="C548">
        <v>377.32499999999999</v>
      </c>
      <c r="D548">
        <v>1426.675</v>
      </c>
      <c r="E548">
        <f t="shared" si="9"/>
        <v>1</v>
      </c>
    </row>
    <row r="549" spans="1:5" x14ac:dyDescent="0.25">
      <c r="A549" s="1">
        <v>45405</v>
      </c>
      <c r="B549">
        <v>20</v>
      </c>
      <c r="C549">
        <v>552.58799999999997</v>
      </c>
      <c r="D549">
        <v>450.125</v>
      </c>
      <c r="E549">
        <f t="shared" si="9"/>
        <v>2</v>
      </c>
    </row>
    <row r="550" spans="1:5" x14ac:dyDescent="0.25">
      <c r="A550" s="1">
        <v>45405</v>
      </c>
      <c r="B550">
        <v>21</v>
      </c>
      <c r="C550">
        <v>849.4</v>
      </c>
      <c r="D550">
        <v>49.463000000000001</v>
      </c>
      <c r="E550">
        <f t="shared" si="9"/>
        <v>3</v>
      </c>
    </row>
    <row r="551" spans="1:5" x14ac:dyDescent="0.25">
      <c r="A551" s="1">
        <v>45405</v>
      </c>
      <c r="B551">
        <v>22</v>
      </c>
      <c r="C551">
        <v>1143.675</v>
      </c>
      <c r="D551">
        <v>0</v>
      </c>
      <c r="E551">
        <f t="shared" si="9"/>
        <v>4</v>
      </c>
    </row>
    <row r="552" spans="1:5" x14ac:dyDescent="0.25">
      <c r="A552" s="1">
        <v>45405</v>
      </c>
      <c r="B552">
        <v>23</v>
      </c>
      <c r="C552">
        <v>1355.6379999999999</v>
      </c>
      <c r="D552">
        <v>0</v>
      </c>
      <c r="E552">
        <f t="shared" si="9"/>
        <v>5</v>
      </c>
    </row>
    <row r="553" spans="1:5" x14ac:dyDescent="0.25">
      <c r="A553" s="1">
        <v>45405</v>
      </c>
      <c r="B553">
        <v>24</v>
      </c>
      <c r="C553">
        <v>1587.25</v>
      </c>
      <c r="D553">
        <v>0</v>
      </c>
      <c r="E553">
        <f t="shared" si="9"/>
        <v>6</v>
      </c>
    </row>
    <row r="554" spans="1:5" x14ac:dyDescent="0.25">
      <c r="A554" s="1">
        <v>45406</v>
      </c>
      <c r="B554">
        <v>1</v>
      </c>
      <c r="C554">
        <v>1856.2249999999999</v>
      </c>
      <c r="D554">
        <v>0</v>
      </c>
      <c r="E554">
        <f t="shared" si="9"/>
        <v>7</v>
      </c>
    </row>
    <row r="555" spans="1:5" x14ac:dyDescent="0.25">
      <c r="A555" s="1">
        <v>45406</v>
      </c>
      <c r="B555">
        <v>2</v>
      </c>
      <c r="C555">
        <v>2004.8630000000001</v>
      </c>
      <c r="D555">
        <v>0</v>
      </c>
      <c r="E555">
        <f t="shared" si="9"/>
        <v>8</v>
      </c>
    </row>
    <row r="556" spans="1:5" x14ac:dyDescent="0.25">
      <c r="A556" s="1">
        <v>45406</v>
      </c>
      <c r="B556">
        <v>3</v>
      </c>
      <c r="C556">
        <v>1942.425</v>
      </c>
      <c r="D556">
        <v>0</v>
      </c>
      <c r="E556">
        <f t="shared" si="9"/>
        <v>1</v>
      </c>
    </row>
    <row r="557" spans="1:5" x14ac:dyDescent="0.25">
      <c r="A557" s="1">
        <v>45406</v>
      </c>
      <c r="B557">
        <v>4</v>
      </c>
      <c r="C557">
        <v>1797.0250000000001</v>
      </c>
      <c r="D557">
        <v>0</v>
      </c>
      <c r="E557">
        <f t="shared" si="9"/>
        <v>1</v>
      </c>
    </row>
    <row r="558" spans="1:5" x14ac:dyDescent="0.25">
      <c r="A558" s="1">
        <v>45406</v>
      </c>
      <c r="B558">
        <v>5</v>
      </c>
      <c r="C558">
        <v>1627.1130000000001</v>
      </c>
      <c r="D558">
        <v>0</v>
      </c>
      <c r="E558">
        <f t="shared" si="9"/>
        <v>1</v>
      </c>
    </row>
    <row r="559" spans="1:5" x14ac:dyDescent="0.25">
      <c r="A559" s="1">
        <v>45406</v>
      </c>
      <c r="B559">
        <v>6</v>
      </c>
      <c r="C559">
        <v>1479.425</v>
      </c>
      <c r="D559">
        <v>114.77500000000001</v>
      </c>
      <c r="E559">
        <f t="shared" si="9"/>
        <v>1</v>
      </c>
    </row>
    <row r="560" spans="1:5" x14ac:dyDescent="0.25">
      <c r="A560" s="1">
        <v>45406</v>
      </c>
      <c r="B560">
        <v>7</v>
      </c>
      <c r="C560">
        <v>1272.9880000000001</v>
      </c>
      <c r="D560">
        <v>633.08799999999997</v>
      </c>
      <c r="E560">
        <f t="shared" si="9"/>
        <v>1</v>
      </c>
    </row>
    <row r="561" spans="1:5" x14ac:dyDescent="0.25">
      <c r="A561" s="1">
        <v>45406</v>
      </c>
      <c r="B561">
        <v>8</v>
      </c>
      <c r="C561">
        <v>820.93799999999999</v>
      </c>
      <c r="D561">
        <v>1677.075</v>
      </c>
      <c r="E561">
        <f t="shared" si="9"/>
        <v>1</v>
      </c>
    </row>
    <row r="562" spans="1:5" x14ac:dyDescent="0.25">
      <c r="A562" s="1">
        <v>45406</v>
      </c>
      <c r="B562">
        <v>9</v>
      </c>
      <c r="C562">
        <v>444.613</v>
      </c>
      <c r="D562">
        <v>2961.3629999999998</v>
      </c>
      <c r="E562">
        <f t="shared" si="9"/>
        <v>1</v>
      </c>
    </row>
    <row r="563" spans="1:5" x14ac:dyDescent="0.25">
      <c r="A563" s="1">
        <v>45406</v>
      </c>
      <c r="B563">
        <v>10</v>
      </c>
      <c r="C563">
        <v>346.07499999999999</v>
      </c>
      <c r="D563">
        <v>4438.3630000000003</v>
      </c>
      <c r="E563">
        <f t="shared" si="9"/>
        <v>1</v>
      </c>
    </row>
    <row r="564" spans="1:5" x14ac:dyDescent="0.25">
      <c r="A564" s="1">
        <v>45406</v>
      </c>
      <c r="B564">
        <v>11</v>
      </c>
      <c r="C564">
        <v>400.25</v>
      </c>
      <c r="D564">
        <v>5538.8249999999998</v>
      </c>
      <c r="E564">
        <f t="shared" si="9"/>
        <v>2</v>
      </c>
    </row>
    <row r="565" spans="1:5" x14ac:dyDescent="0.25">
      <c r="A565" s="1">
        <v>45406</v>
      </c>
      <c r="B565">
        <v>12</v>
      </c>
      <c r="C565">
        <v>468.875</v>
      </c>
      <c r="D565">
        <v>5703.8379999999997</v>
      </c>
      <c r="E565">
        <f t="shared" si="9"/>
        <v>3</v>
      </c>
    </row>
    <row r="566" spans="1:5" x14ac:dyDescent="0.25">
      <c r="A566" s="1">
        <v>45406</v>
      </c>
      <c r="B566">
        <v>13</v>
      </c>
      <c r="C566">
        <v>546.43799999999999</v>
      </c>
      <c r="D566">
        <v>5460.4750000000004</v>
      </c>
      <c r="E566">
        <f t="shared" si="9"/>
        <v>4</v>
      </c>
    </row>
    <row r="567" spans="1:5" x14ac:dyDescent="0.25">
      <c r="A567" s="1">
        <v>45406</v>
      </c>
      <c r="B567">
        <v>14</v>
      </c>
      <c r="C567">
        <v>667.36300000000006</v>
      </c>
      <c r="D567">
        <v>5304.3630000000003</v>
      </c>
      <c r="E567">
        <f t="shared" si="9"/>
        <v>5</v>
      </c>
    </row>
    <row r="568" spans="1:5" x14ac:dyDescent="0.25">
      <c r="A568" s="1">
        <v>45406</v>
      </c>
      <c r="B568">
        <v>15</v>
      </c>
      <c r="C568">
        <v>822.86300000000006</v>
      </c>
      <c r="D568">
        <v>4556.125</v>
      </c>
      <c r="E568">
        <f t="shared" si="9"/>
        <v>6</v>
      </c>
    </row>
    <row r="569" spans="1:5" x14ac:dyDescent="0.25">
      <c r="A569" s="1">
        <v>45406</v>
      </c>
      <c r="B569">
        <v>16</v>
      </c>
      <c r="C569">
        <v>922.45</v>
      </c>
      <c r="D569">
        <v>3752.7379999999998</v>
      </c>
      <c r="E569">
        <f t="shared" si="9"/>
        <v>7</v>
      </c>
    </row>
    <row r="570" spans="1:5" x14ac:dyDescent="0.25">
      <c r="A570" s="1">
        <v>45406</v>
      </c>
      <c r="B570">
        <v>17</v>
      </c>
      <c r="C570">
        <v>1021.088</v>
      </c>
      <c r="D570">
        <v>2874.7249999999999</v>
      </c>
      <c r="E570">
        <f t="shared" si="9"/>
        <v>8</v>
      </c>
    </row>
    <row r="571" spans="1:5" x14ac:dyDescent="0.25">
      <c r="A571" s="1">
        <v>45406</v>
      </c>
      <c r="B571">
        <v>18</v>
      </c>
      <c r="C571">
        <v>1162.538</v>
      </c>
      <c r="D571">
        <v>1860.8630000000001</v>
      </c>
      <c r="E571">
        <f t="shared" si="9"/>
        <v>9</v>
      </c>
    </row>
    <row r="572" spans="1:5" x14ac:dyDescent="0.25">
      <c r="A572" s="1">
        <v>45406</v>
      </c>
      <c r="B572">
        <v>19</v>
      </c>
      <c r="C572">
        <v>1165.1379999999999</v>
      </c>
      <c r="D572">
        <v>979.18799999999999</v>
      </c>
      <c r="E572">
        <f t="shared" si="9"/>
        <v>10</v>
      </c>
    </row>
    <row r="573" spans="1:5" x14ac:dyDescent="0.25">
      <c r="A573" s="1">
        <v>45406</v>
      </c>
      <c r="B573">
        <v>20</v>
      </c>
      <c r="C573">
        <v>1097.3</v>
      </c>
      <c r="D573">
        <v>281</v>
      </c>
      <c r="E573">
        <f t="shared" si="9"/>
        <v>1</v>
      </c>
    </row>
    <row r="574" spans="1:5" x14ac:dyDescent="0.25">
      <c r="A574" s="1">
        <v>45406</v>
      </c>
      <c r="B574">
        <v>21</v>
      </c>
      <c r="C574">
        <v>1061.6500000000001</v>
      </c>
      <c r="D574">
        <v>20.524999999999999</v>
      </c>
      <c r="E574">
        <f t="shared" si="9"/>
        <v>1</v>
      </c>
    </row>
    <row r="575" spans="1:5" x14ac:dyDescent="0.25">
      <c r="A575" s="1">
        <v>45406</v>
      </c>
      <c r="B575">
        <v>22</v>
      </c>
      <c r="C575">
        <v>1075.3630000000001</v>
      </c>
      <c r="D575">
        <v>0</v>
      </c>
      <c r="E575">
        <f t="shared" si="9"/>
        <v>2</v>
      </c>
    </row>
    <row r="576" spans="1:5" x14ac:dyDescent="0.25">
      <c r="A576" s="1">
        <v>45406</v>
      </c>
      <c r="B576">
        <v>23</v>
      </c>
      <c r="C576">
        <v>1059.625</v>
      </c>
      <c r="D576">
        <v>0</v>
      </c>
      <c r="E576">
        <f t="shared" si="9"/>
        <v>1</v>
      </c>
    </row>
    <row r="577" spans="1:5" x14ac:dyDescent="0.25">
      <c r="A577" s="1">
        <v>45406</v>
      </c>
      <c r="B577">
        <v>24</v>
      </c>
      <c r="C577">
        <v>943.01300000000003</v>
      </c>
      <c r="D577">
        <v>0</v>
      </c>
      <c r="E577">
        <f t="shared" si="9"/>
        <v>1</v>
      </c>
    </row>
    <row r="578" spans="1:5" x14ac:dyDescent="0.25">
      <c r="A578" s="1">
        <v>45407</v>
      </c>
      <c r="B578">
        <v>1</v>
      </c>
      <c r="C578">
        <v>916.68799999999999</v>
      </c>
      <c r="D578">
        <v>0</v>
      </c>
      <c r="E578">
        <f t="shared" si="9"/>
        <v>1</v>
      </c>
    </row>
    <row r="579" spans="1:5" x14ac:dyDescent="0.25">
      <c r="A579" s="1">
        <v>45407</v>
      </c>
      <c r="B579">
        <v>2</v>
      </c>
      <c r="C579">
        <v>812.21299999999997</v>
      </c>
      <c r="D579">
        <v>0</v>
      </c>
      <c r="E579">
        <f t="shared" si="9"/>
        <v>1</v>
      </c>
    </row>
    <row r="580" spans="1:5" x14ac:dyDescent="0.25">
      <c r="A580" s="1">
        <v>45407</v>
      </c>
      <c r="B580">
        <v>3</v>
      </c>
      <c r="C580">
        <v>826.8</v>
      </c>
      <c r="D580">
        <v>0</v>
      </c>
      <c r="E580">
        <f t="shared" ref="E580:E643" si="10">IF(C580&gt;C579,E579+1,1)</f>
        <v>2</v>
      </c>
    </row>
    <row r="581" spans="1:5" x14ac:dyDescent="0.25">
      <c r="A581" s="1">
        <v>45407</v>
      </c>
      <c r="B581">
        <v>4</v>
      </c>
      <c r="C581">
        <v>789.55</v>
      </c>
      <c r="D581">
        <v>0</v>
      </c>
      <c r="E581">
        <f t="shared" si="10"/>
        <v>1</v>
      </c>
    </row>
    <row r="582" spans="1:5" x14ac:dyDescent="0.25">
      <c r="A582" s="1">
        <v>45407</v>
      </c>
      <c r="B582">
        <v>5</v>
      </c>
      <c r="C582">
        <v>709.35</v>
      </c>
      <c r="D582">
        <v>0</v>
      </c>
      <c r="E582">
        <f t="shared" si="10"/>
        <v>1</v>
      </c>
    </row>
    <row r="583" spans="1:5" x14ac:dyDescent="0.25">
      <c r="A583" s="1">
        <v>45407</v>
      </c>
      <c r="B583">
        <v>6</v>
      </c>
      <c r="C583">
        <v>649.67499999999995</v>
      </c>
      <c r="D583">
        <v>70.738</v>
      </c>
      <c r="E583">
        <f t="shared" si="10"/>
        <v>1</v>
      </c>
    </row>
    <row r="584" spans="1:5" x14ac:dyDescent="0.25">
      <c r="A584" s="1">
        <v>45407</v>
      </c>
      <c r="B584">
        <v>7</v>
      </c>
      <c r="C584">
        <v>643.02499999999998</v>
      </c>
      <c r="D584">
        <v>588.23800000000006</v>
      </c>
      <c r="E584">
        <f t="shared" si="10"/>
        <v>1</v>
      </c>
    </row>
    <row r="585" spans="1:5" x14ac:dyDescent="0.25">
      <c r="A585" s="1">
        <v>45407</v>
      </c>
      <c r="B585">
        <v>8</v>
      </c>
      <c r="C585">
        <v>498.13799999999998</v>
      </c>
      <c r="D585">
        <v>1954.5129999999999</v>
      </c>
      <c r="E585">
        <f t="shared" si="10"/>
        <v>1</v>
      </c>
    </row>
    <row r="586" spans="1:5" x14ac:dyDescent="0.25">
      <c r="A586" s="1">
        <v>45407</v>
      </c>
      <c r="B586">
        <v>9</v>
      </c>
      <c r="C586">
        <v>327.488</v>
      </c>
      <c r="D586">
        <v>3962.5880000000002</v>
      </c>
      <c r="E586">
        <f t="shared" si="10"/>
        <v>1</v>
      </c>
    </row>
    <row r="587" spans="1:5" x14ac:dyDescent="0.25">
      <c r="A587" s="1">
        <v>45407</v>
      </c>
      <c r="B587">
        <v>10</v>
      </c>
      <c r="C587">
        <v>334.21300000000002</v>
      </c>
      <c r="D587">
        <v>5705.2129999999997</v>
      </c>
      <c r="E587">
        <f t="shared" si="10"/>
        <v>2</v>
      </c>
    </row>
    <row r="588" spans="1:5" x14ac:dyDescent="0.25">
      <c r="A588" s="1">
        <v>45407</v>
      </c>
      <c r="B588">
        <v>11</v>
      </c>
      <c r="C588">
        <v>454.28800000000001</v>
      </c>
      <c r="D588">
        <v>6661.0630000000001</v>
      </c>
      <c r="E588">
        <f t="shared" si="10"/>
        <v>3</v>
      </c>
    </row>
    <row r="589" spans="1:5" x14ac:dyDescent="0.25">
      <c r="A589" s="1">
        <v>45407</v>
      </c>
      <c r="B589">
        <v>12</v>
      </c>
      <c r="C589">
        <v>566.375</v>
      </c>
      <c r="D589">
        <v>7085.5129999999999</v>
      </c>
      <c r="E589">
        <f t="shared" si="10"/>
        <v>4</v>
      </c>
    </row>
    <row r="590" spans="1:5" x14ac:dyDescent="0.25">
      <c r="A590" s="1">
        <v>45407</v>
      </c>
      <c r="B590">
        <v>13</v>
      </c>
      <c r="C590">
        <v>840.11300000000006</v>
      </c>
      <c r="D590">
        <v>7051.4880000000003</v>
      </c>
      <c r="E590">
        <f t="shared" si="10"/>
        <v>5</v>
      </c>
    </row>
    <row r="591" spans="1:5" x14ac:dyDescent="0.25">
      <c r="A591" s="1">
        <v>45407</v>
      </c>
      <c r="B591">
        <v>14</v>
      </c>
      <c r="C591">
        <v>1195.9380000000001</v>
      </c>
      <c r="D591">
        <v>6787.8249999999998</v>
      </c>
      <c r="E591">
        <f t="shared" si="10"/>
        <v>6</v>
      </c>
    </row>
    <row r="592" spans="1:5" x14ac:dyDescent="0.25">
      <c r="A592" s="1">
        <v>45407</v>
      </c>
      <c r="B592">
        <v>15</v>
      </c>
      <c r="C592">
        <v>1197.925</v>
      </c>
      <c r="D592">
        <v>6747.8</v>
      </c>
      <c r="E592">
        <f t="shared" si="10"/>
        <v>7</v>
      </c>
    </row>
    <row r="593" spans="1:5" x14ac:dyDescent="0.25">
      <c r="A593" s="1">
        <v>45407</v>
      </c>
      <c r="B593">
        <v>16</v>
      </c>
      <c r="C593">
        <v>1209.425</v>
      </c>
      <c r="D593">
        <v>6309.6379999999999</v>
      </c>
      <c r="E593">
        <f t="shared" si="10"/>
        <v>8</v>
      </c>
    </row>
    <row r="594" spans="1:5" x14ac:dyDescent="0.25">
      <c r="A594" s="1">
        <v>45407</v>
      </c>
      <c r="B594">
        <v>17</v>
      </c>
      <c r="C594">
        <v>1406.4880000000001</v>
      </c>
      <c r="D594">
        <v>4961.95</v>
      </c>
      <c r="E594">
        <f t="shared" si="10"/>
        <v>9</v>
      </c>
    </row>
    <row r="595" spans="1:5" x14ac:dyDescent="0.25">
      <c r="A595" s="1">
        <v>45407</v>
      </c>
      <c r="B595">
        <v>18</v>
      </c>
      <c r="C595">
        <v>1202.213</v>
      </c>
      <c r="D595">
        <v>3556.375</v>
      </c>
      <c r="E595">
        <f t="shared" si="10"/>
        <v>1</v>
      </c>
    </row>
    <row r="596" spans="1:5" x14ac:dyDescent="0.25">
      <c r="A596" s="1">
        <v>45407</v>
      </c>
      <c r="B596">
        <v>19</v>
      </c>
      <c r="C596">
        <v>812.52499999999998</v>
      </c>
      <c r="D596">
        <v>1637.338</v>
      </c>
      <c r="E596">
        <f t="shared" si="10"/>
        <v>1</v>
      </c>
    </row>
    <row r="597" spans="1:5" x14ac:dyDescent="0.25">
      <c r="A597" s="1">
        <v>45407</v>
      </c>
      <c r="B597">
        <v>20</v>
      </c>
      <c r="C597">
        <v>826.71299999999997</v>
      </c>
      <c r="D597">
        <v>483.93799999999999</v>
      </c>
      <c r="E597">
        <f t="shared" si="10"/>
        <v>2</v>
      </c>
    </row>
    <row r="598" spans="1:5" x14ac:dyDescent="0.25">
      <c r="A598" s="1">
        <v>45407</v>
      </c>
      <c r="B598">
        <v>21</v>
      </c>
      <c r="C598">
        <v>986.92499999999995</v>
      </c>
      <c r="D598">
        <v>43.338000000000001</v>
      </c>
      <c r="E598">
        <f t="shared" si="10"/>
        <v>3</v>
      </c>
    </row>
    <row r="599" spans="1:5" x14ac:dyDescent="0.25">
      <c r="A599" s="1">
        <v>45407</v>
      </c>
      <c r="B599">
        <v>22</v>
      </c>
      <c r="C599">
        <v>1386.2</v>
      </c>
      <c r="D599">
        <v>0</v>
      </c>
      <c r="E599">
        <f t="shared" si="10"/>
        <v>4</v>
      </c>
    </row>
    <row r="600" spans="1:5" x14ac:dyDescent="0.25">
      <c r="A600" s="1">
        <v>45407</v>
      </c>
      <c r="B600">
        <v>23</v>
      </c>
      <c r="C600">
        <v>1638.1</v>
      </c>
      <c r="D600">
        <v>0</v>
      </c>
      <c r="E600">
        <f t="shared" si="10"/>
        <v>5</v>
      </c>
    </row>
    <row r="601" spans="1:5" x14ac:dyDescent="0.25">
      <c r="A601" s="1">
        <v>45407</v>
      </c>
      <c r="B601">
        <v>24</v>
      </c>
      <c r="C601">
        <v>2046.35</v>
      </c>
      <c r="D601">
        <v>0</v>
      </c>
      <c r="E601">
        <f t="shared" si="10"/>
        <v>6</v>
      </c>
    </row>
    <row r="602" spans="1:5" x14ac:dyDescent="0.25">
      <c r="A602" s="1">
        <v>45408</v>
      </c>
      <c r="B602">
        <v>1</v>
      </c>
      <c r="C602">
        <v>2263.875</v>
      </c>
      <c r="D602">
        <v>0</v>
      </c>
      <c r="E602">
        <f t="shared" si="10"/>
        <v>7</v>
      </c>
    </row>
    <row r="603" spans="1:5" x14ac:dyDescent="0.25">
      <c r="A603" s="1">
        <v>45408</v>
      </c>
      <c r="B603">
        <v>2</v>
      </c>
      <c r="C603">
        <v>2458.625</v>
      </c>
      <c r="D603">
        <v>0</v>
      </c>
      <c r="E603">
        <f t="shared" si="10"/>
        <v>8</v>
      </c>
    </row>
    <row r="604" spans="1:5" x14ac:dyDescent="0.25">
      <c r="A604" s="1">
        <v>45408</v>
      </c>
      <c r="B604">
        <v>3</v>
      </c>
      <c r="C604">
        <v>2301.0749999999998</v>
      </c>
      <c r="D604">
        <v>0</v>
      </c>
      <c r="E604">
        <f t="shared" si="10"/>
        <v>1</v>
      </c>
    </row>
    <row r="605" spans="1:5" x14ac:dyDescent="0.25">
      <c r="A605" s="1">
        <v>45408</v>
      </c>
      <c r="B605">
        <v>4</v>
      </c>
      <c r="C605">
        <v>2109.3380000000002</v>
      </c>
      <c r="D605">
        <v>0</v>
      </c>
      <c r="E605">
        <f t="shared" si="10"/>
        <v>1</v>
      </c>
    </row>
    <row r="606" spans="1:5" x14ac:dyDescent="0.25">
      <c r="A606" s="1">
        <v>45408</v>
      </c>
      <c r="B606">
        <v>5</v>
      </c>
      <c r="C606">
        <v>2023.55</v>
      </c>
      <c r="D606">
        <v>0</v>
      </c>
      <c r="E606">
        <f t="shared" si="10"/>
        <v>1</v>
      </c>
    </row>
    <row r="607" spans="1:5" x14ac:dyDescent="0.25">
      <c r="A607" s="1">
        <v>45408</v>
      </c>
      <c r="B607">
        <v>6</v>
      </c>
      <c r="C607">
        <v>1784.9749999999999</v>
      </c>
      <c r="D607">
        <v>161.97499999999999</v>
      </c>
      <c r="E607">
        <f t="shared" si="10"/>
        <v>1</v>
      </c>
    </row>
    <row r="608" spans="1:5" x14ac:dyDescent="0.25">
      <c r="A608" s="1">
        <v>45408</v>
      </c>
      <c r="B608">
        <v>7</v>
      </c>
      <c r="C608">
        <v>1567.675</v>
      </c>
      <c r="D608">
        <v>1019.7380000000001</v>
      </c>
      <c r="E608">
        <f t="shared" si="10"/>
        <v>1</v>
      </c>
    </row>
    <row r="609" spans="1:5" x14ac:dyDescent="0.25">
      <c r="A609" s="1">
        <v>45408</v>
      </c>
      <c r="B609">
        <v>8</v>
      </c>
      <c r="C609">
        <v>964.16300000000001</v>
      </c>
      <c r="D609">
        <v>3401.7379999999998</v>
      </c>
      <c r="E609">
        <f t="shared" si="10"/>
        <v>1</v>
      </c>
    </row>
    <row r="610" spans="1:5" x14ac:dyDescent="0.25">
      <c r="A610" s="1">
        <v>45408</v>
      </c>
      <c r="B610">
        <v>9</v>
      </c>
      <c r="C610">
        <v>340.32499999999999</v>
      </c>
      <c r="D610">
        <v>6584.1629999999996</v>
      </c>
      <c r="E610">
        <f t="shared" si="10"/>
        <v>1</v>
      </c>
    </row>
    <row r="611" spans="1:5" x14ac:dyDescent="0.25">
      <c r="A611" s="1">
        <v>45408</v>
      </c>
      <c r="B611">
        <v>10</v>
      </c>
      <c r="C611">
        <v>347.58800000000002</v>
      </c>
      <c r="D611">
        <v>9175.8250000000007</v>
      </c>
      <c r="E611">
        <f t="shared" si="10"/>
        <v>2</v>
      </c>
    </row>
    <row r="612" spans="1:5" x14ac:dyDescent="0.25">
      <c r="A612" s="1">
        <v>45408</v>
      </c>
      <c r="B612">
        <v>11</v>
      </c>
      <c r="C612">
        <v>794.97500000000002</v>
      </c>
      <c r="D612">
        <v>10221.475</v>
      </c>
      <c r="E612">
        <f t="shared" si="10"/>
        <v>3</v>
      </c>
    </row>
    <row r="613" spans="1:5" x14ac:dyDescent="0.25">
      <c r="A613" s="1">
        <v>45408</v>
      </c>
      <c r="B613">
        <v>12</v>
      </c>
      <c r="C613">
        <v>1097.7</v>
      </c>
      <c r="D613">
        <v>9122.9249999999993</v>
      </c>
      <c r="E613">
        <f t="shared" si="10"/>
        <v>4</v>
      </c>
    </row>
    <row r="614" spans="1:5" x14ac:dyDescent="0.25">
      <c r="A614" s="1">
        <v>45408</v>
      </c>
      <c r="B614">
        <v>13</v>
      </c>
      <c r="C614">
        <v>1180.2380000000001</v>
      </c>
      <c r="D614">
        <v>8306.6380000000008</v>
      </c>
      <c r="E614">
        <f t="shared" si="10"/>
        <v>5</v>
      </c>
    </row>
    <row r="615" spans="1:5" x14ac:dyDescent="0.25">
      <c r="A615" s="1">
        <v>45408</v>
      </c>
      <c r="B615">
        <v>14</v>
      </c>
      <c r="C615">
        <v>1288.9000000000001</v>
      </c>
      <c r="D615">
        <v>7050.75</v>
      </c>
      <c r="E615">
        <f t="shared" si="10"/>
        <v>6</v>
      </c>
    </row>
    <row r="616" spans="1:5" x14ac:dyDescent="0.25">
      <c r="A616" s="1">
        <v>45408</v>
      </c>
      <c r="B616">
        <v>15</v>
      </c>
      <c r="C616">
        <v>1493.075</v>
      </c>
      <c r="D616">
        <v>6062.5749999999998</v>
      </c>
      <c r="E616">
        <f t="shared" si="10"/>
        <v>7</v>
      </c>
    </row>
    <row r="617" spans="1:5" x14ac:dyDescent="0.25">
      <c r="A617" s="1">
        <v>45408</v>
      </c>
      <c r="B617">
        <v>16</v>
      </c>
      <c r="C617">
        <v>1700.825</v>
      </c>
      <c r="D617">
        <v>5928.65</v>
      </c>
      <c r="E617">
        <f t="shared" si="10"/>
        <v>8</v>
      </c>
    </row>
    <row r="618" spans="1:5" x14ac:dyDescent="0.25">
      <c r="A618" s="1">
        <v>45408</v>
      </c>
      <c r="B618">
        <v>17</v>
      </c>
      <c r="C618">
        <v>1787.45</v>
      </c>
      <c r="D618">
        <v>4994.0129999999999</v>
      </c>
      <c r="E618">
        <f t="shared" si="10"/>
        <v>9</v>
      </c>
    </row>
    <row r="619" spans="1:5" x14ac:dyDescent="0.25">
      <c r="A619" s="1">
        <v>45408</v>
      </c>
      <c r="B619">
        <v>18</v>
      </c>
      <c r="C619">
        <v>1652.0250000000001</v>
      </c>
      <c r="D619">
        <v>3616.875</v>
      </c>
      <c r="E619">
        <f t="shared" si="10"/>
        <v>1</v>
      </c>
    </row>
    <row r="620" spans="1:5" x14ac:dyDescent="0.25">
      <c r="A620" s="1">
        <v>45408</v>
      </c>
      <c r="B620">
        <v>19</v>
      </c>
      <c r="C620">
        <v>1363.95</v>
      </c>
      <c r="D620">
        <v>1739.125</v>
      </c>
      <c r="E620">
        <f t="shared" si="10"/>
        <v>1</v>
      </c>
    </row>
    <row r="621" spans="1:5" x14ac:dyDescent="0.25">
      <c r="A621" s="1">
        <v>45408</v>
      </c>
      <c r="B621">
        <v>20</v>
      </c>
      <c r="C621">
        <v>1101.9000000000001</v>
      </c>
      <c r="D621">
        <v>467.45</v>
      </c>
      <c r="E621">
        <f t="shared" si="10"/>
        <v>1</v>
      </c>
    </row>
    <row r="622" spans="1:5" x14ac:dyDescent="0.25">
      <c r="A622" s="1">
        <v>45408</v>
      </c>
      <c r="B622">
        <v>21</v>
      </c>
      <c r="C622">
        <v>1571.6379999999999</v>
      </c>
      <c r="D622">
        <v>36.088000000000001</v>
      </c>
      <c r="E622">
        <f t="shared" si="10"/>
        <v>2</v>
      </c>
    </row>
    <row r="623" spans="1:5" x14ac:dyDescent="0.25">
      <c r="A623" s="1">
        <v>45408</v>
      </c>
      <c r="B623">
        <v>22</v>
      </c>
      <c r="C623">
        <v>2538.8380000000002</v>
      </c>
      <c r="D623">
        <v>0</v>
      </c>
      <c r="E623">
        <f t="shared" si="10"/>
        <v>3</v>
      </c>
    </row>
    <row r="624" spans="1:5" x14ac:dyDescent="0.25">
      <c r="A624" s="1">
        <v>45408</v>
      </c>
      <c r="B624">
        <v>23</v>
      </c>
      <c r="C624">
        <v>3423.9</v>
      </c>
      <c r="D624">
        <v>0</v>
      </c>
      <c r="E624">
        <f t="shared" si="10"/>
        <v>4</v>
      </c>
    </row>
    <row r="625" spans="1:5" x14ac:dyDescent="0.25">
      <c r="A625" s="1">
        <v>45408</v>
      </c>
      <c r="B625">
        <v>24</v>
      </c>
      <c r="C625">
        <v>3971.375</v>
      </c>
      <c r="D625">
        <v>0</v>
      </c>
      <c r="E625">
        <f t="shared" si="10"/>
        <v>5</v>
      </c>
    </row>
    <row r="626" spans="1:5" x14ac:dyDescent="0.25">
      <c r="A626" s="1">
        <v>45409</v>
      </c>
      <c r="B626">
        <v>1</v>
      </c>
      <c r="C626">
        <v>4154.6499999999996</v>
      </c>
      <c r="D626">
        <v>0</v>
      </c>
      <c r="E626">
        <f t="shared" si="10"/>
        <v>6</v>
      </c>
    </row>
    <row r="627" spans="1:5" x14ac:dyDescent="0.25">
      <c r="A627" s="1">
        <v>45409</v>
      </c>
      <c r="B627">
        <v>2</v>
      </c>
      <c r="C627">
        <v>4045.5630000000001</v>
      </c>
      <c r="D627">
        <v>0</v>
      </c>
      <c r="E627">
        <f t="shared" si="10"/>
        <v>1</v>
      </c>
    </row>
    <row r="628" spans="1:5" x14ac:dyDescent="0.25">
      <c r="A628" s="1">
        <v>45409</v>
      </c>
      <c r="B628">
        <v>3</v>
      </c>
      <c r="C628">
        <v>3708.0630000000001</v>
      </c>
      <c r="D628">
        <v>0</v>
      </c>
      <c r="E628">
        <f t="shared" si="10"/>
        <v>1</v>
      </c>
    </row>
    <row r="629" spans="1:5" x14ac:dyDescent="0.25">
      <c r="A629" s="1">
        <v>45409</v>
      </c>
      <c r="B629">
        <v>4</v>
      </c>
      <c r="C629">
        <v>3345.4630000000002</v>
      </c>
      <c r="D629">
        <v>0</v>
      </c>
      <c r="E629">
        <f t="shared" si="10"/>
        <v>1</v>
      </c>
    </row>
    <row r="630" spans="1:5" x14ac:dyDescent="0.25">
      <c r="A630" s="1">
        <v>45409</v>
      </c>
      <c r="B630">
        <v>5</v>
      </c>
      <c r="C630">
        <v>3113.6750000000002</v>
      </c>
      <c r="D630">
        <v>0</v>
      </c>
      <c r="E630">
        <f t="shared" si="10"/>
        <v>1</v>
      </c>
    </row>
    <row r="631" spans="1:5" x14ac:dyDescent="0.25">
      <c r="A631" s="1">
        <v>45409</v>
      </c>
      <c r="B631">
        <v>6</v>
      </c>
      <c r="C631">
        <v>2879.9879999999998</v>
      </c>
      <c r="D631">
        <v>119.71299999999999</v>
      </c>
      <c r="E631">
        <f t="shared" si="10"/>
        <v>1</v>
      </c>
    </row>
    <row r="632" spans="1:5" x14ac:dyDescent="0.25">
      <c r="A632" s="1">
        <v>45409</v>
      </c>
      <c r="B632">
        <v>7</v>
      </c>
      <c r="C632">
        <v>2648.2750000000001</v>
      </c>
      <c r="D632">
        <v>805.07500000000005</v>
      </c>
      <c r="E632">
        <f t="shared" si="10"/>
        <v>1</v>
      </c>
    </row>
    <row r="633" spans="1:5" x14ac:dyDescent="0.25">
      <c r="A633" s="1">
        <v>45409</v>
      </c>
      <c r="B633">
        <v>8</v>
      </c>
      <c r="C633">
        <v>1875.2</v>
      </c>
      <c r="D633">
        <v>2531.3629999999998</v>
      </c>
      <c r="E633">
        <f t="shared" si="10"/>
        <v>1</v>
      </c>
    </row>
    <row r="634" spans="1:5" x14ac:dyDescent="0.25">
      <c r="A634" s="1">
        <v>45409</v>
      </c>
      <c r="B634">
        <v>9</v>
      </c>
      <c r="C634">
        <v>988.23800000000006</v>
      </c>
      <c r="D634">
        <v>5034.7749999999996</v>
      </c>
      <c r="E634">
        <f t="shared" si="10"/>
        <v>1</v>
      </c>
    </row>
    <row r="635" spans="1:5" x14ac:dyDescent="0.25">
      <c r="A635" s="1">
        <v>45409</v>
      </c>
      <c r="B635">
        <v>10</v>
      </c>
      <c r="C635">
        <v>623.72500000000002</v>
      </c>
      <c r="D635">
        <v>7472.6</v>
      </c>
      <c r="E635">
        <f t="shared" si="10"/>
        <v>1</v>
      </c>
    </row>
    <row r="636" spans="1:5" x14ac:dyDescent="0.25">
      <c r="A636" s="1">
        <v>45409</v>
      </c>
      <c r="B636">
        <v>11</v>
      </c>
      <c r="C636">
        <v>789.15</v>
      </c>
      <c r="D636">
        <v>9395.8880000000008</v>
      </c>
      <c r="E636">
        <f t="shared" si="10"/>
        <v>2</v>
      </c>
    </row>
    <row r="637" spans="1:5" x14ac:dyDescent="0.25">
      <c r="A637" s="1">
        <v>45409</v>
      </c>
      <c r="B637">
        <v>12</v>
      </c>
      <c r="C637">
        <v>1219.3130000000001</v>
      </c>
      <c r="D637">
        <v>9911.1129999999994</v>
      </c>
      <c r="E637">
        <f t="shared" si="10"/>
        <v>3</v>
      </c>
    </row>
    <row r="638" spans="1:5" x14ac:dyDescent="0.25">
      <c r="A638" s="1">
        <v>45409</v>
      </c>
      <c r="B638">
        <v>13</v>
      </c>
      <c r="C638">
        <v>1398.75</v>
      </c>
      <c r="D638">
        <v>8829.7749999999996</v>
      </c>
      <c r="E638">
        <f t="shared" si="10"/>
        <v>4</v>
      </c>
    </row>
    <row r="639" spans="1:5" x14ac:dyDescent="0.25">
      <c r="A639" s="1">
        <v>45409</v>
      </c>
      <c r="B639">
        <v>14</v>
      </c>
      <c r="C639">
        <v>1283.0630000000001</v>
      </c>
      <c r="D639">
        <v>7911.3</v>
      </c>
      <c r="E639">
        <f t="shared" si="10"/>
        <v>1</v>
      </c>
    </row>
    <row r="640" spans="1:5" x14ac:dyDescent="0.25">
      <c r="A640" s="1">
        <v>45409</v>
      </c>
      <c r="B640">
        <v>15</v>
      </c>
      <c r="C640">
        <v>1164.413</v>
      </c>
      <c r="D640">
        <v>7714.4</v>
      </c>
      <c r="E640">
        <f t="shared" si="10"/>
        <v>1</v>
      </c>
    </row>
    <row r="641" spans="1:5" x14ac:dyDescent="0.25">
      <c r="A641" s="1">
        <v>45409</v>
      </c>
      <c r="B641">
        <v>16</v>
      </c>
      <c r="C641">
        <v>1047.3630000000001</v>
      </c>
      <c r="D641">
        <v>7125.4129999999996</v>
      </c>
      <c r="E641">
        <f t="shared" si="10"/>
        <v>1</v>
      </c>
    </row>
    <row r="642" spans="1:5" x14ac:dyDescent="0.25">
      <c r="A642" s="1">
        <v>45409</v>
      </c>
      <c r="B642">
        <v>17</v>
      </c>
      <c r="C642">
        <v>1025.1500000000001</v>
      </c>
      <c r="D642">
        <v>5647.45</v>
      </c>
      <c r="E642">
        <f t="shared" si="10"/>
        <v>1</v>
      </c>
    </row>
    <row r="643" spans="1:5" x14ac:dyDescent="0.25">
      <c r="A643" s="1">
        <v>45409</v>
      </c>
      <c r="B643">
        <v>18</v>
      </c>
      <c r="C643">
        <v>1086.4880000000001</v>
      </c>
      <c r="D643">
        <v>4101.1379999999999</v>
      </c>
      <c r="E643">
        <f t="shared" si="10"/>
        <v>2</v>
      </c>
    </row>
    <row r="644" spans="1:5" x14ac:dyDescent="0.25">
      <c r="A644" s="1">
        <v>45409</v>
      </c>
      <c r="B644">
        <v>19</v>
      </c>
      <c r="C644">
        <v>1000.438</v>
      </c>
      <c r="D644">
        <v>1819</v>
      </c>
      <c r="E644">
        <f t="shared" ref="E644:E707" si="11">IF(C644&gt;C643,E643+1,1)</f>
        <v>1</v>
      </c>
    </row>
    <row r="645" spans="1:5" x14ac:dyDescent="0.25">
      <c r="A645" s="1">
        <v>45409</v>
      </c>
      <c r="B645">
        <v>20</v>
      </c>
      <c r="C645">
        <v>1175.338</v>
      </c>
      <c r="D645">
        <v>490.83800000000002</v>
      </c>
      <c r="E645">
        <f t="shared" si="11"/>
        <v>2</v>
      </c>
    </row>
    <row r="646" spans="1:5" x14ac:dyDescent="0.25">
      <c r="A646" s="1">
        <v>45409</v>
      </c>
      <c r="B646">
        <v>21</v>
      </c>
      <c r="C646">
        <v>1868.4380000000001</v>
      </c>
      <c r="D646">
        <v>29.363</v>
      </c>
      <c r="E646">
        <f t="shared" si="11"/>
        <v>3</v>
      </c>
    </row>
    <row r="647" spans="1:5" x14ac:dyDescent="0.25">
      <c r="A647" s="1">
        <v>45409</v>
      </c>
      <c r="B647">
        <v>22</v>
      </c>
      <c r="C647">
        <v>3060.3</v>
      </c>
      <c r="D647">
        <v>0</v>
      </c>
      <c r="E647">
        <f t="shared" si="11"/>
        <v>4</v>
      </c>
    </row>
    <row r="648" spans="1:5" x14ac:dyDescent="0.25">
      <c r="A648" s="1">
        <v>45409</v>
      </c>
      <c r="B648">
        <v>23</v>
      </c>
      <c r="C648">
        <v>4255.8999999999996</v>
      </c>
      <c r="D648">
        <v>0</v>
      </c>
      <c r="E648">
        <f t="shared" si="11"/>
        <v>5</v>
      </c>
    </row>
    <row r="649" spans="1:5" x14ac:dyDescent="0.25">
      <c r="A649" s="1">
        <v>45409</v>
      </c>
      <c r="B649">
        <v>24</v>
      </c>
      <c r="C649">
        <v>5003.4250000000002</v>
      </c>
      <c r="D649">
        <v>0</v>
      </c>
      <c r="E649">
        <f t="shared" si="11"/>
        <v>6</v>
      </c>
    </row>
    <row r="650" spans="1:5" x14ac:dyDescent="0.25">
      <c r="A650" s="1">
        <v>45410</v>
      </c>
      <c r="B650">
        <v>1</v>
      </c>
      <c r="C650">
        <v>4937.6379999999999</v>
      </c>
      <c r="D650">
        <v>0</v>
      </c>
      <c r="E650">
        <f t="shared" si="11"/>
        <v>1</v>
      </c>
    </row>
    <row r="651" spans="1:5" x14ac:dyDescent="0.25">
      <c r="A651" s="1">
        <v>45410</v>
      </c>
      <c r="B651">
        <v>2</v>
      </c>
      <c r="C651">
        <v>4861.2129999999997</v>
      </c>
      <c r="D651">
        <v>0</v>
      </c>
      <c r="E651">
        <f t="shared" si="11"/>
        <v>1</v>
      </c>
    </row>
    <row r="652" spans="1:5" x14ac:dyDescent="0.25">
      <c r="A652" s="1">
        <v>45410</v>
      </c>
      <c r="B652">
        <v>3</v>
      </c>
      <c r="C652">
        <v>4697.5630000000001</v>
      </c>
      <c r="D652">
        <v>0</v>
      </c>
      <c r="E652">
        <f t="shared" si="11"/>
        <v>1</v>
      </c>
    </row>
    <row r="653" spans="1:5" x14ac:dyDescent="0.25">
      <c r="A653" s="1">
        <v>45410</v>
      </c>
      <c r="B653">
        <v>4</v>
      </c>
      <c r="C653">
        <v>4528.9129999999996</v>
      </c>
      <c r="D653">
        <v>0</v>
      </c>
      <c r="E653">
        <f t="shared" si="11"/>
        <v>1</v>
      </c>
    </row>
    <row r="654" spans="1:5" x14ac:dyDescent="0.25">
      <c r="A654" s="1">
        <v>45410</v>
      </c>
      <c r="B654">
        <v>5</v>
      </c>
      <c r="C654">
        <v>4417.8379999999997</v>
      </c>
      <c r="D654">
        <v>0</v>
      </c>
      <c r="E654">
        <f t="shared" si="11"/>
        <v>1</v>
      </c>
    </row>
    <row r="655" spans="1:5" x14ac:dyDescent="0.25">
      <c r="A655" s="1">
        <v>45410</v>
      </c>
      <c r="B655">
        <v>6</v>
      </c>
      <c r="C655">
        <v>4356.125</v>
      </c>
      <c r="D655">
        <v>168.47499999999999</v>
      </c>
      <c r="E655">
        <f t="shared" si="11"/>
        <v>1</v>
      </c>
    </row>
    <row r="656" spans="1:5" x14ac:dyDescent="0.25">
      <c r="A656" s="1">
        <v>45410</v>
      </c>
      <c r="B656">
        <v>7</v>
      </c>
      <c r="C656">
        <v>4266.1629999999996</v>
      </c>
      <c r="D656">
        <v>1088.675</v>
      </c>
      <c r="E656">
        <f t="shared" si="11"/>
        <v>1</v>
      </c>
    </row>
    <row r="657" spans="1:5" x14ac:dyDescent="0.25">
      <c r="A657" s="1">
        <v>45410</v>
      </c>
      <c r="B657">
        <v>8</v>
      </c>
      <c r="C657">
        <v>3305.3130000000001</v>
      </c>
      <c r="D657">
        <v>2829.788</v>
      </c>
      <c r="E657">
        <f t="shared" si="11"/>
        <v>1</v>
      </c>
    </row>
    <row r="658" spans="1:5" x14ac:dyDescent="0.25">
      <c r="A658" s="1">
        <v>45410</v>
      </c>
      <c r="B658">
        <v>9</v>
      </c>
      <c r="C658">
        <v>2211.1129999999998</v>
      </c>
      <c r="D658">
        <v>4604.8379999999997</v>
      </c>
      <c r="E658">
        <f t="shared" si="11"/>
        <v>1</v>
      </c>
    </row>
    <row r="659" spans="1:5" x14ac:dyDescent="0.25">
      <c r="A659" s="1">
        <v>45410</v>
      </c>
      <c r="B659">
        <v>10</v>
      </c>
      <c r="C659">
        <v>2445.8130000000001</v>
      </c>
      <c r="D659">
        <v>5843.4380000000001</v>
      </c>
      <c r="E659">
        <f t="shared" si="11"/>
        <v>2</v>
      </c>
    </row>
    <row r="660" spans="1:5" x14ac:dyDescent="0.25">
      <c r="A660" s="1">
        <v>45410</v>
      </c>
      <c r="B660">
        <v>11</v>
      </c>
      <c r="C660">
        <v>3334.0250000000001</v>
      </c>
      <c r="D660">
        <v>6848.5879999999997</v>
      </c>
      <c r="E660">
        <f t="shared" si="11"/>
        <v>3</v>
      </c>
    </row>
    <row r="661" spans="1:5" x14ac:dyDescent="0.25">
      <c r="A661" s="1">
        <v>45410</v>
      </c>
      <c r="B661">
        <v>12</v>
      </c>
      <c r="C661">
        <v>3987.3</v>
      </c>
      <c r="D661">
        <v>7276.5</v>
      </c>
      <c r="E661">
        <f t="shared" si="11"/>
        <v>4</v>
      </c>
    </row>
    <row r="662" spans="1:5" x14ac:dyDescent="0.25">
      <c r="A662" s="1">
        <v>45410</v>
      </c>
      <c r="B662">
        <v>13</v>
      </c>
      <c r="C662">
        <v>4037.15</v>
      </c>
      <c r="D662">
        <v>7053.0379999999996</v>
      </c>
      <c r="E662">
        <f t="shared" si="11"/>
        <v>5</v>
      </c>
    </row>
    <row r="663" spans="1:5" x14ac:dyDescent="0.25">
      <c r="A663" s="1">
        <v>45410</v>
      </c>
      <c r="B663">
        <v>14</v>
      </c>
      <c r="C663">
        <v>3850.6129999999998</v>
      </c>
      <c r="D663">
        <v>5970.6</v>
      </c>
      <c r="E663">
        <f t="shared" si="11"/>
        <v>1</v>
      </c>
    </row>
    <row r="664" spans="1:5" x14ac:dyDescent="0.25">
      <c r="A664" s="1">
        <v>45410</v>
      </c>
      <c r="B664">
        <v>15</v>
      </c>
      <c r="C664">
        <v>3850.9380000000001</v>
      </c>
      <c r="D664">
        <v>5464.1</v>
      </c>
      <c r="E664">
        <f t="shared" si="11"/>
        <v>2</v>
      </c>
    </row>
    <row r="665" spans="1:5" x14ac:dyDescent="0.25">
      <c r="A665" s="1">
        <v>45410</v>
      </c>
      <c r="B665">
        <v>16</v>
      </c>
      <c r="C665">
        <v>3784.788</v>
      </c>
      <c r="D665">
        <v>4990.8</v>
      </c>
      <c r="E665">
        <f t="shared" si="11"/>
        <v>1</v>
      </c>
    </row>
    <row r="666" spans="1:5" x14ac:dyDescent="0.25">
      <c r="A666" s="1">
        <v>45410</v>
      </c>
      <c r="B666">
        <v>17</v>
      </c>
      <c r="C666">
        <v>3922.8</v>
      </c>
      <c r="D666">
        <v>4352.375</v>
      </c>
      <c r="E666">
        <f t="shared" si="11"/>
        <v>2</v>
      </c>
    </row>
    <row r="667" spans="1:5" x14ac:dyDescent="0.25">
      <c r="A667" s="1">
        <v>45410</v>
      </c>
      <c r="B667">
        <v>18</v>
      </c>
      <c r="C667">
        <v>3755.6750000000002</v>
      </c>
      <c r="D667">
        <v>3567.15</v>
      </c>
      <c r="E667">
        <f t="shared" si="11"/>
        <v>1</v>
      </c>
    </row>
    <row r="668" spans="1:5" x14ac:dyDescent="0.25">
      <c r="A668" s="1">
        <v>45410</v>
      </c>
      <c r="B668">
        <v>19</v>
      </c>
      <c r="C668">
        <v>3201.7379999999998</v>
      </c>
      <c r="D668">
        <v>2078.913</v>
      </c>
      <c r="E668">
        <f t="shared" si="11"/>
        <v>1</v>
      </c>
    </row>
    <row r="669" spans="1:5" x14ac:dyDescent="0.25">
      <c r="A669" s="1">
        <v>45410</v>
      </c>
      <c r="B669">
        <v>20</v>
      </c>
      <c r="C669">
        <v>2948.0749999999998</v>
      </c>
      <c r="D669">
        <v>692.42499999999995</v>
      </c>
      <c r="E669">
        <f t="shared" si="11"/>
        <v>1</v>
      </c>
    </row>
    <row r="670" spans="1:5" x14ac:dyDescent="0.25">
      <c r="A670" s="1">
        <v>45410</v>
      </c>
      <c r="B670">
        <v>21</v>
      </c>
      <c r="C670">
        <v>3687.0880000000002</v>
      </c>
      <c r="D670">
        <v>36.174999999999997</v>
      </c>
      <c r="E670">
        <f t="shared" si="11"/>
        <v>2</v>
      </c>
    </row>
    <row r="671" spans="1:5" x14ac:dyDescent="0.25">
      <c r="A671" s="1">
        <v>45410</v>
      </c>
      <c r="B671">
        <v>22</v>
      </c>
      <c r="C671">
        <v>4782.7129999999997</v>
      </c>
      <c r="D671">
        <v>0</v>
      </c>
      <c r="E671">
        <f t="shared" si="11"/>
        <v>3</v>
      </c>
    </row>
    <row r="672" spans="1:5" x14ac:dyDescent="0.25">
      <c r="A672" s="1">
        <v>45410</v>
      </c>
      <c r="B672">
        <v>23</v>
      </c>
      <c r="C672">
        <v>5291.0630000000001</v>
      </c>
      <c r="D672">
        <v>0</v>
      </c>
      <c r="E672">
        <f t="shared" si="11"/>
        <v>4</v>
      </c>
    </row>
    <row r="673" spans="1:5" x14ac:dyDescent="0.25">
      <c r="A673" s="1">
        <v>45410</v>
      </c>
      <c r="B673">
        <v>24</v>
      </c>
      <c r="C673">
        <v>5382.25</v>
      </c>
      <c r="D673">
        <v>0</v>
      </c>
      <c r="E673">
        <f t="shared" si="11"/>
        <v>5</v>
      </c>
    </row>
    <row r="674" spans="1:5" x14ac:dyDescent="0.25">
      <c r="A674" s="1">
        <v>45411</v>
      </c>
      <c r="B674">
        <v>1</v>
      </c>
      <c r="C674">
        <v>5231.8130000000001</v>
      </c>
      <c r="D674">
        <v>0</v>
      </c>
      <c r="E674">
        <f t="shared" si="11"/>
        <v>1</v>
      </c>
    </row>
    <row r="675" spans="1:5" x14ac:dyDescent="0.25">
      <c r="A675" s="1">
        <v>45411</v>
      </c>
      <c r="B675">
        <v>2</v>
      </c>
      <c r="C675">
        <v>5017.125</v>
      </c>
      <c r="D675">
        <v>0</v>
      </c>
      <c r="E675">
        <f t="shared" si="11"/>
        <v>1</v>
      </c>
    </row>
    <row r="676" spans="1:5" x14ac:dyDescent="0.25">
      <c r="A676" s="1">
        <v>45411</v>
      </c>
      <c r="B676">
        <v>3</v>
      </c>
      <c r="C676">
        <v>4546.3999999999996</v>
      </c>
      <c r="D676">
        <v>0</v>
      </c>
      <c r="E676">
        <f t="shared" si="11"/>
        <v>1</v>
      </c>
    </row>
    <row r="677" spans="1:5" x14ac:dyDescent="0.25">
      <c r="A677" s="1">
        <v>45411</v>
      </c>
      <c r="B677">
        <v>4</v>
      </c>
      <c r="C677">
        <v>4131.4629999999997</v>
      </c>
      <c r="D677">
        <v>0</v>
      </c>
      <c r="E677">
        <f t="shared" si="11"/>
        <v>1</v>
      </c>
    </row>
    <row r="678" spans="1:5" x14ac:dyDescent="0.25">
      <c r="A678" s="1">
        <v>45411</v>
      </c>
      <c r="B678">
        <v>5</v>
      </c>
      <c r="C678">
        <v>3843.0749999999998</v>
      </c>
      <c r="D678">
        <v>0.35</v>
      </c>
      <c r="E678">
        <f t="shared" si="11"/>
        <v>1</v>
      </c>
    </row>
    <row r="679" spans="1:5" x14ac:dyDescent="0.25">
      <c r="A679" s="1">
        <v>45411</v>
      </c>
      <c r="B679">
        <v>6</v>
      </c>
      <c r="C679">
        <v>3584.4</v>
      </c>
      <c r="D679">
        <v>118.938</v>
      </c>
      <c r="E679">
        <f t="shared" si="11"/>
        <v>1</v>
      </c>
    </row>
    <row r="680" spans="1:5" x14ac:dyDescent="0.25">
      <c r="A680" s="1">
        <v>45411</v>
      </c>
      <c r="B680">
        <v>7</v>
      </c>
      <c r="C680">
        <v>3275.375</v>
      </c>
      <c r="D680">
        <v>937.13800000000003</v>
      </c>
      <c r="E680">
        <f t="shared" si="11"/>
        <v>1</v>
      </c>
    </row>
    <row r="681" spans="1:5" x14ac:dyDescent="0.25">
      <c r="A681" s="1">
        <v>45411</v>
      </c>
      <c r="B681">
        <v>8</v>
      </c>
      <c r="C681">
        <v>2384.5880000000002</v>
      </c>
      <c r="D681">
        <v>2822.6379999999999</v>
      </c>
      <c r="E681">
        <f t="shared" si="11"/>
        <v>1</v>
      </c>
    </row>
    <row r="682" spans="1:5" x14ac:dyDescent="0.25">
      <c r="A682" s="1">
        <v>45411</v>
      </c>
      <c r="B682">
        <v>9</v>
      </c>
      <c r="C682">
        <v>1347.375</v>
      </c>
      <c r="D682">
        <v>5446.0379999999996</v>
      </c>
      <c r="E682">
        <f t="shared" si="11"/>
        <v>1</v>
      </c>
    </row>
    <row r="683" spans="1:5" x14ac:dyDescent="0.25">
      <c r="A683" s="1">
        <v>45411</v>
      </c>
      <c r="B683">
        <v>10</v>
      </c>
      <c r="C683">
        <v>1094.95</v>
      </c>
      <c r="D683">
        <v>7641.9750000000004</v>
      </c>
      <c r="E683">
        <f t="shared" si="11"/>
        <v>1</v>
      </c>
    </row>
    <row r="684" spans="1:5" x14ac:dyDescent="0.25">
      <c r="A684" s="1">
        <v>45411</v>
      </c>
      <c r="B684">
        <v>11</v>
      </c>
      <c r="C684">
        <v>1180.338</v>
      </c>
      <c r="D684">
        <v>9545.7630000000008</v>
      </c>
      <c r="E684">
        <f t="shared" si="11"/>
        <v>2</v>
      </c>
    </row>
    <row r="685" spans="1:5" x14ac:dyDescent="0.25">
      <c r="A685" s="1">
        <v>45411</v>
      </c>
      <c r="B685">
        <v>12</v>
      </c>
      <c r="C685">
        <v>1330.15</v>
      </c>
      <c r="D685">
        <v>9180.5380000000005</v>
      </c>
      <c r="E685">
        <f t="shared" si="11"/>
        <v>3</v>
      </c>
    </row>
    <row r="686" spans="1:5" x14ac:dyDescent="0.25">
      <c r="A686" s="1">
        <v>45411</v>
      </c>
      <c r="B686">
        <v>13</v>
      </c>
      <c r="C686">
        <v>1515.0250000000001</v>
      </c>
      <c r="D686">
        <v>8799.4500000000007</v>
      </c>
      <c r="E686">
        <f t="shared" si="11"/>
        <v>4</v>
      </c>
    </row>
    <row r="687" spans="1:5" x14ac:dyDescent="0.25">
      <c r="A687" s="1">
        <v>45411</v>
      </c>
      <c r="B687">
        <v>14</v>
      </c>
      <c r="C687">
        <v>1608.875</v>
      </c>
      <c r="D687">
        <v>8568.4750000000004</v>
      </c>
      <c r="E687">
        <f t="shared" si="11"/>
        <v>5</v>
      </c>
    </row>
    <row r="688" spans="1:5" x14ac:dyDescent="0.25">
      <c r="A688" s="1">
        <v>45411</v>
      </c>
      <c r="B688">
        <v>15</v>
      </c>
      <c r="C688">
        <v>1706.5</v>
      </c>
      <c r="D688">
        <v>7865.4380000000001</v>
      </c>
      <c r="E688">
        <f t="shared" si="11"/>
        <v>6</v>
      </c>
    </row>
    <row r="689" spans="1:5" x14ac:dyDescent="0.25">
      <c r="A689" s="1">
        <v>45411</v>
      </c>
      <c r="B689">
        <v>16</v>
      </c>
      <c r="C689">
        <v>1699.413</v>
      </c>
      <c r="D689">
        <v>7673.0379999999996</v>
      </c>
      <c r="E689">
        <f t="shared" si="11"/>
        <v>1</v>
      </c>
    </row>
    <row r="690" spans="1:5" x14ac:dyDescent="0.25">
      <c r="A690" s="1">
        <v>45411</v>
      </c>
      <c r="B690">
        <v>17</v>
      </c>
      <c r="C690">
        <v>1678.7629999999999</v>
      </c>
      <c r="D690">
        <v>6558.375</v>
      </c>
      <c r="E690">
        <f t="shared" si="11"/>
        <v>1</v>
      </c>
    </row>
    <row r="691" spans="1:5" x14ac:dyDescent="0.25">
      <c r="A691" s="1">
        <v>45411</v>
      </c>
      <c r="B691">
        <v>18</v>
      </c>
      <c r="C691">
        <v>1672.45</v>
      </c>
      <c r="D691">
        <v>4528.4629999999997</v>
      </c>
      <c r="E691">
        <f t="shared" si="11"/>
        <v>1</v>
      </c>
    </row>
    <row r="692" spans="1:5" x14ac:dyDescent="0.25">
      <c r="A692" s="1">
        <v>45411</v>
      </c>
      <c r="B692">
        <v>19</v>
      </c>
      <c r="C692">
        <v>1669.963</v>
      </c>
      <c r="D692">
        <v>2260.35</v>
      </c>
      <c r="E692">
        <f t="shared" si="11"/>
        <v>1</v>
      </c>
    </row>
    <row r="693" spans="1:5" x14ac:dyDescent="0.25">
      <c r="A693" s="1">
        <v>45411</v>
      </c>
      <c r="B693">
        <v>20</v>
      </c>
      <c r="C693">
        <v>1912.2</v>
      </c>
      <c r="D693">
        <v>688.36300000000006</v>
      </c>
      <c r="E693">
        <f t="shared" si="11"/>
        <v>2</v>
      </c>
    </row>
    <row r="694" spans="1:5" x14ac:dyDescent="0.25">
      <c r="A694" s="1">
        <v>45411</v>
      </c>
      <c r="B694">
        <v>21</v>
      </c>
      <c r="C694">
        <v>2709.538</v>
      </c>
      <c r="D694">
        <v>64.45</v>
      </c>
      <c r="E694">
        <f t="shared" si="11"/>
        <v>3</v>
      </c>
    </row>
    <row r="695" spans="1:5" x14ac:dyDescent="0.25">
      <c r="A695" s="1">
        <v>45411</v>
      </c>
      <c r="B695">
        <v>22</v>
      </c>
      <c r="C695">
        <v>3575.3130000000001</v>
      </c>
      <c r="D695">
        <v>0</v>
      </c>
      <c r="E695">
        <f t="shared" si="11"/>
        <v>4</v>
      </c>
    </row>
    <row r="696" spans="1:5" x14ac:dyDescent="0.25">
      <c r="A696" s="1">
        <v>45411</v>
      </c>
      <c r="B696">
        <v>23</v>
      </c>
      <c r="C696">
        <v>4097.6750000000002</v>
      </c>
      <c r="D696">
        <v>0</v>
      </c>
      <c r="E696">
        <f t="shared" si="11"/>
        <v>5</v>
      </c>
    </row>
    <row r="697" spans="1:5" x14ac:dyDescent="0.25">
      <c r="A697" s="1">
        <v>45411</v>
      </c>
      <c r="B697">
        <v>24</v>
      </c>
      <c r="C697">
        <v>4326.8379999999997</v>
      </c>
      <c r="D697">
        <v>0</v>
      </c>
      <c r="E697">
        <f t="shared" si="11"/>
        <v>6</v>
      </c>
    </row>
    <row r="698" spans="1:5" x14ac:dyDescent="0.25">
      <c r="A698" s="1">
        <v>45412</v>
      </c>
      <c r="B698">
        <v>1</v>
      </c>
      <c r="C698">
        <v>4272.6629999999996</v>
      </c>
      <c r="D698">
        <v>0</v>
      </c>
      <c r="E698">
        <f t="shared" si="11"/>
        <v>1</v>
      </c>
    </row>
    <row r="699" spans="1:5" x14ac:dyDescent="0.25">
      <c r="A699" s="1">
        <v>45412</v>
      </c>
      <c r="B699">
        <v>2</v>
      </c>
      <c r="C699">
        <v>4037</v>
      </c>
      <c r="D699">
        <v>0</v>
      </c>
      <c r="E699">
        <f t="shared" si="11"/>
        <v>1</v>
      </c>
    </row>
    <row r="700" spans="1:5" x14ac:dyDescent="0.25">
      <c r="A700" s="1">
        <v>45412</v>
      </c>
      <c r="B700">
        <v>3</v>
      </c>
      <c r="C700">
        <v>3760.9380000000001</v>
      </c>
      <c r="D700">
        <v>0</v>
      </c>
      <c r="E700">
        <f t="shared" si="11"/>
        <v>1</v>
      </c>
    </row>
    <row r="701" spans="1:5" x14ac:dyDescent="0.25">
      <c r="A701" s="1">
        <v>45412</v>
      </c>
      <c r="B701">
        <v>4</v>
      </c>
      <c r="C701">
        <v>3717.3130000000001</v>
      </c>
      <c r="D701">
        <v>0</v>
      </c>
      <c r="E701">
        <f t="shared" si="11"/>
        <v>1</v>
      </c>
    </row>
    <row r="702" spans="1:5" x14ac:dyDescent="0.25">
      <c r="A702" s="1">
        <v>45412</v>
      </c>
      <c r="B702">
        <v>5</v>
      </c>
      <c r="C702">
        <v>3945.7379999999998</v>
      </c>
      <c r="D702">
        <v>0.48799999999999999</v>
      </c>
      <c r="E702">
        <f t="shared" si="11"/>
        <v>2</v>
      </c>
    </row>
    <row r="703" spans="1:5" x14ac:dyDescent="0.25">
      <c r="A703" s="1">
        <v>45412</v>
      </c>
      <c r="B703">
        <v>6</v>
      </c>
      <c r="C703">
        <v>4228.6000000000004</v>
      </c>
      <c r="D703">
        <v>126.438</v>
      </c>
      <c r="E703">
        <f t="shared" si="11"/>
        <v>3</v>
      </c>
    </row>
    <row r="704" spans="1:5" x14ac:dyDescent="0.25">
      <c r="A704" s="1">
        <v>45412</v>
      </c>
      <c r="B704">
        <v>7</v>
      </c>
      <c r="C704">
        <v>4063.1129999999998</v>
      </c>
      <c r="D704">
        <v>1112.8499999999999</v>
      </c>
      <c r="E704">
        <f t="shared" si="11"/>
        <v>1</v>
      </c>
    </row>
    <row r="705" spans="1:5" x14ac:dyDescent="0.25">
      <c r="A705" s="1">
        <v>45412</v>
      </c>
      <c r="B705">
        <v>8</v>
      </c>
      <c r="C705">
        <v>3116.538</v>
      </c>
      <c r="D705">
        <v>3288.9</v>
      </c>
      <c r="E705">
        <f t="shared" si="11"/>
        <v>1</v>
      </c>
    </row>
    <row r="706" spans="1:5" x14ac:dyDescent="0.25">
      <c r="A706" s="1">
        <v>45412</v>
      </c>
      <c r="B706">
        <v>9</v>
      </c>
      <c r="C706">
        <v>1871.9</v>
      </c>
      <c r="D706">
        <v>6150.0630000000001</v>
      </c>
      <c r="E706">
        <f t="shared" si="11"/>
        <v>1</v>
      </c>
    </row>
    <row r="707" spans="1:5" x14ac:dyDescent="0.25">
      <c r="A707" s="1">
        <v>45412</v>
      </c>
      <c r="B707">
        <v>10</v>
      </c>
      <c r="C707">
        <v>1349.9380000000001</v>
      </c>
      <c r="D707">
        <v>8576.3130000000001</v>
      </c>
      <c r="E707">
        <f t="shared" si="11"/>
        <v>1</v>
      </c>
    </row>
    <row r="708" spans="1:5" x14ac:dyDescent="0.25">
      <c r="A708" s="1">
        <v>45412</v>
      </c>
      <c r="B708">
        <v>11</v>
      </c>
      <c r="C708">
        <v>1425.5</v>
      </c>
      <c r="D708">
        <v>9089.5130000000008</v>
      </c>
      <c r="E708">
        <f t="shared" ref="E708:E721" si="12">IF(C708&gt;C707,E707+1,1)</f>
        <v>2</v>
      </c>
    </row>
    <row r="709" spans="1:5" x14ac:dyDescent="0.25">
      <c r="A709" s="1">
        <v>45412</v>
      </c>
      <c r="B709">
        <v>12</v>
      </c>
      <c r="C709">
        <v>1697.8630000000001</v>
      </c>
      <c r="D709">
        <v>8942.65</v>
      </c>
      <c r="E709">
        <f t="shared" si="12"/>
        <v>3</v>
      </c>
    </row>
    <row r="710" spans="1:5" x14ac:dyDescent="0.25">
      <c r="A710" s="1">
        <v>45412</v>
      </c>
      <c r="B710">
        <v>13</v>
      </c>
      <c r="C710">
        <v>1998.0630000000001</v>
      </c>
      <c r="D710">
        <v>9074.2630000000008</v>
      </c>
      <c r="E710">
        <f t="shared" si="12"/>
        <v>4</v>
      </c>
    </row>
    <row r="711" spans="1:5" x14ac:dyDescent="0.25">
      <c r="A711" s="1">
        <v>45412</v>
      </c>
      <c r="B711">
        <v>14</v>
      </c>
      <c r="C711">
        <v>2532.5500000000002</v>
      </c>
      <c r="D711">
        <v>9028.4380000000001</v>
      </c>
      <c r="E711">
        <f t="shared" si="12"/>
        <v>5</v>
      </c>
    </row>
    <row r="712" spans="1:5" x14ac:dyDescent="0.25">
      <c r="A712" s="1">
        <v>45412</v>
      </c>
      <c r="B712">
        <v>15</v>
      </c>
      <c r="C712">
        <v>2994.6750000000002</v>
      </c>
      <c r="D712">
        <v>8596.2630000000008</v>
      </c>
      <c r="E712">
        <f t="shared" si="12"/>
        <v>6</v>
      </c>
    </row>
    <row r="713" spans="1:5" x14ac:dyDescent="0.25">
      <c r="A713" s="1">
        <v>45412</v>
      </c>
      <c r="B713">
        <v>16</v>
      </c>
      <c r="C713">
        <v>3244.65</v>
      </c>
      <c r="D713">
        <v>7601.8379999999997</v>
      </c>
      <c r="E713">
        <f t="shared" si="12"/>
        <v>7</v>
      </c>
    </row>
    <row r="714" spans="1:5" x14ac:dyDescent="0.25">
      <c r="A714" s="1">
        <v>45412</v>
      </c>
      <c r="B714">
        <v>17</v>
      </c>
      <c r="C714">
        <v>3232.6129999999998</v>
      </c>
      <c r="D714">
        <v>7113.8630000000003</v>
      </c>
      <c r="E714">
        <f t="shared" si="12"/>
        <v>1</v>
      </c>
    </row>
    <row r="715" spans="1:5" x14ac:dyDescent="0.25">
      <c r="A715" s="1">
        <v>45412</v>
      </c>
      <c r="B715">
        <v>18</v>
      </c>
      <c r="C715">
        <v>3254.4749999999999</v>
      </c>
      <c r="D715">
        <v>5229.6379999999999</v>
      </c>
      <c r="E715">
        <f t="shared" si="12"/>
        <v>2</v>
      </c>
    </row>
    <row r="716" spans="1:5" x14ac:dyDescent="0.25">
      <c r="A716" s="1">
        <v>45412</v>
      </c>
      <c r="B716">
        <v>19</v>
      </c>
      <c r="C716">
        <v>3098.8</v>
      </c>
      <c r="D716">
        <v>2741.8</v>
      </c>
      <c r="E716">
        <f t="shared" si="12"/>
        <v>1</v>
      </c>
    </row>
    <row r="717" spans="1:5" x14ac:dyDescent="0.25">
      <c r="A717" s="1">
        <v>45412</v>
      </c>
      <c r="B717">
        <v>20</v>
      </c>
      <c r="C717">
        <v>3200.6129999999998</v>
      </c>
      <c r="D717">
        <v>806.36300000000006</v>
      </c>
      <c r="E717">
        <f t="shared" si="12"/>
        <v>2</v>
      </c>
    </row>
    <row r="718" spans="1:5" x14ac:dyDescent="0.25">
      <c r="A718" s="1">
        <v>45412</v>
      </c>
      <c r="B718">
        <v>21</v>
      </c>
      <c r="C718">
        <v>4075.2629999999999</v>
      </c>
      <c r="D718">
        <v>65.525000000000006</v>
      </c>
      <c r="E718">
        <f t="shared" si="12"/>
        <v>3</v>
      </c>
    </row>
    <row r="719" spans="1:5" x14ac:dyDescent="0.25">
      <c r="A719" s="1">
        <v>45412</v>
      </c>
      <c r="B719">
        <v>22</v>
      </c>
      <c r="C719">
        <v>5190.4250000000002</v>
      </c>
      <c r="D719">
        <v>0</v>
      </c>
      <c r="E719">
        <f t="shared" si="12"/>
        <v>4</v>
      </c>
    </row>
    <row r="720" spans="1:5" x14ac:dyDescent="0.25">
      <c r="A720" s="1">
        <v>45412</v>
      </c>
      <c r="B720">
        <v>23</v>
      </c>
      <c r="C720">
        <v>5414.4750000000004</v>
      </c>
      <c r="D720">
        <v>0</v>
      </c>
      <c r="E720">
        <f t="shared" si="12"/>
        <v>5</v>
      </c>
    </row>
    <row r="721" spans="1:5" x14ac:dyDescent="0.25">
      <c r="A721" s="1">
        <v>45412</v>
      </c>
      <c r="B721">
        <v>24</v>
      </c>
      <c r="C721">
        <v>5379.9129999999996</v>
      </c>
      <c r="D721">
        <v>0</v>
      </c>
      <c r="E721">
        <f t="shared" si="12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8F88-50D0-4148-B157-99C5A89D744C}">
  <dimension ref="A1:M721"/>
  <sheetViews>
    <sheetView tabSelected="1" zoomScale="160" zoomScaleNormal="160" workbookViewId="0">
      <selection activeCell="K3" sqref="K3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6.140625" bestFit="1" customWidth="1"/>
    <col min="4" max="4" width="21.140625" bestFit="1" customWidth="1"/>
    <col min="6" max="6" width="16.5703125" bestFit="1" customWidth="1"/>
    <col min="7" max="7" width="12.5703125" bestFit="1" customWidth="1"/>
    <col min="8" max="8" width="19.85546875" bestFit="1" customWidth="1"/>
    <col min="13" max="13" width="14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15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3" x14ac:dyDescent="0.25">
      <c r="A2" s="1">
        <v>45383</v>
      </c>
      <c r="B2">
        <v>1</v>
      </c>
      <c r="C2">
        <v>3130.2629999999999</v>
      </c>
      <c r="D2">
        <v>0</v>
      </c>
      <c r="E2">
        <f>C2+D2</f>
        <v>3130.2629999999999</v>
      </c>
      <c r="F2">
        <v>1524.5640000000001</v>
      </c>
      <c r="G2">
        <f>E2-F2</f>
        <v>1605.6989999999998</v>
      </c>
      <c r="H2">
        <v>1000000</v>
      </c>
      <c r="I2">
        <f>IF(H2+G2&gt;200000,200000,H2+G2)</f>
        <v>200000</v>
      </c>
      <c r="J2">
        <f>IF(I2&lt;0,1,0)</f>
        <v>0</v>
      </c>
      <c r="K2">
        <f>IF(J2=1,0,I2)</f>
        <v>200000</v>
      </c>
      <c r="M2" t="s">
        <v>22</v>
      </c>
    </row>
    <row r="3" spans="1:13" x14ac:dyDescent="0.25">
      <c r="A3" s="1">
        <v>45383</v>
      </c>
      <c r="B3">
        <v>2</v>
      </c>
      <c r="C3">
        <v>2765.5880000000002</v>
      </c>
      <c r="D3">
        <v>0</v>
      </c>
      <c r="E3">
        <f t="shared" ref="E3:E66" si="0">C3+D3</f>
        <v>2765.5880000000002</v>
      </c>
      <c r="F3">
        <v>1307.0930000000001</v>
      </c>
      <c r="G3">
        <f t="shared" ref="G3:G66" si="1">E3-F3</f>
        <v>1458.4950000000001</v>
      </c>
      <c r="H3">
        <f>K2</f>
        <v>200000</v>
      </c>
      <c r="I3">
        <f t="shared" ref="I3:I66" si="2">IF(H3+G3&gt;200000,200000,H3+G3)</f>
        <v>200000</v>
      </c>
      <c r="J3">
        <f t="shared" ref="J3:J66" si="3">IF(I3&lt;0,1,0)</f>
        <v>0</v>
      </c>
      <c r="K3">
        <f t="shared" ref="K3:K66" si="4">IF(J3=1,0,I3)</f>
        <v>200000</v>
      </c>
      <c r="M3">
        <f>SUM(J2:J721)</f>
        <v>69</v>
      </c>
    </row>
    <row r="4" spans="1:13" x14ac:dyDescent="0.25">
      <c r="A4" s="1">
        <v>45383</v>
      </c>
      <c r="B4">
        <v>3</v>
      </c>
      <c r="C4">
        <v>2555.4380000000001</v>
      </c>
      <c r="D4">
        <v>0</v>
      </c>
      <c r="E4">
        <f t="shared" si="0"/>
        <v>2555.4380000000001</v>
      </c>
      <c r="F4">
        <v>1222.5060000000001</v>
      </c>
      <c r="G4">
        <f t="shared" si="1"/>
        <v>1332.932</v>
      </c>
      <c r="H4">
        <f t="shared" ref="H4:H67" si="5">K3</f>
        <v>200000</v>
      </c>
      <c r="I4">
        <f t="shared" si="2"/>
        <v>200000</v>
      </c>
      <c r="J4">
        <f t="shared" si="3"/>
        <v>0</v>
      </c>
      <c r="K4">
        <f t="shared" si="4"/>
        <v>200000</v>
      </c>
    </row>
    <row r="5" spans="1:13" x14ac:dyDescent="0.25">
      <c r="A5" s="1">
        <v>45383</v>
      </c>
      <c r="B5">
        <v>4</v>
      </c>
      <c r="C5">
        <v>2675.2379999999998</v>
      </c>
      <c r="D5">
        <v>0</v>
      </c>
      <c r="E5">
        <f t="shared" si="0"/>
        <v>2675.2379999999998</v>
      </c>
      <c r="F5">
        <v>1225.0119999999999</v>
      </c>
      <c r="G5">
        <f t="shared" si="1"/>
        <v>1450.2259999999999</v>
      </c>
      <c r="H5">
        <f t="shared" si="5"/>
        <v>200000</v>
      </c>
      <c r="I5">
        <f t="shared" si="2"/>
        <v>200000</v>
      </c>
      <c r="J5">
        <f t="shared" si="3"/>
        <v>0</v>
      </c>
      <c r="K5">
        <f t="shared" si="4"/>
        <v>200000</v>
      </c>
    </row>
    <row r="6" spans="1:13" x14ac:dyDescent="0.25">
      <c r="A6" s="1">
        <v>45383</v>
      </c>
      <c r="B6">
        <v>5</v>
      </c>
      <c r="C6">
        <v>2681.1750000000002</v>
      </c>
      <c r="D6">
        <v>0</v>
      </c>
      <c r="E6">
        <f t="shared" si="0"/>
        <v>2681.1750000000002</v>
      </c>
      <c r="F6">
        <v>1836.463</v>
      </c>
      <c r="G6">
        <f t="shared" si="1"/>
        <v>844.71200000000022</v>
      </c>
      <c r="H6">
        <f t="shared" si="5"/>
        <v>200000</v>
      </c>
      <c r="I6">
        <f t="shared" si="2"/>
        <v>200000</v>
      </c>
      <c r="J6">
        <f t="shared" si="3"/>
        <v>0</v>
      </c>
      <c r="K6">
        <f t="shared" si="4"/>
        <v>200000</v>
      </c>
    </row>
    <row r="7" spans="1:13" x14ac:dyDescent="0.25">
      <c r="A7" s="1">
        <v>45383</v>
      </c>
      <c r="B7">
        <v>6</v>
      </c>
      <c r="C7">
        <v>2367.3249999999998</v>
      </c>
      <c r="D7">
        <v>0.21299999999999999</v>
      </c>
      <c r="E7">
        <f t="shared" si="0"/>
        <v>2367.538</v>
      </c>
      <c r="F7">
        <v>3041.2449999999999</v>
      </c>
      <c r="G7">
        <f t="shared" si="1"/>
        <v>-673.70699999999988</v>
      </c>
      <c r="H7">
        <f t="shared" si="5"/>
        <v>200000</v>
      </c>
      <c r="I7">
        <f t="shared" si="2"/>
        <v>199326.29300000001</v>
      </c>
      <c r="J7">
        <f t="shared" si="3"/>
        <v>0</v>
      </c>
      <c r="K7">
        <f t="shared" si="4"/>
        <v>199326.29300000001</v>
      </c>
    </row>
    <row r="8" spans="1:13" x14ac:dyDescent="0.25">
      <c r="A8" s="1">
        <v>45383</v>
      </c>
      <c r="B8">
        <v>7</v>
      </c>
      <c r="C8">
        <v>2525.2249999999999</v>
      </c>
      <c r="D8">
        <v>117.075</v>
      </c>
      <c r="E8">
        <f t="shared" si="0"/>
        <v>2642.2999999999997</v>
      </c>
      <c r="F8">
        <v>4142.8909999999996</v>
      </c>
      <c r="G8">
        <f t="shared" si="1"/>
        <v>-1500.5909999999999</v>
      </c>
      <c r="H8">
        <f t="shared" si="5"/>
        <v>199326.29300000001</v>
      </c>
      <c r="I8">
        <f t="shared" si="2"/>
        <v>197825.70200000002</v>
      </c>
      <c r="J8">
        <f t="shared" si="3"/>
        <v>0</v>
      </c>
      <c r="K8">
        <f t="shared" si="4"/>
        <v>197825.70200000002</v>
      </c>
    </row>
    <row r="9" spans="1:13" x14ac:dyDescent="0.25">
      <c r="A9" s="1">
        <v>45383</v>
      </c>
      <c r="B9">
        <v>8</v>
      </c>
      <c r="C9">
        <v>2360.9879999999998</v>
      </c>
      <c r="D9">
        <v>1162.075</v>
      </c>
      <c r="E9">
        <f t="shared" si="0"/>
        <v>3523.0630000000001</v>
      </c>
      <c r="F9">
        <v>6127.9530000000004</v>
      </c>
      <c r="G9">
        <f t="shared" si="1"/>
        <v>-2604.8900000000003</v>
      </c>
      <c r="H9">
        <f t="shared" si="5"/>
        <v>197825.70200000002</v>
      </c>
      <c r="I9">
        <f t="shared" si="2"/>
        <v>195220.81200000001</v>
      </c>
      <c r="J9">
        <f t="shared" si="3"/>
        <v>0</v>
      </c>
      <c r="K9">
        <f t="shared" si="4"/>
        <v>195220.81200000001</v>
      </c>
    </row>
    <row r="10" spans="1:13" x14ac:dyDescent="0.25">
      <c r="A10" s="1">
        <v>45383</v>
      </c>
      <c r="B10">
        <v>9</v>
      </c>
      <c r="C10">
        <v>1940.838</v>
      </c>
      <c r="D10">
        <v>2680.5129999999999</v>
      </c>
      <c r="E10">
        <f t="shared" si="0"/>
        <v>4621.3509999999997</v>
      </c>
      <c r="F10">
        <v>6863.3029999999999</v>
      </c>
      <c r="G10">
        <f t="shared" si="1"/>
        <v>-2241.9520000000002</v>
      </c>
      <c r="H10">
        <f t="shared" si="5"/>
        <v>195220.81200000001</v>
      </c>
      <c r="I10">
        <f t="shared" si="2"/>
        <v>192978.86000000002</v>
      </c>
      <c r="J10">
        <f t="shared" si="3"/>
        <v>0</v>
      </c>
      <c r="K10">
        <f t="shared" si="4"/>
        <v>192978.86000000002</v>
      </c>
    </row>
    <row r="11" spans="1:13" x14ac:dyDescent="0.25">
      <c r="A11" s="1">
        <v>45383</v>
      </c>
      <c r="B11">
        <v>10</v>
      </c>
      <c r="C11">
        <v>1368.675</v>
      </c>
      <c r="D11">
        <v>4416</v>
      </c>
      <c r="E11">
        <f t="shared" si="0"/>
        <v>5784.6750000000002</v>
      </c>
      <c r="F11">
        <v>7660.2650000000003</v>
      </c>
      <c r="G11">
        <f t="shared" si="1"/>
        <v>-1875.5900000000001</v>
      </c>
      <c r="H11">
        <f t="shared" si="5"/>
        <v>192978.86000000002</v>
      </c>
      <c r="I11">
        <f t="shared" si="2"/>
        <v>191103.27000000002</v>
      </c>
      <c r="J11">
        <f t="shared" si="3"/>
        <v>0</v>
      </c>
      <c r="K11">
        <f t="shared" si="4"/>
        <v>191103.27000000002</v>
      </c>
    </row>
    <row r="12" spans="1:13" x14ac:dyDescent="0.25">
      <c r="A12" s="1">
        <v>45383</v>
      </c>
      <c r="B12">
        <v>11</v>
      </c>
      <c r="C12">
        <v>1140.463</v>
      </c>
      <c r="D12">
        <v>5331.5749999999998</v>
      </c>
      <c r="E12">
        <f t="shared" si="0"/>
        <v>6472.0379999999996</v>
      </c>
      <c r="F12">
        <v>7638.7420000000002</v>
      </c>
      <c r="G12">
        <f t="shared" si="1"/>
        <v>-1166.7040000000006</v>
      </c>
      <c r="H12">
        <f t="shared" si="5"/>
        <v>191103.27000000002</v>
      </c>
      <c r="I12">
        <f t="shared" si="2"/>
        <v>189936.56600000002</v>
      </c>
      <c r="J12">
        <f t="shared" si="3"/>
        <v>0</v>
      </c>
      <c r="K12">
        <f t="shared" si="4"/>
        <v>189936.56600000002</v>
      </c>
    </row>
    <row r="13" spans="1:13" x14ac:dyDescent="0.25">
      <c r="A13" s="1">
        <v>45383</v>
      </c>
      <c r="B13">
        <v>12</v>
      </c>
      <c r="C13">
        <v>1305.8630000000001</v>
      </c>
      <c r="D13">
        <v>5812.2250000000004</v>
      </c>
      <c r="E13">
        <f t="shared" si="0"/>
        <v>7118.0880000000006</v>
      </c>
      <c r="F13">
        <v>7765.6850000000004</v>
      </c>
      <c r="G13">
        <f t="shared" si="1"/>
        <v>-647.59699999999975</v>
      </c>
      <c r="H13">
        <f t="shared" si="5"/>
        <v>189936.56600000002</v>
      </c>
      <c r="I13">
        <f t="shared" si="2"/>
        <v>189288.96900000001</v>
      </c>
      <c r="J13">
        <f t="shared" si="3"/>
        <v>0</v>
      </c>
      <c r="K13">
        <f t="shared" si="4"/>
        <v>189288.96900000001</v>
      </c>
    </row>
    <row r="14" spans="1:13" x14ac:dyDescent="0.25">
      <c r="A14" s="1">
        <v>45383</v>
      </c>
      <c r="B14">
        <v>13</v>
      </c>
      <c r="C14">
        <v>1511.4880000000001</v>
      </c>
      <c r="D14">
        <v>5846.6130000000003</v>
      </c>
      <c r="E14">
        <f t="shared" si="0"/>
        <v>7358.1010000000006</v>
      </c>
      <c r="F14">
        <v>8090.241</v>
      </c>
      <c r="G14">
        <f t="shared" si="1"/>
        <v>-732.13999999999942</v>
      </c>
      <c r="H14">
        <f t="shared" si="5"/>
        <v>189288.96900000001</v>
      </c>
      <c r="I14">
        <f t="shared" si="2"/>
        <v>188556.82900000003</v>
      </c>
      <c r="J14">
        <f t="shared" si="3"/>
        <v>0</v>
      </c>
      <c r="K14">
        <f t="shared" si="4"/>
        <v>188556.82900000003</v>
      </c>
    </row>
    <row r="15" spans="1:13" x14ac:dyDescent="0.25">
      <c r="A15" s="1">
        <v>45383</v>
      </c>
      <c r="B15">
        <v>14</v>
      </c>
      <c r="C15">
        <v>1931.05</v>
      </c>
      <c r="D15">
        <v>5471.4250000000002</v>
      </c>
      <c r="E15">
        <f t="shared" si="0"/>
        <v>7402.4750000000004</v>
      </c>
      <c r="F15">
        <v>7643.1679999999997</v>
      </c>
      <c r="G15">
        <f t="shared" si="1"/>
        <v>-240.6929999999993</v>
      </c>
      <c r="H15">
        <f t="shared" si="5"/>
        <v>188556.82900000003</v>
      </c>
      <c r="I15">
        <f t="shared" si="2"/>
        <v>188316.13600000003</v>
      </c>
      <c r="J15">
        <f t="shared" si="3"/>
        <v>0</v>
      </c>
      <c r="K15">
        <f t="shared" si="4"/>
        <v>188316.13600000003</v>
      </c>
    </row>
    <row r="16" spans="1:13" x14ac:dyDescent="0.25">
      <c r="A16" s="1">
        <v>45383</v>
      </c>
      <c r="B16">
        <v>15</v>
      </c>
      <c r="C16">
        <v>2229.25</v>
      </c>
      <c r="D16">
        <v>5661.8249999999998</v>
      </c>
      <c r="E16">
        <f t="shared" si="0"/>
        <v>7891.0749999999998</v>
      </c>
      <c r="F16">
        <v>7879.3509999999997</v>
      </c>
      <c r="G16">
        <f t="shared" si="1"/>
        <v>11.72400000000016</v>
      </c>
      <c r="H16">
        <f t="shared" si="5"/>
        <v>188316.13600000003</v>
      </c>
      <c r="I16">
        <f t="shared" si="2"/>
        <v>188327.86000000002</v>
      </c>
      <c r="J16">
        <f t="shared" si="3"/>
        <v>0</v>
      </c>
      <c r="K16">
        <f t="shared" si="4"/>
        <v>188327.86000000002</v>
      </c>
    </row>
    <row r="17" spans="1:11" x14ac:dyDescent="0.25">
      <c r="A17" s="1">
        <v>45383</v>
      </c>
      <c r="B17">
        <v>16</v>
      </c>
      <c r="C17">
        <v>2467.125</v>
      </c>
      <c r="D17">
        <v>5067.9880000000003</v>
      </c>
      <c r="E17">
        <f t="shared" si="0"/>
        <v>7535.1130000000003</v>
      </c>
      <c r="F17">
        <v>7935.4759999999997</v>
      </c>
      <c r="G17">
        <f t="shared" si="1"/>
        <v>-400.36299999999937</v>
      </c>
      <c r="H17">
        <f t="shared" si="5"/>
        <v>188327.86000000002</v>
      </c>
      <c r="I17">
        <f t="shared" si="2"/>
        <v>187927.497</v>
      </c>
      <c r="J17">
        <f t="shared" si="3"/>
        <v>0</v>
      </c>
      <c r="K17">
        <f t="shared" si="4"/>
        <v>187927.497</v>
      </c>
    </row>
    <row r="18" spans="1:11" x14ac:dyDescent="0.25">
      <c r="A18" s="1">
        <v>45383</v>
      </c>
      <c r="B18">
        <v>17</v>
      </c>
      <c r="C18">
        <v>2655.85</v>
      </c>
      <c r="D18">
        <v>3458.1379999999999</v>
      </c>
      <c r="E18">
        <f t="shared" si="0"/>
        <v>6113.9879999999994</v>
      </c>
      <c r="F18">
        <v>7657.3360000000002</v>
      </c>
      <c r="G18">
        <f t="shared" si="1"/>
        <v>-1543.3480000000009</v>
      </c>
      <c r="H18">
        <f t="shared" si="5"/>
        <v>187927.497</v>
      </c>
      <c r="I18">
        <f t="shared" si="2"/>
        <v>186384.149</v>
      </c>
      <c r="J18">
        <f t="shared" si="3"/>
        <v>0</v>
      </c>
      <c r="K18">
        <f t="shared" si="4"/>
        <v>186384.149</v>
      </c>
    </row>
    <row r="19" spans="1:11" x14ac:dyDescent="0.25">
      <c r="A19" s="1">
        <v>45383</v>
      </c>
      <c r="B19">
        <v>18</v>
      </c>
      <c r="C19">
        <v>2572.7629999999999</v>
      </c>
      <c r="D19">
        <v>1719.088</v>
      </c>
      <c r="E19">
        <f t="shared" si="0"/>
        <v>4291.8509999999997</v>
      </c>
      <c r="F19">
        <v>7030.7560000000003</v>
      </c>
      <c r="G19">
        <f t="shared" si="1"/>
        <v>-2738.9050000000007</v>
      </c>
      <c r="H19">
        <f t="shared" si="5"/>
        <v>186384.149</v>
      </c>
      <c r="I19">
        <f t="shared" si="2"/>
        <v>183645.24400000001</v>
      </c>
      <c r="J19">
        <f t="shared" si="3"/>
        <v>0</v>
      </c>
      <c r="K19">
        <f t="shared" si="4"/>
        <v>183645.24400000001</v>
      </c>
    </row>
    <row r="20" spans="1:11" x14ac:dyDescent="0.25">
      <c r="A20" s="1">
        <v>45383</v>
      </c>
      <c r="B20">
        <v>19</v>
      </c>
      <c r="C20">
        <v>2891.1750000000002</v>
      </c>
      <c r="D20">
        <v>560.76300000000003</v>
      </c>
      <c r="E20">
        <f t="shared" si="0"/>
        <v>3451.9380000000001</v>
      </c>
      <c r="F20">
        <v>6282.9539999999997</v>
      </c>
      <c r="G20">
        <f t="shared" si="1"/>
        <v>-2831.0159999999996</v>
      </c>
      <c r="H20">
        <f t="shared" si="5"/>
        <v>183645.24400000001</v>
      </c>
      <c r="I20">
        <f t="shared" si="2"/>
        <v>180814.228</v>
      </c>
      <c r="J20">
        <f t="shared" si="3"/>
        <v>0</v>
      </c>
      <c r="K20">
        <f t="shared" si="4"/>
        <v>180814.228</v>
      </c>
    </row>
    <row r="21" spans="1:11" x14ac:dyDescent="0.25">
      <c r="A21" s="1">
        <v>45383</v>
      </c>
      <c r="B21">
        <v>20</v>
      </c>
      <c r="C21">
        <v>3515.2</v>
      </c>
      <c r="D21">
        <v>51.438000000000002</v>
      </c>
      <c r="E21">
        <f t="shared" si="0"/>
        <v>3566.6379999999999</v>
      </c>
      <c r="F21">
        <v>6112.8559999999998</v>
      </c>
      <c r="G21">
        <f t="shared" si="1"/>
        <v>-2546.2179999999998</v>
      </c>
      <c r="H21">
        <f t="shared" si="5"/>
        <v>180814.228</v>
      </c>
      <c r="I21">
        <f t="shared" si="2"/>
        <v>178268.01</v>
      </c>
      <c r="J21">
        <f t="shared" si="3"/>
        <v>0</v>
      </c>
      <c r="K21">
        <f t="shared" si="4"/>
        <v>178268.01</v>
      </c>
    </row>
    <row r="22" spans="1:11" x14ac:dyDescent="0.25">
      <c r="A22" s="1">
        <v>45383</v>
      </c>
      <c r="B22">
        <v>21</v>
      </c>
      <c r="C22">
        <v>3941.538</v>
      </c>
      <c r="D22">
        <v>0</v>
      </c>
      <c r="E22">
        <f t="shared" si="0"/>
        <v>3941.538</v>
      </c>
      <c r="F22">
        <v>4749.8130000000001</v>
      </c>
      <c r="G22">
        <f t="shared" si="1"/>
        <v>-808.27500000000009</v>
      </c>
      <c r="H22">
        <f t="shared" si="5"/>
        <v>178268.01</v>
      </c>
      <c r="I22">
        <f t="shared" si="2"/>
        <v>177459.73500000002</v>
      </c>
      <c r="J22">
        <f t="shared" si="3"/>
        <v>0</v>
      </c>
      <c r="K22">
        <f t="shared" si="4"/>
        <v>177459.73500000002</v>
      </c>
    </row>
    <row r="23" spans="1:11" x14ac:dyDescent="0.25">
      <c r="A23" s="1">
        <v>45383</v>
      </c>
      <c r="B23">
        <v>22</v>
      </c>
      <c r="C23">
        <v>4127.375</v>
      </c>
      <c r="D23">
        <v>0</v>
      </c>
      <c r="E23">
        <f t="shared" si="0"/>
        <v>4127.375</v>
      </c>
      <c r="F23">
        <v>4584.6559999999999</v>
      </c>
      <c r="G23">
        <f t="shared" si="1"/>
        <v>-457.28099999999995</v>
      </c>
      <c r="H23">
        <f t="shared" si="5"/>
        <v>177459.73500000002</v>
      </c>
      <c r="I23">
        <f t="shared" si="2"/>
        <v>177002.45400000003</v>
      </c>
      <c r="J23">
        <f t="shared" si="3"/>
        <v>0</v>
      </c>
      <c r="K23">
        <f t="shared" si="4"/>
        <v>177002.45400000003</v>
      </c>
    </row>
    <row r="24" spans="1:11" x14ac:dyDescent="0.25">
      <c r="A24" s="1">
        <v>45383</v>
      </c>
      <c r="B24">
        <v>23</v>
      </c>
      <c r="C24">
        <v>4248.55</v>
      </c>
      <c r="D24">
        <v>0</v>
      </c>
      <c r="E24">
        <f t="shared" si="0"/>
        <v>4248.55</v>
      </c>
      <c r="F24">
        <v>2840.2550000000001</v>
      </c>
      <c r="G24">
        <f t="shared" si="1"/>
        <v>1408.2950000000001</v>
      </c>
      <c r="H24">
        <f t="shared" si="5"/>
        <v>177002.45400000003</v>
      </c>
      <c r="I24">
        <f t="shared" si="2"/>
        <v>178410.74900000004</v>
      </c>
      <c r="J24">
        <f t="shared" si="3"/>
        <v>0</v>
      </c>
      <c r="K24">
        <f t="shared" si="4"/>
        <v>178410.74900000004</v>
      </c>
    </row>
    <row r="25" spans="1:11" x14ac:dyDescent="0.25">
      <c r="A25" s="1">
        <v>45383</v>
      </c>
      <c r="B25">
        <v>24</v>
      </c>
      <c r="C25">
        <v>4027.7249999999999</v>
      </c>
      <c r="D25">
        <v>0</v>
      </c>
      <c r="E25">
        <f t="shared" si="0"/>
        <v>4027.7249999999999</v>
      </c>
      <c r="F25">
        <v>1667.598</v>
      </c>
      <c r="G25">
        <f t="shared" si="1"/>
        <v>2360.127</v>
      </c>
      <c r="H25">
        <f t="shared" si="5"/>
        <v>178410.74900000004</v>
      </c>
      <c r="I25">
        <f t="shared" si="2"/>
        <v>180770.87600000005</v>
      </c>
      <c r="J25">
        <f t="shared" si="3"/>
        <v>0</v>
      </c>
      <c r="K25">
        <f t="shared" si="4"/>
        <v>180770.87600000005</v>
      </c>
    </row>
    <row r="26" spans="1:11" x14ac:dyDescent="0.25">
      <c r="A26" s="1">
        <v>45384</v>
      </c>
      <c r="B26">
        <v>1</v>
      </c>
      <c r="C26">
        <v>3346.5749999999998</v>
      </c>
      <c r="D26">
        <v>0</v>
      </c>
      <c r="E26">
        <f t="shared" si="0"/>
        <v>3346.5749999999998</v>
      </c>
      <c r="F26">
        <v>1509.318</v>
      </c>
      <c r="G26">
        <f t="shared" si="1"/>
        <v>1837.2569999999998</v>
      </c>
      <c r="H26">
        <f t="shared" si="5"/>
        <v>180770.87600000005</v>
      </c>
      <c r="I26">
        <f t="shared" si="2"/>
        <v>182608.13300000006</v>
      </c>
      <c r="J26">
        <f t="shared" si="3"/>
        <v>0</v>
      </c>
      <c r="K26">
        <f t="shared" si="4"/>
        <v>182608.13300000006</v>
      </c>
    </row>
    <row r="27" spans="1:11" x14ac:dyDescent="0.25">
      <c r="A27" s="1">
        <v>45384</v>
      </c>
      <c r="B27">
        <v>2</v>
      </c>
      <c r="C27">
        <v>3446.2379999999998</v>
      </c>
      <c r="D27">
        <v>0</v>
      </c>
      <c r="E27">
        <f t="shared" si="0"/>
        <v>3446.2379999999998</v>
      </c>
      <c r="F27">
        <v>1294.0219999999999</v>
      </c>
      <c r="G27">
        <f t="shared" si="1"/>
        <v>2152.2159999999999</v>
      </c>
      <c r="H27">
        <f t="shared" si="5"/>
        <v>182608.13300000006</v>
      </c>
      <c r="I27">
        <f t="shared" si="2"/>
        <v>184760.34900000005</v>
      </c>
      <c r="J27">
        <f t="shared" si="3"/>
        <v>0</v>
      </c>
      <c r="K27">
        <f t="shared" si="4"/>
        <v>184760.34900000005</v>
      </c>
    </row>
    <row r="28" spans="1:11" x14ac:dyDescent="0.25">
      <c r="A28" s="1">
        <v>45384</v>
      </c>
      <c r="B28">
        <v>3</v>
      </c>
      <c r="C28">
        <v>4149.3</v>
      </c>
      <c r="D28">
        <v>0</v>
      </c>
      <c r="E28">
        <f t="shared" si="0"/>
        <v>4149.3</v>
      </c>
      <c r="F28">
        <v>1210.2809999999999</v>
      </c>
      <c r="G28">
        <f t="shared" si="1"/>
        <v>2939.0190000000002</v>
      </c>
      <c r="H28">
        <f t="shared" si="5"/>
        <v>184760.34900000005</v>
      </c>
      <c r="I28">
        <f t="shared" si="2"/>
        <v>187699.36800000005</v>
      </c>
      <c r="J28">
        <f t="shared" si="3"/>
        <v>0</v>
      </c>
      <c r="K28">
        <f t="shared" si="4"/>
        <v>187699.36800000005</v>
      </c>
    </row>
    <row r="29" spans="1:11" x14ac:dyDescent="0.25">
      <c r="A29" s="1">
        <v>45384</v>
      </c>
      <c r="B29">
        <v>4</v>
      </c>
      <c r="C29">
        <v>4457.1750000000002</v>
      </c>
      <c r="D29">
        <v>0</v>
      </c>
      <c r="E29">
        <f t="shared" si="0"/>
        <v>4457.1750000000002</v>
      </c>
      <c r="F29">
        <v>1212.7619999999999</v>
      </c>
      <c r="G29">
        <f t="shared" si="1"/>
        <v>3244.4130000000005</v>
      </c>
      <c r="H29">
        <f t="shared" si="5"/>
        <v>187699.36800000005</v>
      </c>
      <c r="I29">
        <f t="shared" si="2"/>
        <v>190943.78100000005</v>
      </c>
      <c r="J29">
        <f t="shared" si="3"/>
        <v>0</v>
      </c>
      <c r="K29">
        <f t="shared" si="4"/>
        <v>190943.78100000005</v>
      </c>
    </row>
    <row r="30" spans="1:11" x14ac:dyDescent="0.25">
      <c r="A30" s="1">
        <v>45384</v>
      </c>
      <c r="B30">
        <v>5</v>
      </c>
      <c r="C30">
        <v>4588.4380000000001</v>
      </c>
      <c r="D30">
        <v>0</v>
      </c>
      <c r="E30">
        <f t="shared" si="0"/>
        <v>4588.4380000000001</v>
      </c>
      <c r="F30">
        <v>1818.0989999999999</v>
      </c>
      <c r="G30">
        <f t="shared" si="1"/>
        <v>2770.3389999999999</v>
      </c>
      <c r="H30">
        <f t="shared" si="5"/>
        <v>190943.78100000005</v>
      </c>
      <c r="I30">
        <f t="shared" si="2"/>
        <v>193714.12000000005</v>
      </c>
      <c r="J30">
        <f t="shared" si="3"/>
        <v>0</v>
      </c>
      <c r="K30">
        <f t="shared" si="4"/>
        <v>193714.12000000005</v>
      </c>
    </row>
    <row r="31" spans="1:11" x14ac:dyDescent="0.25">
      <c r="A31" s="1">
        <v>45384</v>
      </c>
      <c r="B31">
        <v>6</v>
      </c>
      <c r="C31">
        <v>4658.5</v>
      </c>
      <c r="D31">
        <v>1.075</v>
      </c>
      <c r="E31">
        <f t="shared" si="0"/>
        <v>4659.5749999999998</v>
      </c>
      <c r="F31">
        <v>3010.8319999999999</v>
      </c>
      <c r="G31">
        <f t="shared" si="1"/>
        <v>1648.7429999999999</v>
      </c>
      <c r="H31">
        <f t="shared" si="5"/>
        <v>193714.12000000005</v>
      </c>
      <c r="I31">
        <f t="shared" si="2"/>
        <v>195362.86300000004</v>
      </c>
      <c r="J31">
        <f t="shared" si="3"/>
        <v>0</v>
      </c>
      <c r="K31">
        <f t="shared" si="4"/>
        <v>195362.86300000004</v>
      </c>
    </row>
    <row r="32" spans="1:11" x14ac:dyDescent="0.25">
      <c r="A32" s="1">
        <v>45384</v>
      </c>
      <c r="B32">
        <v>7</v>
      </c>
      <c r="C32">
        <v>4732.9750000000004</v>
      </c>
      <c r="D32">
        <v>61.274999999999999</v>
      </c>
      <c r="E32">
        <f t="shared" si="0"/>
        <v>4794.25</v>
      </c>
      <c r="F32">
        <v>4101.4620000000004</v>
      </c>
      <c r="G32">
        <f t="shared" si="1"/>
        <v>692.78799999999956</v>
      </c>
      <c r="H32">
        <f t="shared" si="5"/>
        <v>195362.86300000004</v>
      </c>
      <c r="I32">
        <f t="shared" si="2"/>
        <v>196055.65100000004</v>
      </c>
      <c r="J32">
        <f t="shared" si="3"/>
        <v>0</v>
      </c>
      <c r="K32">
        <f t="shared" si="4"/>
        <v>196055.65100000004</v>
      </c>
    </row>
    <row r="33" spans="1:11" x14ac:dyDescent="0.25">
      <c r="A33" s="1">
        <v>45384</v>
      </c>
      <c r="B33">
        <v>8</v>
      </c>
      <c r="C33">
        <v>4939.8249999999998</v>
      </c>
      <c r="D33">
        <v>440.625</v>
      </c>
      <c r="E33">
        <f t="shared" si="0"/>
        <v>5380.45</v>
      </c>
      <c r="F33">
        <v>5982.2179999999998</v>
      </c>
      <c r="G33">
        <f t="shared" si="1"/>
        <v>-601.76800000000003</v>
      </c>
      <c r="H33">
        <f t="shared" si="5"/>
        <v>196055.65100000004</v>
      </c>
      <c r="I33">
        <f t="shared" si="2"/>
        <v>195453.88300000003</v>
      </c>
      <c r="J33">
        <f t="shared" si="3"/>
        <v>0</v>
      </c>
      <c r="K33">
        <f t="shared" si="4"/>
        <v>195453.88300000003</v>
      </c>
    </row>
    <row r="34" spans="1:11" x14ac:dyDescent="0.25">
      <c r="A34" s="1">
        <v>45384</v>
      </c>
      <c r="B34">
        <v>9</v>
      </c>
      <c r="C34">
        <v>5218.9629999999997</v>
      </c>
      <c r="D34">
        <v>1086.2750000000001</v>
      </c>
      <c r="E34">
        <f t="shared" si="0"/>
        <v>6305.2379999999994</v>
      </c>
      <c r="F34">
        <v>6700.08</v>
      </c>
      <c r="G34">
        <f t="shared" si="1"/>
        <v>-394.84200000000055</v>
      </c>
      <c r="H34">
        <f t="shared" si="5"/>
        <v>195453.88300000003</v>
      </c>
      <c r="I34">
        <f t="shared" si="2"/>
        <v>195059.04100000003</v>
      </c>
      <c r="J34">
        <f t="shared" si="3"/>
        <v>0</v>
      </c>
      <c r="K34">
        <f t="shared" si="4"/>
        <v>195059.04100000003</v>
      </c>
    </row>
    <row r="35" spans="1:11" x14ac:dyDescent="0.25">
      <c r="A35" s="1">
        <v>45384</v>
      </c>
      <c r="B35">
        <v>10</v>
      </c>
      <c r="C35">
        <v>5539.7749999999996</v>
      </c>
      <c r="D35">
        <v>1915.2629999999999</v>
      </c>
      <c r="E35">
        <f t="shared" si="0"/>
        <v>7455.0379999999996</v>
      </c>
      <c r="F35">
        <v>7478.0879999999997</v>
      </c>
      <c r="G35">
        <f t="shared" si="1"/>
        <v>-23.050000000000182</v>
      </c>
      <c r="H35">
        <f t="shared" si="5"/>
        <v>195059.04100000003</v>
      </c>
      <c r="I35">
        <f t="shared" si="2"/>
        <v>195035.99100000004</v>
      </c>
      <c r="J35">
        <f t="shared" si="3"/>
        <v>0</v>
      </c>
      <c r="K35">
        <f t="shared" si="4"/>
        <v>195035.99100000004</v>
      </c>
    </row>
    <row r="36" spans="1:11" x14ac:dyDescent="0.25">
      <c r="A36" s="1">
        <v>45384</v>
      </c>
      <c r="B36">
        <v>11</v>
      </c>
      <c r="C36">
        <v>5927.375</v>
      </c>
      <c r="D36">
        <v>2442.2629999999999</v>
      </c>
      <c r="E36">
        <f t="shared" si="0"/>
        <v>8369.637999999999</v>
      </c>
      <c r="F36">
        <v>7457.0770000000002</v>
      </c>
      <c r="G36">
        <f t="shared" si="1"/>
        <v>912.56099999999878</v>
      </c>
      <c r="H36">
        <f t="shared" si="5"/>
        <v>195035.99100000004</v>
      </c>
      <c r="I36">
        <f t="shared" si="2"/>
        <v>195948.55200000003</v>
      </c>
      <c r="J36">
        <f t="shared" si="3"/>
        <v>0</v>
      </c>
      <c r="K36">
        <f t="shared" si="4"/>
        <v>195948.55200000003</v>
      </c>
    </row>
    <row r="37" spans="1:11" x14ac:dyDescent="0.25">
      <c r="A37" s="1">
        <v>45384</v>
      </c>
      <c r="B37">
        <v>12</v>
      </c>
      <c r="C37">
        <v>6218.0749999999998</v>
      </c>
      <c r="D37">
        <v>2724.6379999999999</v>
      </c>
      <c r="E37">
        <f t="shared" si="0"/>
        <v>8942.7129999999997</v>
      </c>
      <c r="F37">
        <v>7581.0010000000002</v>
      </c>
      <c r="G37">
        <f t="shared" si="1"/>
        <v>1361.7119999999995</v>
      </c>
      <c r="H37">
        <f t="shared" si="5"/>
        <v>195948.55200000003</v>
      </c>
      <c r="I37">
        <f t="shared" si="2"/>
        <v>197310.26400000002</v>
      </c>
      <c r="J37">
        <f t="shared" si="3"/>
        <v>0</v>
      </c>
      <c r="K37">
        <f t="shared" si="4"/>
        <v>197310.26400000002</v>
      </c>
    </row>
    <row r="38" spans="1:11" x14ac:dyDescent="0.25">
      <c r="A38" s="1">
        <v>45384</v>
      </c>
      <c r="B38">
        <v>13</v>
      </c>
      <c r="C38">
        <v>6813.6629999999996</v>
      </c>
      <c r="D38">
        <v>2673.2629999999999</v>
      </c>
      <c r="E38">
        <f t="shared" si="0"/>
        <v>9486.9259999999995</v>
      </c>
      <c r="F38">
        <v>7897.8389999999999</v>
      </c>
      <c r="G38">
        <f t="shared" si="1"/>
        <v>1589.0869999999995</v>
      </c>
      <c r="H38">
        <f t="shared" si="5"/>
        <v>197310.26400000002</v>
      </c>
      <c r="I38">
        <f t="shared" si="2"/>
        <v>198899.35100000002</v>
      </c>
      <c r="J38">
        <f t="shared" si="3"/>
        <v>0</v>
      </c>
      <c r="K38">
        <f t="shared" si="4"/>
        <v>198899.35100000002</v>
      </c>
    </row>
    <row r="39" spans="1:11" x14ac:dyDescent="0.25">
      <c r="A39" s="1">
        <v>45384</v>
      </c>
      <c r="B39">
        <v>14</v>
      </c>
      <c r="C39">
        <v>7025.85</v>
      </c>
      <c r="D39">
        <v>2775.5880000000002</v>
      </c>
      <c r="E39">
        <f t="shared" si="0"/>
        <v>9801.4380000000001</v>
      </c>
      <c r="F39">
        <v>7461.3980000000001</v>
      </c>
      <c r="G39">
        <f t="shared" si="1"/>
        <v>2340.04</v>
      </c>
      <c r="H39">
        <f t="shared" si="5"/>
        <v>198899.35100000002</v>
      </c>
      <c r="I39">
        <f t="shared" si="2"/>
        <v>200000</v>
      </c>
      <c r="J39">
        <f t="shared" si="3"/>
        <v>0</v>
      </c>
      <c r="K39">
        <f t="shared" si="4"/>
        <v>200000</v>
      </c>
    </row>
    <row r="40" spans="1:11" x14ac:dyDescent="0.25">
      <c r="A40" s="1">
        <v>45384</v>
      </c>
      <c r="B40">
        <v>15</v>
      </c>
      <c r="C40">
        <v>7180.7629999999999</v>
      </c>
      <c r="D40">
        <v>2810.9380000000001</v>
      </c>
      <c r="E40">
        <f t="shared" si="0"/>
        <v>9991.7010000000009</v>
      </c>
      <c r="F40">
        <v>7691.9639999999999</v>
      </c>
      <c r="G40">
        <f t="shared" si="1"/>
        <v>2299.737000000001</v>
      </c>
      <c r="H40">
        <f t="shared" si="5"/>
        <v>200000</v>
      </c>
      <c r="I40">
        <f t="shared" si="2"/>
        <v>200000</v>
      </c>
      <c r="J40">
        <f t="shared" si="3"/>
        <v>0</v>
      </c>
      <c r="K40">
        <f t="shared" si="4"/>
        <v>200000</v>
      </c>
    </row>
    <row r="41" spans="1:11" x14ac:dyDescent="0.25">
      <c r="A41" s="1">
        <v>45384</v>
      </c>
      <c r="B41">
        <v>16</v>
      </c>
      <c r="C41">
        <v>7220.4880000000003</v>
      </c>
      <c r="D41">
        <v>2744.5250000000001</v>
      </c>
      <c r="E41">
        <f t="shared" si="0"/>
        <v>9965.0130000000008</v>
      </c>
      <c r="F41">
        <v>7906.4809999999998</v>
      </c>
      <c r="G41">
        <f t="shared" si="1"/>
        <v>2058.5320000000011</v>
      </c>
      <c r="H41">
        <f t="shared" si="5"/>
        <v>200000</v>
      </c>
      <c r="I41">
        <f t="shared" si="2"/>
        <v>200000</v>
      </c>
      <c r="J41">
        <f t="shared" si="3"/>
        <v>0</v>
      </c>
      <c r="K41">
        <f t="shared" si="4"/>
        <v>200000</v>
      </c>
    </row>
    <row r="42" spans="1:11" x14ac:dyDescent="0.25">
      <c r="A42" s="1">
        <v>45384</v>
      </c>
      <c r="B42">
        <v>17</v>
      </c>
      <c r="C42">
        <v>7167.5630000000001</v>
      </c>
      <c r="D42">
        <v>2404.7750000000001</v>
      </c>
      <c r="E42">
        <f t="shared" si="0"/>
        <v>9572.3379999999997</v>
      </c>
      <c r="F42">
        <v>7629.357</v>
      </c>
      <c r="G42">
        <f t="shared" si="1"/>
        <v>1942.9809999999998</v>
      </c>
      <c r="H42">
        <f t="shared" si="5"/>
        <v>200000</v>
      </c>
      <c r="I42">
        <f t="shared" si="2"/>
        <v>200000</v>
      </c>
      <c r="J42">
        <f t="shared" si="3"/>
        <v>0</v>
      </c>
      <c r="K42">
        <f t="shared" si="4"/>
        <v>200000</v>
      </c>
    </row>
    <row r="43" spans="1:11" x14ac:dyDescent="0.25">
      <c r="A43" s="1">
        <v>45384</v>
      </c>
      <c r="B43">
        <v>18</v>
      </c>
      <c r="C43">
        <v>6882.125</v>
      </c>
      <c r="D43">
        <v>1488.125</v>
      </c>
      <c r="E43">
        <f t="shared" si="0"/>
        <v>8370.25</v>
      </c>
      <c r="F43">
        <v>7005.0659999999998</v>
      </c>
      <c r="G43">
        <f t="shared" si="1"/>
        <v>1365.1840000000002</v>
      </c>
      <c r="H43">
        <f t="shared" si="5"/>
        <v>200000</v>
      </c>
      <c r="I43">
        <f t="shared" si="2"/>
        <v>200000</v>
      </c>
      <c r="J43">
        <f t="shared" si="3"/>
        <v>0</v>
      </c>
      <c r="K43">
        <f t="shared" si="4"/>
        <v>200000</v>
      </c>
    </row>
    <row r="44" spans="1:11" x14ac:dyDescent="0.25">
      <c r="A44" s="1">
        <v>45384</v>
      </c>
      <c r="B44">
        <v>19</v>
      </c>
      <c r="C44">
        <v>6806.5630000000001</v>
      </c>
      <c r="D44">
        <v>581.4</v>
      </c>
      <c r="E44">
        <f t="shared" si="0"/>
        <v>7387.9629999999997</v>
      </c>
      <c r="F44">
        <v>6259.9970000000003</v>
      </c>
      <c r="G44">
        <f t="shared" si="1"/>
        <v>1127.9659999999994</v>
      </c>
      <c r="H44">
        <f t="shared" si="5"/>
        <v>200000</v>
      </c>
      <c r="I44">
        <f t="shared" si="2"/>
        <v>200000</v>
      </c>
      <c r="J44">
        <f t="shared" si="3"/>
        <v>0</v>
      </c>
      <c r="K44">
        <f t="shared" si="4"/>
        <v>200000</v>
      </c>
    </row>
    <row r="45" spans="1:11" x14ac:dyDescent="0.25">
      <c r="A45" s="1">
        <v>45384</v>
      </c>
      <c r="B45">
        <v>20</v>
      </c>
      <c r="C45">
        <v>7039.9629999999997</v>
      </c>
      <c r="D45">
        <v>56.85</v>
      </c>
      <c r="E45">
        <f t="shared" si="0"/>
        <v>7096.8130000000001</v>
      </c>
      <c r="F45">
        <v>6090.5209999999997</v>
      </c>
      <c r="G45">
        <f t="shared" si="1"/>
        <v>1006.2920000000004</v>
      </c>
      <c r="H45">
        <f t="shared" si="5"/>
        <v>200000</v>
      </c>
      <c r="I45">
        <f t="shared" si="2"/>
        <v>200000</v>
      </c>
      <c r="J45">
        <f t="shared" si="3"/>
        <v>0</v>
      </c>
      <c r="K45">
        <f t="shared" si="4"/>
        <v>200000</v>
      </c>
    </row>
    <row r="46" spans="1:11" x14ac:dyDescent="0.25">
      <c r="A46" s="1">
        <v>45384</v>
      </c>
      <c r="B46">
        <v>21</v>
      </c>
      <c r="C46">
        <v>7089.2380000000003</v>
      </c>
      <c r="D46">
        <v>0</v>
      </c>
      <c r="E46">
        <f t="shared" si="0"/>
        <v>7089.2380000000003</v>
      </c>
      <c r="F46">
        <v>4732.4579999999996</v>
      </c>
      <c r="G46">
        <f t="shared" si="1"/>
        <v>2356.7800000000007</v>
      </c>
      <c r="H46">
        <f t="shared" si="5"/>
        <v>200000</v>
      </c>
      <c r="I46">
        <f t="shared" si="2"/>
        <v>200000</v>
      </c>
      <c r="J46">
        <f t="shared" si="3"/>
        <v>0</v>
      </c>
      <c r="K46">
        <f t="shared" si="4"/>
        <v>200000</v>
      </c>
    </row>
    <row r="47" spans="1:11" x14ac:dyDescent="0.25">
      <c r="A47" s="1">
        <v>45384</v>
      </c>
      <c r="B47">
        <v>22</v>
      </c>
      <c r="C47">
        <v>6955.6379999999999</v>
      </c>
      <c r="D47">
        <v>0</v>
      </c>
      <c r="E47">
        <f t="shared" si="0"/>
        <v>6955.6379999999999</v>
      </c>
      <c r="F47">
        <v>4567.9040000000005</v>
      </c>
      <c r="G47">
        <f t="shared" si="1"/>
        <v>2387.7339999999995</v>
      </c>
      <c r="H47">
        <f t="shared" si="5"/>
        <v>200000</v>
      </c>
      <c r="I47">
        <f t="shared" si="2"/>
        <v>200000</v>
      </c>
      <c r="J47">
        <f t="shared" si="3"/>
        <v>0</v>
      </c>
      <c r="K47">
        <f t="shared" si="4"/>
        <v>200000</v>
      </c>
    </row>
    <row r="48" spans="1:11" x14ac:dyDescent="0.25">
      <c r="A48" s="1">
        <v>45384</v>
      </c>
      <c r="B48">
        <v>23</v>
      </c>
      <c r="C48">
        <v>6667.7749999999996</v>
      </c>
      <c r="D48">
        <v>0</v>
      </c>
      <c r="E48">
        <f t="shared" si="0"/>
        <v>6667.7749999999996</v>
      </c>
      <c r="F48">
        <v>2829.877</v>
      </c>
      <c r="G48">
        <f t="shared" si="1"/>
        <v>3837.8979999999997</v>
      </c>
      <c r="H48">
        <f t="shared" si="5"/>
        <v>200000</v>
      </c>
      <c r="I48">
        <f t="shared" si="2"/>
        <v>200000</v>
      </c>
      <c r="J48">
        <f t="shared" si="3"/>
        <v>0</v>
      </c>
      <c r="K48">
        <f t="shared" si="4"/>
        <v>200000</v>
      </c>
    </row>
    <row r="49" spans="1:11" x14ac:dyDescent="0.25">
      <c r="A49" s="1">
        <v>45384</v>
      </c>
      <c r="B49">
        <v>24</v>
      </c>
      <c r="C49">
        <v>6771.0879999999997</v>
      </c>
      <c r="D49">
        <v>0</v>
      </c>
      <c r="E49">
        <f t="shared" si="0"/>
        <v>6771.0879999999997</v>
      </c>
      <c r="F49">
        <v>1661.5050000000001</v>
      </c>
      <c r="G49">
        <f t="shared" si="1"/>
        <v>5109.5829999999996</v>
      </c>
      <c r="H49">
        <f t="shared" si="5"/>
        <v>200000</v>
      </c>
      <c r="I49">
        <f t="shared" si="2"/>
        <v>200000</v>
      </c>
      <c r="J49">
        <f t="shared" si="3"/>
        <v>0</v>
      </c>
      <c r="K49">
        <f t="shared" si="4"/>
        <v>200000</v>
      </c>
    </row>
    <row r="50" spans="1:11" x14ac:dyDescent="0.25">
      <c r="A50" s="1">
        <v>45385</v>
      </c>
      <c r="B50">
        <v>1</v>
      </c>
      <c r="C50">
        <v>6683.55</v>
      </c>
      <c r="D50">
        <v>0</v>
      </c>
      <c r="E50">
        <f t="shared" si="0"/>
        <v>6683.55</v>
      </c>
      <c r="F50">
        <v>1654.8</v>
      </c>
      <c r="G50">
        <f t="shared" si="1"/>
        <v>5028.75</v>
      </c>
      <c r="H50">
        <f t="shared" si="5"/>
        <v>200000</v>
      </c>
      <c r="I50">
        <f t="shared" si="2"/>
        <v>200000</v>
      </c>
      <c r="J50">
        <f t="shared" si="3"/>
        <v>0</v>
      </c>
      <c r="K50">
        <f t="shared" si="4"/>
        <v>200000</v>
      </c>
    </row>
    <row r="51" spans="1:11" x14ac:dyDescent="0.25">
      <c r="A51" s="1">
        <v>45385</v>
      </c>
      <c r="B51">
        <v>2</v>
      </c>
      <c r="C51">
        <v>6485.2250000000004</v>
      </c>
      <c r="D51">
        <v>0</v>
      </c>
      <c r="E51">
        <f t="shared" si="0"/>
        <v>6485.2250000000004</v>
      </c>
      <c r="F51">
        <v>1447.019</v>
      </c>
      <c r="G51">
        <f t="shared" si="1"/>
        <v>5038.2060000000001</v>
      </c>
      <c r="H51">
        <f t="shared" si="5"/>
        <v>200000</v>
      </c>
      <c r="I51">
        <f t="shared" si="2"/>
        <v>200000</v>
      </c>
      <c r="J51">
        <f t="shared" si="3"/>
        <v>0</v>
      </c>
      <c r="K51">
        <f t="shared" si="4"/>
        <v>200000</v>
      </c>
    </row>
    <row r="52" spans="1:11" x14ac:dyDescent="0.25">
      <c r="A52" s="1">
        <v>45385</v>
      </c>
      <c r="B52">
        <v>3</v>
      </c>
      <c r="C52">
        <v>6362.625</v>
      </c>
      <c r="D52">
        <v>0</v>
      </c>
      <c r="E52">
        <f t="shared" si="0"/>
        <v>6362.625</v>
      </c>
      <c r="F52">
        <v>1353.377</v>
      </c>
      <c r="G52">
        <f t="shared" si="1"/>
        <v>5009.2479999999996</v>
      </c>
      <c r="H52">
        <f t="shared" si="5"/>
        <v>200000</v>
      </c>
      <c r="I52">
        <f t="shared" si="2"/>
        <v>200000</v>
      </c>
      <c r="J52">
        <f t="shared" si="3"/>
        <v>0</v>
      </c>
      <c r="K52">
        <f t="shared" si="4"/>
        <v>200000</v>
      </c>
    </row>
    <row r="53" spans="1:11" x14ac:dyDescent="0.25">
      <c r="A53" s="1">
        <v>45385</v>
      </c>
      <c r="B53">
        <v>4</v>
      </c>
      <c r="C53">
        <v>5948.9250000000002</v>
      </c>
      <c r="D53">
        <v>0</v>
      </c>
      <c r="E53">
        <f t="shared" si="0"/>
        <v>5948.9250000000002</v>
      </c>
      <c r="F53">
        <v>1195.8789999999999</v>
      </c>
      <c r="G53">
        <f t="shared" si="1"/>
        <v>4753.0460000000003</v>
      </c>
      <c r="H53">
        <f t="shared" si="5"/>
        <v>200000</v>
      </c>
      <c r="I53">
        <f t="shared" si="2"/>
        <v>200000</v>
      </c>
      <c r="J53">
        <f t="shared" si="3"/>
        <v>0</v>
      </c>
      <c r="K53">
        <f t="shared" si="4"/>
        <v>200000</v>
      </c>
    </row>
    <row r="54" spans="1:11" x14ac:dyDescent="0.25">
      <c r="A54" s="1">
        <v>45385</v>
      </c>
      <c r="B54">
        <v>5</v>
      </c>
      <c r="C54">
        <v>5874.1880000000001</v>
      </c>
      <c r="D54">
        <v>0</v>
      </c>
      <c r="E54">
        <f t="shared" si="0"/>
        <v>5874.1880000000001</v>
      </c>
      <c r="F54">
        <v>1792.788</v>
      </c>
      <c r="G54">
        <f t="shared" si="1"/>
        <v>4081.4</v>
      </c>
      <c r="H54">
        <f t="shared" si="5"/>
        <v>200000</v>
      </c>
      <c r="I54">
        <f t="shared" si="2"/>
        <v>200000</v>
      </c>
      <c r="J54">
        <f t="shared" si="3"/>
        <v>0</v>
      </c>
      <c r="K54">
        <f t="shared" si="4"/>
        <v>200000</v>
      </c>
    </row>
    <row r="55" spans="1:11" x14ac:dyDescent="0.25">
      <c r="A55" s="1">
        <v>45385</v>
      </c>
      <c r="B55">
        <v>6</v>
      </c>
      <c r="C55">
        <v>5815.1629999999996</v>
      </c>
      <c r="D55">
        <v>0.625</v>
      </c>
      <c r="E55">
        <f t="shared" si="0"/>
        <v>5815.7879999999996</v>
      </c>
      <c r="F55">
        <v>2968.9180000000001</v>
      </c>
      <c r="G55">
        <f t="shared" si="1"/>
        <v>2846.8699999999994</v>
      </c>
      <c r="H55">
        <f t="shared" si="5"/>
        <v>200000</v>
      </c>
      <c r="I55">
        <f t="shared" si="2"/>
        <v>200000</v>
      </c>
      <c r="J55">
        <f t="shared" si="3"/>
        <v>0</v>
      </c>
      <c r="K55">
        <f t="shared" si="4"/>
        <v>200000</v>
      </c>
    </row>
    <row r="56" spans="1:11" x14ac:dyDescent="0.25">
      <c r="A56" s="1">
        <v>45385</v>
      </c>
      <c r="B56">
        <v>7</v>
      </c>
      <c r="C56">
        <v>5951.2879999999996</v>
      </c>
      <c r="D56">
        <v>76.875</v>
      </c>
      <c r="E56">
        <f t="shared" si="0"/>
        <v>6028.1629999999996</v>
      </c>
      <c r="F56">
        <v>4044.364</v>
      </c>
      <c r="G56">
        <f t="shared" si="1"/>
        <v>1983.7989999999995</v>
      </c>
      <c r="H56">
        <f t="shared" si="5"/>
        <v>200000</v>
      </c>
      <c r="I56">
        <f t="shared" si="2"/>
        <v>200000</v>
      </c>
      <c r="J56">
        <f t="shared" si="3"/>
        <v>0</v>
      </c>
      <c r="K56">
        <f t="shared" si="4"/>
        <v>200000</v>
      </c>
    </row>
    <row r="57" spans="1:11" x14ac:dyDescent="0.25">
      <c r="A57" s="1">
        <v>45385</v>
      </c>
      <c r="B57">
        <v>8</v>
      </c>
      <c r="C57">
        <v>5858.2879999999996</v>
      </c>
      <c r="D57">
        <v>704.4</v>
      </c>
      <c r="E57">
        <f t="shared" si="0"/>
        <v>6562.6879999999992</v>
      </c>
      <c r="F57">
        <v>6783.9589999999998</v>
      </c>
      <c r="G57">
        <f t="shared" si="1"/>
        <v>-221.27100000000064</v>
      </c>
      <c r="H57">
        <f t="shared" si="5"/>
        <v>200000</v>
      </c>
      <c r="I57">
        <f t="shared" si="2"/>
        <v>199778.72899999999</v>
      </c>
      <c r="J57">
        <f t="shared" si="3"/>
        <v>0</v>
      </c>
      <c r="K57">
        <f t="shared" si="4"/>
        <v>199778.72899999999</v>
      </c>
    </row>
    <row r="58" spans="1:11" x14ac:dyDescent="0.25">
      <c r="A58" s="1">
        <v>45385</v>
      </c>
      <c r="B58">
        <v>9</v>
      </c>
      <c r="C58">
        <v>5839.8249999999998</v>
      </c>
      <c r="D58">
        <v>1911</v>
      </c>
      <c r="E58">
        <f t="shared" si="0"/>
        <v>7750.8249999999998</v>
      </c>
      <c r="F58">
        <v>7598.0280000000002</v>
      </c>
      <c r="G58">
        <f t="shared" si="1"/>
        <v>152.79699999999957</v>
      </c>
      <c r="H58">
        <f t="shared" si="5"/>
        <v>199778.72899999999</v>
      </c>
      <c r="I58">
        <f t="shared" si="2"/>
        <v>199931.52599999998</v>
      </c>
      <c r="J58">
        <f t="shared" si="3"/>
        <v>0</v>
      </c>
      <c r="K58">
        <f t="shared" si="4"/>
        <v>199931.52599999998</v>
      </c>
    </row>
    <row r="59" spans="1:11" x14ac:dyDescent="0.25">
      <c r="A59" s="1">
        <v>45385</v>
      </c>
      <c r="B59">
        <v>10</v>
      </c>
      <c r="C59">
        <v>5734.2629999999999</v>
      </c>
      <c r="D59">
        <v>3500</v>
      </c>
      <c r="E59">
        <f t="shared" si="0"/>
        <v>9234.262999999999</v>
      </c>
      <c r="F59">
        <v>8480.3060000000005</v>
      </c>
      <c r="G59">
        <f t="shared" si="1"/>
        <v>753.95699999999852</v>
      </c>
      <c r="H59">
        <f t="shared" si="5"/>
        <v>199931.52599999998</v>
      </c>
      <c r="I59">
        <f t="shared" si="2"/>
        <v>200000</v>
      </c>
      <c r="J59">
        <f t="shared" si="3"/>
        <v>0</v>
      </c>
      <c r="K59">
        <f t="shared" si="4"/>
        <v>200000</v>
      </c>
    </row>
    <row r="60" spans="1:11" x14ac:dyDescent="0.25">
      <c r="A60" s="1">
        <v>45385</v>
      </c>
      <c r="B60">
        <v>11</v>
      </c>
      <c r="C60">
        <v>5387.15</v>
      </c>
      <c r="D60">
        <v>4405.4129999999996</v>
      </c>
      <c r="E60">
        <f t="shared" si="0"/>
        <v>9792.5629999999983</v>
      </c>
      <c r="F60">
        <v>8456.48</v>
      </c>
      <c r="G60">
        <f t="shared" si="1"/>
        <v>1336.0829999999987</v>
      </c>
      <c r="H60">
        <f t="shared" si="5"/>
        <v>200000</v>
      </c>
      <c r="I60">
        <f t="shared" si="2"/>
        <v>200000</v>
      </c>
      <c r="J60">
        <f t="shared" si="3"/>
        <v>0</v>
      </c>
      <c r="K60">
        <f t="shared" si="4"/>
        <v>200000</v>
      </c>
    </row>
    <row r="61" spans="1:11" x14ac:dyDescent="0.25">
      <c r="A61" s="1">
        <v>45385</v>
      </c>
      <c r="B61">
        <v>12</v>
      </c>
      <c r="C61">
        <v>5066.9380000000001</v>
      </c>
      <c r="D61">
        <v>4657.0379999999996</v>
      </c>
      <c r="E61">
        <f t="shared" si="0"/>
        <v>9723.9759999999987</v>
      </c>
      <c r="F61">
        <v>8597.0110000000004</v>
      </c>
      <c r="G61">
        <f t="shared" si="1"/>
        <v>1126.9649999999983</v>
      </c>
      <c r="H61">
        <f t="shared" si="5"/>
        <v>200000</v>
      </c>
      <c r="I61">
        <f t="shared" si="2"/>
        <v>200000</v>
      </c>
      <c r="J61">
        <f t="shared" si="3"/>
        <v>0</v>
      </c>
      <c r="K61">
        <f t="shared" si="4"/>
        <v>200000</v>
      </c>
    </row>
    <row r="62" spans="1:11" x14ac:dyDescent="0.25">
      <c r="A62" s="1">
        <v>45385</v>
      </c>
      <c r="B62">
        <v>13</v>
      </c>
      <c r="C62">
        <v>4827.9750000000004</v>
      </c>
      <c r="D62">
        <v>5127.7879999999996</v>
      </c>
      <c r="E62">
        <f t="shared" si="0"/>
        <v>9955.762999999999</v>
      </c>
      <c r="F62">
        <v>8956.3119999999999</v>
      </c>
      <c r="G62">
        <f t="shared" si="1"/>
        <v>999.45099999999911</v>
      </c>
      <c r="H62">
        <f t="shared" si="5"/>
        <v>200000</v>
      </c>
      <c r="I62">
        <f t="shared" si="2"/>
        <v>200000</v>
      </c>
      <c r="J62">
        <f t="shared" si="3"/>
        <v>0</v>
      </c>
      <c r="K62">
        <f t="shared" si="4"/>
        <v>200000</v>
      </c>
    </row>
    <row r="63" spans="1:11" x14ac:dyDescent="0.25">
      <c r="A63" s="1">
        <v>45385</v>
      </c>
      <c r="B63">
        <v>14</v>
      </c>
      <c r="C63">
        <v>4638.2129999999997</v>
      </c>
      <c r="D63">
        <v>5204.4750000000004</v>
      </c>
      <c r="E63">
        <f t="shared" si="0"/>
        <v>9842.6880000000001</v>
      </c>
      <c r="F63">
        <v>7076.79</v>
      </c>
      <c r="G63">
        <f t="shared" si="1"/>
        <v>2765.8980000000001</v>
      </c>
      <c r="H63">
        <f t="shared" si="5"/>
        <v>200000</v>
      </c>
      <c r="I63">
        <f t="shared" si="2"/>
        <v>200000</v>
      </c>
      <c r="J63">
        <f t="shared" si="3"/>
        <v>0</v>
      </c>
      <c r="K63">
        <f t="shared" si="4"/>
        <v>200000</v>
      </c>
    </row>
    <row r="64" spans="1:11" x14ac:dyDescent="0.25">
      <c r="A64" s="1">
        <v>45385</v>
      </c>
      <c r="B64">
        <v>15</v>
      </c>
      <c r="C64">
        <v>4444.0129999999999</v>
      </c>
      <c r="D64">
        <v>5284.65</v>
      </c>
      <c r="E64">
        <f t="shared" si="0"/>
        <v>9728.6630000000005</v>
      </c>
      <c r="F64">
        <v>7295.4709999999995</v>
      </c>
      <c r="G64">
        <f t="shared" si="1"/>
        <v>2433.1920000000009</v>
      </c>
      <c r="H64">
        <f t="shared" si="5"/>
        <v>200000</v>
      </c>
      <c r="I64">
        <f t="shared" si="2"/>
        <v>200000</v>
      </c>
      <c r="J64">
        <f t="shared" si="3"/>
        <v>0</v>
      </c>
      <c r="K64">
        <f t="shared" si="4"/>
        <v>200000</v>
      </c>
    </row>
    <row r="65" spans="1:11" x14ac:dyDescent="0.25">
      <c r="A65" s="1">
        <v>45385</v>
      </c>
      <c r="B65">
        <v>16</v>
      </c>
      <c r="C65">
        <v>4060.7249999999999</v>
      </c>
      <c r="D65">
        <v>4440.7879999999996</v>
      </c>
      <c r="E65">
        <f t="shared" si="0"/>
        <v>8501.512999999999</v>
      </c>
      <c r="F65">
        <v>7347.4369999999999</v>
      </c>
      <c r="G65">
        <f t="shared" si="1"/>
        <v>1154.0759999999991</v>
      </c>
      <c r="H65">
        <f t="shared" si="5"/>
        <v>200000</v>
      </c>
      <c r="I65">
        <f t="shared" si="2"/>
        <v>200000</v>
      </c>
      <c r="J65">
        <f t="shared" si="3"/>
        <v>0</v>
      </c>
      <c r="K65">
        <f t="shared" si="4"/>
        <v>200000</v>
      </c>
    </row>
    <row r="66" spans="1:11" x14ac:dyDescent="0.25">
      <c r="A66" s="1">
        <v>45385</v>
      </c>
      <c r="B66">
        <v>17</v>
      </c>
      <c r="C66">
        <v>3365</v>
      </c>
      <c r="D66">
        <v>3380.625</v>
      </c>
      <c r="E66">
        <f t="shared" si="0"/>
        <v>6745.625</v>
      </c>
      <c r="F66">
        <v>7089.9080000000004</v>
      </c>
      <c r="G66">
        <f t="shared" si="1"/>
        <v>-344.28300000000036</v>
      </c>
      <c r="H66">
        <f t="shared" si="5"/>
        <v>200000</v>
      </c>
      <c r="I66">
        <f t="shared" si="2"/>
        <v>199655.717</v>
      </c>
      <c r="J66">
        <f t="shared" si="3"/>
        <v>0</v>
      </c>
      <c r="K66">
        <f t="shared" si="4"/>
        <v>199655.717</v>
      </c>
    </row>
    <row r="67" spans="1:11" x14ac:dyDescent="0.25">
      <c r="A67" s="1">
        <v>45385</v>
      </c>
      <c r="B67">
        <v>18</v>
      </c>
      <c r="C67">
        <v>2697.3380000000002</v>
      </c>
      <c r="D67">
        <v>1752.175</v>
      </c>
      <c r="E67">
        <f t="shared" ref="E67:E130" si="6">C67+D67</f>
        <v>4449.5129999999999</v>
      </c>
      <c r="F67">
        <v>6515.6819999999998</v>
      </c>
      <c r="G67">
        <f t="shared" ref="G67:G130" si="7">E67-F67</f>
        <v>-2066.1689999999999</v>
      </c>
      <c r="H67">
        <f t="shared" si="5"/>
        <v>199655.717</v>
      </c>
      <c r="I67">
        <f t="shared" ref="I67:I130" si="8">IF(H67+G67&gt;200000,200000,H67+G67)</f>
        <v>197589.54800000001</v>
      </c>
      <c r="J67">
        <f t="shared" ref="J67:J130" si="9">IF(I67&lt;0,1,0)</f>
        <v>0</v>
      </c>
      <c r="K67">
        <f t="shared" ref="K67:K130" si="10">IF(J67=1,0,I67)</f>
        <v>197589.54800000001</v>
      </c>
    </row>
    <row r="68" spans="1:11" x14ac:dyDescent="0.25">
      <c r="A68" s="1">
        <v>45385</v>
      </c>
      <c r="B68">
        <v>19</v>
      </c>
      <c r="C68">
        <v>2075.5749999999998</v>
      </c>
      <c r="D68">
        <v>515.93799999999999</v>
      </c>
      <c r="E68">
        <f t="shared" si="6"/>
        <v>2591.5129999999999</v>
      </c>
      <c r="F68">
        <v>6961.8810000000003</v>
      </c>
      <c r="G68">
        <f t="shared" si="7"/>
        <v>-4370.3680000000004</v>
      </c>
      <c r="H68">
        <f t="shared" ref="H68:H131" si="11">K67</f>
        <v>197589.54800000001</v>
      </c>
      <c r="I68">
        <f t="shared" si="8"/>
        <v>193219.18000000002</v>
      </c>
      <c r="J68">
        <f t="shared" si="9"/>
        <v>0</v>
      </c>
      <c r="K68">
        <f t="shared" si="10"/>
        <v>193219.18000000002</v>
      </c>
    </row>
    <row r="69" spans="1:11" x14ac:dyDescent="0.25">
      <c r="A69" s="1">
        <v>45385</v>
      </c>
      <c r="B69">
        <v>20</v>
      </c>
      <c r="C69">
        <v>1725.175</v>
      </c>
      <c r="D69">
        <v>98.513000000000005</v>
      </c>
      <c r="E69">
        <f t="shared" si="6"/>
        <v>1823.6879999999999</v>
      </c>
      <c r="F69">
        <v>6773.4030000000002</v>
      </c>
      <c r="G69">
        <f t="shared" si="7"/>
        <v>-4949.7150000000001</v>
      </c>
      <c r="H69">
        <f t="shared" si="11"/>
        <v>193219.18000000002</v>
      </c>
      <c r="I69">
        <f t="shared" si="8"/>
        <v>188269.46500000003</v>
      </c>
      <c r="J69">
        <f t="shared" si="9"/>
        <v>0</v>
      </c>
      <c r="K69">
        <f t="shared" si="10"/>
        <v>188269.46500000003</v>
      </c>
    </row>
    <row r="70" spans="1:11" x14ac:dyDescent="0.25">
      <c r="A70" s="1">
        <v>45385</v>
      </c>
      <c r="B70">
        <v>21</v>
      </c>
      <c r="C70">
        <v>1506.8630000000001</v>
      </c>
      <c r="D70">
        <v>0</v>
      </c>
      <c r="E70">
        <f t="shared" si="6"/>
        <v>1506.8630000000001</v>
      </c>
      <c r="F70">
        <v>5263.0720000000001</v>
      </c>
      <c r="G70">
        <f t="shared" si="7"/>
        <v>-3756.2089999999998</v>
      </c>
      <c r="H70">
        <f t="shared" si="11"/>
        <v>188269.46500000003</v>
      </c>
      <c r="I70">
        <f t="shared" si="8"/>
        <v>184513.25600000002</v>
      </c>
      <c r="J70">
        <f t="shared" si="9"/>
        <v>0</v>
      </c>
      <c r="K70">
        <f t="shared" si="10"/>
        <v>184513.25600000002</v>
      </c>
    </row>
    <row r="71" spans="1:11" x14ac:dyDescent="0.25">
      <c r="A71" s="1">
        <v>45385</v>
      </c>
      <c r="B71">
        <v>22</v>
      </c>
      <c r="C71">
        <v>1343.6</v>
      </c>
      <c r="D71">
        <v>0</v>
      </c>
      <c r="E71">
        <f t="shared" si="6"/>
        <v>1343.6</v>
      </c>
      <c r="F71">
        <v>5080.067</v>
      </c>
      <c r="G71">
        <f t="shared" si="7"/>
        <v>-3736.4670000000001</v>
      </c>
      <c r="H71">
        <f t="shared" si="11"/>
        <v>184513.25600000002</v>
      </c>
      <c r="I71">
        <f t="shared" si="8"/>
        <v>180776.78900000002</v>
      </c>
      <c r="J71">
        <f t="shared" si="9"/>
        <v>0</v>
      </c>
      <c r="K71">
        <f t="shared" si="10"/>
        <v>180776.78900000002</v>
      </c>
    </row>
    <row r="72" spans="1:11" x14ac:dyDescent="0.25">
      <c r="A72" s="1">
        <v>45385</v>
      </c>
      <c r="B72">
        <v>23</v>
      </c>
      <c r="C72">
        <v>1320.5630000000001</v>
      </c>
      <c r="D72">
        <v>0</v>
      </c>
      <c r="E72">
        <f t="shared" si="6"/>
        <v>1320.5630000000001</v>
      </c>
      <c r="F72">
        <v>3147.1689999999999</v>
      </c>
      <c r="G72">
        <f t="shared" si="7"/>
        <v>-1826.6059999999998</v>
      </c>
      <c r="H72">
        <f t="shared" si="11"/>
        <v>180776.78900000002</v>
      </c>
      <c r="I72">
        <f t="shared" si="8"/>
        <v>178950.18300000002</v>
      </c>
      <c r="J72">
        <f t="shared" si="9"/>
        <v>0</v>
      </c>
      <c r="K72">
        <f t="shared" si="10"/>
        <v>178950.18300000002</v>
      </c>
    </row>
    <row r="73" spans="1:11" x14ac:dyDescent="0.25">
      <c r="A73" s="1">
        <v>45385</v>
      </c>
      <c r="B73">
        <v>24</v>
      </c>
      <c r="C73">
        <v>1277.1379999999999</v>
      </c>
      <c r="D73">
        <v>0</v>
      </c>
      <c r="E73">
        <f t="shared" si="6"/>
        <v>1277.1379999999999</v>
      </c>
      <c r="F73">
        <v>1847.797</v>
      </c>
      <c r="G73">
        <f t="shared" si="7"/>
        <v>-570.65900000000011</v>
      </c>
      <c r="H73">
        <f t="shared" si="11"/>
        <v>178950.18300000002</v>
      </c>
      <c r="I73">
        <f t="shared" si="8"/>
        <v>178379.524</v>
      </c>
      <c r="J73">
        <f t="shared" si="9"/>
        <v>0</v>
      </c>
      <c r="K73">
        <f t="shared" si="10"/>
        <v>178379.524</v>
      </c>
    </row>
    <row r="74" spans="1:11" x14ac:dyDescent="0.25">
      <c r="A74" s="1">
        <v>45386</v>
      </c>
      <c r="B74">
        <v>1</v>
      </c>
      <c r="C74">
        <v>1296.9380000000001</v>
      </c>
      <c r="D74">
        <v>0</v>
      </c>
      <c r="E74">
        <f t="shared" si="6"/>
        <v>1296.9380000000001</v>
      </c>
      <c r="F74">
        <v>1677.02</v>
      </c>
      <c r="G74">
        <f t="shared" si="7"/>
        <v>-380.08199999999988</v>
      </c>
      <c r="H74">
        <f t="shared" si="11"/>
        <v>178379.524</v>
      </c>
      <c r="I74">
        <f t="shared" si="8"/>
        <v>177999.44200000001</v>
      </c>
      <c r="J74">
        <f t="shared" si="9"/>
        <v>0</v>
      </c>
      <c r="K74">
        <f t="shared" si="10"/>
        <v>177999.44200000001</v>
      </c>
    </row>
    <row r="75" spans="1:11" x14ac:dyDescent="0.25">
      <c r="A75" s="1">
        <v>45386</v>
      </c>
      <c r="B75">
        <v>2</v>
      </c>
      <c r="C75">
        <v>1376.75</v>
      </c>
      <c r="D75">
        <v>0</v>
      </c>
      <c r="E75">
        <f t="shared" si="6"/>
        <v>1376.75</v>
      </c>
      <c r="F75">
        <v>1437.8030000000001</v>
      </c>
      <c r="G75">
        <f t="shared" si="7"/>
        <v>-61.053000000000111</v>
      </c>
      <c r="H75">
        <f t="shared" si="11"/>
        <v>177999.44200000001</v>
      </c>
      <c r="I75">
        <f t="shared" si="8"/>
        <v>177938.389</v>
      </c>
      <c r="J75">
        <f t="shared" si="9"/>
        <v>0</v>
      </c>
      <c r="K75">
        <f t="shared" si="10"/>
        <v>177938.389</v>
      </c>
    </row>
    <row r="76" spans="1:11" x14ac:dyDescent="0.25">
      <c r="A76" s="1">
        <v>45386</v>
      </c>
      <c r="B76">
        <v>3</v>
      </c>
      <c r="C76">
        <v>1459.925</v>
      </c>
      <c r="D76">
        <v>0</v>
      </c>
      <c r="E76">
        <f t="shared" si="6"/>
        <v>1459.925</v>
      </c>
      <c r="F76">
        <v>1344.7570000000001</v>
      </c>
      <c r="G76">
        <f t="shared" si="7"/>
        <v>115.16799999999989</v>
      </c>
      <c r="H76">
        <f t="shared" si="11"/>
        <v>177938.389</v>
      </c>
      <c r="I76">
        <f t="shared" si="8"/>
        <v>178053.557</v>
      </c>
      <c r="J76">
        <f t="shared" si="9"/>
        <v>0</v>
      </c>
      <c r="K76">
        <f t="shared" si="10"/>
        <v>178053.557</v>
      </c>
    </row>
    <row r="77" spans="1:11" x14ac:dyDescent="0.25">
      <c r="A77" s="1">
        <v>45386</v>
      </c>
      <c r="B77">
        <v>4</v>
      </c>
      <c r="C77">
        <v>1527.538</v>
      </c>
      <c r="D77">
        <v>0</v>
      </c>
      <c r="E77">
        <f t="shared" si="6"/>
        <v>1527.538</v>
      </c>
      <c r="F77">
        <v>1347.5129999999999</v>
      </c>
      <c r="G77">
        <f t="shared" si="7"/>
        <v>180.02500000000009</v>
      </c>
      <c r="H77">
        <f t="shared" si="11"/>
        <v>178053.557</v>
      </c>
      <c r="I77">
        <f t="shared" si="8"/>
        <v>178233.58199999999</v>
      </c>
      <c r="J77">
        <f t="shared" si="9"/>
        <v>0</v>
      </c>
      <c r="K77">
        <f t="shared" si="10"/>
        <v>178233.58199999999</v>
      </c>
    </row>
    <row r="78" spans="1:11" x14ac:dyDescent="0.25">
      <c r="A78" s="1">
        <v>45386</v>
      </c>
      <c r="B78">
        <v>5</v>
      </c>
      <c r="C78">
        <v>1725.0630000000001</v>
      </c>
      <c r="D78">
        <v>0</v>
      </c>
      <c r="E78">
        <f t="shared" si="6"/>
        <v>1725.0630000000001</v>
      </c>
      <c r="F78">
        <v>2020.11</v>
      </c>
      <c r="G78">
        <f t="shared" si="7"/>
        <v>-295.0469999999998</v>
      </c>
      <c r="H78">
        <f t="shared" si="11"/>
        <v>178233.58199999999</v>
      </c>
      <c r="I78">
        <f t="shared" si="8"/>
        <v>177938.535</v>
      </c>
      <c r="J78">
        <f t="shared" si="9"/>
        <v>0</v>
      </c>
      <c r="K78">
        <f t="shared" si="10"/>
        <v>177938.535</v>
      </c>
    </row>
    <row r="79" spans="1:11" x14ac:dyDescent="0.25">
      <c r="A79" s="1">
        <v>45386</v>
      </c>
      <c r="B79">
        <v>6</v>
      </c>
      <c r="C79">
        <v>1804.5630000000001</v>
      </c>
      <c r="D79">
        <v>0.52500000000000002</v>
      </c>
      <c r="E79">
        <f t="shared" si="6"/>
        <v>1805.0880000000002</v>
      </c>
      <c r="F79">
        <v>3345.3690000000001</v>
      </c>
      <c r="G79">
        <f t="shared" si="7"/>
        <v>-1540.2809999999999</v>
      </c>
      <c r="H79">
        <f t="shared" si="11"/>
        <v>177938.535</v>
      </c>
      <c r="I79">
        <f t="shared" si="8"/>
        <v>176398.25400000002</v>
      </c>
      <c r="J79">
        <f t="shared" si="9"/>
        <v>0</v>
      </c>
      <c r="K79">
        <f t="shared" si="10"/>
        <v>176398.25400000002</v>
      </c>
    </row>
    <row r="80" spans="1:11" x14ac:dyDescent="0.25">
      <c r="A80" s="1">
        <v>45386</v>
      </c>
      <c r="B80">
        <v>7</v>
      </c>
      <c r="C80">
        <v>1882.8</v>
      </c>
      <c r="D80">
        <v>182.78800000000001</v>
      </c>
      <c r="E80">
        <f t="shared" si="6"/>
        <v>2065.5879999999997</v>
      </c>
      <c r="F80">
        <v>4557.18</v>
      </c>
      <c r="G80">
        <f t="shared" si="7"/>
        <v>-2491.5920000000006</v>
      </c>
      <c r="H80">
        <f t="shared" si="11"/>
        <v>176398.25400000002</v>
      </c>
      <c r="I80">
        <f t="shared" si="8"/>
        <v>173906.66200000001</v>
      </c>
      <c r="J80">
        <f t="shared" si="9"/>
        <v>0</v>
      </c>
      <c r="K80">
        <f t="shared" si="10"/>
        <v>173906.66200000001</v>
      </c>
    </row>
    <row r="81" spans="1:11" x14ac:dyDescent="0.25">
      <c r="A81" s="1">
        <v>45386</v>
      </c>
      <c r="B81">
        <v>8</v>
      </c>
      <c r="C81">
        <v>1927.5</v>
      </c>
      <c r="D81">
        <v>903.98800000000006</v>
      </c>
      <c r="E81">
        <f t="shared" si="6"/>
        <v>2831.4880000000003</v>
      </c>
      <c r="F81">
        <v>6740.7489999999998</v>
      </c>
      <c r="G81">
        <f t="shared" si="7"/>
        <v>-3909.2609999999995</v>
      </c>
      <c r="H81">
        <f t="shared" si="11"/>
        <v>173906.66200000001</v>
      </c>
      <c r="I81">
        <f t="shared" si="8"/>
        <v>169997.40100000001</v>
      </c>
      <c r="J81">
        <f t="shared" si="9"/>
        <v>0</v>
      </c>
      <c r="K81">
        <f t="shared" si="10"/>
        <v>169997.40100000001</v>
      </c>
    </row>
    <row r="82" spans="1:11" x14ac:dyDescent="0.25">
      <c r="A82" s="1">
        <v>45386</v>
      </c>
      <c r="B82">
        <v>9</v>
      </c>
      <c r="C82">
        <v>1803.0630000000001</v>
      </c>
      <c r="D82">
        <v>2087.2249999999999</v>
      </c>
      <c r="E82">
        <f t="shared" si="6"/>
        <v>3890.288</v>
      </c>
      <c r="F82">
        <v>7549.6329999999998</v>
      </c>
      <c r="G82">
        <f t="shared" si="7"/>
        <v>-3659.3449999999998</v>
      </c>
      <c r="H82">
        <f t="shared" si="11"/>
        <v>169997.40100000001</v>
      </c>
      <c r="I82">
        <f t="shared" si="8"/>
        <v>166338.05600000001</v>
      </c>
      <c r="J82">
        <f t="shared" si="9"/>
        <v>0</v>
      </c>
      <c r="K82">
        <f t="shared" si="10"/>
        <v>166338.05600000001</v>
      </c>
    </row>
    <row r="83" spans="1:11" x14ac:dyDescent="0.25">
      <c r="A83" s="1">
        <v>45386</v>
      </c>
      <c r="B83">
        <v>10</v>
      </c>
      <c r="C83">
        <v>1611.05</v>
      </c>
      <c r="D83">
        <v>3579.6</v>
      </c>
      <c r="E83">
        <f t="shared" si="6"/>
        <v>5190.6499999999996</v>
      </c>
      <c r="F83">
        <v>8426.2909999999993</v>
      </c>
      <c r="G83">
        <f t="shared" si="7"/>
        <v>-3235.6409999999996</v>
      </c>
      <c r="H83">
        <f t="shared" si="11"/>
        <v>166338.05600000001</v>
      </c>
      <c r="I83">
        <f t="shared" si="8"/>
        <v>163102.41500000001</v>
      </c>
      <c r="J83">
        <f t="shared" si="9"/>
        <v>0</v>
      </c>
      <c r="K83">
        <f t="shared" si="10"/>
        <v>163102.41500000001</v>
      </c>
    </row>
    <row r="84" spans="1:11" x14ac:dyDescent="0.25">
      <c r="A84" s="1">
        <v>45386</v>
      </c>
      <c r="B84">
        <v>11</v>
      </c>
      <c r="C84">
        <v>1517.413</v>
      </c>
      <c r="D84">
        <v>4306.8379999999997</v>
      </c>
      <c r="E84">
        <f t="shared" si="6"/>
        <v>5824.2510000000002</v>
      </c>
      <c r="F84">
        <v>8402.6170000000002</v>
      </c>
      <c r="G84">
        <f t="shared" si="7"/>
        <v>-2578.366</v>
      </c>
      <c r="H84">
        <f t="shared" si="11"/>
        <v>163102.41500000001</v>
      </c>
      <c r="I84">
        <f t="shared" si="8"/>
        <v>160524.049</v>
      </c>
      <c r="J84">
        <f t="shared" si="9"/>
        <v>0</v>
      </c>
      <c r="K84">
        <f t="shared" si="10"/>
        <v>160524.049</v>
      </c>
    </row>
    <row r="85" spans="1:11" x14ac:dyDescent="0.25">
      <c r="A85" s="1">
        <v>45386</v>
      </c>
      <c r="B85">
        <v>12</v>
      </c>
      <c r="C85">
        <v>1464.9380000000001</v>
      </c>
      <c r="D85">
        <v>5172.3</v>
      </c>
      <c r="E85">
        <f t="shared" si="6"/>
        <v>6637.2380000000003</v>
      </c>
      <c r="F85">
        <v>8542.2530000000006</v>
      </c>
      <c r="G85">
        <f t="shared" si="7"/>
        <v>-1905.0150000000003</v>
      </c>
      <c r="H85">
        <f t="shared" si="11"/>
        <v>160524.049</v>
      </c>
      <c r="I85">
        <f t="shared" si="8"/>
        <v>158619.03399999999</v>
      </c>
      <c r="J85">
        <f t="shared" si="9"/>
        <v>0</v>
      </c>
      <c r="K85">
        <f t="shared" si="10"/>
        <v>158619.03399999999</v>
      </c>
    </row>
    <row r="86" spans="1:11" x14ac:dyDescent="0.25">
      <c r="A86" s="1">
        <v>45386</v>
      </c>
      <c r="B86">
        <v>13</v>
      </c>
      <c r="C86">
        <v>1616.9</v>
      </c>
      <c r="D86">
        <v>5723.5129999999999</v>
      </c>
      <c r="E86">
        <f t="shared" si="6"/>
        <v>7340.4130000000005</v>
      </c>
      <c r="F86">
        <v>8899.2659999999996</v>
      </c>
      <c r="G86">
        <f t="shared" si="7"/>
        <v>-1558.8529999999992</v>
      </c>
      <c r="H86">
        <f t="shared" si="11"/>
        <v>158619.03399999999</v>
      </c>
      <c r="I86">
        <f t="shared" si="8"/>
        <v>157060.18099999998</v>
      </c>
      <c r="J86">
        <f t="shared" si="9"/>
        <v>0</v>
      </c>
      <c r="K86">
        <f t="shared" si="10"/>
        <v>157060.18099999998</v>
      </c>
    </row>
    <row r="87" spans="1:11" x14ac:dyDescent="0.25">
      <c r="A87" s="1">
        <v>45386</v>
      </c>
      <c r="B87">
        <v>14</v>
      </c>
      <c r="C87">
        <v>1760.9880000000001</v>
      </c>
      <c r="D87">
        <v>5583.875</v>
      </c>
      <c r="E87">
        <f t="shared" si="6"/>
        <v>7344.8630000000003</v>
      </c>
      <c r="F87">
        <v>8407.4850000000006</v>
      </c>
      <c r="G87">
        <f t="shared" si="7"/>
        <v>-1062.6220000000003</v>
      </c>
      <c r="H87">
        <f t="shared" si="11"/>
        <v>157060.18099999998</v>
      </c>
      <c r="I87">
        <f t="shared" si="8"/>
        <v>155997.55899999998</v>
      </c>
      <c r="J87">
        <f t="shared" si="9"/>
        <v>0</v>
      </c>
      <c r="K87">
        <f t="shared" si="10"/>
        <v>155997.55899999998</v>
      </c>
    </row>
    <row r="88" spans="1:11" x14ac:dyDescent="0.25">
      <c r="A88" s="1">
        <v>45386</v>
      </c>
      <c r="B88">
        <v>15</v>
      </c>
      <c r="C88">
        <v>1910.588</v>
      </c>
      <c r="D88">
        <v>5109.6000000000004</v>
      </c>
      <c r="E88">
        <f t="shared" si="6"/>
        <v>7020.1880000000001</v>
      </c>
      <c r="F88">
        <v>8667.2860000000001</v>
      </c>
      <c r="G88">
        <f t="shared" si="7"/>
        <v>-1647.098</v>
      </c>
      <c r="H88">
        <f t="shared" si="11"/>
        <v>155997.55899999998</v>
      </c>
      <c r="I88">
        <f t="shared" si="8"/>
        <v>154350.46099999998</v>
      </c>
      <c r="J88">
        <f t="shared" si="9"/>
        <v>0</v>
      </c>
      <c r="K88">
        <f t="shared" si="10"/>
        <v>154350.46099999998</v>
      </c>
    </row>
    <row r="89" spans="1:11" x14ac:dyDescent="0.25">
      <c r="A89" s="1">
        <v>45386</v>
      </c>
      <c r="B89">
        <v>16</v>
      </c>
      <c r="C89">
        <v>2147.8380000000002</v>
      </c>
      <c r="D89">
        <v>4166.7</v>
      </c>
      <c r="E89">
        <f t="shared" si="6"/>
        <v>6314.5380000000005</v>
      </c>
      <c r="F89">
        <v>8729.0239999999994</v>
      </c>
      <c r="G89">
        <f t="shared" si="7"/>
        <v>-2414.485999999999</v>
      </c>
      <c r="H89">
        <f t="shared" si="11"/>
        <v>154350.46099999998</v>
      </c>
      <c r="I89">
        <f t="shared" si="8"/>
        <v>151935.97499999998</v>
      </c>
      <c r="J89">
        <f t="shared" si="9"/>
        <v>0</v>
      </c>
      <c r="K89">
        <f t="shared" si="10"/>
        <v>151935.97499999998</v>
      </c>
    </row>
    <row r="90" spans="1:11" x14ac:dyDescent="0.25">
      <c r="A90" s="1">
        <v>45386</v>
      </c>
      <c r="B90">
        <v>17</v>
      </c>
      <c r="C90">
        <v>2389</v>
      </c>
      <c r="D90">
        <v>3069.4630000000002</v>
      </c>
      <c r="E90">
        <f t="shared" si="6"/>
        <v>5458.4629999999997</v>
      </c>
      <c r="F90">
        <v>8415.4120000000003</v>
      </c>
      <c r="G90">
        <f t="shared" si="7"/>
        <v>-2956.9490000000005</v>
      </c>
      <c r="H90">
        <f t="shared" si="11"/>
        <v>151935.97499999998</v>
      </c>
      <c r="I90">
        <f t="shared" si="8"/>
        <v>148979.02599999998</v>
      </c>
      <c r="J90">
        <f t="shared" si="9"/>
        <v>0</v>
      </c>
      <c r="K90">
        <f t="shared" si="10"/>
        <v>148979.02599999998</v>
      </c>
    </row>
    <row r="91" spans="1:11" x14ac:dyDescent="0.25">
      <c r="A91" s="1">
        <v>45386</v>
      </c>
      <c r="B91">
        <v>18</v>
      </c>
      <c r="C91">
        <v>2445.2249999999999</v>
      </c>
      <c r="D91">
        <v>1544.663</v>
      </c>
      <c r="E91">
        <f t="shared" si="6"/>
        <v>3989.8879999999999</v>
      </c>
      <c r="F91">
        <v>7726.8</v>
      </c>
      <c r="G91">
        <f t="shared" si="7"/>
        <v>-3736.9120000000003</v>
      </c>
      <c r="H91">
        <f t="shared" si="11"/>
        <v>148979.02599999998</v>
      </c>
      <c r="I91">
        <f t="shared" si="8"/>
        <v>145242.11399999997</v>
      </c>
      <c r="J91">
        <f t="shared" si="9"/>
        <v>0</v>
      </c>
      <c r="K91">
        <f t="shared" si="10"/>
        <v>145242.11399999997</v>
      </c>
    </row>
    <row r="92" spans="1:11" x14ac:dyDescent="0.25">
      <c r="A92" s="1">
        <v>45386</v>
      </c>
      <c r="B92">
        <v>19</v>
      </c>
      <c r="C92">
        <v>2756.4380000000001</v>
      </c>
      <c r="D92">
        <v>540.16300000000001</v>
      </c>
      <c r="E92">
        <f t="shared" si="6"/>
        <v>3296.6010000000001</v>
      </c>
      <c r="F92">
        <v>6904.9660000000003</v>
      </c>
      <c r="G92">
        <f t="shared" si="7"/>
        <v>-3608.3650000000002</v>
      </c>
      <c r="H92">
        <f t="shared" si="11"/>
        <v>145242.11399999997</v>
      </c>
      <c r="I92">
        <f t="shared" si="8"/>
        <v>141633.74899999998</v>
      </c>
      <c r="J92">
        <f t="shared" si="9"/>
        <v>0</v>
      </c>
      <c r="K92">
        <f t="shared" si="10"/>
        <v>141633.74899999998</v>
      </c>
    </row>
    <row r="93" spans="1:11" x14ac:dyDescent="0.25">
      <c r="A93" s="1">
        <v>45386</v>
      </c>
      <c r="B93">
        <v>20</v>
      </c>
      <c r="C93">
        <v>3537.875</v>
      </c>
      <c r="D93">
        <v>97.013000000000005</v>
      </c>
      <c r="E93">
        <f t="shared" si="6"/>
        <v>3634.8879999999999</v>
      </c>
      <c r="F93">
        <v>6718.0290000000005</v>
      </c>
      <c r="G93">
        <f t="shared" si="7"/>
        <v>-3083.1410000000005</v>
      </c>
      <c r="H93">
        <f t="shared" si="11"/>
        <v>141633.74899999998</v>
      </c>
      <c r="I93">
        <f t="shared" si="8"/>
        <v>138550.60799999998</v>
      </c>
      <c r="J93">
        <f t="shared" si="9"/>
        <v>0</v>
      </c>
      <c r="K93">
        <f t="shared" si="10"/>
        <v>138550.60799999998</v>
      </c>
    </row>
    <row r="94" spans="1:11" x14ac:dyDescent="0.25">
      <c r="A94" s="1">
        <v>45386</v>
      </c>
      <c r="B94">
        <v>21</v>
      </c>
      <c r="C94">
        <v>4276.8500000000004</v>
      </c>
      <c r="D94">
        <v>0</v>
      </c>
      <c r="E94">
        <f t="shared" si="6"/>
        <v>4276.8500000000004</v>
      </c>
      <c r="F94">
        <v>5220.0450000000001</v>
      </c>
      <c r="G94">
        <f t="shared" si="7"/>
        <v>-943.19499999999971</v>
      </c>
      <c r="H94">
        <f t="shared" si="11"/>
        <v>138550.60799999998</v>
      </c>
      <c r="I94">
        <f t="shared" si="8"/>
        <v>137607.41299999997</v>
      </c>
      <c r="J94">
        <f t="shared" si="9"/>
        <v>0</v>
      </c>
      <c r="K94">
        <f t="shared" si="10"/>
        <v>137607.41299999997</v>
      </c>
    </row>
    <row r="95" spans="1:11" x14ac:dyDescent="0.25">
      <c r="A95" s="1">
        <v>45386</v>
      </c>
      <c r="B95">
        <v>22</v>
      </c>
      <c r="C95">
        <v>4835.1750000000002</v>
      </c>
      <c r="D95">
        <v>0</v>
      </c>
      <c r="E95">
        <f t="shared" si="6"/>
        <v>4835.1750000000002</v>
      </c>
      <c r="F95">
        <v>5038.5370000000003</v>
      </c>
      <c r="G95">
        <f t="shared" si="7"/>
        <v>-203.36200000000008</v>
      </c>
      <c r="H95">
        <f t="shared" si="11"/>
        <v>137607.41299999997</v>
      </c>
      <c r="I95">
        <f t="shared" si="8"/>
        <v>137404.05099999998</v>
      </c>
      <c r="J95">
        <f t="shared" si="9"/>
        <v>0</v>
      </c>
      <c r="K95">
        <f t="shared" si="10"/>
        <v>137404.05099999998</v>
      </c>
    </row>
    <row r="96" spans="1:11" x14ac:dyDescent="0.25">
      <c r="A96" s="1">
        <v>45386</v>
      </c>
      <c r="B96">
        <v>23</v>
      </c>
      <c r="C96">
        <v>5044.7250000000004</v>
      </c>
      <c r="D96">
        <v>0</v>
      </c>
      <c r="E96">
        <f t="shared" si="6"/>
        <v>5044.7250000000004</v>
      </c>
      <c r="F96">
        <v>3121.44</v>
      </c>
      <c r="G96">
        <f t="shared" si="7"/>
        <v>1923.2850000000003</v>
      </c>
      <c r="H96">
        <f t="shared" si="11"/>
        <v>137404.05099999998</v>
      </c>
      <c r="I96">
        <f t="shared" si="8"/>
        <v>139327.33599999998</v>
      </c>
      <c r="J96">
        <f t="shared" si="9"/>
        <v>0</v>
      </c>
      <c r="K96">
        <f t="shared" si="10"/>
        <v>139327.33599999998</v>
      </c>
    </row>
    <row r="97" spans="1:11" x14ac:dyDescent="0.25">
      <c r="A97" s="1">
        <v>45386</v>
      </c>
      <c r="B97">
        <v>24</v>
      </c>
      <c r="C97">
        <v>5564.6750000000002</v>
      </c>
      <c r="D97">
        <v>0</v>
      </c>
      <c r="E97">
        <f t="shared" si="6"/>
        <v>5564.6750000000002</v>
      </c>
      <c r="F97">
        <v>1832.69</v>
      </c>
      <c r="G97">
        <f t="shared" si="7"/>
        <v>3731.9850000000001</v>
      </c>
      <c r="H97">
        <f t="shared" si="11"/>
        <v>139327.33599999998</v>
      </c>
      <c r="I97">
        <f t="shared" si="8"/>
        <v>143059.32099999997</v>
      </c>
      <c r="J97">
        <f t="shared" si="9"/>
        <v>0</v>
      </c>
      <c r="K97">
        <f t="shared" si="10"/>
        <v>143059.32099999997</v>
      </c>
    </row>
    <row r="98" spans="1:11" x14ac:dyDescent="0.25">
      <c r="A98" s="1">
        <v>45387</v>
      </c>
      <c r="B98">
        <v>1</v>
      </c>
      <c r="C98">
        <v>5803.1130000000003</v>
      </c>
      <c r="D98">
        <v>0</v>
      </c>
      <c r="E98">
        <f t="shared" si="6"/>
        <v>5803.1130000000003</v>
      </c>
      <c r="F98">
        <v>1548.146</v>
      </c>
      <c r="G98">
        <f t="shared" si="7"/>
        <v>4254.9670000000006</v>
      </c>
      <c r="H98">
        <f t="shared" si="11"/>
        <v>143059.32099999997</v>
      </c>
      <c r="I98">
        <f t="shared" si="8"/>
        <v>147314.28799999997</v>
      </c>
      <c r="J98">
        <f t="shared" si="9"/>
        <v>0</v>
      </c>
      <c r="K98">
        <f t="shared" si="10"/>
        <v>147314.28799999997</v>
      </c>
    </row>
    <row r="99" spans="1:11" x14ac:dyDescent="0.25">
      <c r="A99" s="1">
        <v>45387</v>
      </c>
      <c r="B99">
        <v>2</v>
      </c>
      <c r="C99">
        <v>5764.2749999999996</v>
      </c>
      <c r="D99">
        <v>0</v>
      </c>
      <c r="E99">
        <f t="shared" si="6"/>
        <v>5764.2749999999996</v>
      </c>
      <c r="F99">
        <v>1327.3109999999999</v>
      </c>
      <c r="G99">
        <f t="shared" si="7"/>
        <v>4436.9639999999999</v>
      </c>
      <c r="H99">
        <f t="shared" si="11"/>
        <v>147314.28799999997</v>
      </c>
      <c r="I99">
        <f t="shared" si="8"/>
        <v>151751.25199999998</v>
      </c>
      <c r="J99">
        <f t="shared" si="9"/>
        <v>0</v>
      </c>
      <c r="K99">
        <f t="shared" si="10"/>
        <v>151751.25199999998</v>
      </c>
    </row>
    <row r="100" spans="1:11" x14ac:dyDescent="0.25">
      <c r="A100" s="1">
        <v>45387</v>
      </c>
      <c r="B100">
        <v>3</v>
      </c>
      <c r="C100">
        <v>5571.0749999999998</v>
      </c>
      <c r="D100">
        <v>0</v>
      </c>
      <c r="E100">
        <f t="shared" si="6"/>
        <v>5571.0749999999998</v>
      </c>
      <c r="F100">
        <v>1241.4159999999999</v>
      </c>
      <c r="G100">
        <f t="shared" si="7"/>
        <v>4329.6589999999997</v>
      </c>
      <c r="H100">
        <f t="shared" si="11"/>
        <v>151751.25199999998</v>
      </c>
      <c r="I100">
        <f t="shared" si="8"/>
        <v>156080.91099999996</v>
      </c>
      <c r="J100">
        <f t="shared" si="9"/>
        <v>0</v>
      </c>
      <c r="K100">
        <f t="shared" si="10"/>
        <v>156080.91099999996</v>
      </c>
    </row>
    <row r="101" spans="1:11" x14ac:dyDescent="0.25">
      <c r="A101" s="1">
        <v>45387</v>
      </c>
      <c r="B101">
        <v>4</v>
      </c>
      <c r="C101">
        <v>5487.2380000000003</v>
      </c>
      <c r="D101">
        <v>0</v>
      </c>
      <c r="E101">
        <f t="shared" si="6"/>
        <v>5487.2380000000003</v>
      </c>
      <c r="F101">
        <v>1243.961</v>
      </c>
      <c r="G101">
        <f t="shared" si="7"/>
        <v>4243.277</v>
      </c>
      <c r="H101">
        <f t="shared" si="11"/>
        <v>156080.91099999996</v>
      </c>
      <c r="I101">
        <f t="shared" si="8"/>
        <v>160324.18799999997</v>
      </c>
      <c r="J101">
        <f t="shared" si="9"/>
        <v>0</v>
      </c>
      <c r="K101">
        <f t="shared" si="10"/>
        <v>160324.18799999997</v>
      </c>
    </row>
    <row r="102" spans="1:11" x14ac:dyDescent="0.25">
      <c r="A102" s="1">
        <v>45387</v>
      </c>
      <c r="B102">
        <v>5</v>
      </c>
      <c r="C102">
        <v>5289.1629999999996</v>
      </c>
      <c r="D102">
        <v>0</v>
      </c>
      <c r="E102">
        <f t="shared" si="6"/>
        <v>5289.1629999999996</v>
      </c>
      <c r="F102">
        <v>1864.87</v>
      </c>
      <c r="G102">
        <f t="shared" si="7"/>
        <v>3424.2929999999997</v>
      </c>
      <c r="H102">
        <f t="shared" si="11"/>
        <v>160324.18799999997</v>
      </c>
      <c r="I102">
        <f t="shared" si="8"/>
        <v>163748.48099999997</v>
      </c>
      <c r="J102">
        <f t="shared" si="9"/>
        <v>0</v>
      </c>
      <c r="K102">
        <f t="shared" si="10"/>
        <v>163748.48099999997</v>
      </c>
    </row>
    <row r="103" spans="1:11" x14ac:dyDescent="0.25">
      <c r="A103" s="1">
        <v>45387</v>
      </c>
      <c r="B103">
        <v>6</v>
      </c>
      <c r="C103">
        <v>4720.9750000000004</v>
      </c>
      <c r="D103">
        <v>2.6880000000000002</v>
      </c>
      <c r="E103">
        <f t="shared" si="6"/>
        <v>4723.6630000000005</v>
      </c>
      <c r="F103">
        <v>3088.2869999999998</v>
      </c>
      <c r="G103">
        <f t="shared" si="7"/>
        <v>1635.3760000000007</v>
      </c>
      <c r="H103">
        <f t="shared" si="11"/>
        <v>163748.48099999997</v>
      </c>
      <c r="I103">
        <f t="shared" si="8"/>
        <v>165383.85699999996</v>
      </c>
      <c r="J103">
        <f t="shared" si="9"/>
        <v>0</v>
      </c>
      <c r="K103">
        <f t="shared" si="10"/>
        <v>165383.85699999996</v>
      </c>
    </row>
    <row r="104" spans="1:11" x14ac:dyDescent="0.25">
      <c r="A104" s="1">
        <v>45387</v>
      </c>
      <c r="B104">
        <v>7</v>
      </c>
      <c r="C104">
        <v>4460.4880000000003</v>
      </c>
      <c r="D104">
        <v>207.26300000000001</v>
      </c>
      <c r="E104">
        <f t="shared" si="6"/>
        <v>4667.7510000000002</v>
      </c>
      <c r="F104">
        <v>4206.973</v>
      </c>
      <c r="G104">
        <f t="shared" si="7"/>
        <v>460.77800000000025</v>
      </c>
      <c r="H104">
        <f t="shared" si="11"/>
        <v>165383.85699999996</v>
      </c>
      <c r="I104">
        <f t="shared" si="8"/>
        <v>165844.63499999995</v>
      </c>
      <c r="J104">
        <f t="shared" si="9"/>
        <v>0</v>
      </c>
      <c r="K104">
        <f t="shared" si="10"/>
        <v>165844.63499999995</v>
      </c>
    </row>
    <row r="105" spans="1:11" x14ac:dyDescent="0.25">
      <c r="A105" s="1">
        <v>45387</v>
      </c>
      <c r="B105">
        <v>8</v>
      </c>
      <c r="C105">
        <v>4055.7249999999999</v>
      </c>
      <c r="D105">
        <v>1171.5999999999999</v>
      </c>
      <c r="E105">
        <f t="shared" si="6"/>
        <v>5227.3249999999998</v>
      </c>
      <c r="F105">
        <v>6222.74</v>
      </c>
      <c r="G105">
        <f t="shared" si="7"/>
        <v>-995.41499999999996</v>
      </c>
      <c r="H105">
        <f t="shared" si="11"/>
        <v>165844.63499999995</v>
      </c>
      <c r="I105">
        <f t="shared" si="8"/>
        <v>164849.21999999994</v>
      </c>
      <c r="J105">
        <f t="shared" si="9"/>
        <v>0</v>
      </c>
      <c r="K105">
        <f t="shared" si="10"/>
        <v>164849.21999999994</v>
      </c>
    </row>
    <row r="106" spans="1:11" x14ac:dyDescent="0.25">
      <c r="A106" s="1">
        <v>45387</v>
      </c>
      <c r="B106">
        <v>9</v>
      </c>
      <c r="C106">
        <v>3390.5880000000002</v>
      </c>
      <c r="D106">
        <v>2805.5250000000001</v>
      </c>
      <c r="E106">
        <f t="shared" si="6"/>
        <v>6196.1130000000003</v>
      </c>
      <c r="F106">
        <v>6969.4639999999999</v>
      </c>
      <c r="G106">
        <f t="shared" si="7"/>
        <v>-773.35099999999966</v>
      </c>
      <c r="H106">
        <f t="shared" si="11"/>
        <v>164849.21999999994</v>
      </c>
      <c r="I106">
        <f t="shared" si="8"/>
        <v>164075.86899999995</v>
      </c>
      <c r="J106">
        <f t="shared" si="9"/>
        <v>0</v>
      </c>
      <c r="K106">
        <f t="shared" si="10"/>
        <v>164075.86899999995</v>
      </c>
    </row>
    <row r="107" spans="1:11" x14ac:dyDescent="0.25">
      <c r="A107" s="1">
        <v>45387</v>
      </c>
      <c r="B107">
        <v>10</v>
      </c>
      <c r="C107">
        <v>3101.2249999999999</v>
      </c>
      <c r="D107">
        <v>4478.6379999999999</v>
      </c>
      <c r="E107">
        <f t="shared" si="6"/>
        <v>7579.8629999999994</v>
      </c>
      <c r="F107">
        <v>7778.7529999999997</v>
      </c>
      <c r="G107">
        <f t="shared" si="7"/>
        <v>-198.89000000000033</v>
      </c>
      <c r="H107">
        <f t="shared" si="11"/>
        <v>164075.86899999995</v>
      </c>
      <c r="I107">
        <f t="shared" si="8"/>
        <v>163876.97899999993</v>
      </c>
      <c r="J107">
        <f t="shared" si="9"/>
        <v>0</v>
      </c>
      <c r="K107">
        <f t="shared" si="10"/>
        <v>163876.97899999993</v>
      </c>
    </row>
    <row r="108" spans="1:11" x14ac:dyDescent="0.25">
      <c r="A108" s="1">
        <v>45387</v>
      </c>
      <c r="B108">
        <v>11</v>
      </c>
      <c r="C108">
        <v>2969.0630000000001</v>
      </c>
      <c r="D108">
        <v>6019.9129999999996</v>
      </c>
      <c r="E108">
        <f t="shared" si="6"/>
        <v>8988.9759999999987</v>
      </c>
      <c r="F108">
        <v>7756.8980000000001</v>
      </c>
      <c r="G108">
        <f t="shared" si="7"/>
        <v>1232.0779999999986</v>
      </c>
      <c r="H108">
        <f t="shared" si="11"/>
        <v>163876.97899999993</v>
      </c>
      <c r="I108">
        <f t="shared" si="8"/>
        <v>165109.05699999994</v>
      </c>
      <c r="J108">
        <f t="shared" si="9"/>
        <v>0</v>
      </c>
      <c r="K108">
        <f t="shared" si="10"/>
        <v>165109.05699999994</v>
      </c>
    </row>
    <row r="109" spans="1:11" x14ac:dyDescent="0.25">
      <c r="A109" s="1">
        <v>45387</v>
      </c>
      <c r="B109">
        <v>12</v>
      </c>
      <c r="C109">
        <v>3016.9749999999999</v>
      </c>
      <c r="D109">
        <v>6657.3249999999998</v>
      </c>
      <c r="E109">
        <f t="shared" si="6"/>
        <v>9674.2999999999993</v>
      </c>
      <c r="F109">
        <v>7885.8040000000001</v>
      </c>
      <c r="G109">
        <f t="shared" si="7"/>
        <v>1788.4959999999992</v>
      </c>
      <c r="H109">
        <f t="shared" si="11"/>
        <v>165109.05699999994</v>
      </c>
      <c r="I109">
        <f t="shared" si="8"/>
        <v>166897.55299999996</v>
      </c>
      <c r="J109">
        <f t="shared" si="9"/>
        <v>0</v>
      </c>
      <c r="K109">
        <f t="shared" si="10"/>
        <v>166897.55299999996</v>
      </c>
    </row>
    <row r="110" spans="1:11" x14ac:dyDescent="0.25">
      <c r="A110" s="1">
        <v>45387</v>
      </c>
      <c r="B110">
        <v>13</v>
      </c>
      <c r="C110">
        <v>3085.65</v>
      </c>
      <c r="D110">
        <v>6455.375</v>
      </c>
      <c r="E110">
        <f t="shared" si="6"/>
        <v>9541.0249999999996</v>
      </c>
      <c r="F110">
        <v>8215.3809999999994</v>
      </c>
      <c r="G110">
        <f t="shared" si="7"/>
        <v>1325.6440000000002</v>
      </c>
      <c r="H110">
        <f t="shared" si="11"/>
        <v>166897.55299999996</v>
      </c>
      <c r="I110">
        <f t="shared" si="8"/>
        <v>168223.19699999996</v>
      </c>
      <c r="J110">
        <f t="shared" si="9"/>
        <v>0</v>
      </c>
      <c r="K110">
        <f t="shared" si="10"/>
        <v>168223.19699999996</v>
      </c>
    </row>
    <row r="111" spans="1:11" x14ac:dyDescent="0.25">
      <c r="A111" s="1">
        <v>45387</v>
      </c>
      <c r="B111">
        <v>14</v>
      </c>
      <c r="C111">
        <v>3147</v>
      </c>
      <c r="D111">
        <v>6064.8</v>
      </c>
      <c r="E111">
        <f t="shared" si="6"/>
        <v>9211.7999999999993</v>
      </c>
      <c r="F111">
        <v>7761.3919999999998</v>
      </c>
      <c r="G111">
        <f t="shared" si="7"/>
        <v>1450.4079999999994</v>
      </c>
      <c r="H111">
        <f t="shared" si="11"/>
        <v>168223.19699999996</v>
      </c>
      <c r="I111">
        <f t="shared" si="8"/>
        <v>169673.60499999995</v>
      </c>
      <c r="J111">
        <f t="shared" si="9"/>
        <v>0</v>
      </c>
      <c r="K111">
        <f t="shared" si="10"/>
        <v>169673.60499999995</v>
      </c>
    </row>
    <row r="112" spans="1:11" x14ac:dyDescent="0.25">
      <c r="A112" s="1">
        <v>45387</v>
      </c>
      <c r="B112">
        <v>15</v>
      </c>
      <c r="C112">
        <v>2894.8249999999998</v>
      </c>
      <c r="D112">
        <v>5635.875</v>
      </c>
      <c r="E112">
        <f t="shared" si="6"/>
        <v>8530.7000000000007</v>
      </c>
      <c r="F112">
        <v>8001.2290000000003</v>
      </c>
      <c r="G112">
        <f t="shared" si="7"/>
        <v>529.47100000000046</v>
      </c>
      <c r="H112">
        <f t="shared" si="11"/>
        <v>169673.60499999995</v>
      </c>
      <c r="I112">
        <f t="shared" si="8"/>
        <v>170203.07599999994</v>
      </c>
      <c r="J112">
        <f t="shared" si="9"/>
        <v>0</v>
      </c>
      <c r="K112">
        <f t="shared" si="10"/>
        <v>170203.07599999994</v>
      </c>
    </row>
    <row r="113" spans="1:11" x14ac:dyDescent="0.25">
      <c r="A113" s="1">
        <v>45387</v>
      </c>
      <c r="B113">
        <v>16</v>
      </c>
      <c r="C113">
        <v>2652.625</v>
      </c>
      <c r="D113">
        <v>5442.65</v>
      </c>
      <c r="E113">
        <f t="shared" si="6"/>
        <v>8095.2749999999996</v>
      </c>
      <c r="F113">
        <v>8058.2219999999998</v>
      </c>
      <c r="G113">
        <f t="shared" si="7"/>
        <v>37.052999999999884</v>
      </c>
      <c r="H113">
        <f t="shared" si="11"/>
        <v>170203.07599999994</v>
      </c>
      <c r="I113">
        <f t="shared" si="8"/>
        <v>170240.12899999996</v>
      </c>
      <c r="J113">
        <f t="shared" si="9"/>
        <v>0</v>
      </c>
      <c r="K113">
        <f t="shared" si="10"/>
        <v>170240.12899999996</v>
      </c>
    </row>
    <row r="114" spans="1:11" x14ac:dyDescent="0.25">
      <c r="A114" s="1">
        <v>45387</v>
      </c>
      <c r="B114">
        <v>17</v>
      </c>
      <c r="C114">
        <v>2686.5630000000001</v>
      </c>
      <c r="D114">
        <v>4334.0749999999998</v>
      </c>
      <c r="E114">
        <f t="shared" si="6"/>
        <v>7020.6379999999999</v>
      </c>
      <c r="F114">
        <v>7775.7790000000005</v>
      </c>
      <c r="G114">
        <f t="shared" si="7"/>
        <v>-755.14100000000053</v>
      </c>
      <c r="H114">
        <f t="shared" si="11"/>
        <v>170240.12899999996</v>
      </c>
      <c r="I114">
        <f t="shared" si="8"/>
        <v>169484.98799999995</v>
      </c>
      <c r="J114">
        <f t="shared" si="9"/>
        <v>0</v>
      </c>
      <c r="K114">
        <f t="shared" si="10"/>
        <v>169484.98799999995</v>
      </c>
    </row>
    <row r="115" spans="1:11" x14ac:dyDescent="0.25">
      <c r="A115" s="1">
        <v>45387</v>
      </c>
      <c r="B115">
        <v>18</v>
      </c>
      <c r="C115">
        <v>2823.8879999999999</v>
      </c>
      <c r="D115">
        <v>2446.5129999999999</v>
      </c>
      <c r="E115">
        <f t="shared" si="6"/>
        <v>5270.4009999999998</v>
      </c>
      <c r="F115">
        <v>7139.5069999999996</v>
      </c>
      <c r="G115">
        <f t="shared" si="7"/>
        <v>-1869.1059999999998</v>
      </c>
      <c r="H115">
        <f t="shared" si="11"/>
        <v>169484.98799999995</v>
      </c>
      <c r="I115">
        <f t="shared" si="8"/>
        <v>167615.88199999995</v>
      </c>
      <c r="J115">
        <f t="shared" si="9"/>
        <v>0</v>
      </c>
      <c r="K115">
        <f t="shared" si="10"/>
        <v>167615.88199999995</v>
      </c>
    </row>
    <row r="116" spans="1:11" x14ac:dyDescent="0.25">
      <c r="A116" s="1">
        <v>45387</v>
      </c>
      <c r="B116">
        <v>19</v>
      </c>
      <c r="C116">
        <v>3079.1</v>
      </c>
      <c r="D116">
        <v>770</v>
      </c>
      <c r="E116">
        <f t="shared" si="6"/>
        <v>3849.1</v>
      </c>
      <c r="F116">
        <v>6380.1379999999999</v>
      </c>
      <c r="G116">
        <f t="shared" si="7"/>
        <v>-2531.038</v>
      </c>
      <c r="H116">
        <f t="shared" si="11"/>
        <v>167615.88199999995</v>
      </c>
      <c r="I116">
        <f t="shared" si="8"/>
        <v>165084.84399999995</v>
      </c>
      <c r="J116">
        <f t="shared" si="9"/>
        <v>0</v>
      </c>
      <c r="K116">
        <f t="shared" si="10"/>
        <v>165084.84399999995</v>
      </c>
    </row>
    <row r="117" spans="1:11" x14ac:dyDescent="0.25">
      <c r="A117" s="1">
        <v>45387</v>
      </c>
      <c r="B117">
        <v>20</v>
      </c>
      <c r="C117">
        <v>3840.15</v>
      </c>
      <c r="D117">
        <v>128.93799999999999</v>
      </c>
      <c r="E117">
        <f t="shared" si="6"/>
        <v>3969.0880000000002</v>
      </c>
      <c r="F117">
        <v>6207.41</v>
      </c>
      <c r="G117">
        <f t="shared" si="7"/>
        <v>-2238.3219999999997</v>
      </c>
      <c r="H117">
        <f t="shared" si="11"/>
        <v>165084.84399999995</v>
      </c>
      <c r="I117">
        <f t="shared" si="8"/>
        <v>162846.52199999997</v>
      </c>
      <c r="J117">
        <f t="shared" si="9"/>
        <v>0</v>
      </c>
      <c r="K117">
        <f t="shared" si="10"/>
        <v>162846.52199999997</v>
      </c>
    </row>
    <row r="118" spans="1:11" x14ac:dyDescent="0.25">
      <c r="A118" s="1">
        <v>45387</v>
      </c>
      <c r="B118">
        <v>21</v>
      </c>
      <c r="C118">
        <v>4883.0379999999996</v>
      </c>
      <c r="D118">
        <v>0</v>
      </c>
      <c r="E118">
        <f t="shared" si="6"/>
        <v>4883.0379999999996</v>
      </c>
      <c r="F118">
        <v>4823.2830000000004</v>
      </c>
      <c r="G118">
        <f t="shared" si="7"/>
        <v>59.7549999999992</v>
      </c>
      <c r="H118">
        <f t="shared" si="11"/>
        <v>162846.52199999997</v>
      </c>
      <c r="I118">
        <f t="shared" si="8"/>
        <v>162906.27699999997</v>
      </c>
      <c r="J118">
        <f t="shared" si="9"/>
        <v>0</v>
      </c>
      <c r="K118">
        <f t="shared" si="10"/>
        <v>162906.27699999997</v>
      </c>
    </row>
    <row r="119" spans="1:11" x14ac:dyDescent="0.25">
      <c r="A119" s="1">
        <v>45387</v>
      </c>
      <c r="B119">
        <v>22</v>
      </c>
      <c r="C119">
        <v>5978.1379999999999</v>
      </c>
      <c r="D119">
        <v>0</v>
      </c>
      <c r="E119">
        <f t="shared" si="6"/>
        <v>5978.1379999999999</v>
      </c>
      <c r="F119">
        <v>4655.5709999999999</v>
      </c>
      <c r="G119">
        <f t="shared" si="7"/>
        <v>1322.567</v>
      </c>
      <c r="H119">
        <f t="shared" si="11"/>
        <v>162906.27699999997</v>
      </c>
      <c r="I119">
        <f t="shared" si="8"/>
        <v>164228.84399999998</v>
      </c>
      <c r="J119">
        <f t="shared" si="9"/>
        <v>0</v>
      </c>
      <c r="K119">
        <f t="shared" si="10"/>
        <v>164228.84399999998</v>
      </c>
    </row>
    <row r="120" spans="1:11" x14ac:dyDescent="0.25">
      <c r="A120" s="1">
        <v>45387</v>
      </c>
      <c r="B120">
        <v>23</v>
      </c>
      <c r="C120">
        <v>6598.9129999999996</v>
      </c>
      <c r="D120">
        <v>0</v>
      </c>
      <c r="E120">
        <f t="shared" si="6"/>
        <v>6598.9129999999996</v>
      </c>
      <c r="F120">
        <v>2884.1880000000001</v>
      </c>
      <c r="G120">
        <f t="shared" si="7"/>
        <v>3714.7249999999995</v>
      </c>
      <c r="H120">
        <f t="shared" si="11"/>
        <v>164228.84399999998</v>
      </c>
      <c r="I120">
        <f t="shared" si="8"/>
        <v>167943.56899999999</v>
      </c>
      <c r="J120">
        <f t="shared" si="9"/>
        <v>0</v>
      </c>
      <c r="K120">
        <f t="shared" si="10"/>
        <v>167943.56899999999</v>
      </c>
    </row>
    <row r="121" spans="1:11" x14ac:dyDescent="0.25">
      <c r="A121" s="1">
        <v>45387</v>
      </c>
      <c r="B121">
        <v>24</v>
      </c>
      <c r="C121">
        <v>6643.1130000000003</v>
      </c>
      <c r="D121">
        <v>0</v>
      </c>
      <c r="E121">
        <f t="shared" si="6"/>
        <v>6643.1130000000003</v>
      </c>
      <c r="F121">
        <v>1693.393</v>
      </c>
      <c r="G121">
        <f t="shared" si="7"/>
        <v>4949.72</v>
      </c>
      <c r="H121">
        <f t="shared" si="11"/>
        <v>167943.56899999999</v>
      </c>
      <c r="I121">
        <f t="shared" si="8"/>
        <v>172893.28899999999</v>
      </c>
      <c r="J121">
        <f t="shared" si="9"/>
        <v>0</v>
      </c>
      <c r="K121">
        <f t="shared" si="10"/>
        <v>172893.28899999999</v>
      </c>
    </row>
    <row r="122" spans="1:11" x14ac:dyDescent="0.25">
      <c r="A122" s="1">
        <v>45388</v>
      </c>
      <c r="B122">
        <v>1</v>
      </c>
      <c r="C122">
        <v>6379.6750000000002</v>
      </c>
      <c r="D122">
        <v>0</v>
      </c>
      <c r="E122">
        <f t="shared" si="6"/>
        <v>6379.6750000000002</v>
      </c>
      <c r="F122">
        <v>1482.1690000000001</v>
      </c>
      <c r="G122">
        <f t="shared" si="7"/>
        <v>4897.5060000000003</v>
      </c>
      <c r="H122">
        <f t="shared" si="11"/>
        <v>172893.28899999999</v>
      </c>
      <c r="I122">
        <f t="shared" si="8"/>
        <v>177790.79499999998</v>
      </c>
      <c r="J122">
        <f t="shared" si="9"/>
        <v>0</v>
      </c>
      <c r="K122">
        <f t="shared" si="10"/>
        <v>177790.79499999998</v>
      </c>
    </row>
    <row r="123" spans="1:11" x14ac:dyDescent="0.25">
      <c r="A123" s="1">
        <v>45388</v>
      </c>
      <c r="B123">
        <v>2</v>
      </c>
      <c r="C123">
        <v>6134.5129999999999</v>
      </c>
      <c r="D123">
        <v>0</v>
      </c>
      <c r="E123">
        <f t="shared" si="6"/>
        <v>6134.5129999999999</v>
      </c>
      <c r="F123">
        <v>1270.7460000000001</v>
      </c>
      <c r="G123">
        <f t="shared" si="7"/>
        <v>4863.7669999999998</v>
      </c>
      <c r="H123">
        <f t="shared" si="11"/>
        <v>177790.79499999998</v>
      </c>
      <c r="I123">
        <f t="shared" si="8"/>
        <v>182654.56199999998</v>
      </c>
      <c r="J123">
        <f t="shared" si="9"/>
        <v>0</v>
      </c>
      <c r="K123">
        <f t="shared" si="10"/>
        <v>182654.56199999998</v>
      </c>
    </row>
    <row r="124" spans="1:11" x14ac:dyDescent="0.25">
      <c r="A124" s="1">
        <v>45388</v>
      </c>
      <c r="B124">
        <v>3</v>
      </c>
      <c r="C124">
        <v>5890.1</v>
      </c>
      <c r="D124">
        <v>0</v>
      </c>
      <c r="E124">
        <f t="shared" si="6"/>
        <v>5890.1</v>
      </c>
      <c r="F124">
        <v>1188.511</v>
      </c>
      <c r="G124">
        <f t="shared" si="7"/>
        <v>4701.5889999999999</v>
      </c>
      <c r="H124">
        <f t="shared" si="11"/>
        <v>182654.56199999998</v>
      </c>
      <c r="I124">
        <f t="shared" si="8"/>
        <v>187356.15099999998</v>
      </c>
      <c r="J124">
        <f t="shared" si="9"/>
        <v>0</v>
      </c>
      <c r="K124">
        <f t="shared" si="10"/>
        <v>187356.15099999998</v>
      </c>
    </row>
    <row r="125" spans="1:11" x14ac:dyDescent="0.25">
      <c r="A125" s="1">
        <v>45388</v>
      </c>
      <c r="B125">
        <v>4</v>
      </c>
      <c r="C125">
        <v>5587.5249999999996</v>
      </c>
      <c r="D125">
        <v>0</v>
      </c>
      <c r="E125">
        <f t="shared" si="6"/>
        <v>5587.5249999999996</v>
      </c>
      <c r="F125">
        <v>1190.9469999999999</v>
      </c>
      <c r="G125">
        <f t="shared" si="7"/>
        <v>4396.5779999999995</v>
      </c>
      <c r="H125">
        <f t="shared" si="11"/>
        <v>187356.15099999998</v>
      </c>
      <c r="I125">
        <f t="shared" si="8"/>
        <v>191752.72899999999</v>
      </c>
      <c r="J125">
        <f t="shared" si="9"/>
        <v>0</v>
      </c>
      <c r="K125">
        <f t="shared" si="10"/>
        <v>191752.72899999999</v>
      </c>
    </row>
    <row r="126" spans="1:11" x14ac:dyDescent="0.25">
      <c r="A126" s="1">
        <v>45388</v>
      </c>
      <c r="B126">
        <v>5</v>
      </c>
      <c r="C126">
        <v>5163.8999999999996</v>
      </c>
      <c r="D126">
        <v>0</v>
      </c>
      <c r="E126">
        <f t="shared" si="6"/>
        <v>5163.8999999999996</v>
      </c>
      <c r="F126">
        <v>1785.396</v>
      </c>
      <c r="G126">
        <f t="shared" si="7"/>
        <v>3378.5039999999999</v>
      </c>
      <c r="H126">
        <f t="shared" si="11"/>
        <v>191752.72899999999</v>
      </c>
      <c r="I126">
        <f t="shared" si="8"/>
        <v>195131.23299999998</v>
      </c>
      <c r="J126">
        <f t="shared" si="9"/>
        <v>0</v>
      </c>
      <c r="K126">
        <f t="shared" si="10"/>
        <v>195131.23299999998</v>
      </c>
    </row>
    <row r="127" spans="1:11" x14ac:dyDescent="0.25">
      <c r="A127" s="1">
        <v>45388</v>
      </c>
      <c r="B127">
        <v>6</v>
      </c>
      <c r="C127">
        <v>5173.3879999999999</v>
      </c>
      <c r="D127">
        <v>10.95</v>
      </c>
      <c r="E127">
        <f t="shared" si="6"/>
        <v>5184.3379999999997</v>
      </c>
      <c r="F127">
        <v>2956.6750000000002</v>
      </c>
      <c r="G127">
        <f t="shared" si="7"/>
        <v>2227.6629999999996</v>
      </c>
      <c r="H127">
        <f t="shared" si="11"/>
        <v>195131.23299999998</v>
      </c>
      <c r="I127">
        <f t="shared" si="8"/>
        <v>197358.89599999998</v>
      </c>
      <c r="J127">
        <f t="shared" si="9"/>
        <v>0</v>
      </c>
      <c r="K127">
        <f t="shared" si="10"/>
        <v>197358.89599999998</v>
      </c>
    </row>
    <row r="128" spans="1:11" x14ac:dyDescent="0.25">
      <c r="A128" s="1">
        <v>45388</v>
      </c>
      <c r="B128">
        <v>7</v>
      </c>
      <c r="C128">
        <v>5060.5630000000001</v>
      </c>
      <c r="D128">
        <v>302.375</v>
      </c>
      <c r="E128">
        <f t="shared" si="6"/>
        <v>5362.9380000000001</v>
      </c>
      <c r="F128">
        <v>4027.6860000000001</v>
      </c>
      <c r="G128">
        <f t="shared" si="7"/>
        <v>1335.252</v>
      </c>
      <c r="H128">
        <f t="shared" si="11"/>
        <v>197358.89599999998</v>
      </c>
      <c r="I128">
        <f t="shared" si="8"/>
        <v>198694.14799999999</v>
      </c>
      <c r="J128">
        <f t="shared" si="9"/>
        <v>0</v>
      </c>
      <c r="K128">
        <f t="shared" si="10"/>
        <v>198694.14799999999</v>
      </c>
    </row>
    <row r="129" spans="1:11" x14ac:dyDescent="0.25">
      <c r="A129" s="1">
        <v>45388</v>
      </c>
      <c r="B129">
        <v>8</v>
      </c>
      <c r="C129">
        <v>4595.5879999999997</v>
      </c>
      <c r="D129">
        <v>1375.088</v>
      </c>
      <c r="E129">
        <f t="shared" si="6"/>
        <v>5970.6759999999995</v>
      </c>
      <c r="F129">
        <v>5957.549</v>
      </c>
      <c r="G129">
        <f t="shared" si="7"/>
        <v>13.126999999999498</v>
      </c>
      <c r="H129">
        <f t="shared" si="11"/>
        <v>198694.14799999999</v>
      </c>
      <c r="I129">
        <f t="shared" si="8"/>
        <v>198707.27499999999</v>
      </c>
      <c r="J129">
        <f t="shared" si="9"/>
        <v>0</v>
      </c>
      <c r="K129">
        <f t="shared" si="10"/>
        <v>198707.27499999999</v>
      </c>
    </row>
    <row r="130" spans="1:11" x14ac:dyDescent="0.25">
      <c r="A130" s="1">
        <v>45388</v>
      </c>
      <c r="B130">
        <v>9</v>
      </c>
      <c r="C130">
        <v>4078.0880000000002</v>
      </c>
      <c r="D130">
        <v>3297.1379999999999</v>
      </c>
      <c r="E130">
        <f t="shared" si="6"/>
        <v>7375.2260000000006</v>
      </c>
      <c r="F130">
        <v>6672.45</v>
      </c>
      <c r="G130">
        <f t="shared" si="7"/>
        <v>702.77600000000075</v>
      </c>
      <c r="H130">
        <f t="shared" si="11"/>
        <v>198707.27499999999</v>
      </c>
      <c r="I130">
        <f t="shared" si="8"/>
        <v>199410.05100000001</v>
      </c>
      <c r="J130">
        <f t="shared" si="9"/>
        <v>0</v>
      </c>
      <c r="K130">
        <f t="shared" si="10"/>
        <v>199410.05100000001</v>
      </c>
    </row>
    <row r="131" spans="1:11" x14ac:dyDescent="0.25">
      <c r="A131" s="1">
        <v>45388</v>
      </c>
      <c r="B131">
        <v>10</v>
      </c>
      <c r="C131">
        <v>3480.3879999999999</v>
      </c>
      <c r="D131">
        <v>5189.4380000000001</v>
      </c>
      <c r="E131">
        <f t="shared" ref="E131:E194" si="12">C131+D131</f>
        <v>8669.8260000000009</v>
      </c>
      <c r="F131">
        <v>7447.2510000000002</v>
      </c>
      <c r="G131">
        <f t="shared" ref="G131:G194" si="13">E131-F131</f>
        <v>1222.5750000000007</v>
      </c>
      <c r="H131">
        <f t="shared" si="11"/>
        <v>199410.05100000001</v>
      </c>
      <c r="I131">
        <f t="shared" ref="I131:I194" si="14">IF(H131+G131&gt;200000,200000,H131+G131)</f>
        <v>200000</v>
      </c>
      <c r="J131">
        <f t="shared" ref="J131:J194" si="15">IF(I131&lt;0,1,0)</f>
        <v>0</v>
      </c>
      <c r="K131">
        <f t="shared" ref="K131:K194" si="16">IF(J131=1,0,I131)</f>
        <v>200000</v>
      </c>
    </row>
    <row r="132" spans="1:11" x14ac:dyDescent="0.25">
      <c r="A132" s="1">
        <v>45388</v>
      </c>
      <c r="B132">
        <v>11</v>
      </c>
      <c r="C132">
        <v>3477.2130000000002</v>
      </c>
      <c r="D132">
        <v>6562.7629999999999</v>
      </c>
      <c r="E132">
        <f t="shared" si="12"/>
        <v>10039.976000000001</v>
      </c>
      <c r="F132">
        <v>7426.3270000000002</v>
      </c>
      <c r="G132">
        <f t="shared" si="13"/>
        <v>2613.6490000000003</v>
      </c>
      <c r="H132">
        <f t="shared" ref="H132:H195" si="17">K131</f>
        <v>200000</v>
      </c>
      <c r="I132">
        <f t="shared" si="14"/>
        <v>200000</v>
      </c>
      <c r="J132">
        <f t="shared" si="15"/>
        <v>0</v>
      </c>
      <c r="K132">
        <f t="shared" si="16"/>
        <v>200000</v>
      </c>
    </row>
    <row r="133" spans="1:11" x14ac:dyDescent="0.25">
      <c r="A133" s="1">
        <v>45388</v>
      </c>
      <c r="B133">
        <v>12</v>
      </c>
      <c r="C133">
        <v>3550.9380000000001</v>
      </c>
      <c r="D133">
        <v>8038.3</v>
      </c>
      <c r="E133">
        <f t="shared" si="12"/>
        <v>11589.238000000001</v>
      </c>
      <c r="F133">
        <v>7549.7389999999996</v>
      </c>
      <c r="G133">
        <f t="shared" si="13"/>
        <v>4039.4990000000016</v>
      </c>
      <c r="H133">
        <f t="shared" si="17"/>
        <v>200000</v>
      </c>
      <c r="I133">
        <f t="shared" si="14"/>
        <v>200000</v>
      </c>
      <c r="J133">
        <f t="shared" si="15"/>
        <v>0</v>
      </c>
      <c r="K133">
        <f t="shared" si="16"/>
        <v>200000</v>
      </c>
    </row>
    <row r="134" spans="1:11" x14ac:dyDescent="0.25">
      <c r="A134" s="1">
        <v>45388</v>
      </c>
      <c r="B134">
        <v>13</v>
      </c>
      <c r="C134">
        <v>3686</v>
      </c>
      <c r="D134">
        <v>8002.6379999999999</v>
      </c>
      <c r="E134">
        <f t="shared" si="12"/>
        <v>11688.637999999999</v>
      </c>
      <c r="F134">
        <v>7865.27</v>
      </c>
      <c r="G134">
        <f t="shared" si="13"/>
        <v>3823.3679999999986</v>
      </c>
      <c r="H134">
        <f t="shared" si="17"/>
        <v>200000</v>
      </c>
      <c r="I134">
        <f t="shared" si="14"/>
        <v>200000</v>
      </c>
      <c r="J134">
        <f t="shared" si="15"/>
        <v>0</v>
      </c>
      <c r="K134">
        <f t="shared" si="16"/>
        <v>200000</v>
      </c>
    </row>
    <row r="135" spans="1:11" x14ac:dyDescent="0.25">
      <c r="A135" s="1">
        <v>45388</v>
      </c>
      <c r="B135">
        <v>14</v>
      </c>
      <c r="C135">
        <v>3637.75</v>
      </c>
      <c r="D135">
        <v>7691.7380000000003</v>
      </c>
      <c r="E135">
        <f t="shared" si="12"/>
        <v>11329.488000000001</v>
      </c>
      <c r="F135">
        <v>7430.6289999999999</v>
      </c>
      <c r="G135">
        <f t="shared" si="13"/>
        <v>3898.8590000000013</v>
      </c>
      <c r="H135">
        <f t="shared" si="17"/>
        <v>200000</v>
      </c>
      <c r="I135">
        <f t="shared" si="14"/>
        <v>200000</v>
      </c>
      <c r="J135">
        <f t="shared" si="15"/>
        <v>0</v>
      </c>
      <c r="K135">
        <f t="shared" si="16"/>
        <v>200000</v>
      </c>
    </row>
    <row r="136" spans="1:11" x14ac:dyDescent="0.25">
      <c r="A136" s="1">
        <v>45388</v>
      </c>
      <c r="B136">
        <v>15</v>
      </c>
      <c r="C136">
        <v>3250.6129999999998</v>
      </c>
      <c r="D136">
        <v>7518.45</v>
      </c>
      <c r="E136">
        <f t="shared" si="12"/>
        <v>10769.063</v>
      </c>
      <c r="F136">
        <v>7660.2449999999999</v>
      </c>
      <c r="G136">
        <f t="shared" si="13"/>
        <v>3108.8180000000002</v>
      </c>
      <c r="H136">
        <f t="shared" si="17"/>
        <v>200000</v>
      </c>
      <c r="I136">
        <f t="shared" si="14"/>
        <v>200000</v>
      </c>
      <c r="J136">
        <f t="shared" si="15"/>
        <v>0</v>
      </c>
      <c r="K136">
        <f t="shared" si="16"/>
        <v>200000</v>
      </c>
    </row>
    <row r="137" spans="1:11" x14ac:dyDescent="0.25">
      <c r="A137" s="1">
        <v>45388</v>
      </c>
      <c r="B137">
        <v>16</v>
      </c>
      <c r="C137">
        <v>2574.2379999999998</v>
      </c>
      <c r="D137">
        <v>6545.4380000000001</v>
      </c>
      <c r="E137">
        <f t="shared" si="12"/>
        <v>9119.6759999999995</v>
      </c>
      <c r="F137">
        <v>7714.8090000000002</v>
      </c>
      <c r="G137">
        <f t="shared" si="13"/>
        <v>1404.8669999999993</v>
      </c>
      <c r="H137">
        <f t="shared" si="17"/>
        <v>200000</v>
      </c>
      <c r="I137">
        <f t="shared" si="14"/>
        <v>200000</v>
      </c>
      <c r="J137">
        <f t="shared" si="15"/>
        <v>0</v>
      </c>
      <c r="K137">
        <f t="shared" si="16"/>
        <v>200000</v>
      </c>
    </row>
    <row r="138" spans="1:11" x14ac:dyDescent="0.25">
      <c r="A138" s="1">
        <v>45388</v>
      </c>
      <c r="B138">
        <v>17</v>
      </c>
      <c r="C138">
        <v>1815.1</v>
      </c>
      <c r="D138">
        <v>5289.75</v>
      </c>
      <c r="E138">
        <f t="shared" si="12"/>
        <v>7104.85</v>
      </c>
      <c r="F138">
        <v>7444.4030000000002</v>
      </c>
      <c r="G138">
        <f t="shared" si="13"/>
        <v>-339.55299999999988</v>
      </c>
      <c r="H138">
        <f t="shared" si="17"/>
        <v>200000</v>
      </c>
      <c r="I138">
        <f t="shared" si="14"/>
        <v>199660.44699999999</v>
      </c>
      <c r="J138">
        <f t="shared" si="15"/>
        <v>0</v>
      </c>
      <c r="K138">
        <f t="shared" si="16"/>
        <v>199660.44699999999</v>
      </c>
    </row>
    <row r="139" spans="1:11" x14ac:dyDescent="0.25">
      <c r="A139" s="1">
        <v>45388</v>
      </c>
      <c r="B139">
        <v>18</v>
      </c>
      <c r="C139">
        <v>1170.7629999999999</v>
      </c>
      <c r="D139">
        <v>3107.4630000000002</v>
      </c>
      <c r="E139">
        <f t="shared" si="12"/>
        <v>4278.2260000000006</v>
      </c>
      <c r="F139">
        <v>6835.2460000000001</v>
      </c>
      <c r="G139">
        <f t="shared" si="13"/>
        <v>-2557.0199999999995</v>
      </c>
      <c r="H139">
        <f t="shared" si="17"/>
        <v>199660.44699999999</v>
      </c>
      <c r="I139">
        <f t="shared" si="14"/>
        <v>197103.427</v>
      </c>
      <c r="J139">
        <f t="shared" si="15"/>
        <v>0</v>
      </c>
      <c r="K139">
        <f t="shared" si="16"/>
        <v>197103.427</v>
      </c>
    </row>
    <row r="140" spans="1:11" x14ac:dyDescent="0.25">
      <c r="A140" s="1">
        <v>45388</v>
      </c>
      <c r="B140">
        <v>19</v>
      </c>
      <c r="C140">
        <v>628.33799999999997</v>
      </c>
      <c r="D140">
        <v>1035.1379999999999</v>
      </c>
      <c r="E140">
        <f t="shared" si="12"/>
        <v>1663.4759999999999</v>
      </c>
      <c r="F140">
        <v>6108.2389999999996</v>
      </c>
      <c r="G140">
        <f t="shared" si="13"/>
        <v>-4444.7629999999999</v>
      </c>
      <c r="H140">
        <f t="shared" si="17"/>
        <v>197103.427</v>
      </c>
      <c r="I140">
        <f t="shared" si="14"/>
        <v>192658.66399999999</v>
      </c>
      <c r="J140">
        <f t="shared" si="15"/>
        <v>0</v>
      </c>
      <c r="K140">
        <f t="shared" si="16"/>
        <v>192658.66399999999</v>
      </c>
    </row>
    <row r="141" spans="1:11" x14ac:dyDescent="0.25">
      <c r="A141" s="1">
        <v>45388</v>
      </c>
      <c r="B141">
        <v>20</v>
      </c>
      <c r="C141">
        <v>510.488</v>
      </c>
      <c r="D141">
        <v>152.863</v>
      </c>
      <c r="E141">
        <f t="shared" si="12"/>
        <v>663.351</v>
      </c>
      <c r="F141">
        <v>5942.8720000000003</v>
      </c>
      <c r="G141">
        <f t="shared" si="13"/>
        <v>-5279.5210000000006</v>
      </c>
      <c r="H141">
        <f t="shared" si="17"/>
        <v>192658.66399999999</v>
      </c>
      <c r="I141">
        <f t="shared" si="14"/>
        <v>187379.14299999998</v>
      </c>
      <c r="J141">
        <f t="shared" si="15"/>
        <v>0</v>
      </c>
      <c r="K141">
        <f t="shared" si="16"/>
        <v>187379.14299999998</v>
      </c>
    </row>
    <row r="142" spans="1:11" x14ac:dyDescent="0.25">
      <c r="A142" s="1">
        <v>45388</v>
      </c>
      <c r="B142">
        <v>21</v>
      </c>
      <c r="C142">
        <v>640.72500000000002</v>
      </c>
      <c r="D142">
        <v>0</v>
      </c>
      <c r="E142">
        <f t="shared" si="12"/>
        <v>640.72500000000002</v>
      </c>
      <c r="F142">
        <v>4617.732</v>
      </c>
      <c r="G142">
        <f t="shared" si="13"/>
        <v>-3977.0070000000001</v>
      </c>
      <c r="H142">
        <f t="shared" si="17"/>
        <v>187379.14299999998</v>
      </c>
      <c r="I142">
        <f t="shared" si="14"/>
        <v>183402.13599999997</v>
      </c>
      <c r="J142">
        <f t="shared" si="15"/>
        <v>0</v>
      </c>
      <c r="K142">
        <f t="shared" si="16"/>
        <v>183402.13599999997</v>
      </c>
    </row>
    <row r="143" spans="1:11" x14ac:dyDescent="0.25">
      <c r="A143" s="1">
        <v>45388</v>
      </c>
      <c r="B143">
        <v>22</v>
      </c>
      <c r="C143">
        <v>841.47500000000002</v>
      </c>
      <c r="D143">
        <v>0</v>
      </c>
      <c r="E143">
        <f t="shared" si="12"/>
        <v>841.47500000000002</v>
      </c>
      <c r="F143">
        <v>4457.1670000000004</v>
      </c>
      <c r="G143">
        <f t="shared" si="13"/>
        <v>-3615.6920000000005</v>
      </c>
      <c r="H143">
        <f t="shared" si="17"/>
        <v>183402.13599999997</v>
      </c>
      <c r="I143">
        <f t="shared" si="14"/>
        <v>179786.44399999996</v>
      </c>
      <c r="J143">
        <f t="shared" si="15"/>
        <v>0</v>
      </c>
      <c r="K143">
        <f t="shared" si="16"/>
        <v>179786.44399999996</v>
      </c>
    </row>
    <row r="144" spans="1:11" x14ac:dyDescent="0.25">
      <c r="A144" s="1">
        <v>45388</v>
      </c>
      <c r="B144">
        <v>23</v>
      </c>
      <c r="C144">
        <v>1385.2</v>
      </c>
      <c r="D144">
        <v>0</v>
      </c>
      <c r="E144">
        <f t="shared" si="12"/>
        <v>1385.2</v>
      </c>
      <c r="F144">
        <v>2761.2739999999999</v>
      </c>
      <c r="G144">
        <f t="shared" si="13"/>
        <v>-1376.0739999999998</v>
      </c>
      <c r="H144">
        <f t="shared" si="17"/>
        <v>179786.44399999996</v>
      </c>
      <c r="I144">
        <f t="shared" si="14"/>
        <v>178410.36999999997</v>
      </c>
      <c r="J144">
        <f t="shared" si="15"/>
        <v>0</v>
      </c>
      <c r="K144">
        <f t="shared" si="16"/>
        <v>178410.36999999997</v>
      </c>
    </row>
    <row r="145" spans="1:11" x14ac:dyDescent="0.25">
      <c r="A145" s="1">
        <v>45388</v>
      </c>
      <c r="B145">
        <v>24</v>
      </c>
      <c r="C145">
        <v>2037.3130000000001</v>
      </c>
      <c r="D145">
        <v>0</v>
      </c>
      <c r="E145">
        <f t="shared" si="12"/>
        <v>2037.3130000000001</v>
      </c>
      <c r="F145">
        <v>1621.2260000000001</v>
      </c>
      <c r="G145">
        <f t="shared" si="13"/>
        <v>416.08699999999999</v>
      </c>
      <c r="H145">
        <f t="shared" si="17"/>
        <v>178410.36999999997</v>
      </c>
      <c r="I145">
        <f t="shared" si="14"/>
        <v>178826.45699999997</v>
      </c>
      <c r="J145">
        <f t="shared" si="15"/>
        <v>0</v>
      </c>
      <c r="K145">
        <f t="shared" si="16"/>
        <v>178826.45699999997</v>
      </c>
    </row>
    <row r="146" spans="1:11" x14ac:dyDescent="0.25">
      <c r="A146" s="1">
        <v>45389</v>
      </c>
      <c r="B146">
        <v>1</v>
      </c>
      <c r="C146">
        <v>2619.7629999999999</v>
      </c>
      <c r="D146">
        <v>0</v>
      </c>
      <c r="E146">
        <f t="shared" si="12"/>
        <v>2619.7629999999999</v>
      </c>
      <c r="F146">
        <v>1461.3610000000001</v>
      </c>
      <c r="G146">
        <f t="shared" si="13"/>
        <v>1158.4019999999998</v>
      </c>
      <c r="H146">
        <f t="shared" si="17"/>
        <v>178826.45699999997</v>
      </c>
      <c r="I146">
        <f t="shared" si="14"/>
        <v>179984.85899999997</v>
      </c>
      <c r="J146">
        <f t="shared" si="15"/>
        <v>0</v>
      </c>
      <c r="K146">
        <f t="shared" si="16"/>
        <v>179984.85899999997</v>
      </c>
    </row>
    <row r="147" spans="1:11" x14ac:dyDescent="0.25">
      <c r="A147" s="1">
        <v>45389</v>
      </c>
      <c r="B147">
        <v>2</v>
      </c>
      <c r="C147">
        <v>3091.0129999999999</v>
      </c>
      <c r="D147">
        <v>0</v>
      </c>
      <c r="E147">
        <f t="shared" si="12"/>
        <v>3091.0129999999999</v>
      </c>
      <c r="F147">
        <v>1252.9069999999999</v>
      </c>
      <c r="G147">
        <f t="shared" si="13"/>
        <v>1838.106</v>
      </c>
      <c r="H147">
        <f t="shared" si="17"/>
        <v>179984.85899999997</v>
      </c>
      <c r="I147">
        <f t="shared" si="14"/>
        <v>181822.96499999997</v>
      </c>
      <c r="J147">
        <f t="shared" si="15"/>
        <v>0</v>
      </c>
      <c r="K147">
        <f t="shared" si="16"/>
        <v>181822.96499999997</v>
      </c>
    </row>
    <row r="148" spans="1:11" x14ac:dyDescent="0.25">
      <c r="A148" s="1">
        <v>45389</v>
      </c>
      <c r="B148">
        <v>3</v>
      </c>
      <c r="C148">
        <v>3662.3879999999999</v>
      </c>
      <c r="D148">
        <v>0</v>
      </c>
      <c r="E148">
        <f t="shared" si="12"/>
        <v>3662.3879999999999</v>
      </c>
      <c r="F148">
        <v>1171.826</v>
      </c>
      <c r="G148">
        <f t="shared" si="13"/>
        <v>2490.5619999999999</v>
      </c>
      <c r="H148">
        <f t="shared" si="17"/>
        <v>181822.96499999997</v>
      </c>
      <c r="I148">
        <f t="shared" si="14"/>
        <v>184313.52699999997</v>
      </c>
      <c r="J148">
        <f t="shared" si="15"/>
        <v>0</v>
      </c>
      <c r="K148">
        <f t="shared" si="16"/>
        <v>184313.52699999997</v>
      </c>
    </row>
    <row r="149" spans="1:11" x14ac:dyDescent="0.25">
      <c r="A149" s="1">
        <v>45389</v>
      </c>
      <c r="B149">
        <v>4</v>
      </c>
      <c r="C149">
        <v>4079.4250000000002</v>
      </c>
      <c r="D149">
        <v>0</v>
      </c>
      <c r="E149">
        <f t="shared" si="12"/>
        <v>4079.4250000000002</v>
      </c>
      <c r="F149">
        <v>1174.2280000000001</v>
      </c>
      <c r="G149">
        <f t="shared" si="13"/>
        <v>2905.1970000000001</v>
      </c>
      <c r="H149">
        <f t="shared" si="17"/>
        <v>184313.52699999997</v>
      </c>
      <c r="I149">
        <f t="shared" si="14"/>
        <v>187218.72399999999</v>
      </c>
      <c r="J149">
        <f t="shared" si="15"/>
        <v>0</v>
      </c>
      <c r="K149">
        <f t="shared" si="16"/>
        <v>187218.72399999999</v>
      </c>
    </row>
    <row r="150" spans="1:11" x14ac:dyDescent="0.25">
      <c r="A150" s="1">
        <v>45389</v>
      </c>
      <c r="B150">
        <v>5</v>
      </c>
      <c r="C150">
        <v>4390.8500000000004</v>
      </c>
      <c r="D150">
        <v>0</v>
      </c>
      <c r="E150">
        <f t="shared" si="12"/>
        <v>4390.8500000000004</v>
      </c>
      <c r="F150">
        <v>1760.3309999999999</v>
      </c>
      <c r="G150">
        <f t="shared" si="13"/>
        <v>2630.5190000000002</v>
      </c>
      <c r="H150">
        <f t="shared" si="17"/>
        <v>187218.72399999999</v>
      </c>
      <c r="I150">
        <f t="shared" si="14"/>
        <v>189849.24299999999</v>
      </c>
      <c r="J150">
        <f t="shared" si="15"/>
        <v>0</v>
      </c>
      <c r="K150">
        <f t="shared" si="16"/>
        <v>189849.24299999999</v>
      </c>
    </row>
    <row r="151" spans="1:11" x14ac:dyDescent="0.25">
      <c r="A151" s="1">
        <v>45389</v>
      </c>
      <c r="B151">
        <v>6</v>
      </c>
      <c r="C151">
        <v>4557.6130000000003</v>
      </c>
      <c r="D151">
        <v>6.7880000000000003</v>
      </c>
      <c r="E151">
        <f t="shared" si="12"/>
        <v>4564.4009999999998</v>
      </c>
      <c r="F151">
        <v>2915.1669999999999</v>
      </c>
      <c r="G151">
        <f t="shared" si="13"/>
        <v>1649.2339999999999</v>
      </c>
      <c r="H151">
        <f t="shared" si="17"/>
        <v>189849.24299999999</v>
      </c>
      <c r="I151">
        <f t="shared" si="14"/>
        <v>191498.47699999998</v>
      </c>
      <c r="J151">
        <f t="shared" si="15"/>
        <v>0</v>
      </c>
      <c r="K151">
        <f t="shared" si="16"/>
        <v>191498.47699999998</v>
      </c>
    </row>
    <row r="152" spans="1:11" x14ac:dyDescent="0.25">
      <c r="A152" s="1">
        <v>45389</v>
      </c>
      <c r="B152">
        <v>7</v>
      </c>
      <c r="C152">
        <v>4803.3500000000004</v>
      </c>
      <c r="D152">
        <v>327.39999999999998</v>
      </c>
      <c r="E152">
        <f t="shared" si="12"/>
        <v>5130.75</v>
      </c>
      <c r="F152">
        <v>3971.143</v>
      </c>
      <c r="G152">
        <f t="shared" si="13"/>
        <v>1159.607</v>
      </c>
      <c r="H152">
        <f t="shared" si="17"/>
        <v>191498.47699999998</v>
      </c>
      <c r="I152">
        <f t="shared" si="14"/>
        <v>192658.08399999997</v>
      </c>
      <c r="J152">
        <f t="shared" si="15"/>
        <v>0</v>
      </c>
      <c r="K152">
        <f t="shared" si="16"/>
        <v>192658.08399999997</v>
      </c>
    </row>
    <row r="153" spans="1:11" x14ac:dyDescent="0.25">
      <c r="A153" s="1">
        <v>45389</v>
      </c>
      <c r="B153">
        <v>8</v>
      </c>
      <c r="C153">
        <v>4993.1880000000001</v>
      </c>
      <c r="D153">
        <v>1778.9380000000001</v>
      </c>
      <c r="E153">
        <f t="shared" si="12"/>
        <v>6772.1260000000002</v>
      </c>
      <c r="F153">
        <v>5873.9129999999996</v>
      </c>
      <c r="G153">
        <f t="shared" si="13"/>
        <v>898.21300000000065</v>
      </c>
      <c r="H153">
        <f t="shared" si="17"/>
        <v>192658.08399999997</v>
      </c>
      <c r="I153">
        <f t="shared" si="14"/>
        <v>193556.29699999996</v>
      </c>
      <c r="J153">
        <f t="shared" si="15"/>
        <v>0</v>
      </c>
      <c r="K153">
        <f t="shared" si="16"/>
        <v>193556.29699999996</v>
      </c>
    </row>
    <row r="154" spans="1:11" x14ac:dyDescent="0.25">
      <c r="A154" s="1">
        <v>45389</v>
      </c>
      <c r="B154">
        <v>9</v>
      </c>
      <c r="C154">
        <v>4525.8130000000001</v>
      </c>
      <c r="D154">
        <v>3994.5250000000001</v>
      </c>
      <c r="E154">
        <f t="shared" si="12"/>
        <v>8520.3379999999997</v>
      </c>
      <c r="F154">
        <v>6578.7780000000002</v>
      </c>
      <c r="G154">
        <f t="shared" si="13"/>
        <v>1941.5599999999995</v>
      </c>
      <c r="H154">
        <f t="shared" si="17"/>
        <v>193556.29699999996</v>
      </c>
      <c r="I154">
        <f t="shared" si="14"/>
        <v>195497.85699999996</v>
      </c>
      <c r="J154">
        <f t="shared" si="15"/>
        <v>0</v>
      </c>
      <c r="K154">
        <f t="shared" si="16"/>
        <v>195497.85699999996</v>
      </c>
    </row>
    <row r="155" spans="1:11" x14ac:dyDescent="0.25">
      <c r="A155" s="1">
        <v>45389</v>
      </c>
      <c r="B155">
        <v>10</v>
      </c>
      <c r="C155">
        <v>3707.1880000000001</v>
      </c>
      <c r="D155">
        <v>5784.4880000000003</v>
      </c>
      <c r="E155">
        <f t="shared" si="12"/>
        <v>9491.6759999999995</v>
      </c>
      <c r="F155">
        <v>7342.701</v>
      </c>
      <c r="G155">
        <f t="shared" si="13"/>
        <v>2148.9749999999995</v>
      </c>
      <c r="H155">
        <f t="shared" si="17"/>
        <v>195497.85699999996</v>
      </c>
      <c r="I155">
        <f t="shared" si="14"/>
        <v>197646.83199999997</v>
      </c>
      <c r="J155">
        <f t="shared" si="15"/>
        <v>0</v>
      </c>
      <c r="K155">
        <f t="shared" si="16"/>
        <v>197646.83199999997</v>
      </c>
    </row>
    <row r="156" spans="1:11" x14ac:dyDescent="0.25">
      <c r="A156" s="1">
        <v>45389</v>
      </c>
      <c r="B156">
        <v>11</v>
      </c>
      <c r="C156">
        <v>3536.3629999999998</v>
      </c>
      <c r="D156">
        <v>7371.8379999999997</v>
      </c>
      <c r="E156">
        <f t="shared" si="12"/>
        <v>10908.200999999999</v>
      </c>
      <c r="F156">
        <v>7322.07</v>
      </c>
      <c r="G156">
        <f t="shared" si="13"/>
        <v>3586.1309999999994</v>
      </c>
      <c r="H156">
        <f t="shared" si="17"/>
        <v>197646.83199999997</v>
      </c>
      <c r="I156">
        <f t="shared" si="14"/>
        <v>200000</v>
      </c>
      <c r="J156">
        <f t="shared" si="15"/>
        <v>0</v>
      </c>
      <c r="K156">
        <f t="shared" si="16"/>
        <v>200000</v>
      </c>
    </row>
    <row r="157" spans="1:11" x14ac:dyDescent="0.25">
      <c r="A157" s="1">
        <v>45389</v>
      </c>
      <c r="B157">
        <v>12</v>
      </c>
      <c r="C157">
        <v>3839.4250000000002</v>
      </c>
      <c r="D157">
        <v>7463.9750000000004</v>
      </c>
      <c r="E157">
        <f t="shared" si="12"/>
        <v>11303.400000000001</v>
      </c>
      <c r="F157">
        <v>7443.75</v>
      </c>
      <c r="G157">
        <f t="shared" si="13"/>
        <v>3859.6500000000015</v>
      </c>
      <c r="H157">
        <f t="shared" si="17"/>
        <v>200000</v>
      </c>
      <c r="I157">
        <f t="shared" si="14"/>
        <v>200000</v>
      </c>
      <c r="J157">
        <f t="shared" si="15"/>
        <v>0</v>
      </c>
      <c r="K157">
        <f t="shared" si="16"/>
        <v>200000</v>
      </c>
    </row>
    <row r="158" spans="1:11" x14ac:dyDescent="0.25">
      <c r="A158" s="1">
        <v>45389</v>
      </c>
      <c r="B158">
        <v>13</v>
      </c>
      <c r="C158">
        <v>4186.2</v>
      </c>
      <c r="D158">
        <v>7302.5</v>
      </c>
      <c r="E158">
        <f t="shared" si="12"/>
        <v>11488.7</v>
      </c>
      <c r="F158">
        <v>7754.8519999999999</v>
      </c>
      <c r="G158">
        <f t="shared" si="13"/>
        <v>3733.8480000000009</v>
      </c>
      <c r="H158">
        <f t="shared" si="17"/>
        <v>200000</v>
      </c>
      <c r="I158">
        <f t="shared" si="14"/>
        <v>200000</v>
      </c>
      <c r="J158">
        <f t="shared" si="15"/>
        <v>0</v>
      </c>
      <c r="K158">
        <f t="shared" si="16"/>
        <v>200000</v>
      </c>
    </row>
    <row r="159" spans="1:11" x14ac:dyDescent="0.25">
      <c r="A159" s="1">
        <v>45389</v>
      </c>
      <c r="B159">
        <v>14</v>
      </c>
      <c r="C159">
        <v>3318.25</v>
      </c>
      <c r="D159">
        <v>7102.75</v>
      </c>
      <c r="E159">
        <f t="shared" si="12"/>
        <v>10421</v>
      </c>
      <c r="F159">
        <v>7326.3130000000001</v>
      </c>
      <c r="G159">
        <f t="shared" si="13"/>
        <v>3094.6869999999999</v>
      </c>
      <c r="H159">
        <f t="shared" si="17"/>
        <v>200000</v>
      </c>
      <c r="I159">
        <f t="shared" si="14"/>
        <v>200000</v>
      </c>
      <c r="J159">
        <f t="shared" si="15"/>
        <v>0</v>
      </c>
      <c r="K159">
        <f t="shared" si="16"/>
        <v>200000</v>
      </c>
    </row>
    <row r="160" spans="1:11" x14ac:dyDescent="0.25">
      <c r="A160" s="1">
        <v>45389</v>
      </c>
      <c r="B160">
        <v>15</v>
      </c>
      <c r="C160">
        <v>2636.8879999999999</v>
      </c>
      <c r="D160">
        <v>6636.6</v>
      </c>
      <c r="E160">
        <f t="shared" si="12"/>
        <v>9273.4880000000012</v>
      </c>
      <c r="F160">
        <v>7552.7039999999997</v>
      </c>
      <c r="G160">
        <f t="shared" si="13"/>
        <v>1720.7840000000015</v>
      </c>
      <c r="H160">
        <f t="shared" si="17"/>
        <v>200000</v>
      </c>
      <c r="I160">
        <f t="shared" si="14"/>
        <v>200000</v>
      </c>
      <c r="J160">
        <f t="shared" si="15"/>
        <v>0</v>
      </c>
      <c r="K160">
        <f t="shared" si="16"/>
        <v>200000</v>
      </c>
    </row>
    <row r="161" spans="1:11" x14ac:dyDescent="0.25">
      <c r="A161" s="1">
        <v>45389</v>
      </c>
      <c r="B161">
        <v>16</v>
      </c>
      <c r="C161">
        <v>2253.6999999999998</v>
      </c>
      <c r="D161">
        <v>5685.6880000000001</v>
      </c>
      <c r="E161">
        <f t="shared" si="12"/>
        <v>7939.3879999999999</v>
      </c>
      <c r="F161">
        <v>7606.5029999999997</v>
      </c>
      <c r="G161">
        <f t="shared" si="13"/>
        <v>332.88500000000022</v>
      </c>
      <c r="H161">
        <f t="shared" si="17"/>
        <v>200000</v>
      </c>
      <c r="I161">
        <f t="shared" si="14"/>
        <v>200000</v>
      </c>
      <c r="J161">
        <f t="shared" si="15"/>
        <v>0</v>
      </c>
      <c r="K161">
        <f t="shared" si="16"/>
        <v>200000</v>
      </c>
    </row>
    <row r="162" spans="1:11" x14ac:dyDescent="0.25">
      <c r="A162" s="1">
        <v>45389</v>
      </c>
      <c r="B162">
        <v>17</v>
      </c>
      <c r="C162">
        <v>1804.35</v>
      </c>
      <c r="D162">
        <v>5050.8500000000004</v>
      </c>
      <c r="E162">
        <f t="shared" si="12"/>
        <v>6855.2000000000007</v>
      </c>
      <c r="F162">
        <v>7339.893</v>
      </c>
      <c r="G162">
        <f t="shared" si="13"/>
        <v>-484.6929999999993</v>
      </c>
      <c r="H162">
        <f t="shared" si="17"/>
        <v>200000</v>
      </c>
      <c r="I162">
        <f t="shared" si="14"/>
        <v>199515.307</v>
      </c>
      <c r="J162">
        <f t="shared" si="15"/>
        <v>0</v>
      </c>
      <c r="K162">
        <f t="shared" si="16"/>
        <v>199515.307</v>
      </c>
    </row>
    <row r="163" spans="1:11" x14ac:dyDescent="0.25">
      <c r="A163" s="1">
        <v>45389</v>
      </c>
      <c r="B163">
        <v>18</v>
      </c>
      <c r="C163">
        <v>1486.4749999999999</v>
      </c>
      <c r="D163">
        <v>3331.9630000000002</v>
      </c>
      <c r="E163">
        <f t="shared" si="12"/>
        <v>4818.4380000000001</v>
      </c>
      <c r="F163">
        <v>6739.2879999999996</v>
      </c>
      <c r="G163">
        <f t="shared" si="13"/>
        <v>-1920.8499999999995</v>
      </c>
      <c r="H163">
        <f t="shared" si="17"/>
        <v>199515.307</v>
      </c>
      <c r="I163">
        <f t="shared" si="14"/>
        <v>197594.45699999999</v>
      </c>
      <c r="J163">
        <f t="shared" si="15"/>
        <v>0</v>
      </c>
      <c r="K163">
        <f t="shared" si="16"/>
        <v>197594.45699999999</v>
      </c>
    </row>
    <row r="164" spans="1:11" x14ac:dyDescent="0.25">
      <c r="A164" s="1">
        <v>45389</v>
      </c>
      <c r="B164">
        <v>19</v>
      </c>
      <c r="C164">
        <v>1384</v>
      </c>
      <c r="D164">
        <v>1437.3</v>
      </c>
      <c r="E164">
        <f t="shared" si="12"/>
        <v>2821.3</v>
      </c>
      <c r="F164">
        <v>6022.4870000000001</v>
      </c>
      <c r="G164">
        <f t="shared" si="13"/>
        <v>-3201.1869999999999</v>
      </c>
      <c r="H164">
        <f t="shared" si="17"/>
        <v>197594.45699999999</v>
      </c>
      <c r="I164">
        <f t="shared" si="14"/>
        <v>194393.27</v>
      </c>
      <c r="J164">
        <f t="shared" si="15"/>
        <v>0</v>
      </c>
      <c r="K164">
        <f t="shared" si="16"/>
        <v>194393.27</v>
      </c>
    </row>
    <row r="165" spans="1:11" x14ac:dyDescent="0.25">
      <c r="A165" s="1">
        <v>45389</v>
      </c>
      <c r="B165">
        <v>20</v>
      </c>
      <c r="C165">
        <v>1703.15</v>
      </c>
      <c r="D165">
        <v>184.92500000000001</v>
      </c>
      <c r="E165">
        <f t="shared" si="12"/>
        <v>1888.075</v>
      </c>
      <c r="F165">
        <v>5859.442</v>
      </c>
      <c r="G165">
        <f t="shared" si="13"/>
        <v>-3971.3670000000002</v>
      </c>
      <c r="H165">
        <f t="shared" si="17"/>
        <v>194393.27</v>
      </c>
      <c r="I165">
        <f t="shared" si="14"/>
        <v>190421.90299999999</v>
      </c>
      <c r="J165">
        <f t="shared" si="15"/>
        <v>0</v>
      </c>
      <c r="K165">
        <f t="shared" si="16"/>
        <v>190421.90299999999</v>
      </c>
    </row>
    <row r="166" spans="1:11" x14ac:dyDescent="0.25">
      <c r="A166" s="1">
        <v>45389</v>
      </c>
      <c r="B166">
        <v>21</v>
      </c>
      <c r="C166">
        <v>2095.3249999999998</v>
      </c>
      <c r="D166">
        <v>0</v>
      </c>
      <c r="E166">
        <f t="shared" si="12"/>
        <v>2095.3249999999998</v>
      </c>
      <c r="F166">
        <v>4552.9049999999997</v>
      </c>
      <c r="G166">
        <f t="shared" si="13"/>
        <v>-2457.58</v>
      </c>
      <c r="H166">
        <f t="shared" si="17"/>
        <v>190421.90299999999</v>
      </c>
      <c r="I166">
        <f t="shared" si="14"/>
        <v>187964.323</v>
      </c>
      <c r="J166">
        <f t="shared" si="15"/>
        <v>0</v>
      </c>
      <c r="K166">
        <f t="shared" si="16"/>
        <v>187964.323</v>
      </c>
    </row>
    <row r="167" spans="1:11" x14ac:dyDescent="0.25">
      <c r="A167" s="1">
        <v>45389</v>
      </c>
      <c r="B167">
        <v>22</v>
      </c>
      <c r="C167">
        <v>2056.4380000000001</v>
      </c>
      <c r="D167">
        <v>0</v>
      </c>
      <c r="E167">
        <f t="shared" si="12"/>
        <v>2056.4380000000001</v>
      </c>
      <c r="F167">
        <v>4394.5940000000001</v>
      </c>
      <c r="G167">
        <f t="shared" si="13"/>
        <v>-2338.1559999999999</v>
      </c>
      <c r="H167">
        <f t="shared" si="17"/>
        <v>187964.323</v>
      </c>
      <c r="I167">
        <f t="shared" si="14"/>
        <v>185626.16700000002</v>
      </c>
      <c r="J167">
        <f t="shared" si="15"/>
        <v>0</v>
      </c>
      <c r="K167">
        <f t="shared" si="16"/>
        <v>185626.16700000002</v>
      </c>
    </row>
    <row r="168" spans="1:11" x14ac:dyDescent="0.25">
      <c r="A168" s="1">
        <v>45389</v>
      </c>
      <c r="B168">
        <v>23</v>
      </c>
      <c r="C168">
        <v>2193.1750000000002</v>
      </c>
      <c r="D168">
        <v>0</v>
      </c>
      <c r="E168">
        <f t="shared" si="12"/>
        <v>2193.1750000000002</v>
      </c>
      <c r="F168">
        <v>2722.509</v>
      </c>
      <c r="G168">
        <f t="shared" si="13"/>
        <v>-529.33399999999983</v>
      </c>
      <c r="H168">
        <f t="shared" si="17"/>
        <v>185626.16700000002</v>
      </c>
      <c r="I168">
        <f t="shared" si="14"/>
        <v>185096.83300000001</v>
      </c>
      <c r="J168">
        <f t="shared" si="15"/>
        <v>0</v>
      </c>
      <c r="K168">
        <f t="shared" si="16"/>
        <v>185096.83300000001</v>
      </c>
    </row>
    <row r="169" spans="1:11" x14ac:dyDescent="0.25">
      <c r="A169" s="1">
        <v>45389</v>
      </c>
      <c r="B169">
        <v>24</v>
      </c>
      <c r="C169">
        <v>2213.663</v>
      </c>
      <c r="D169">
        <v>0</v>
      </c>
      <c r="E169">
        <f t="shared" si="12"/>
        <v>2213.663</v>
      </c>
      <c r="F169">
        <v>1598.4659999999999</v>
      </c>
      <c r="G169">
        <f t="shared" si="13"/>
        <v>615.19700000000012</v>
      </c>
      <c r="H169">
        <f t="shared" si="17"/>
        <v>185096.83300000001</v>
      </c>
      <c r="I169">
        <f t="shared" si="14"/>
        <v>185712.03000000003</v>
      </c>
      <c r="J169">
        <f t="shared" si="15"/>
        <v>0</v>
      </c>
      <c r="K169">
        <f t="shared" si="16"/>
        <v>185712.03000000003</v>
      </c>
    </row>
    <row r="170" spans="1:11" x14ac:dyDescent="0.25">
      <c r="A170" s="1">
        <v>45390</v>
      </c>
      <c r="B170">
        <v>1</v>
      </c>
      <c r="C170">
        <v>2449.7379999999998</v>
      </c>
      <c r="D170">
        <v>0</v>
      </c>
      <c r="E170">
        <f t="shared" si="12"/>
        <v>2449.7379999999998</v>
      </c>
      <c r="F170">
        <v>1548.144</v>
      </c>
      <c r="G170">
        <f t="shared" si="13"/>
        <v>901.59399999999982</v>
      </c>
      <c r="H170">
        <f t="shared" si="17"/>
        <v>185712.03000000003</v>
      </c>
      <c r="I170">
        <f t="shared" si="14"/>
        <v>186613.62400000004</v>
      </c>
      <c r="J170">
        <f t="shared" si="15"/>
        <v>0</v>
      </c>
      <c r="K170">
        <f t="shared" si="16"/>
        <v>186613.62400000004</v>
      </c>
    </row>
    <row r="171" spans="1:11" x14ac:dyDescent="0.25">
      <c r="A171" s="1">
        <v>45390</v>
      </c>
      <c r="B171">
        <v>2</v>
      </c>
      <c r="C171">
        <v>2901.4879999999998</v>
      </c>
      <c r="D171">
        <v>0</v>
      </c>
      <c r="E171">
        <f t="shared" si="12"/>
        <v>2901.4879999999998</v>
      </c>
      <c r="F171">
        <v>1327.31</v>
      </c>
      <c r="G171">
        <f t="shared" si="13"/>
        <v>1574.1779999999999</v>
      </c>
      <c r="H171">
        <f t="shared" si="17"/>
        <v>186613.62400000004</v>
      </c>
      <c r="I171">
        <f t="shared" si="14"/>
        <v>188187.80200000003</v>
      </c>
      <c r="J171">
        <f t="shared" si="15"/>
        <v>0</v>
      </c>
      <c r="K171">
        <f t="shared" si="16"/>
        <v>188187.80200000003</v>
      </c>
    </row>
    <row r="172" spans="1:11" x14ac:dyDescent="0.25">
      <c r="A172" s="1">
        <v>45390</v>
      </c>
      <c r="B172">
        <v>3</v>
      </c>
      <c r="C172">
        <v>3262.35</v>
      </c>
      <c r="D172">
        <v>0</v>
      </c>
      <c r="E172">
        <f t="shared" si="12"/>
        <v>3262.35</v>
      </c>
      <c r="F172">
        <v>1241.415</v>
      </c>
      <c r="G172">
        <f t="shared" si="13"/>
        <v>2020.9349999999999</v>
      </c>
      <c r="H172">
        <f t="shared" si="17"/>
        <v>188187.80200000003</v>
      </c>
      <c r="I172">
        <f t="shared" si="14"/>
        <v>190208.73700000002</v>
      </c>
      <c r="J172">
        <f t="shared" si="15"/>
        <v>0</v>
      </c>
      <c r="K172">
        <f t="shared" si="16"/>
        <v>190208.73700000002</v>
      </c>
    </row>
    <row r="173" spans="1:11" x14ac:dyDescent="0.25">
      <c r="A173" s="1">
        <v>45390</v>
      </c>
      <c r="B173">
        <v>4</v>
      </c>
      <c r="C173">
        <v>3337.75</v>
      </c>
      <c r="D173">
        <v>0</v>
      </c>
      <c r="E173">
        <f t="shared" si="12"/>
        <v>3337.75</v>
      </c>
      <c r="F173">
        <v>1243.9590000000001</v>
      </c>
      <c r="G173">
        <f t="shared" si="13"/>
        <v>2093.7910000000002</v>
      </c>
      <c r="H173">
        <f t="shared" si="17"/>
        <v>190208.73700000002</v>
      </c>
      <c r="I173">
        <f t="shared" si="14"/>
        <v>192302.52800000002</v>
      </c>
      <c r="J173">
        <f t="shared" si="15"/>
        <v>0</v>
      </c>
      <c r="K173">
        <f t="shared" si="16"/>
        <v>192302.52800000002</v>
      </c>
    </row>
    <row r="174" spans="1:11" x14ac:dyDescent="0.25">
      <c r="A174" s="1">
        <v>45390</v>
      </c>
      <c r="B174">
        <v>5</v>
      </c>
      <c r="C174">
        <v>3526.95</v>
      </c>
      <c r="D174">
        <v>0</v>
      </c>
      <c r="E174">
        <f t="shared" si="12"/>
        <v>3526.95</v>
      </c>
      <c r="F174">
        <v>1864.8679999999999</v>
      </c>
      <c r="G174">
        <f t="shared" si="13"/>
        <v>1662.0819999999999</v>
      </c>
      <c r="H174">
        <f t="shared" si="17"/>
        <v>192302.52800000002</v>
      </c>
      <c r="I174">
        <f t="shared" si="14"/>
        <v>193964.61000000002</v>
      </c>
      <c r="J174">
        <f t="shared" si="15"/>
        <v>0</v>
      </c>
      <c r="K174">
        <f t="shared" si="16"/>
        <v>193964.61000000002</v>
      </c>
    </row>
    <row r="175" spans="1:11" x14ac:dyDescent="0.25">
      <c r="A175" s="1">
        <v>45390</v>
      </c>
      <c r="B175">
        <v>6</v>
      </c>
      <c r="C175">
        <v>3359.0880000000002</v>
      </c>
      <c r="D175">
        <v>5.45</v>
      </c>
      <c r="E175">
        <f t="shared" si="12"/>
        <v>3364.538</v>
      </c>
      <c r="F175">
        <v>3088.2840000000001</v>
      </c>
      <c r="G175">
        <f t="shared" si="13"/>
        <v>276.25399999999991</v>
      </c>
      <c r="H175">
        <f t="shared" si="17"/>
        <v>193964.61000000002</v>
      </c>
      <c r="I175">
        <f t="shared" si="14"/>
        <v>194240.864</v>
      </c>
      <c r="J175">
        <f t="shared" si="15"/>
        <v>0</v>
      </c>
      <c r="K175">
        <f t="shared" si="16"/>
        <v>194240.864</v>
      </c>
    </row>
    <row r="176" spans="1:11" x14ac:dyDescent="0.25">
      <c r="A176" s="1">
        <v>45390</v>
      </c>
      <c r="B176">
        <v>7</v>
      </c>
      <c r="C176">
        <v>3238.2379999999998</v>
      </c>
      <c r="D176">
        <v>252.85</v>
      </c>
      <c r="E176">
        <f t="shared" si="12"/>
        <v>3491.0879999999997</v>
      </c>
      <c r="F176">
        <v>4206.9690000000001</v>
      </c>
      <c r="G176">
        <f t="shared" si="13"/>
        <v>-715.88100000000031</v>
      </c>
      <c r="H176">
        <f t="shared" si="17"/>
        <v>194240.864</v>
      </c>
      <c r="I176">
        <f t="shared" si="14"/>
        <v>193524.98300000001</v>
      </c>
      <c r="J176">
        <f t="shared" si="15"/>
        <v>0</v>
      </c>
      <c r="K176">
        <f t="shared" si="16"/>
        <v>193524.98300000001</v>
      </c>
    </row>
    <row r="177" spans="1:11" x14ac:dyDescent="0.25">
      <c r="A177" s="1">
        <v>45390</v>
      </c>
      <c r="B177">
        <v>8</v>
      </c>
      <c r="C177">
        <v>2777.2130000000002</v>
      </c>
      <c r="D177">
        <v>1385.5250000000001</v>
      </c>
      <c r="E177">
        <f t="shared" si="12"/>
        <v>4162.7380000000003</v>
      </c>
      <c r="F177">
        <v>6555.7349999999997</v>
      </c>
      <c r="G177">
        <f t="shared" si="13"/>
        <v>-2392.9969999999994</v>
      </c>
      <c r="H177">
        <f t="shared" si="17"/>
        <v>193524.98300000001</v>
      </c>
      <c r="I177">
        <f t="shared" si="14"/>
        <v>191131.986</v>
      </c>
      <c r="J177">
        <f t="shared" si="15"/>
        <v>0</v>
      </c>
      <c r="K177">
        <f t="shared" si="16"/>
        <v>191131.986</v>
      </c>
    </row>
    <row r="178" spans="1:11" x14ac:dyDescent="0.25">
      <c r="A178" s="1">
        <v>45390</v>
      </c>
      <c r="B178">
        <v>9</v>
      </c>
      <c r="C178">
        <v>2223.1379999999999</v>
      </c>
      <c r="D178">
        <v>3341.9250000000002</v>
      </c>
      <c r="E178">
        <f t="shared" si="12"/>
        <v>5565.0630000000001</v>
      </c>
      <c r="F178">
        <v>6969.4579999999996</v>
      </c>
      <c r="G178">
        <f t="shared" si="13"/>
        <v>-1404.3949999999995</v>
      </c>
      <c r="H178">
        <f t="shared" si="17"/>
        <v>191131.986</v>
      </c>
      <c r="I178">
        <f t="shared" si="14"/>
        <v>189727.59100000001</v>
      </c>
      <c r="J178">
        <f t="shared" si="15"/>
        <v>0</v>
      </c>
      <c r="K178">
        <f t="shared" si="16"/>
        <v>189727.59100000001</v>
      </c>
    </row>
    <row r="179" spans="1:11" x14ac:dyDescent="0.25">
      <c r="A179" s="1">
        <v>45390</v>
      </c>
      <c r="B179">
        <v>10</v>
      </c>
      <c r="C179">
        <v>1588.538</v>
      </c>
      <c r="D179">
        <v>5432.875</v>
      </c>
      <c r="E179">
        <f t="shared" si="12"/>
        <v>7021.4130000000005</v>
      </c>
      <c r="F179">
        <v>7778.7460000000001</v>
      </c>
      <c r="G179">
        <f t="shared" si="13"/>
        <v>-757.33299999999963</v>
      </c>
      <c r="H179">
        <f t="shared" si="17"/>
        <v>189727.59100000001</v>
      </c>
      <c r="I179">
        <f t="shared" si="14"/>
        <v>188970.258</v>
      </c>
      <c r="J179">
        <f t="shared" si="15"/>
        <v>0</v>
      </c>
      <c r="K179">
        <f t="shared" si="16"/>
        <v>188970.258</v>
      </c>
    </row>
    <row r="180" spans="1:11" x14ac:dyDescent="0.25">
      <c r="A180" s="1">
        <v>45390</v>
      </c>
      <c r="B180">
        <v>11</v>
      </c>
      <c r="C180">
        <v>915.98800000000006</v>
      </c>
      <c r="D180">
        <v>7068.7129999999997</v>
      </c>
      <c r="E180">
        <f t="shared" si="12"/>
        <v>7984.701</v>
      </c>
      <c r="F180">
        <v>7756.8909999999996</v>
      </c>
      <c r="G180">
        <f t="shared" si="13"/>
        <v>227.8100000000004</v>
      </c>
      <c r="H180">
        <f t="shared" si="17"/>
        <v>188970.258</v>
      </c>
      <c r="I180">
        <f t="shared" si="14"/>
        <v>189198.068</v>
      </c>
      <c r="J180">
        <f t="shared" si="15"/>
        <v>0</v>
      </c>
      <c r="K180">
        <f t="shared" si="16"/>
        <v>189198.068</v>
      </c>
    </row>
    <row r="181" spans="1:11" x14ac:dyDescent="0.25">
      <c r="A181" s="1">
        <v>45390</v>
      </c>
      <c r="B181">
        <v>12</v>
      </c>
      <c r="C181">
        <v>832.625</v>
      </c>
      <c r="D181">
        <v>8205.9</v>
      </c>
      <c r="E181">
        <f t="shared" si="12"/>
        <v>9038.5249999999996</v>
      </c>
      <c r="F181">
        <v>7885.7969999999996</v>
      </c>
      <c r="G181">
        <f t="shared" si="13"/>
        <v>1152.7280000000001</v>
      </c>
      <c r="H181">
        <f t="shared" si="17"/>
        <v>189198.068</v>
      </c>
      <c r="I181">
        <f t="shared" si="14"/>
        <v>190350.796</v>
      </c>
      <c r="J181">
        <f t="shared" si="15"/>
        <v>0</v>
      </c>
      <c r="K181">
        <f t="shared" si="16"/>
        <v>190350.796</v>
      </c>
    </row>
    <row r="182" spans="1:11" x14ac:dyDescent="0.25">
      <c r="A182" s="1">
        <v>45390</v>
      </c>
      <c r="B182">
        <v>13</v>
      </c>
      <c r="C182">
        <v>892.85</v>
      </c>
      <c r="D182">
        <v>8629.9750000000004</v>
      </c>
      <c r="E182">
        <f t="shared" si="12"/>
        <v>9522.8250000000007</v>
      </c>
      <c r="F182">
        <v>8215.3729999999996</v>
      </c>
      <c r="G182">
        <f t="shared" si="13"/>
        <v>1307.4520000000011</v>
      </c>
      <c r="H182">
        <f t="shared" si="17"/>
        <v>190350.796</v>
      </c>
      <c r="I182">
        <f t="shared" si="14"/>
        <v>191658.24799999999</v>
      </c>
      <c r="J182">
        <f t="shared" si="15"/>
        <v>0</v>
      </c>
      <c r="K182">
        <f t="shared" si="16"/>
        <v>191658.24799999999</v>
      </c>
    </row>
    <row r="183" spans="1:11" x14ac:dyDescent="0.25">
      <c r="A183" s="1">
        <v>45390</v>
      </c>
      <c r="B183">
        <v>14</v>
      </c>
      <c r="C183">
        <v>870.73800000000006</v>
      </c>
      <c r="D183">
        <v>8919.8880000000008</v>
      </c>
      <c r="E183">
        <f t="shared" si="12"/>
        <v>9790.6260000000002</v>
      </c>
      <c r="F183">
        <v>7761.3850000000002</v>
      </c>
      <c r="G183">
        <f t="shared" si="13"/>
        <v>2029.241</v>
      </c>
      <c r="H183">
        <f t="shared" si="17"/>
        <v>191658.24799999999</v>
      </c>
      <c r="I183">
        <f t="shared" si="14"/>
        <v>193687.489</v>
      </c>
      <c r="J183">
        <f t="shared" si="15"/>
        <v>0</v>
      </c>
      <c r="K183">
        <f t="shared" si="16"/>
        <v>193687.489</v>
      </c>
    </row>
    <row r="184" spans="1:11" x14ac:dyDescent="0.25">
      <c r="A184" s="1">
        <v>45390</v>
      </c>
      <c r="B184">
        <v>15</v>
      </c>
      <c r="C184">
        <v>959.05</v>
      </c>
      <c r="D184">
        <v>8460.6630000000005</v>
      </c>
      <c r="E184">
        <f t="shared" si="12"/>
        <v>9419.7129999999997</v>
      </c>
      <c r="F184">
        <v>8001.2209999999995</v>
      </c>
      <c r="G184">
        <f t="shared" si="13"/>
        <v>1418.4920000000002</v>
      </c>
      <c r="H184">
        <f t="shared" si="17"/>
        <v>193687.489</v>
      </c>
      <c r="I184">
        <f t="shared" si="14"/>
        <v>195105.981</v>
      </c>
      <c r="J184">
        <f t="shared" si="15"/>
        <v>0</v>
      </c>
      <c r="K184">
        <f t="shared" si="16"/>
        <v>195105.981</v>
      </c>
    </row>
    <row r="185" spans="1:11" x14ac:dyDescent="0.25">
      <c r="A185" s="1">
        <v>45390</v>
      </c>
      <c r="B185">
        <v>16</v>
      </c>
      <c r="C185">
        <v>1044.413</v>
      </c>
      <c r="D185">
        <v>7095.7250000000004</v>
      </c>
      <c r="E185">
        <f t="shared" si="12"/>
        <v>8140.1380000000008</v>
      </c>
      <c r="F185">
        <v>8058.2150000000001</v>
      </c>
      <c r="G185">
        <f t="shared" si="13"/>
        <v>81.923000000000684</v>
      </c>
      <c r="H185">
        <f t="shared" si="17"/>
        <v>195105.981</v>
      </c>
      <c r="I185">
        <f t="shared" si="14"/>
        <v>195187.90400000001</v>
      </c>
      <c r="J185">
        <f t="shared" si="15"/>
        <v>0</v>
      </c>
      <c r="K185">
        <f t="shared" si="16"/>
        <v>195187.90400000001</v>
      </c>
    </row>
    <row r="186" spans="1:11" x14ac:dyDescent="0.25">
      <c r="A186" s="1">
        <v>45390</v>
      </c>
      <c r="B186">
        <v>17</v>
      </c>
      <c r="C186">
        <v>1297.075</v>
      </c>
      <c r="D186">
        <v>5410.875</v>
      </c>
      <c r="E186">
        <f t="shared" si="12"/>
        <v>6707.95</v>
      </c>
      <c r="F186">
        <v>7775.7719999999999</v>
      </c>
      <c r="G186">
        <f t="shared" si="13"/>
        <v>-1067.8220000000001</v>
      </c>
      <c r="H186">
        <f t="shared" si="17"/>
        <v>195187.90400000001</v>
      </c>
      <c r="I186">
        <f t="shared" si="14"/>
        <v>194120.08199999999</v>
      </c>
      <c r="J186">
        <f t="shared" si="15"/>
        <v>0</v>
      </c>
      <c r="K186">
        <f t="shared" si="16"/>
        <v>194120.08199999999</v>
      </c>
    </row>
    <row r="187" spans="1:11" x14ac:dyDescent="0.25">
      <c r="A187" s="1">
        <v>45390</v>
      </c>
      <c r="B187">
        <v>18</v>
      </c>
      <c r="C187">
        <v>1413.0630000000001</v>
      </c>
      <c r="D187">
        <v>3017.8629999999998</v>
      </c>
      <c r="E187">
        <f t="shared" si="12"/>
        <v>4430.9259999999995</v>
      </c>
      <c r="F187">
        <v>7139.5</v>
      </c>
      <c r="G187">
        <f t="shared" si="13"/>
        <v>-2708.5740000000005</v>
      </c>
      <c r="H187">
        <f t="shared" si="17"/>
        <v>194120.08199999999</v>
      </c>
      <c r="I187">
        <f t="shared" si="14"/>
        <v>191411.508</v>
      </c>
      <c r="J187">
        <f t="shared" si="15"/>
        <v>0</v>
      </c>
      <c r="K187">
        <f t="shared" si="16"/>
        <v>191411.508</v>
      </c>
    </row>
    <row r="188" spans="1:11" x14ac:dyDescent="0.25">
      <c r="A188" s="1">
        <v>45390</v>
      </c>
      <c r="B188">
        <v>19</v>
      </c>
      <c r="C188">
        <v>1538.7249999999999</v>
      </c>
      <c r="D188">
        <v>1106.213</v>
      </c>
      <c r="E188">
        <f t="shared" si="12"/>
        <v>2644.9380000000001</v>
      </c>
      <c r="F188">
        <v>6380.1319999999996</v>
      </c>
      <c r="G188">
        <f t="shared" si="13"/>
        <v>-3735.1939999999995</v>
      </c>
      <c r="H188">
        <f t="shared" si="17"/>
        <v>191411.508</v>
      </c>
      <c r="I188">
        <f t="shared" si="14"/>
        <v>187676.31400000001</v>
      </c>
      <c r="J188">
        <f t="shared" si="15"/>
        <v>0</v>
      </c>
      <c r="K188">
        <f t="shared" si="16"/>
        <v>187676.31400000001</v>
      </c>
    </row>
    <row r="189" spans="1:11" x14ac:dyDescent="0.25">
      <c r="A189" s="1">
        <v>45390</v>
      </c>
      <c r="B189">
        <v>20</v>
      </c>
      <c r="C189">
        <v>1852.038</v>
      </c>
      <c r="D189">
        <v>256.01299999999998</v>
      </c>
      <c r="E189">
        <f t="shared" si="12"/>
        <v>2108.0509999999999</v>
      </c>
      <c r="F189">
        <v>6207.4040000000005</v>
      </c>
      <c r="G189">
        <f t="shared" si="13"/>
        <v>-4099.353000000001</v>
      </c>
      <c r="H189">
        <f t="shared" si="17"/>
        <v>187676.31400000001</v>
      </c>
      <c r="I189">
        <f t="shared" si="14"/>
        <v>183576.96100000001</v>
      </c>
      <c r="J189">
        <f t="shared" si="15"/>
        <v>0</v>
      </c>
      <c r="K189">
        <f t="shared" si="16"/>
        <v>183576.96100000001</v>
      </c>
    </row>
    <row r="190" spans="1:11" x14ac:dyDescent="0.25">
      <c r="A190" s="1">
        <v>45390</v>
      </c>
      <c r="B190">
        <v>21</v>
      </c>
      <c r="C190">
        <v>2617.7249999999999</v>
      </c>
      <c r="D190">
        <v>0</v>
      </c>
      <c r="E190">
        <f t="shared" si="12"/>
        <v>2617.7249999999999</v>
      </c>
      <c r="F190">
        <v>4823.2790000000005</v>
      </c>
      <c r="G190">
        <f t="shared" si="13"/>
        <v>-2205.5540000000005</v>
      </c>
      <c r="H190">
        <f t="shared" si="17"/>
        <v>183576.96100000001</v>
      </c>
      <c r="I190">
        <f t="shared" si="14"/>
        <v>181371.40700000001</v>
      </c>
      <c r="J190">
        <f t="shared" si="15"/>
        <v>0</v>
      </c>
      <c r="K190">
        <f t="shared" si="16"/>
        <v>181371.40700000001</v>
      </c>
    </row>
    <row r="191" spans="1:11" x14ac:dyDescent="0.25">
      <c r="A191" s="1">
        <v>45390</v>
      </c>
      <c r="B191">
        <v>22</v>
      </c>
      <c r="C191">
        <v>3282.9</v>
      </c>
      <c r="D191">
        <v>0</v>
      </c>
      <c r="E191">
        <f t="shared" si="12"/>
        <v>3282.9</v>
      </c>
      <c r="F191">
        <v>4655.567</v>
      </c>
      <c r="G191">
        <f t="shared" si="13"/>
        <v>-1372.6669999999999</v>
      </c>
      <c r="H191">
        <f t="shared" si="17"/>
        <v>181371.40700000001</v>
      </c>
      <c r="I191">
        <f t="shared" si="14"/>
        <v>179998.74000000002</v>
      </c>
      <c r="J191">
        <f t="shared" si="15"/>
        <v>0</v>
      </c>
      <c r="K191">
        <f t="shared" si="16"/>
        <v>179998.74000000002</v>
      </c>
    </row>
    <row r="192" spans="1:11" x14ac:dyDescent="0.25">
      <c r="A192" s="1">
        <v>45390</v>
      </c>
      <c r="B192">
        <v>23</v>
      </c>
      <c r="C192">
        <v>3672.3</v>
      </c>
      <c r="D192">
        <v>0</v>
      </c>
      <c r="E192">
        <f t="shared" si="12"/>
        <v>3672.3</v>
      </c>
      <c r="F192">
        <v>2884.1849999999999</v>
      </c>
      <c r="G192">
        <f t="shared" si="13"/>
        <v>788.11500000000024</v>
      </c>
      <c r="H192">
        <f t="shared" si="17"/>
        <v>179998.74000000002</v>
      </c>
      <c r="I192">
        <f t="shared" si="14"/>
        <v>180786.85500000001</v>
      </c>
      <c r="J192">
        <f t="shared" si="15"/>
        <v>0</v>
      </c>
      <c r="K192">
        <f t="shared" si="16"/>
        <v>180786.85500000001</v>
      </c>
    </row>
    <row r="193" spans="1:11" x14ac:dyDescent="0.25">
      <c r="A193" s="1">
        <v>45390</v>
      </c>
      <c r="B193">
        <v>24</v>
      </c>
      <c r="C193">
        <v>3816.875</v>
      </c>
      <c r="D193">
        <v>0</v>
      </c>
      <c r="E193">
        <f t="shared" si="12"/>
        <v>3816.875</v>
      </c>
      <c r="F193">
        <v>1693.3910000000001</v>
      </c>
      <c r="G193">
        <f t="shared" si="13"/>
        <v>2123.4839999999999</v>
      </c>
      <c r="H193">
        <f t="shared" si="17"/>
        <v>180786.85500000001</v>
      </c>
      <c r="I193">
        <f t="shared" si="14"/>
        <v>182910.33900000001</v>
      </c>
      <c r="J193">
        <f t="shared" si="15"/>
        <v>0</v>
      </c>
      <c r="K193">
        <f t="shared" si="16"/>
        <v>182910.33900000001</v>
      </c>
    </row>
    <row r="194" spans="1:11" x14ac:dyDescent="0.25">
      <c r="A194" s="1">
        <v>45391</v>
      </c>
      <c r="B194">
        <v>1</v>
      </c>
      <c r="C194">
        <v>3853.125</v>
      </c>
      <c r="D194">
        <v>0</v>
      </c>
      <c r="E194">
        <f t="shared" si="12"/>
        <v>3853.125</v>
      </c>
      <c r="F194">
        <v>1692.2660000000001</v>
      </c>
      <c r="G194">
        <f t="shared" si="13"/>
        <v>2160.8589999999999</v>
      </c>
      <c r="H194">
        <f t="shared" si="17"/>
        <v>182910.33900000001</v>
      </c>
      <c r="I194">
        <f t="shared" si="14"/>
        <v>185071.198</v>
      </c>
      <c r="J194">
        <f t="shared" si="15"/>
        <v>0</v>
      </c>
      <c r="K194">
        <f t="shared" si="16"/>
        <v>185071.198</v>
      </c>
    </row>
    <row r="195" spans="1:11" x14ac:dyDescent="0.25">
      <c r="A195" s="1">
        <v>45391</v>
      </c>
      <c r="B195">
        <v>2</v>
      </c>
      <c r="C195">
        <v>3738.3249999999998</v>
      </c>
      <c r="D195">
        <v>0</v>
      </c>
      <c r="E195">
        <f t="shared" ref="E195:E258" si="18">C195+D195</f>
        <v>3738.3249999999998</v>
      </c>
      <c r="F195">
        <v>1450.874</v>
      </c>
      <c r="G195">
        <f t="shared" ref="G195:G258" si="19">E195-F195</f>
        <v>2287.451</v>
      </c>
      <c r="H195">
        <f t="shared" si="17"/>
        <v>185071.198</v>
      </c>
      <c r="I195">
        <f t="shared" ref="I195:I258" si="20">IF(H195+G195&gt;200000,200000,H195+G195)</f>
        <v>187358.649</v>
      </c>
      <c r="J195">
        <f t="shared" ref="J195:J258" si="21">IF(I195&lt;0,1,0)</f>
        <v>0</v>
      </c>
      <c r="K195">
        <f t="shared" ref="K195:K258" si="22">IF(J195=1,0,I195)</f>
        <v>187358.649</v>
      </c>
    </row>
    <row r="196" spans="1:11" x14ac:dyDescent="0.25">
      <c r="A196" s="1">
        <v>45391</v>
      </c>
      <c r="B196">
        <v>3</v>
      </c>
      <c r="C196">
        <v>3232.5749999999998</v>
      </c>
      <c r="D196">
        <v>0</v>
      </c>
      <c r="E196">
        <f t="shared" si="18"/>
        <v>3232.5749999999998</v>
      </c>
      <c r="F196">
        <v>1356.982</v>
      </c>
      <c r="G196">
        <f t="shared" si="19"/>
        <v>1875.5929999999998</v>
      </c>
      <c r="H196">
        <f t="shared" ref="H196:H259" si="23">K195</f>
        <v>187358.649</v>
      </c>
      <c r="I196">
        <f t="shared" si="20"/>
        <v>189234.242</v>
      </c>
      <c r="J196">
        <f t="shared" si="21"/>
        <v>0</v>
      </c>
      <c r="K196">
        <f t="shared" si="22"/>
        <v>189234.242</v>
      </c>
    </row>
    <row r="197" spans="1:11" x14ac:dyDescent="0.25">
      <c r="A197" s="1">
        <v>45391</v>
      </c>
      <c r="B197">
        <v>4</v>
      </c>
      <c r="C197">
        <v>2819.7629999999999</v>
      </c>
      <c r="D197">
        <v>0</v>
      </c>
      <c r="E197">
        <f t="shared" si="18"/>
        <v>2819.7629999999999</v>
      </c>
      <c r="F197">
        <v>1359.7629999999999</v>
      </c>
      <c r="G197">
        <f t="shared" si="19"/>
        <v>1460</v>
      </c>
      <c r="H197">
        <f t="shared" si="23"/>
        <v>189234.242</v>
      </c>
      <c r="I197">
        <f t="shared" si="20"/>
        <v>190694.242</v>
      </c>
      <c r="J197">
        <f t="shared" si="21"/>
        <v>0</v>
      </c>
      <c r="K197">
        <f t="shared" si="22"/>
        <v>190694.242</v>
      </c>
    </row>
    <row r="198" spans="1:11" x14ac:dyDescent="0.25">
      <c r="A198" s="1">
        <v>45391</v>
      </c>
      <c r="B198">
        <v>5</v>
      </c>
      <c r="C198">
        <v>2528.3130000000001</v>
      </c>
      <c r="D198">
        <v>0</v>
      </c>
      <c r="E198">
        <f t="shared" si="18"/>
        <v>2528.3130000000001</v>
      </c>
      <c r="F198">
        <v>1674.7449999999999</v>
      </c>
      <c r="G198">
        <f t="shared" si="19"/>
        <v>853.56800000000021</v>
      </c>
      <c r="H198">
        <f t="shared" si="23"/>
        <v>190694.242</v>
      </c>
      <c r="I198">
        <f t="shared" si="20"/>
        <v>191547.81</v>
      </c>
      <c r="J198">
        <f t="shared" si="21"/>
        <v>0</v>
      </c>
      <c r="K198">
        <f t="shared" si="22"/>
        <v>191547.81</v>
      </c>
    </row>
    <row r="199" spans="1:11" x14ac:dyDescent="0.25">
      <c r="A199" s="1">
        <v>45391</v>
      </c>
      <c r="B199">
        <v>6</v>
      </c>
      <c r="C199">
        <v>2277.6129999999998</v>
      </c>
      <c r="D199">
        <v>49.713000000000001</v>
      </c>
      <c r="E199">
        <f t="shared" si="18"/>
        <v>2327.326</v>
      </c>
      <c r="F199">
        <v>3314.9569999999999</v>
      </c>
      <c r="G199">
        <f t="shared" si="19"/>
        <v>-987.63099999999986</v>
      </c>
      <c r="H199">
        <f t="shared" si="23"/>
        <v>191547.81</v>
      </c>
      <c r="I199">
        <f t="shared" si="20"/>
        <v>190560.179</v>
      </c>
      <c r="J199">
        <f t="shared" si="21"/>
        <v>0</v>
      </c>
      <c r="K199">
        <f t="shared" si="22"/>
        <v>190560.179</v>
      </c>
    </row>
    <row r="200" spans="1:11" x14ac:dyDescent="0.25">
      <c r="A200" s="1">
        <v>45391</v>
      </c>
      <c r="B200">
        <v>7</v>
      </c>
      <c r="C200">
        <v>1961.788</v>
      </c>
      <c r="D200">
        <v>451.45</v>
      </c>
      <c r="E200">
        <f t="shared" si="18"/>
        <v>2413.2379999999998</v>
      </c>
      <c r="F200">
        <v>4515.7510000000002</v>
      </c>
      <c r="G200">
        <f t="shared" si="19"/>
        <v>-2102.5130000000004</v>
      </c>
      <c r="H200">
        <f t="shared" si="23"/>
        <v>190560.179</v>
      </c>
      <c r="I200">
        <f t="shared" si="20"/>
        <v>188457.666</v>
      </c>
      <c r="J200">
        <f t="shared" si="21"/>
        <v>0</v>
      </c>
      <c r="K200">
        <f t="shared" si="22"/>
        <v>188457.666</v>
      </c>
    </row>
    <row r="201" spans="1:11" x14ac:dyDescent="0.25">
      <c r="A201" s="1">
        <v>45391</v>
      </c>
      <c r="B201">
        <v>8</v>
      </c>
      <c r="C201">
        <v>1698.2750000000001</v>
      </c>
      <c r="D201">
        <v>1940.575</v>
      </c>
      <c r="E201">
        <f t="shared" si="18"/>
        <v>3638.8500000000004</v>
      </c>
      <c r="F201">
        <v>6679.4690000000001</v>
      </c>
      <c r="G201">
        <f t="shared" si="19"/>
        <v>-3040.6189999999997</v>
      </c>
      <c r="H201">
        <f t="shared" si="23"/>
        <v>188457.666</v>
      </c>
      <c r="I201">
        <f t="shared" si="20"/>
        <v>185417.04699999999</v>
      </c>
      <c r="J201">
        <f t="shared" si="21"/>
        <v>0</v>
      </c>
      <c r="K201">
        <f t="shared" si="22"/>
        <v>185417.04699999999</v>
      </c>
    </row>
    <row r="202" spans="1:11" x14ac:dyDescent="0.25">
      <c r="A202" s="1">
        <v>45391</v>
      </c>
      <c r="B202">
        <v>9</v>
      </c>
      <c r="C202">
        <v>1245.0999999999999</v>
      </c>
      <c r="D202">
        <v>4466.875</v>
      </c>
      <c r="E202">
        <f t="shared" si="18"/>
        <v>5711.9750000000004</v>
      </c>
      <c r="F202">
        <v>7481</v>
      </c>
      <c r="G202">
        <f t="shared" si="19"/>
        <v>-1769.0249999999996</v>
      </c>
      <c r="H202">
        <f t="shared" si="23"/>
        <v>185417.04699999999</v>
      </c>
      <c r="I202">
        <f t="shared" si="20"/>
        <v>183648.022</v>
      </c>
      <c r="J202">
        <f t="shared" si="21"/>
        <v>0</v>
      </c>
      <c r="K202">
        <f t="shared" si="22"/>
        <v>183648.022</v>
      </c>
    </row>
    <row r="203" spans="1:11" x14ac:dyDescent="0.25">
      <c r="A203" s="1">
        <v>45391</v>
      </c>
      <c r="B203">
        <v>10</v>
      </c>
      <c r="C203">
        <v>799.86300000000006</v>
      </c>
      <c r="D203">
        <v>7182.9750000000004</v>
      </c>
      <c r="E203">
        <f t="shared" si="18"/>
        <v>7982.8380000000006</v>
      </c>
      <c r="F203">
        <v>8349.6890000000003</v>
      </c>
      <c r="G203">
        <f t="shared" si="19"/>
        <v>-366.85099999999966</v>
      </c>
      <c r="H203">
        <f t="shared" si="23"/>
        <v>183648.022</v>
      </c>
      <c r="I203">
        <f t="shared" si="20"/>
        <v>183281.171</v>
      </c>
      <c r="J203">
        <f t="shared" si="21"/>
        <v>0</v>
      </c>
      <c r="K203">
        <f t="shared" si="22"/>
        <v>183281.171</v>
      </c>
    </row>
    <row r="204" spans="1:11" x14ac:dyDescent="0.25">
      <c r="A204" s="1">
        <v>45391</v>
      </c>
      <c r="B204">
        <v>11</v>
      </c>
      <c r="C204">
        <v>671</v>
      </c>
      <c r="D204">
        <v>8564.7250000000004</v>
      </c>
      <c r="E204">
        <f t="shared" si="18"/>
        <v>9235.7250000000004</v>
      </c>
      <c r="F204">
        <v>8326.2289999999994</v>
      </c>
      <c r="G204">
        <f t="shared" si="19"/>
        <v>909.496000000001</v>
      </c>
      <c r="H204">
        <f t="shared" si="23"/>
        <v>183281.171</v>
      </c>
      <c r="I204">
        <f t="shared" si="20"/>
        <v>184190.66700000002</v>
      </c>
      <c r="J204">
        <f t="shared" si="21"/>
        <v>0</v>
      </c>
      <c r="K204">
        <f t="shared" si="22"/>
        <v>184190.66700000002</v>
      </c>
    </row>
    <row r="205" spans="1:11" x14ac:dyDescent="0.25">
      <c r="A205" s="1">
        <v>45391</v>
      </c>
      <c r="B205">
        <v>12</v>
      </c>
      <c r="C205">
        <v>777.7</v>
      </c>
      <c r="D205">
        <v>9683.5750000000007</v>
      </c>
      <c r="E205">
        <f t="shared" si="18"/>
        <v>10461.275000000001</v>
      </c>
      <c r="F205">
        <v>8464.5959999999995</v>
      </c>
      <c r="G205">
        <f t="shared" si="19"/>
        <v>1996.6790000000019</v>
      </c>
      <c r="H205">
        <f t="shared" si="23"/>
        <v>184190.66700000002</v>
      </c>
      <c r="I205">
        <f t="shared" si="20"/>
        <v>186187.34600000002</v>
      </c>
      <c r="J205">
        <f t="shared" si="21"/>
        <v>0</v>
      </c>
      <c r="K205">
        <f t="shared" si="22"/>
        <v>186187.34600000002</v>
      </c>
    </row>
    <row r="206" spans="1:11" x14ac:dyDescent="0.25">
      <c r="A206" s="1">
        <v>45391</v>
      </c>
      <c r="B206">
        <v>13</v>
      </c>
      <c r="C206">
        <v>1114.325</v>
      </c>
      <c r="D206">
        <v>10529.963</v>
      </c>
      <c r="E206">
        <f t="shared" si="18"/>
        <v>11644.288</v>
      </c>
      <c r="F206">
        <v>8818.3629999999994</v>
      </c>
      <c r="G206">
        <f t="shared" si="19"/>
        <v>2825.9250000000011</v>
      </c>
      <c r="H206">
        <f t="shared" si="23"/>
        <v>186187.34600000002</v>
      </c>
      <c r="I206">
        <f t="shared" si="20"/>
        <v>189013.27100000001</v>
      </c>
      <c r="J206">
        <f t="shared" si="21"/>
        <v>0</v>
      </c>
      <c r="K206">
        <f t="shared" si="22"/>
        <v>189013.27100000001</v>
      </c>
    </row>
    <row r="207" spans="1:11" x14ac:dyDescent="0.25">
      <c r="A207" s="1">
        <v>45391</v>
      </c>
      <c r="B207">
        <v>14</v>
      </c>
      <c r="C207">
        <v>1516.713</v>
      </c>
      <c r="D207">
        <v>10167.013000000001</v>
      </c>
      <c r="E207">
        <f t="shared" si="18"/>
        <v>11683.726000000001</v>
      </c>
      <c r="F207">
        <v>8331.0529999999999</v>
      </c>
      <c r="G207">
        <f t="shared" si="19"/>
        <v>3352.6730000000007</v>
      </c>
      <c r="H207">
        <f t="shared" si="23"/>
        <v>189013.27100000001</v>
      </c>
      <c r="I207">
        <f t="shared" si="20"/>
        <v>192365.94400000002</v>
      </c>
      <c r="J207">
        <f t="shared" si="21"/>
        <v>0</v>
      </c>
      <c r="K207">
        <f t="shared" si="22"/>
        <v>192365.94400000002</v>
      </c>
    </row>
    <row r="208" spans="1:11" x14ac:dyDescent="0.25">
      <c r="A208" s="1">
        <v>45391</v>
      </c>
      <c r="B208">
        <v>15</v>
      </c>
      <c r="C208">
        <v>1790.7249999999999</v>
      </c>
      <c r="D208">
        <v>9447.0249999999996</v>
      </c>
      <c r="E208">
        <f t="shared" si="18"/>
        <v>11237.75</v>
      </c>
      <c r="F208">
        <v>8588.4930000000004</v>
      </c>
      <c r="G208">
        <f t="shared" si="19"/>
        <v>2649.2569999999996</v>
      </c>
      <c r="H208">
        <f t="shared" si="23"/>
        <v>192365.94400000002</v>
      </c>
      <c r="I208">
        <f t="shared" si="20"/>
        <v>195015.20100000003</v>
      </c>
      <c r="J208">
        <f t="shared" si="21"/>
        <v>0</v>
      </c>
      <c r="K208">
        <f t="shared" si="22"/>
        <v>195015.20100000003</v>
      </c>
    </row>
    <row r="209" spans="1:11" x14ac:dyDescent="0.25">
      <c r="A209" s="1">
        <v>45391</v>
      </c>
      <c r="B209">
        <v>16</v>
      </c>
      <c r="C209">
        <v>2123.25</v>
      </c>
      <c r="D209">
        <v>8104.0129999999999</v>
      </c>
      <c r="E209">
        <f t="shared" si="18"/>
        <v>10227.262999999999</v>
      </c>
      <c r="F209">
        <v>8649.6689999999999</v>
      </c>
      <c r="G209">
        <f t="shared" si="19"/>
        <v>1577.5939999999991</v>
      </c>
      <c r="H209">
        <f t="shared" si="23"/>
        <v>195015.20100000003</v>
      </c>
      <c r="I209">
        <f t="shared" si="20"/>
        <v>196592.79500000004</v>
      </c>
      <c r="J209">
        <f t="shared" si="21"/>
        <v>0</v>
      </c>
      <c r="K209">
        <f t="shared" si="22"/>
        <v>196592.79500000004</v>
      </c>
    </row>
    <row r="210" spans="1:11" x14ac:dyDescent="0.25">
      <c r="A210" s="1">
        <v>45391</v>
      </c>
      <c r="B210">
        <v>17</v>
      </c>
      <c r="C210">
        <v>2324.5630000000001</v>
      </c>
      <c r="D210">
        <v>5836.4750000000004</v>
      </c>
      <c r="E210">
        <f t="shared" si="18"/>
        <v>8161.0380000000005</v>
      </c>
      <c r="F210">
        <v>8346.4959999999992</v>
      </c>
      <c r="G210">
        <f t="shared" si="19"/>
        <v>-185.45799999999872</v>
      </c>
      <c r="H210">
        <f t="shared" si="23"/>
        <v>196592.79500000004</v>
      </c>
      <c r="I210">
        <f t="shared" si="20"/>
        <v>196407.33700000006</v>
      </c>
      <c r="J210">
        <f t="shared" si="21"/>
        <v>0</v>
      </c>
      <c r="K210">
        <f t="shared" si="22"/>
        <v>196407.33700000006</v>
      </c>
    </row>
    <row r="211" spans="1:11" x14ac:dyDescent="0.25">
      <c r="A211" s="1">
        <v>45391</v>
      </c>
      <c r="B211">
        <v>18</v>
      </c>
      <c r="C211">
        <v>2379.5500000000002</v>
      </c>
      <c r="D211">
        <v>3212.9879999999998</v>
      </c>
      <c r="E211">
        <f t="shared" si="18"/>
        <v>5592.5380000000005</v>
      </c>
      <c r="F211">
        <v>7663.5240000000003</v>
      </c>
      <c r="G211">
        <f t="shared" si="19"/>
        <v>-2070.9859999999999</v>
      </c>
      <c r="H211">
        <f t="shared" si="23"/>
        <v>196407.33700000006</v>
      </c>
      <c r="I211">
        <f t="shared" si="20"/>
        <v>194336.35100000005</v>
      </c>
      <c r="J211">
        <f t="shared" si="21"/>
        <v>0</v>
      </c>
      <c r="K211">
        <f t="shared" si="22"/>
        <v>194336.35100000005</v>
      </c>
    </row>
    <row r="212" spans="1:11" x14ac:dyDescent="0.25">
      <c r="A212" s="1">
        <v>45391</v>
      </c>
      <c r="B212">
        <v>19</v>
      </c>
      <c r="C212">
        <v>2677.45</v>
      </c>
      <c r="D212">
        <v>1144.95</v>
      </c>
      <c r="E212">
        <f t="shared" si="18"/>
        <v>3822.3999999999996</v>
      </c>
      <c r="F212">
        <v>6848.42</v>
      </c>
      <c r="G212">
        <f t="shared" si="19"/>
        <v>-3026.0200000000004</v>
      </c>
      <c r="H212">
        <f t="shared" si="23"/>
        <v>194336.35100000005</v>
      </c>
      <c r="I212">
        <f t="shared" si="20"/>
        <v>191310.33100000006</v>
      </c>
      <c r="J212">
        <f t="shared" si="21"/>
        <v>0</v>
      </c>
      <c r="K212">
        <f t="shared" si="22"/>
        <v>191310.33100000006</v>
      </c>
    </row>
    <row r="213" spans="1:11" x14ac:dyDescent="0.25">
      <c r="A213" s="1">
        <v>45391</v>
      </c>
      <c r="B213">
        <v>20</v>
      </c>
      <c r="C213">
        <v>3303.875</v>
      </c>
      <c r="D213">
        <v>249.01300000000001</v>
      </c>
      <c r="E213">
        <f t="shared" si="18"/>
        <v>3552.8879999999999</v>
      </c>
      <c r="F213">
        <v>6663.0129999999999</v>
      </c>
      <c r="G213">
        <f t="shared" si="19"/>
        <v>-3110.125</v>
      </c>
      <c r="H213">
        <f t="shared" si="23"/>
        <v>191310.33100000006</v>
      </c>
      <c r="I213">
        <f t="shared" si="20"/>
        <v>188200.20600000006</v>
      </c>
      <c r="J213">
        <f t="shared" si="21"/>
        <v>0</v>
      </c>
      <c r="K213">
        <f t="shared" si="22"/>
        <v>188200.20600000006</v>
      </c>
    </row>
    <row r="214" spans="1:11" x14ac:dyDescent="0.25">
      <c r="A214" s="1">
        <v>45391</v>
      </c>
      <c r="B214">
        <v>21</v>
      </c>
      <c r="C214">
        <v>4048.4630000000002</v>
      </c>
      <c r="D214">
        <v>0</v>
      </c>
      <c r="E214">
        <f t="shared" si="18"/>
        <v>4048.4630000000002</v>
      </c>
      <c r="F214">
        <v>5177.2969999999996</v>
      </c>
      <c r="G214">
        <f t="shared" si="19"/>
        <v>-1128.8339999999994</v>
      </c>
      <c r="H214">
        <f t="shared" si="23"/>
        <v>188200.20600000006</v>
      </c>
      <c r="I214">
        <f t="shared" si="20"/>
        <v>187071.37200000006</v>
      </c>
      <c r="J214">
        <f t="shared" si="21"/>
        <v>0</v>
      </c>
      <c r="K214">
        <f t="shared" si="22"/>
        <v>187071.37200000006</v>
      </c>
    </row>
    <row r="215" spans="1:11" x14ac:dyDescent="0.25">
      <c r="A215" s="1">
        <v>45391</v>
      </c>
      <c r="B215">
        <v>22</v>
      </c>
      <c r="C215">
        <v>4693.8379999999997</v>
      </c>
      <c r="D215">
        <v>0</v>
      </c>
      <c r="E215">
        <f t="shared" si="18"/>
        <v>4693.8379999999997</v>
      </c>
      <c r="F215">
        <v>4997.2749999999996</v>
      </c>
      <c r="G215">
        <f t="shared" si="19"/>
        <v>-303.4369999999999</v>
      </c>
      <c r="H215">
        <f t="shared" si="23"/>
        <v>187071.37200000006</v>
      </c>
      <c r="I215">
        <f t="shared" si="20"/>
        <v>186767.93500000006</v>
      </c>
      <c r="J215">
        <f t="shared" si="21"/>
        <v>0</v>
      </c>
      <c r="K215">
        <f t="shared" si="22"/>
        <v>186767.93500000006</v>
      </c>
    </row>
    <row r="216" spans="1:11" x14ac:dyDescent="0.25">
      <c r="A216" s="1">
        <v>45391</v>
      </c>
      <c r="B216">
        <v>23</v>
      </c>
      <c r="C216">
        <v>5564.8</v>
      </c>
      <c r="D216">
        <v>0</v>
      </c>
      <c r="E216">
        <f t="shared" si="18"/>
        <v>5564.8</v>
      </c>
      <c r="F216">
        <v>3095.8780000000002</v>
      </c>
      <c r="G216">
        <f t="shared" si="19"/>
        <v>2468.922</v>
      </c>
      <c r="H216">
        <f t="shared" si="23"/>
        <v>186767.93500000006</v>
      </c>
      <c r="I216">
        <f t="shared" si="20"/>
        <v>189236.85700000005</v>
      </c>
      <c r="J216">
        <f t="shared" si="21"/>
        <v>0</v>
      </c>
      <c r="K216">
        <f t="shared" si="22"/>
        <v>189236.85700000005</v>
      </c>
    </row>
    <row r="217" spans="1:11" x14ac:dyDescent="0.25">
      <c r="A217" s="1">
        <v>45391</v>
      </c>
      <c r="B217">
        <v>24</v>
      </c>
      <c r="C217">
        <v>5323.7250000000004</v>
      </c>
      <c r="D217">
        <v>0</v>
      </c>
      <c r="E217">
        <f t="shared" si="18"/>
        <v>5323.7250000000004</v>
      </c>
      <c r="F217">
        <v>1817.682</v>
      </c>
      <c r="G217">
        <f t="shared" si="19"/>
        <v>3506.0430000000006</v>
      </c>
      <c r="H217">
        <f t="shared" si="23"/>
        <v>189236.85700000005</v>
      </c>
      <c r="I217">
        <f t="shared" si="20"/>
        <v>192742.90000000005</v>
      </c>
      <c r="J217">
        <f t="shared" si="21"/>
        <v>0</v>
      </c>
      <c r="K217">
        <f t="shared" si="22"/>
        <v>192742.90000000005</v>
      </c>
    </row>
    <row r="218" spans="1:11" x14ac:dyDescent="0.25">
      <c r="A218" s="1">
        <v>45392</v>
      </c>
      <c r="B218">
        <v>1</v>
      </c>
      <c r="C218">
        <v>4951.875</v>
      </c>
      <c r="D218">
        <v>0</v>
      </c>
      <c r="E218">
        <f t="shared" si="18"/>
        <v>4951.875</v>
      </c>
      <c r="F218">
        <v>1660.1130000000001</v>
      </c>
      <c r="G218">
        <f t="shared" si="19"/>
        <v>3291.7619999999997</v>
      </c>
      <c r="H218">
        <f t="shared" si="23"/>
        <v>192742.90000000005</v>
      </c>
      <c r="I218">
        <f t="shared" si="20"/>
        <v>196034.66200000004</v>
      </c>
      <c r="J218">
        <f t="shared" si="21"/>
        <v>0</v>
      </c>
      <c r="K218">
        <f t="shared" si="22"/>
        <v>196034.66200000004</v>
      </c>
    </row>
    <row r="219" spans="1:11" x14ac:dyDescent="0.25">
      <c r="A219" s="1">
        <v>45392</v>
      </c>
      <c r="B219">
        <v>2</v>
      </c>
      <c r="C219">
        <v>4908.4129999999996</v>
      </c>
      <c r="D219">
        <v>0</v>
      </c>
      <c r="E219">
        <f t="shared" si="18"/>
        <v>4908.4129999999996</v>
      </c>
      <c r="F219">
        <v>1423.307</v>
      </c>
      <c r="G219">
        <f t="shared" si="19"/>
        <v>3485.1059999999998</v>
      </c>
      <c r="H219">
        <f t="shared" si="23"/>
        <v>196034.66200000004</v>
      </c>
      <c r="I219">
        <f t="shared" si="20"/>
        <v>199519.76800000004</v>
      </c>
      <c r="J219">
        <f t="shared" si="21"/>
        <v>0</v>
      </c>
      <c r="K219">
        <f t="shared" si="22"/>
        <v>199519.76800000004</v>
      </c>
    </row>
    <row r="220" spans="1:11" x14ac:dyDescent="0.25">
      <c r="A220" s="1">
        <v>45392</v>
      </c>
      <c r="B220">
        <v>3</v>
      </c>
      <c r="C220">
        <v>4634.95</v>
      </c>
      <c r="D220">
        <v>0</v>
      </c>
      <c r="E220">
        <f t="shared" si="18"/>
        <v>4634.95</v>
      </c>
      <c r="F220">
        <v>1331.1990000000001</v>
      </c>
      <c r="G220">
        <f t="shared" si="19"/>
        <v>3303.7509999999997</v>
      </c>
      <c r="H220">
        <f t="shared" si="23"/>
        <v>199519.76800000004</v>
      </c>
      <c r="I220">
        <f t="shared" si="20"/>
        <v>200000</v>
      </c>
      <c r="J220">
        <f t="shared" si="21"/>
        <v>0</v>
      </c>
      <c r="K220">
        <f t="shared" si="22"/>
        <v>200000</v>
      </c>
    </row>
    <row r="221" spans="1:11" x14ac:dyDescent="0.25">
      <c r="A221" s="1">
        <v>45392</v>
      </c>
      <c r="B221">
        <v>4</v>
      </c>
      <c r="C221">
        <v>4623.1130000000003</v>
      </c>
      <c r="D221">
        <v>0</v>
      </c>
      <c r="E221">
        <f t="shared" si="18"/>
        <v>4623.1130000000003</v>
      </c>
      <c r="F221">
        <v>1333.9280000000001</v>
      </c>
      <c r="G221">
        <f t="shared" si="19"/>
        <v>3289.1850000000004</v>
      </c>
      <c r="H221">
        <f t="shared" si="23"/>
        <v>200000</v>
      </c>
      <c r="I221">
        <f t="shared" si="20"/>
        <v>200000</v>
      </c>
      <c r="J221">
        <f t="shared" si="21"/>
        <v>0</v>
      </c>
      <c r="K221">
        <f t="shared" si="22"/>
        <v>200000</v>
      </c>
    </row>
    <row r="222" spans="1:11" x14ac:dyDescent="0.25">
      <c r="A222" s="1">
        <v>45392</v>
      </c>
      <c r="B222">
        <v>5</v>
      </c>
      <c r="C222">
        <v>4552.6379999999999</v>
      </c>
      <c r="D222">
        <v>0</v>
      </c>
      <c r="E222">
        <f t="shared" si="18"/>
        <v>4552.6379999999999</v>
      </c>
      <c r="F222">
        <v>1999.7429999999999</v>
      </c>
      <c r="G222">
        <f t="shared" si="19"/>
        <v>2552.895</v>
      </c>
      <c r="H222">
        <f t="shared" si="23"/>
        <v>200000</v>
      </c>
      <c r="I222">
        <f t="shared" si="20"/>
        <v>200000</v>
      </c>
      <c r="J222">
        <f t="shared" si="21"/>
        <v>0</v>
      </c>
      <c r="K222">
        <f t="shared" si="22"/>
        <v>200000</v>
      </c>
    </row>
    <row r="223" spans="1:11" x14ac:dyDescent="0.25">
      <c r="A223" s="1">
        <v>45392</v>
      </c>
      <c r="B223">
        <v>6</v>
      </c>
      <c r="C223">
        <v>4404.45</v>
      </c>
      <c r="D223">
        <v>51.438000000000002</v>
      </c>
      <c r="E223">
        <f t="shared" si="18"/>
        <v>4455.8879999999999</v>
      </c>
      <c r="F223">
        <v>3311.6419999999998</v>
      </c>
      <c r="G223">
        <f t="shared" si="19"/>
        <v>1144.2460000000001</v>
      </c>
      <c r="H223">
        <f t="shared" si="23"/>
        <v>200000</v>
      </c>
      <c r="I223">
        <f t="shared" si="20"/>
        <v>200000</v>
      </c>
      <c r="J223">
        <f t="shared" si="21"/>
        <v>0</v>
      </c>
      <c r="K223">
        <f t="shared" si="22"/>
        <v>200000</v>
      </c>
    </row>
    <row r="224" spans="1:11" x14ac:dyDescent="0.25">
      <c r="A224" s="1">
        <v>45392</v>
      </c>
      <c r="B224">
        <v>7</v>
      </c>
      <c r="C224">
        <v>4126.7879999999996</v>
      </c>
      <c r="D224">
        <v>383.1</v>
      </c>
      <c r="E224">
        <f t="shared" si="18"/>
        <v>4509.8879999999999</v>
      </c>
      <c r="F224">
        <v>4511.2349999999997</v>
      </c>
      <c r="G224">
        <f t="shared" si="19"/>
        <v>-1.3469999999997526</v>
      </c>
      <c r="H224">
        <f t="shared" si="23"/>
        <v>200000</v>
      </c>
      <c r="I224">
        <f t="shared" si="20"/>
        <v>199998.65299999999</v>
      </c>
      <c r="J224">
        <f t="shared" si="21"/>
        <v>0</v>
      </c>
      <c r="K224">
        <f t="shared" si="22"/>
        <v>199998.65299999999</v>
      </c>
    </row>
    <row r="225" spans="1:11" x14ac:dyDescent="0.25">
      <c r="A225" s="1">
        <v>45392</v>
      </c>
      <c r="B225">
        <v>8</v>
      </c>
      <c r="C225">
        <v>4069.15</v>
      </c>
      <c r="D225">
        <v>1176.413</v>
      </c>
      <c r="E225">
        <f t="shared" si="18"/>
        <v>5245.5630000000001</v>
      </c>
      <c r="F225">
        <v>7029.8739999999998</v>
      </c>
      <c r="G225">
        <f t="shared" si="19"/>
        <v>-1784.3109999999997</v>
      </c>
      <c r="H225">
        <f t="shared" si="23"/>
        <v>199998.65299999999</v>
      </c>
      <c r="I225">
        <f t="shared" si="20"/>
        <v>198214.342</v>
      </c>
      <c r="J225">
        <f t="shared" si="21"/>
        <v>0</v>
      </c>
      <c r="K225">
        <f t="shared" si="22"/>
        <v>198214.342</v>
      </c>
    </row>
    <row r="226" spans="1:11" x14ac:dyDescent="0.25">
      <c r="A226" s="1">
        <v>45392</v>
      </c>
      <c r="B226">
        <v>9</v>
      </c>
      <c r="C226">
        <v>3913.0250000000001</v>
      </c>
      <c r="D226">
        <v>2085.15</v>
      </c>
      <c r="E226">
        <f t="shared" si="18"/>
        <v>5998.1750000000002</v>
      </c>
      <c r="F226">
        <v>7473.5190000000002</v>
      </c>
      <c r="G226">
        <f t="shared" si="19"/>
        <v>-1475.3440000000001</v>
      </c>
      <c r="H226">
        <f t="shared" si="23"/>
        <v>198214.342</v>
      </c>
      <c r="I226">
        <f t="shared" si="20"/>
        <v>196738.99799999999</v>
      </c>
      <c r="J226">
        <f t="shared" si="21"/>
        <v>0</v>
      </c>
      <c r="K226">
        <f t="shared" si="22"/>
        <v>196738.99799999999</v>
      </c>
    </row>
    <row r="227" spans="1:11" x14ac:dyDescent="0.25">
      <c r="A227" s="1">
        <v>45392</v>
      </c>
      <c r="B227">
        <v>10</v>
      </c>
      <c r="C227">
        <v>3838.6750000000002</v>
      </c>
      <c r="D227">
        <v>2938.3380000000002</v>
      </c>
      <c r="E227">
        <f t="shared" si="18"/>
        <v>6777.0130000000008</v>
      </c>
      <c r="F227">
        <v>8341.3389999999999</v>
      </c>
      <c r="G227">
        <f t="shared" si="19"/>
        <v>-1564.3259999999991</v>
      </c>
      <c r="H227">
        <f t="shared" si="23"/>
        <v>196738.99799999999</v>
      </c>
      <c r="I227">
        <f t="shared" si="20"/>
        <v>195174.67199999999</v>
      </c>
      <c r="J227">
        <f t="shared" si="21"/>
        <v>0</v>
      </c>
      <c r="K227">
        <f t="shared" si="22"/>
        <v>195174.67199999999</v>
      </c>
    </row>
    <row r="228" spans="1:11" x14ac:dyDescent="0.25">
      <c r="A228" s="1">
        <v>45392</v>
      </c>
      <c r="B228">
        <v>11</v>
      </c>
      <c r="C228">
        <v>4091.8629999999998</v>
      </c>
      <c r="D228">
        <v>4072.788</v>
      </c>
      <c r="E228">
        <f t="shared" si="18"/>
        <v>8164.6509999999998</v>
      </c>
      <c r="F228">
        <v>8317.9030000000002</v>
      </c>
      <c r="G228">
        <f t="shared" si="19"/>
        <v>-153.25200000000041</v>
      </c>
      <c r="H228">
        <f t="shared" si="23"/>
        <v>195174.67199999999</v>
      </c>
      <c r="I228">
        <f t="shared" si="20"/>
        <v>195021.41999999998</v>
      </c>
      <c r="J228">
        <f t="shared" si="21"/>
        <v>0</v>
      </c>
      <c r="K228">
        <f t="shared" si="22"/>
        <v>195021.41999999998</v>
      </c>
    </row>
    <row r="229" spans="1:11" x14ac:dyDescent="0.25">
      <c r="A229" s="1">
        <v>45392</v>
      </c>
      <c r="B229">
        <v>12</v>
      </c>
      <c r="C229">
        <v>4197.125</v>
      </c>
      <c r="D229">
        <v>4948.7</v>
      </c>
      <c r="E229">
        <f t="shared" si="18"/>
        <v>9145.8250000000007</v>
      </c>
      <c r="F229">
        <v>8456.1319999999996</v>
      </c>
      <c r="G229">
        <f t="shared" si="19"/>
        <v>689.69300000000112</v>
      </c>
      <c r="H229">
        <f t="shared" si="23"/>
        <v>195021.41999999998</v>
      </c>
      <c r="I229">
        <f t="shared" si="20"/>
        <v>195711.11299999998</v>
      </c>
      <c r="J229">
        <f t="shared" si="21"/>
        <v>0</v>
      </c>
      <c r="K229">
        <f t="shared" si="22"/>
        <v>195711.11299999998</v>
      </c>
    </row>
    <row r="230" spans="1:11" x14ac:dyDescent="0.25">
      <c r="A230" s="1">
        <v>45392</v>
      </c>
      <c r="B230">
        <v>13</v>
      </c>
      <c r="C230">
        <v>4160.1499999999996</v>
      </c>
      <c r="D230">
        <v>5479.7250000000004</v>
      </c>
      <c r="E230">
        <f t="shared" si="18"/>
        <v>9639.875</v>
      </c>
      <c r="F230">
        <v>8809.5450000000001</v>
      </c>
      <c r="G230">
        <f t="shared" si="19"/>
        <v>830.32999999999993</v>
      </c>
      <c r="H230">
        <f t="shared" si="23"/>
        <v>195711.11299999998</v>
      </c>
      <c r="I230">
        <f t="shared" si="20"/>
        <v>196541.44299999997</v>
      </c>
      <c r="J230">
        <f t="shared" si="21"/>
        <v>0</v>
      </c>
      <c r="K230">
        <f t="shared" si="22"/>
        <v>196541.44299999997</v>
      </c>
    </row>
    <row r="231" spans="1:11" x14ac:dyDescent="0.25">
      <c r="A231" s="1">
        <v>45392</v>
      </c>
      <c r="B231">
        <v>14</v>
      </c>
      <c r="C231">
        <v>3900.95</v>
      </c>
      <c r="D231">
        <v>5619</v>
      </c>
      <c r="E231">
        <f t="shared" si="18"/>
        <v>9519.9500000000007</v>
      </c>
      <c r="F231">
        <v>8322.7219999999998</v>
      </c>
      <c r="G231">
        <f t="shared" si="19"/>
        <v>1197.228000000001</v>
      </c>
      <c r="H231">
        <f t="shared" si="23"/>
        <v>196541.44299999997</v>
      </c>
      <c r="I231">
        <f t="shared" si="20"/>
        <v>197738.67099999997</v>
      </c>
      <c r="J231">
        <f t="shared" si="21"/>
        <v>0</v>
      </c>
      <c r="K231">
        <f t="shared" si="22"/>
        <v>197738.67099999997</v>
      </c>
    </row>
    <row r="232" spans="1:11" x14ac:dyDescent="0.25">
      <c r="A232" s="1">
        <v>45392</v>
      </c>
      <c r="B232">
        <v>15</v>
      </c>
      <c r="C232">
        <v>3837.4250000000002</v>
      </c>
      <c r="D232">
        <v>5315.4250000000002</v>
      </c>
      <c r="E232">
        <f t="shared" si="18"/>
        <v>9152.85</v>
      </c>
      <c r="F232">
        <v>8579.9040000000005</v>
      </c>
      <c r="G232">
        <f t="shared" si="19"/>
        <v>572.94599999999991</v>
      </c>
      <c r="H232">
        <f t="shared" si="23"/>
        <v>197738.67099999997</v>
      </c>
      <c r="I232">
        <f t="shared" si="20"/>
        <v>198311.61699999997</v>
      </c>
      <c r="J232">
        <f t="shared" si="21"/>
        <v>0</v>
      </c>
      <c r="K232">
        <f t="shared" si="22"/>
        <v>198311.61699999997</v>
      </c>
    </row>
    <row r="233" spans="1:11" x14ac:dyDescent="0.25">
      <c r="A233" s="1">
        <v>45392</v>
      </c>
      <c r="B233">
        <v>16</v>
      </c>
      <c r="C233">
        <v>3739.0630000000001</v>
      </c>
      <c r="D233">
        <v>4515.6379999999999</v>
      </c>
      <c r="E233">
        <f t="shared" si="18"/>
        <v>8254.7010000000009</v>
      </c>
      <c r="F233">
        <v>8641.02</v>
      </c>
      <c r="G233">
        <f t="shared" si="19"/>
        <v>-386.31899999999951</v>
      </c>
      <c r="H233">
        <f t="shared" si="23"/>
        <v>198311.61699999997</v>
      </c>
      <c r="I233">
        <f t="shared" si="20"/>
        <v>197925.29799999998</v>
      </c>
      <c r="J233">
        <f t="shared" si="21"/>
        <v>0</v>
      </c>
      <c r="K233">
        <f t="shared" si="22"/>
        <v>197925.29799999998</v>
      </c>
    </row>
    <row r="234" spans="1:11" x14ac:dyDescent="0.25">
      <c r="A234" s="1">
        <v>45392</v>
      </c>
      <c r="B234">
        <v>17</v>
      </c>
      <c r="C234">
        <v>3906.1750000000002</v>
      </c>
      <c r="D234">
        <v>3256.5880000000002</v>
      </c>
      <c r="E234">
        <f t="shared" si="18"/>
        <v>7162.7630000000008</v>
      </c>
      <c r="F234">
        <v>8338.1489999999994</v>
      </c>
      <c r="G234">
        <f t="shared" si="19"/>
        <v>-1175.3859999999986</v>
      </c>
      <c r="H234">
        <f t="shared" si="23"/>
        <v>197925.29799999998</v>
      </c>
      <c r="I234">
        <f t="shared" si="20"/>
        <v>196749.91199999998</v>
      </c>
      <c r="J234">
        <f t="shared" si="21"/>
        <v>0</v>
      </c>
      <c r="K234">
        <f t="shared" si="22"/>
        <v>196749.91199999998</v>
      </c>
    </row>
    <row r="235" spans="1:11" x14ac:dyDescent="0.25">
      <c r="A235" s="1">
        <v>45392</v>
      </c>
      <c r="B235">
        <v>18</v>
      </c>
      <c r="C235">
        <v>3960.7629999999999</v>
      </c>
      <c r="D235">
        <v>1974.6130000000001</v>
      </c>
      <c r="E235">
        <f t="shared" si="18"/>
        <v>5935.3760000000002</v>
      </c>
      <c r="F235">
        <v>7655.86</v>
      </c>
      <c r="G235">
        <f t="shared" si="19"/>
        <v>-1720.4839999999995</v>
      </c>
      <c r="H235">
        <f t="shared" si="23"/>
        <v>196749.91199999998</v>
      </c>
      <c r="I235">
        <f t="shared" si="20"/>
        <v>195029.42799999999</v>
      </c>
      <c r="J235">
        <f t="shared" si="21"/>
        <v>0</v>
      </c>
      <c r="K235">
        <f t="shared" si="22"/>
        <v>195029.42799999999</v>
      </c>
    </row>
    <row r="236" spans="1:11" x14ac:dyDescent="0.25">
      <c r="A236" s="1">
        <v>45392</v>
      </c>
      <c r="B236">
        <v>19</v>
      </c>
      <c r="C236">
        <v>3623.4250000000002</v>
      </c>
      <c r="D236">
        <v>886.15</v>
      </c>
      <c r="E236">
        <f t="shared" si="18"/>
        <v>4509.5749999999998</v>
      </c>
      <c r="F236">
        <v>6841.5709999999999</v>
      </c>
      <c r="G236">
        <f t="shared" si="19"/>
        <v>-2331.9960000000001</v>
      </c>
      <c r="H236">
        <f t="shared" si="23"/>
        <v>195029.42799999999</v>
      </c>
      <c r="I236">
        <f t="shared" si="20"/>
        <v>192697.43199999997</v>
      </c>
      <c r="J236">
        <f t="shared" si="21"/>
        <v>0</v>
      </c>
      <c r="K236">
        <f t="shared" si="22"/>
        <v>192697.43199999997</v>
      </c>
    </row>
    <row r="237" spans="1:11" x14ac:dyDescent="0.25">
      <c r="A237" s="1">
        <v>45392</v>
      </c>
      <c r="B237">
        <v>20</v>
      </c>
      <c r="C237">
        <v>3358</v>
      </c>
      <c r="D237">
        <v>246.68799999999999</v>
      </c>
      <c r="E237">
        <f t="shared" si="18"/>
        <v>3604.6880000000001</v>
      </c>
      <c r="F237">
        <v>6656.35</v>
      </c>
      <c r="G237">
        <f t="shared" si="19"/>
        <v>-3051.6620000000003</v>
      </c>
      <c r="H237">
        <f t="shared" si="23"/>
        <v>192697.43199999997</v>
      </c>
      <c r="I237">
        <f t="shared" si="20"/>
        <v>189645.76999999996</v>
      </c>
      <c r="J237">
        <f t="shared" si="21"/>
        <v>0</v>
      </c>
      <c r="K237">
        <f t="shared" si="22"/>
        <v>189645.76999999996</v>
      </c>
    </row>
    <row r="238" spans="1:11" x14ac:dyDescent="0.25">
      <c r="A238" s="1">
        <v>45392</v>
      </c>
      <c r="B238">
        <v>21</v>
      </c>
      <c r="C238">
        <v>2812.4630000000002</v>
      </c>
      <c r="D238">
        <v>0</v>
      </c>
      <c r="E238">
        <f t="shared" si="18"/>
        <v>2812.4630000000002</v>
      </c>
      <c r="F238">
        <v>5172.1189999999997</v>
      </c>
      <c r="G238">
        <f t="shared" si="19"/>
        <v>-2359.6559999999995</v>
      </c>
      <c r="H238">
        <f t="shared" si="23"/>
        <v>189645.76999999996</v>
      </c>
      <c r="I238">
        <f t="shared" si="20"/>
        <v>187286.11399999997</v>
      </c>
      <c r="J238">
        <f t="shared" si="21"/>
        <v>0</v>
      </c>
      <c r="K238">
        <f t="shared" si="22"/>
        <v>187286.11399999997</v>
      </c>
    </row>
    <row r="239" spans="1:11" x14ac:dyDescent="0.25">
      <c r="A239" s="1">
        <v>45392</v>
      </c>
      <c r="B239">
        <v>22</v>
      </c>
      <c r="C239">
        <v>2481.4879999999998</v>
      </c>
      <c r="D239">
        <v>0</v>
      </c>
      <c r="E239">
        <f t="shared" si="18"/>
        <v>2481.4879999999998</v>
      </c>
      <c r="F239">
        <v>4992.277</v>
      </c>
      <c r="G239">
        <f t="shared" si="19"/>
        <v>-2510.7890000000002</v>
      </c>
      <c r="H239">
        <f t="shared" si="23"/>
        <v>187286.11399999997</v>
      </c>
      <c r="I239">
        <f t="shared" si="20"/>
        <v>184775.32499999998</v>
      </c>
      <c r="J239">
        <f t="shared" si="21"/>
        <v>0</v>
      </c>
      <c r="K239">
        <f t="shared" si="22"/>
        <v>184775.32499999998</v>
      </c>
    </row>
    <row r="240" spans="1:11" x14ac:dyDescent="0.25">
      <c r="A240" s="1">
        <v>45392</v>
      </c>
      <c r="B240">
        <v>23</v>
      </c>
      <c r="C240">
        <v>2211.875</v>
      </c>
      <c r="D240">
        <v>0</v>
      </c>
      <c r="E240">
        <f t="shared" si="18"/>
        <v>2211.875</v>
      </c>
      <c r="F240">
        <v>3092.7820000000002</v>
      </c>
      <c r="G240">
        <f t="shared" si="19"/>
        <v>-880.90700000000015</v>
      </c>
      <c r="H240">
        <f t="shared" si="23"/>
        <v>184775.32499999998</v>
      </c>
      <c r="I240">
        <f t="shared" si="20"/>
        <v>183894.41799999998</v>
      </c>
      <c r="J240">
        <f t="shared" si="21"/>
        <v>0</v>
      </c>
      <c r="K240">
        <f t="shared" si="22"/>
        <v>183894.41799999998</v>
      </c>
    </row>
    <row r="241" spans="1:11" x14ac:dyDescent="0.25">
      <c r="A241" s="1">
        <v>45392</v>
      </c>
      <c r="B241">
        <v>24</v>
      </c>
      <c r="C241">
        <v>1934.45</v>
      </c>
      <c r="D241">
        <v>0</v>
      </c>
      <c r="E241">
        <f t="shared" si="18"/>
        <v>1934.45</v>
      </c>
      <c r="F241">
        <v>1815.864</v>
      </c>
      <c r="G241">
        <f t="shared" si="19"/>
        <v>118.58600000000001</v>
      </c>
      <c r="H241">
        <f t="shared" si="23"/>
        <v>183894.41799999998</v>
      </c>
      <c r="I241">
        <f t="shared" si="20"/>
        <v>184013.00399999999</v>
      </c>
      <c r="J241">
        <f t="shared" si="21"/>
        <v>0</v>
      </c>
      <c r="K241">
        <f t="shared" si="22"/>
        <v>184013.00399999999</v>
      </c>
    </row>
    <row r="242" spans="1:11" x14ac:dyDescent="0.25">
      <c r="A242" s="1">
        <v>45393</v>
      </c>
      <c r="B242">
        <v>1</v>
      </c>
      <c r="C242">
        <v>1638.913</v>
      </c>
      <c r="D242">
        <v>0</v>
      </c>
      <c r="E242">
        <f t="shared" si="18"/>
        <v>1638.913</v>
      </c>
      <c r="F242">
        <v>1521.771</v>
      </c>
      <c r="G242">
        <f t="shared" si="19"/>
        <v>117.14200000000005</v>
      </c>
      <c r="H242">
        <f t="shared" si="23"/>
        <v>184013.00399999999</v>
      </c>
      <c r="I242">
        <f t="shared" si="20"/>
        <v>184130.14599999998</v>
      </c>
      <c r="J242">
        <f t="shared" si="21"/>
        <v>0</v>
      </c>
      <c r="K242">
        <f t="shared" si="22"/>
        <v>184130.14599999998</v>
      </c>
    </row>
    <row r="243" spans="1:11" x14ac:dyDescent="0.25">
      <c r="A243" s="1">
        <v>45393</v>
      </c>
      <c r="B243">
        <v>2</v>
      </c>
      <c r="C243">
        <v>1527.213</v>
      </c>
      <c r="D243">
        <v>0</v>
      </c>
      <c r="E243">
        <f t="shared" si="18"/>
        <v>1527.213</v>
      </c>
      <c r="F243">
        <v>1304.6990000000001</v>
      </c>
      <c r="G243">
        <f t="shared" si="19"/>
        <v>222.5139999999999</v>
      </c>
      <c r="H243">
        <f t="shared" si="23"/>
        <v>184130.14599999998</v>
      </c>
      <c r="I243">
        <f t="shared" si="20"/>
        <v>184352.65999999997</v>
      </c>
      <c r="J243">
        <f t="shared" si="21"/>
        <v>0</v>
      </c>
      <c r="K243">
        <f t="shared" si="22"/>
        <v>184352.65999999997</v>
      </c>
    </row>
    <row r="244" spans="1:11" x14ac:dyDescent="0.25">
      <c r="A244" s="1">
        <v>45393</v>
      </c>
      <c r="B244">
        <v>3</v>
      </c>
      <c r="C244">
        <v>1750.7380000000001</v>
      </c>
      <c r="D244">
        <v>0</v>
      </c>
      <c r="E244">
        <f t="shared" si="18"/>
        <v>1750.7380000000001</v>
      </c>
      <c r="F244">
        <v>1220.2670000000001</v>
      </c>
      <c r="G244">
        <f t="shared" si="19"/>
        <v>530.471</v>
      </c>
      <c r="H244">
        <f t="shared" si="23"/>
        <v>184352.65999999997</v>
      </c>
      <c r="I244">
        <f t="shared" si="20"/>
        <v>184883.13099999996</v>
      </c>
      <c r="J244">
        <f t="shared" si="21"/>
        <v>0</v>
      </c>
      <c r="K244">
        <f t="shared" si="22"/>
        <v>184883.13099999996</v>
      </c>
    </row>
    <row r="245" spans="1:11" x14ac:dyDescent="0.25">
      <c r="A245" s="1">
        <v>45393</v>
      </c>
      <c r="B245">
        <v>4</v>
      </c>
      <c r="C245">
        <v>1987.7750000000001</v>
      </c>
      <c r="D245">
        <v>0</v>
      </c>
      <c r="E245">
        <f t="shared" si="18"/>
        <v>1987.7750000000001</v>
      </c>
      <c r="F245">
        <v>1222.769</v>
      </c>
      <c r="G245">
        <f t="shared" si="19"/>
        <v>765.00600000000009</v>
      </c>
      <c r="H245">
        <f t="shared" si="23"/>
        <v>184883.13099999996</v>
      </c>
      <c r="I245">
        <f t="shared" si="20"/>
        <v>185648.13699999996</v>
      </c>
      <c r="J245">
        <f t="shared" si="21"/>
        <v>0</v>
      </c>
      <c r="K245">
        <f t="shared" si="22"/>
        <v>185648.13699999996</v>
      </c>
    </row>
    <row r="246" spans="1:11" x14ac:dyDescent="0.25">
      <c r="A246" s="1">
        <v>45393</v>
      </c>
      <c r="B246">
        <v>5</v>
      </c>
      <c r="C246">
        <v>2160.15</v>
      </c>
      <c r="D246">
        <v>0</v>
      </c>
      <c r="E246">
        <f t="shared" si="18"/>
        <v>2160.15</v>
      </c>
      <c r="F246">
        <v>1833.1</v>
      </c>
      <c r="G246">
        <f t="shared" si="19"/>
        <v>327.05000000000018</v>
      </c>
      <c r="H246">
        <f t="shared" si="23"/>
        <v>185648.13699999996</v>
      </c>
      <c r="I246">
        <f t="shared" si="20"/>
        <v>185975.18699999995</v>
      </c>
      <c r="J246">
        <f t="shared" si="21"/>
        <v>0</v>
      </c>
      <c r="K246">
        <f t="shared" si="22"/>
        <v>185975.18699999995</v>
      </c>
    </row>
    <row r="247" spans="1:11" x14ac:dyDescent="0.25">
      <c r="A247" s="1">
        <v>45393</v>
      </c>
      <c r="B247">
        <v>6</v>
      </c>
      <c r="C247">
        <v>2402.913</v>
      </c>
      <c r="D247">
        <v>88.174999999999997</v>
      </c>
      <c r="E247">
        <f t="shared" si="18"/>
        <v>2491.0880000000002</v>
      </c>
      <c r="F247">
        <v>3035.6750000000002</v>
      </c>
      <c r="G247">
        <f t="shared" si="19"/>
        <v>-544.58699999999999</v>
      </c>
      <c r="H247">
        <f t="shared" si="23"/>
        <v>185975.18699999995</v>
      </c>
      <c r="I247">
        <f t="shared" si="20"/>
        <v>185430.59999999995</v>
      </c>
      <c r="J247">
        <f t="shared" si="21"/>
        <v>0</v>
      </c>
      <c r="K247">
        <f t="shared" si="22"/>
        <v>185430.59999999995</v>
      </c>
    </row>
    <row r="248" spans="1:11" x14ac:dyDescent="0.25">
      <c r="A248" s="1">
        <v>45393</v>
      </c>
      <c r="B248">
        <v>7</v>
      </c>
      <c r="C248">
        <v>2549.5880000000002</v>
      </c>
      <c r="D248">
        <v>582.45000000000005</v>
      </c>
      <c r="E248">
        <f t="shared" si="18"/>
        <v>3132.0380000000005</v>
      </c>
      <c r="F248">
        <v>4135.3029999999999</v>
      </c>
      <c r="G248">
        <f t="shared" si="19"/>
        <v>-1003.2649999999994</v>
      </c>
      <c r="H248">
        <f t="shared" si="23"/>
        <v>185430.59999999995</v>
      </c>
      <c r="I248">
        <f t="shared" si="20"/>
        <v>184427.33499999996</v>
      </c>
      <c r="J248">
        <f t="shared" si="21"/>
        <v>0</v>
      </c>
      <c r="K248">
        <f t="shared" si="22"/>
        <v>184427.33499999996</v>
      </c>
    </row>
    <row r="249" spans="1:11" x14ac:dyDescent="0.25">
      <c r="A249" s="1">
        <v>45393</v>
      </c>
      <c r="B249">
        <v>8</v>
      </c>
      <c r="C249">
        <v>2267.6880000000001</v>
      </c>
      <c r="D249">
        <v>2271.6</v>
      </c>
      <c r="E249">
        <f t="shared" si="18"/>
        <v>4539.2880000000005</v>
      </c>
      <c r="F249">
        <v>6116.73</v>
      </c>
      <c r="G249">
        <f t="shared" si="19"/>
        <v>-1577.4419999999991</v>
      </c>
      <c r="H249">
        <f t="shared" si="23"/>
        <v>184427.33499999996</v>
      </c>
      <c r="I249">
        <f t="shared" si="20"/>
        <v>182849.89299999995</v>
      </c>
      <c r="J249">
        <f t="shared" si="21"/>
        <v>0</v>
      </c>
      <c r="K249">
        <f t="shared" si="22"/>
        <v>182849.89299999995</v>
      </c>
    </row>
    <row r="250" spans="1:11" x14ac:dyDescent="0.25">
      <c r="A250" s="1">
        <v>45393</v>
      </c>
      <c r="B250">
        <v>9</v>
      </c>
      <c r="C250">
        <v>1581.6</v>
      </c>
      <c r="D250">
        <v>5042.7749999999996</v>
      </c>
      <c r="E250">
        <f t="shared" si="18"/>
        <v>6624.375</v>
      </c>
      <c r="F250">
        <v>6850.7330000000002</v>
      </c>
      <c r="G250">
        <f t="shared" si="19"/>
        <v>-226.35800000000017</v>
      </c>
      <c r="H250">
        <f t="shared" si="23"/>
        <v>182849.89299999995</v>
      </c>
      <c r="I250">
        <f t="shared" si="20"/>
        <v>182623.53499999995</v>
      </c>
      <c r="J250">
        <f t="shared" si="21"/>
        <v>0</v>
      </c>
      <c r="K250">
        <f t="shared" si="22"/>
        <v>182623.53499999995</v>
      </c>
    </row>
    <row r="251" spans="1:11" x14ac:dyDescent="0.25">
      <c r="A251" s="1">
        <v>45393</v>
      </c>
      <c r="B251">
        <v>10</v>
      </c>
      <c r="C251">
        <v>1755.35</v>
      </c>
      <c r="D251">
        <v>7490.9129999999996</v>
      </c>
      <c r="E251">
        <f t="shared" si="18"/>
        <v>9246.262999999999</v>
      </c>
      <c r="F251">
        <v>7646.2349999999997</v>
      </c>
      <c r="G251">
        <f t="shared" si="19"/>
        <v>1600.0279999999993</v>
      </c>
      <c r="H251">
        <f t="shared" si="23"/>
        <v>182623.53499999995</v>
      </c>
      <c r="I251">
        <f t="shared" si="20"/>
        <v>184223.56299999994</v>
      </c>
      <c r="J251">
        <f t="shared" si="21"/>
        <v>0</v>
      </c>
      <c r="K251">
        <f t="shared" si="22"/>
        <v>184223.56299999994</v>
      </c>
    </row>
    <row r="252" spans="1:11" x14ac:dyDescent="0.25">
      <c r="A252" s="1">
        <v>45393</v>
      </c>
      <c r="B252">
        <v>11</v>
      </c>
      <c r="C252">
        <v>2822.663</v>
      </c>
      <c r="D252">
        <v>9037.7749999999996</v>
      </c>
      <c r="E252">
        <f t="shared" si="18"/>
        <v>11860.438</v>
      </c>
      <c r="F252">
        <v>7624.7520000000004</v>
      </c>
      <c r="G252">
        <f t="shared" si="19"/>
        <v>4235.6859999999997</v>
      </c>
      <c r="H252">
        <f t="shared" si="23"/>
        <v>184223.56299999994</v>
      </c>
      <c r="I252">
        <f t="shared" si="20"/>
        <v>188459.24899999992</v>
      </c>
      <c r="J252">
        <f t="shared" si="21"/>
        <v>0</v>
      </c>
      <c r="K252">
        <f t="shared" si="22"/>
        <v>188459.24899999992</v>
      </c>
    </row>
    <row r="253" spans="1:11" x14ac:dyDescent="0.25">
      <c r="A253" s="1">
        <v>45393</v>
      </c>
      <c r="B253">
        <v>12</v>
      </c>
      <c r="C253">
        <v>3507.3879999999999</v>
      </c>
      <c r="D253">
        <v>9569.2880000000005</v>
      </c>
      <c r="E253">
        <f t="shared" si="18"/>
        <v>13076.675999999999</v>
      </c>
      <c r="F253">
        <v>7751.4620000000004</v>
      </c>
      <c r="G253">
        <f t="shared" si="19"/>
        <v>5325.213999999999</v>
      </c>
      <c r="H253">
        <f t="shared" si="23"/>
        <v>188459.24899999992</v>
      </c>
      <c r="I253">
        <f t="shared" si="20"/>
        <v>193784.46299999993</v>
      </c>
      <c r="J253">
        <f t="shared" si="21"/>
        <v>0</v>
      </c>
      <c r="K253">
        <f t="shared" si="22"/>
        <v>193784.46299999993</v>
      </c>
    </row>
    <row r="254" spans="1:11" x14ac:dyDescent="0.25">
      <c r="A254" s="1">
        <v>45393</v>
      </c>
      <c r="B254">
        <v>13</v>
      </c>
      <c r="C254">
        <v>3629.288</v>
      </c>
      <c r="D254">
        <v>8547.5249999999996</v>
      </c>
      <c r="E254">
        <f t="shared" si="18"/>
        <v>12176.813</v>
      </c>
      <c r="F254">
        <v>8075.424</v>
      </c>
      <c r="G254">
        <f t="shared" si="19"/>
        <v>4101.3890000000001</v>
      </c>
      <c r="H254">
        <f t="shared" si="23"/>
        <v>193784.46299999993</v>
      </c>
      <c r="I254">
        <f t="shared" si="20"/>
        <v>197885.85199999993</v>
      </c>
      <c r="J254">
        <f t="shared" si="21"/>
        <v>0</v>
      </c>
      <c r="K254">
        <f t="shared" si="22"/>
        <v>197885.85199999993</v>
      </c>
    </row>
    <row r="255" spans="1:11" x14ac:dyDescent="0.25">
      <c r="A255" s="1">
        <v>45393</v>
      </c>
      <c r="B255">
        <v>14</v>
      </c>
      <c r="C255">
        <v>3533.5749999999998</v>
      </c>
      <c r="D255">
        <v>8090.6</v>
      </c>
      <c r="E255">
        <f t="shared" si="18"/>
        <v>11624.174999999999</v>
      </c>
      <c r="F255">
        <v>7629.17</v>
      </c>
      <c r="G255">
        <f t="shared" si="19"/>
        <v>3995.0049999999992</v>
      </c>
      <c r="H255">
        <f t="shared" si="23"/>
        <v>197885.85199999993</v>
      </c>
      <c r="I255">
        <f t="shared" si="20"/>
        <v>200000</v>
      </c>
      <c r="J255">
        <f t="shared" si="21"/>
        <v>0</v>
      </c>
      <c r="K255">
        <f t="shared" si="22"/>
        <v>200000</v>
      </c>
    </row>
    <row r="256" spans="1:11" x14ac:dyDescent="0.25">
      <c r="A256" s="1">
        <v>45393</v>
      </c>
      <c r="B256">
        <v>15</v>
      </c>
      <c r="C256">
        <v>3454.413</v>
      </c>
      <c r="D256">
        <v>7545.5749999999998</v>
      </c>
      <c r="E256">
        <f t="shared" si="18"/>
        <v>10999.987999999999</v>
      </c>
      <c r="F256">
        <v>7864.92</v>
      </c>
      <c r="G256">
        <f t="shared" si="19"/>
        <v>3135.0679999999993</v>
      </c>
      <c r="H256">
        <f t="shared" si="23"/>
        <v>200000</v>
      </c>
      <c r="I256">
        <f t="shared" si="20"/>
        <v>200000</v>
      </c>
      <c r="J256">
        <f t="shared" si="21"/>
        <v>0</v>
      </c>
      <c r="K256">
        <f t="shared" si="22"/>
        <v>200000</v>
      </c>
    </row>
    <row r="257" spans="1:11" x14ac:dyDescent="0.25">
      <c r="A257" s="1">
        <v>45393</v>
      </c>
      <c r="B257">
        <v>16</v>
      </c>
      <c r="C257">
        <v>3591.6129999999998</v>
      </c>
      <c r="D257">
        <v>6990.2250000000004</v>
      </c>
      <c r="E257">
        <f t="shared" si="18"/>
        <v>10581.838</v>
      </c>
      <c r="F257">
        <v>7920.9430000000002</v>
      </c>
      <c r="G257">
        <f t="shared" si="19"/>
        <v>2660.8949999999995</v>
      </c>
      <c r="H257">
        <f t="shared" si="23"/>
        <v>200000</v>
      </c>
      <c r="I257">
        <f t="shared" si="20"/>
        <v>200000</v>
      </c>
      <c r="J257">
        <f t="shared" si="21"/>
        <v>0</v>
      </c>
      <c r="K257">
        <f t="shared" si="22"/>
        <v>200000</v>
      </c>
    </row>
    <row r="258" spans="1:11" x14ac:dyDescent="0.25">
      <c r="A258" s="1">
        <v>45393</v>
      </c>
      <c r="B258">
        <v>17</v>
      </c>
      <c r="C258">
        <v>3269.375</v>
      </c>
      <c r="D258">
        <v>5827.9629999999997</v>
      </c>
      <c r="E258">
        <f t="shared" si="18"/>
        <v>9097.3379999999997</v>
      </c>
      <c r="F258">
        <v>7643.3109999999997</v>
      </c>
      <c r="G258">
        <f t="shared" si="19"/>
        <v>1454.027</v>
      </c>
      <c r="H258">
        <f t="shared" si="23"/>
        <v>200000</v>
      </c>
      <c r="I258">
        <f t="shared" si="20"/>
        <v>200000</v>
      </c>
      <c r="J258">
        <f t="shared" si="21"/>
        <v>0</v>
      </c>
      <c r="K258">
        <f t="shared" si="22"/>
        <v>200000</v>
      </c>
    </row>
    <row r="259" spans="1:11" x14ac:dyDescent="0.25">
      <c r="A259" s="1">
        <v>45393</v>
      </c>
      <c r="B259">
        <v>18</v>
      </c>
      <c r="C259">
        <v>2779.7249999999999</v>
      </c>
      <c r="D259">
        <v>3712.3249999999998</v>
      </c>
      <c r="E259">
        <f t="shared" ref="E259:E322" si="24">C259+D259</f>
        <v>6492.0499999999993</v>
      </c>
      <c r="F259">
        <v>7211.0309999999999</v>
      </c>
      <c r="G259">
        <f t="shared" ref="G259:G322" si="25">E259-F259</f>
        <v>-718.98100000000068</v>
      </c>
      <c r="H259">
        <f t="shared" si="23"/>
        <v>200000</v>
      </c>
      <c r="I259">
        <f t="shared" ref="I259:I322" si="26">IF(H259+G259&gt;200000,200000,H259+G259)</f>
        <v>199281.019</v>
      </c>
      <c r="J259">
        <f t="shared" ref="J259:J322" si="27">IF(I259&lt;0,1,0)</f>
        <v>0</v>
      </c>
      <c r="K259">
        <f t="shared" ref="K259:K322" si="28">IF(J259=1,0,I259)</f>
        <v>199281.019</v>
      </c>
    </row>
    <row r="260" spans="1:11" x14ac:dyDescent="0.25">
      <c r="A260" s="1">
        <v>45393</v>
      </c>
      <c r="B260">
        <v>19</v>
      </c>
      <c r="C260">
        <v>2522.7629999999999</v>
      </c>
      <c r="D260">
        <v>1590.8</v>
      </c>
      <c r="E260">
        <f t="shared" si="24"/>
        <v>4113.5630000000001</v>
      </c>
      <c r="F260">
        <v>6444.0550000000003</v>
      </c>
      <c r="G260">
        <f t="shared" si="25"/>
        <v>-2330.4920000000002</v>
      </c>
      <c r="H260">
        <f t="shared" ref="H260:H323" si="29">K259</f>
        <v>199281.019</v>
      </c>
      <c r="I260">
        <f t="shared" si="26"/>
        <v>196950.527</v>
      </c>
      <c r="J260">
        <f t="shared" si="27"/>
        <v>0</v>
      </c>
      <c r="K260">
        <f t="shared" si="28"/>
        <v>196950.527</v>
      </c>
    </row>
    <row r="261" spans="1:11" x14ac:dyDescent="0.25">
      <c r="A261" s="1">
        <v>45393</v>
      </c>
      <c r="B261">
        <v>20</v>
      </c>
      <c r="C261">
        <v>2597.7249999999999</v>
      </c>
      <c r="D261">
        <v>252.31299999999999</v>
      </c>
      <c r="E261">
        <f t="shared" si="24"/>
        <v>2850.038</v>
      </c>
      <c r="F261">
        <v>6269.5959999999995</v>
      </c>
      <c r="G261">
        <f t="shared" si="25"/>
        <v>-3419.5579999999995</v>
      </c>
      <c r="H261">
        <f t="shared" si="29"/>
        <v>196950.527</v>
      </c>
      <c r="I261">
        <f t="shared" si="26"/>
        <v>193530.96900000001</v>
      </c>
      <c r="J261">
        <f t="shared" si="27"/>
        <v>0</v>
      </c>
      <c r="K261">
        <f t="shared" si="28"/>
        <v>193530.96900000001</v>
      </c>
    </row>
    <row r="262" spans="1:11" x14ac:dyDescent="0.25">
      <c r="A262" s="1">
        <v>45393</v>
      </c>
      <c r="B262">
        <v>21</v>
      </c>
      <c r="C262">
        <v>2912.288</v>
      </c>
      <c r="D262">
        <v>0</v>
      </c>
      <c r="E262">
        <f t="shared" si="24"/>
        <v>2912.288</v>
      </c>
      <c r="F262">
        <v>4871.6040000000003</v>
      </c>
      <c r="G262">
        <f t="shared" si="25"/>
        <v>-1959.3160000000003</v>
      </c>
      <c r="H262">
        <f t="shared" si="29"/>
        <v>193530.96900000001</v>
      </c>
      <c r="I262">
        <f t="shared" si="26"/>
        <v>191571.65300000002</v>
      </c>
      <c r="J262">
        <f t="shared" si="27"/>
        <v>0</v>
      </c>
      <c r="K262">
        <f t="shared" si="28"/>
        <v>191571.65300000002</v>
      </c>
    </row>
    <row r="263" spans="1:11" x14ac:dyDescent="0.25">
      <c r="A263" s="1">
        <v>45393</v>
      </c>
      <c r="B263">
        <v>22</v>
      </c>
      <c r="C263">
        <v>2870.375</v>
      </c>
      <c r="D263">
        <v>0</v>
      </c>
      <c r="E263">
        <f t="shared" si="24"/>
        <v>2870.375</v>
      </c>
      <c r="F263">
        <v>4702.2110000000002</v>
      </c>
      <c r="G263">
        <f t="shared" si="25"/>
        <v>-1831.8360000000002</v>
      </c>
      <c r="H263">
        <f t="shared" si="29"/>
        <v>191571.65300000002</v>
      </c>
      <c r="I263">
        <f t="shared" si="26"/>
        <v>189739.81700000001</v>
      </c>
      <c r="J263">
        <f t="shared" si="27"/>
        <v>0</v>
      </c>
      <c r="K263">
        <f t="shared" si="28"/>
        <v>189739.81700000001</v>
      </c>
    </row>
    <row r="264" spans="1:11" x14ac:dyDescent="0.25">
      <c r="A264" s="1">
        <v>45393</v>
      </c>
      <c r="B264">
        <v>23</v>
      </c>
      <c r="C264">
        <v>2862.6129999999998</v>
      </c>
      <c r="D264">
        <v>0</v>
      </c>
      <c r="E264">
        <f t="shared" si="24"/>
        <v>2862.6129999999998</v>
      </c>
      <c r="F264">
        <v>2913.0819999999999</v>
      </c>
      <c r="G264">
        <f t="shared" si="25"/>
        <v>-50.469000000000051</v>
      </c>
      <c r="H264">
        <f t="shared" si="29"/>
        <v>189739.81700000001</v>
      </c>
      <c r="I264">
        <f t="shared" si="26"/>
        <v>189689.348</v>
      </c>
      <c r="J264">
        <f t="shared" si="27"/>
        <v>0</v>
      </c>
      <c r="K264">
        <f t="shared" si="28"/>
        <v>189689.348</v>
      </c>
    </row>
    <row r="265" spans="1:11" x14ac:dyDescent="0.25">
      <c r="A265" s="1">
        <v>45393</v>
      </c>
      <c r="B265">
        <v>24</v>
      </c>
      <c r="C265">
        <v>3080.8629999999998</v>
      </c>
      <c r="D265">
        <v>0</v>
      </c>
      <c r="E265">
        <f t="shared" si="24"/>
        <v>3080.8629999999998</v>
      </c>
      <c r="F265">
        <v>1710.357</v>
      </c>
      <c r="G265">
        <f t="shared" si="25"/>
        <v>1370.5059999999999</v>
      </c>
      <c r="H265">
        <f t="shared" si="29"/>
        <v>189689.348</v>
      </c>
      <c r="I265">
        <f t="shared" si="26"/>
        <v>191059.85399999999</v>
      </c>
      <c r="J265">
        <f t="shared" si="27"/>
        <v>0</v>
      </c>
      <c r="K265">
        <f t="shared" si="28"/>
        <v>191059.85399999999</v>
      </c>
    </row>
    <row r="266" spans="1:11" x14ac:dyDescent="0.25">
      <c r="A266" s="1">
        <v>45394</v>
      </c>
      <c r="B266">
        <v>1</v>
      </c>
      <c r="C266">
        <v>3101.038</v>
      </c>
      <c r="D266">
        <v>0</v>
      </c>
      <c r="E266">
        <f t="shared" si="24"/>
        <v>3101.038</v>
      </c>
      <c r="F266">
        <v>1548.019</v>
      </c>
      <c r="G266">
        <f t="shared" si="25"/>
        <v>1553.019</v>
      </c>
      <c r="H266">
        <f t="shared" si="29"/>
        <v>191059.85399999999</v>
      </c>
      <c r="I266">
        <f t="shared" si="26"/>
        <v>192612.87299999999</v>
      </c>
      <c r="J266">
        <f t="shared" si="27"/>
        <v>0</v>
      </c>
      <c r="K266">
        <f t="shared" si="28"/>
        <v>192612.87299999999</v>
      </c>
    </row>
    <row r="267" spans="1:11" x14ac:dyDescent="0.25">
      <c r="A267" s="1">
        <v>45394</v>
      </c>
      <c r="B267">
        <v>2</v>
      </c>
      <c r="C267">
        <v>3173.8380000000002</v>
      </c>
      <c r="D267">
        <v>0</v>
      </c>
      <c r="E267">
        <f t="shared" si="24"/>
        <v>3173.8380000000002</v>
      </c>
      <c r="F267">
        <v>1327.203</v>
      </c>
      <c r="G267">
        <f t="shared" si="25"/>
        <v>1846.6350000000002</v>
      </c>
      <c r="H267">
        <f t="shared" si="29"/>
        <v>192612.87299999999</v>
      </c>
      <c r="I267">
        <f t="shared" si="26"/>
        <v>194459.508</v>
      </c>
      <c r="J267">
        <f t="shared" si="27"/>
        <v>0</v>
      </c>
      <c r="K267">
        <f t="shared" si="28"/>
        <v>194459.508</v>
      </c>
    </row>
    <row r="268" spans="1:11" x14ac:dyDescent="0.25">
      <c r="A268" s="1">
        <v>45394</v>
      </c>
      <c r="B268">
        <v>3</v>
      </c>
      <c r="C268">
        <v>3074.85</v>
      </c>
      <c r="D268">
        <v>0</v>
      </c>
      <c r="E268">
        <f t="shared" si="24"/>
        <v>3074.85</v>
      </c>
      <c r="F268">
        <v>1241.3140000000001</v>
      </c>
      <c r="G268">
        <f t="shared" si="25"/>
        <v>1833.5359999999998</v>
      </c>
      <c r="H268">
        <f t="shared" si="29"/>
        <v>194459.508</v>
      </c>
      <c r="I268">
        <f t="shared" si="26"/>
        <v>196293.04399999999</v>
      </c>
      <c r="J268">
        <f t="shared" si="27"/>
        <v>0</v>
      </c>
      <c r="K268">
        <f t="shared" si="28"/>
        <v>196293.04399999999</v>
      </c>
    </row>
    <row r="269" spans="1:11" x14ac:dyDescent="0.25">
      <c r="A269" s="1">
        <v>45394</v>
      </c>
      <c r="B269">
        <v>4</v>
      </c>
      <c r="C269">
        <v>2967.7</v>
      </c>
      <c r="D269">
        <v>0</v>
      </c>
      <c r="E269">
        <f t="shared" si="24"/>
        <v>2967.7</v>
      </c>
      <c r="F269">
        <v>1243.8579999999999</v>
      </c>
      <c r="G269">
        <f t="shared" si="25"/>
        <v>1723.8419999999999</v>
      </c>
      <c r="H269">
        <f t="shared" si="29"/>
        <v>196293.04399999999</v>
      </c>
      <c r="I269">
        <f t="shared" si="26"/>
        <v>198016.886</v>
      </c>
      <c r="J269">
        <f t="shared" si="27"/>
        <v>0</v>
      </c>
      <c r="K269">
        <f t="shared" si="28"/>
        <v>198016.886</v>
      </c>
    </row>
    <row r="270" spans="1:11" x14ac:dyDescent="0.25">
      <c r="A270" s="1">
        <v>45394</v>
      </c>
      <c r="B270">
        <v>5</v>
      </c>
      <c r="C270">
        <v>2681.7750000000001</v>
      </c>
      <c r="D270">
        <v>0</v>
      </c>
      <c r="E270">
        <f t="shared" si="24"/>
        <v>2681.7750000000001</v>
      </c>
      <c r="F270">
        <v>1864.7170000000001</v>
      </c>
      <c r="G270">
        <f t="shared" si="25"/>
        <v>817.05799999999999</v>
      </c>
      <c r="H270">
        <f t="shared" si="29"/>
        <v>198016.886</v>
      </c>
      <c r="I270">
        <f t="shared" si="26"/>
        <v>198833.94399999999</v>
      </c>
      <c r="J270">
        <f t="shared" si="27"/>
        <v>0</v>
      </c>
      <c r="K270">
        <f t="shared" si="28"/>
        <v>198833.94399999999</v>
      </c>
    </row>
    <row r="271" spans="1:11" x14ac:dyDescent="0.25">
      <c r="A271" s="1">
        <v>45394</v>
      </c>
      <c r="B271">
        <v>6</v>
      </c>
      <c r="C271">
        <v>2472.538</v>
      </c>
      <c r="D271">
        <v>6.7</v>
      </c>
      <c r="E271">
        <f t="shared" si="24"/>
        <v>2479.2379999999998</v>
      </c>
      <c r="F271">
        <v>3088.0329999999999</v>
      </c>
      <c r="G271">
        <f t="shared" si="25"/>
        <v>-608.79500000000007</v>
      </c>
      <c r="H271">
        <f t="shared" si="29"/>
        <v>198833.94399999999</v>
      </c>
      <c r="I271">
        <f t="shared" si="26"/>
        <v>198225.14899999998</v>
      </c>
      <c r="J271">
        <f t="shared" si="27"/>
        <v>0</v>
      </c>
      <c r="K271">
        <f t="shared" si="28"/>
        <v>198225.14899999998</v>
      </c>
    </row>
    <row r="272" spans="1:11" x14ac:dyDescent="0.25">
      <c r="A272" s="1">
        <v>45394</v>
      </c>
      <c r="B272">
        <v>7</v>
      </c>
      <c r="C272">
        <v>2407.9380000000001</v>
      </c>
      <c r="D272">
        <v>319.18799999999999</v>
      </c>
      <c r="E272">
        <f t="shared" si="24"/>
        <v>2727.1260000000002</v>
      </c>
      <c r="F272">
        <v>4206.6270000000004</v>
      </c>
      <c r="G272">
        <f t="shared" si="25"/>
        <v>-1479.5010000000002</v>
      </c>
      <c r="H272">
        <f t="shared" si="29"/>
        <v>198225.14899999998</v>
      </c>
      <c r="I272">
        <f t="shared" si="26"/>
        <v>196745.64799999999</v>
      </c>
      <c r="J272">
        <f t="shared" si="27"/>
        <v>0</v>
      </c>
      <c r="K272">
        <f t="shared" si="28"/>
        <v>196745.64799999999</v>
      </c>
    </row>
    <row r="273" spans="1:11" x14ac:dyDescent="0.25">
      <c r="A273" s="1">
        <v>45394</v>
      </c>
      <c r="B273">
        <v>8</v>
      </c>
      <c r="C273">
        <v>2295.8380000000002</v>
      </c>
      <c r="D273">
        <v>1527.6</v>
      </c>
      <c r="E273">
        <f t="shared" si="24"/>
        <v>3823.4380000000001</v>
      </c>
      <c r="F273">
        <v>6096.5280000000002</v>
      </c>
      <c r="G273">
        <f t="shared" si="25"/>
        <v>-2273.09</v>
      </c>
      <c r="H273">
        <f t="shared" si="29"/>
        <v>196745.64799999999</v>
      </c>
      <c r="I273">
        <f t="shared" si="26"/>
        <v>194472.55799999999</v>
      </c>
      <c r="J273">
        <f t="shared" si="27"/>
        <v>0</v>
      </c>
      <c r="K273">
        <f t="shared" si="28"/>
        <v>194472.55799999999</v>
      </c>
    </row>
    <row r="274" spans="1:11" x14ac:dyDescent="0.25">
      <c r="A274" s="1">
        <v>45394</v>
      </c>
      <c r="B274">
        <v>9</v>
      </c>
      <c r="C274">
        <v>1778.85</v>
      </c>
      <c r="D274">
        <v>3144.538</v>
      </c>
      <c r="E274">
        <f t="shared" si="24"/>
        <v>4923.3879999999999</v>
      </c>
      <c r="F274">
        <v>6828.107</v>
      </c>
      <c r="G274">
        <f t="shared" si="25"/>
        <v>-1904.7190000000001</v>
      </c>
      <c r="H274">
        <f t="shared" si="29"/>
        <v>194472.55799999999</v>
      </c>
      <c r="I274">
        <f t="shared" si="26"/>
        <v>192567.83899999998</v>
      </c>
      <c r="J274">
        <f t="shared" si="27"/>
        <v>0</v>
      </c>
      <c r="K274">
        <f t="shared" si="28"/>
        <v>192567.83899999998</v>
      </c>
    </row>
    <row r="275" spans="1:11" x14ac:dyDescent="0.25">
      <c r="A275" s="1">
        <v>45394</v>
      </c>
      <c r="B275">
        <v>10</v>
      </c>
      <c r="C275">
        <v>1540.3130000000001</v>
      </c>
      <c r="D275">
        <v>4851.7129999999997</v>
      </c>
      <c r="E275">
        <f t="shared" si="24"/>
        <v>6392.0259999999998</v>
      </c>
      <c r="F275">
        <v>7620.9809999999998</v>
      </c>
      <c r="G275">
        <f t="shared" si="25"/>
        <v>-1228.9549999999999</v>
      </c>
      <c r="H275">
        <f t="shared" si="29"/>
        <v>192567.83899999998</v>
      </c>
      <c r="I275">
        <f t="shared" si="26"/>
        <v>191338.88399999999</v>
      </c>
      <c r="J275">
        <f t="shared" si="27"/>
        <v>0</v>
      </c>
      <c r="K275">
        <f t="shared" si="28"/>
        <v>191338.88399999999</v>
      </c>
    </row>
    <row r="276" spans="1:11" x14ac:dyDescent="0.25">
      <c r="A276" s="1">
        <v>45394</v>
      </c>
      <c r="B276">
        <v>11</v>
      </c>
      <c r="C276">
        <v>1619.088</v>
      </c>
      <c r="D276">
        <v>6000.0879999999997</v>
      </c>
      <c r="E276">
        <f t="shared" si="24"/>
        <v>7619.1759999999995</v>
      </c>
      <c r="F276">
        <v>7599.5690000000004</v>
      </c>
      <c r="G276">
        <f t="shared" si="25"/>
        <v>19.606999999999061</v>
      </c>
      <c r="H276">
        <f t="shared" si="29"/>
        <v>191338.88399999999</v>
      </c>
      <c r="I276">
        <f t="shared" si="26"/>
        <v>191358.49099999998</v>
      </c>
      <c r="J276">
        <f t="shared" si="27"/>
        <v>0</v>
      </c>
      <c r="K276">
        <f t="shared" si="28"/>
        <v>191358.49099999998</v>
      </c>
    </row>
    <row r="277" spans="1:11" x14ac:dyDescent="0.25">
      <c r="A277" s="1">
        <v>45394</v>
      </c>
      <c r="B277">
        <v>12</v>
      </c>
      <c r="C277">
        <v>2047.963</v>
      </c>
      <c r="D277">
        <v>6624.1</v>
      </c>
      <c r="E277">
        <f t="shared" si="24"/>
        <v>8672.0630000000001</v>
      </c>
      <c r="F277">
        <v>7725.8609999999999</v>
      </c>
      <c r="G277">
        <f t="shared" si="25"/>
        <v>946.20200000000023</v>
      </c>
      <c r="H277">
        <f t="shared" si="29"/>
        <v>191358.49099999998</v>
      </c>
      <c r="I277">
        <f t="shared" si="26"/>
        <v>192304.69299999997</v>
      </c>
      <c r="J277">
        <f t="shared" si="27"/>
        <v>0</v>
      </c>
      <c r="K277">
        <f t="shared" si="28"/>
        <v>192304.69299999997</v>
      </c>
    </row>
    <row r="278" spans="1:11" x14ac:dyDescent="0.25">
      <c r="A278" s="1">
        <v>45394</v>
      </c>
      <c r="B278">
        <v>13</v>
      </c>
      <c r="C278">
        <v>2346.5500000000002</v>
      </c>
      <c r="D278">
        <v>7019.0129999999999</v>
      </c>
      <c r="E278">
        <f t="shared" si="24"/>
        <v>9365.5630000000001</v>
      </c>
      <c r="F278">
        <v>8048.7529999999997</v>
      </c>
      <c r="G278">
        <f t="shared" si="25"/>
        <v>1316.8100000000004</v>
      </c>
      <c r="H278">
        <f t="shared" si="29"/>
        <v>192304.69299999997</v>
      </c>
      <c r="I278">
        <f t="shared" si="26"/>
        <v>193621.50299999997</v>
      </c>
      <c r="J278">
        <f t="shared" si="27"/>
        <v>0</v>
      </c>
      <c r="K278">
        <f t="shared" si="28"/>
        <v>193621.50299999997</v>
      </c>
    </row>
    <row r="279" spans="1:11" x14ac:dyDescent="0.25">
      <c r="A279" s="1">
        <v>45394</v>
      </c>
      <c r="B279">
        <v>14</v>
      </c>
      <c r="C279">
        <v>2456.4749999999999</v>
      </c>
      <c r="D279">
        <v>7136.65</v>
      </c>
      <c r="E279">
        <f t="shared" si="24"/>
        <v>9593.125</v>
      </c>
      <c r="F279">
        <v>7603.973</v>
      </c>
      <c r="G279">
        <f t="shared" si="25"/>
        <v>1989.152</v>
      </c>
      <c r="H279">
        <f t="shared" si="29"/>
        <v>193621.50299999997</v>
      </c>
      <c r="I279">
        <f t="shared" si="26"/>
        <v>195610.65499999997</v>
      </c>
      <c r="J279">
        <f t="shared" si="27"/>
        <v>0</v>
      </c>
      <c r="K279">
        <f t="shared" si="28"/>
        <v>195610.65499999997</v>
      </c>
    </row>
    <row r="280" spans="1:11" x14ac:dyDescent="0.25">
      <c r="A280" s="1">
        <v>45394</v>
      </c>
      <c r="B280">
        <v>15</v>
      </c>
      <c r="C280">
        <v>2641.05</v>
      </c>
      <c r="D280">
        <v>6773.8130000000001</v>
      </c>
      <c r="E280">
        <f t="shared" si="24"/>
        <v>9414.8630000000012</v>
      </c>
      <c r="F280">
        <v>7838.9440000000004</v>
      </c>
      <c r="G280">
        <f t="shared" si="25"/>
        <v>1575.9190000000008</v>
      </c>
      <c r="H280">
        <f t="shared" si="29"/>
        <v>195610.65499999997</v>
      </c>
      <c r="I280">
        <f t="shared" si="26"/>
        <v>197186.57399999996</v>
      </c>
      <c r="J280">
        <f t="shared" si="27"/>
        <v>0</v>
      </c>
      <c r="K280">
        <f t="shared" si="28"/>
        <v>197186.57399999996</v>
      </c>
    </row>
    <row r="281" spans="1:11" x14ac:dyDescent="0.25">
      <c r="A281" s="1">
        <v>45394</v>
      </c>
      <c r="B281">
        <v>16</v>
      </c>
      <c r="C281">
        <v>2535.6999999999998</v>
      </c>
      <c r="D281">
        <v>6178.1750000000002</v>
      </c>
      <c r="E281">
        <f t="shared" si="24"/>
        <v>8713.875</v>
      </c>
      <c r="F281">
        <v>8057.5609999999997</v>
      </c>
      <c r="G281">
        <f t="shared" si="25"/>
        <v>656.31400000000031</v>
      </c>
      <c r="H281">
        <f t="shared" si="29"/>
        <v>197186.57399999996</v>
      </c>
      <c r="I281">
        <f t="shared" si="26"/>
        <v>197842.88799999998</v>
      </c>
      <c r="J281">
        <f t="shared" si="27"/>
        <v>0</v>
      </c>
      <c r="K281">
        <f t="shared" si="28"/>
        <v>197842.88799999998</v>
      </c>
    </row>
    <row r="282" spans="1:11" x14ac:dyDescent="0.25">
      <c r="A282" s="1">
        <v>45394</v>
      </c>
      <c r="B282">
        <v>17</v>
      </c>
      <c r="C282">
        <v>2506.4250000000002</v>
      </c>
      <c r="D282">
        <v>4660.6379999999999</v>
      </c>
      <c r="E282">
        <f t="shared" si="24"/>
        <v>7167.0630000000001</v>
      </c>
      <c r="F282">
        <v>7775.1409999999996</v>
      </c>
      <c r="G282">
        <f t="shared" si="25"/>
        <v>-608.07799999999952</v>
      </c>
      <c r="H282">
        <f t="shared" si="29"/>
        <v>197842.88799999998</v>
      </c>
      <c r="I282">
        <f t="shared" si="26"/>
        <v>197234.80999999997</v>
      </c>
      <c r="J282">
        <f t="shared" si="27"/>
        <v>0</v>
      </c>
      <c r="K282">
        <f t="shared" si="28"/>
        <v>197234.80999999997</v>
      </c>
    </row>
    <row r="283" spans="1:11" x14ac:dyDescent="0.25">
      <c r="A283" s="1">
        <v>45394</v>
      </c>
      <c r="B283">
        <v>18</v>
      </c>
      <c r="C283">
        <v>2113.7629999999999</v>
      </c>
      <c r="D283">
        <v>2813.1880000000001</v>
      </c>
      <c r="E283">
        <f t="shared" si="24"/>
        <v>4926.951</v>
      </c>
      <c r="F283">
        <v>7138.9210000000003</v>
      </c>
      <c r="G283">
        <f t="shared" si="25"/>
        <v>-2211.9700000000003</v>
      </c>
      <c r="H283">
        <f t="shared" si="29"/>
        <v>197234.80999999997</v>
      </c>
      <c r="I283">
        <f t="shared" si="26"/>
        <v>195022.83999999997</v>
      </c>
      <c r="J283">
        <f t="shared" si="27"/>
        <v>0</v>
      </c>
      <c r="K283">
        <f t="shared" si="28"/>
        <v>195022.83999999997</v>
      </c>
    </row>
    <row r="284" spans="1:11" x14ac:dyDescent="0.25">
      <c r="A284" s="1">
        <v>45394</v>
      </c>
      <c r="B284">
        <v>19</v>
      </c>
      <c r="C284">
        <v>1639.45</v>
      </c>
      <c r="D284">
        <v>1075.4880000000001</v>
      </c>
      <c r="E284">
        <f t="shared" si="24"/>
        <v>2714.9380000000001</v>
      </c>
      <c r="F284">
        <v>6379.6149999999998</v>
      </c>
      <c r="G284">
        <f t="shared" si="25"/>
        <v>-3664.6769999999997</v>
      </c>
      <c r="H284">
        <f t="shared" si="29"/>
        <v>195022.83999999997</v>
      </c>
      <c r="I284">
        <f t="shared" si="26"/>
        <v>191358.16299999997</v>
      </c>
      <c r="J284">
        <f t="shared" si="27"/>
        <v>0</v>
      </c>
      <c r="K284">
        <f t="shared" si="28"/>
        <v>191358.16299999997</v>
      </c>
    </row>
    <row r="285" spans="1:11" x14ac:dyDescent="0.25">
      <c r="A285" s="1">
        <v>45394</v>
      </c>
      <c r="B285">
        <v>20</v>
      </c>
      <c r="C285">
        <v>1887.0630000000001</v>
      </c>
      <c r="D285">
        <v>273.91300000000001</v>
      </c>
      <c r="E285">
        <f t="shared" si="24"/>
        <v>2160.9760000000001</v>
      </c>
      <c r="F285">
        <v>6206.9</v>
      </c>
      <c r="G285">
        <f t="shared" si="25"/>
        <v>-4045.9239999999995</v>
      </c>
      <c r="H285">
        <f t="shared" si="29"/>
        <v>191358.16299999997</v>
      </c>
      <c r="I285">
        <f t="shared" si="26"/>
        <v>187312.23899999997</v>
      </c>
      <c r="J285">
        <f t="shared" si="27"/>
        <v>0</v>
      </c>
      <c r="K285">
        <f t="shared" si="28"/>
        <v>187312.23899999997</v>
      </c>
    </row>
    <row r="286" spans="1:11" x14ac:dyDescent="0.25">
      <c r="A286" s="1">
        <v>45394</v>
      </c>
      <c r="B286">
        <v>21</v>
      </c>
      <c r="C286">
        <v>2483.0129999999999</v>
      </c>
      <c r="D286">
        <v>0</v>
      </c>
      <c r="E286">
        <f t="shared" si="24"/>
        <v>2483.0129999999999</v>
      </c>
      <c r="F286">
        <v>4822.8869999999997</v>
      </c>
      <c r="G286">
        <f t="shared" si="25"/>
        <v>-2339.8739999999998</v>
      </c>
      <c r="H286">
        <f t="shared" si="29"/>
        <v>187312.23899999997</v>
      </c>
      <c r="I286">
        <f t="shared" si="26"/>
        <v>184972.36499999996</v>
      </c>
      <c r="J286">
        <f t="shared" si="27"/>
        <v>0</v>
      </c>
      <c r="K286">
        <f t="shared" si="28"/>
        <v>184972.36499999996</v>
      </c>
    </row>
    <row r="287" spans="1:11" x14ac:dyDescent="0.25">
      <c r="A287" s="1">
        <v>45394</v>
      </c>
      <c r="B287">
        <v>22</v>
      </c>
      <c r="C287">
        <v>3017.25</v>
      </c>
      <c r="D287">
        <v>0</v>
      </c>
      <c r="E287">
        <f t="shared" si="24"/>
        <v>3017.25</v>
      </c>
      <c r="F287">
        <v>4655.1890000000003</v>
      </c>
      <c r="G287">
        <f t="shared" si="25"/>
        <v>-1637.9390000000003</v>
      </c>
      <c r="H287">
        <f t="shared" si="29"/>
        <v>184972.36499999996</v>
      </c>
      <c r="I287">
        <f t="shared" si="26"/>
        <v>183334.42599999995</v>
      </c>
      <c r="J287">
        <f t="shared" si="27"/>
        <v>0</v>
      </c>
      <c r="K287">
        <f t="shared" si="28"/>
        <v>183334.42599999995</v>
      </c>
    </row>
    <row r="288" spans="1:11" x14ac:dyDescent="0.25">
      <c r="A288" s="1">
        <v>45394</v>
      </c>
      <c r="B288">
        <v>23</v>
      </c>
      <c r="C288">
        <v>3583.2130000000002</v>
      </c>
      <c r="D288">
        <v>0</v>
      </c>
      <c r="E288">
        <f t="shared" si="24"/>
        <v>3583.2130000000002</v>
      </c>
      <c r="F288">
        <v>2883.951</v>
      </c>
      <c r="G288">
        <f t="shared" si="25"/>
        <v>699.26200000000017</v>
      </c>
      <c r="H288">
        <f t="shared" si="29"/>
        <v>183334.42599999995</v>
      </c>
      <c r="I288">
        <f t="shared" si="26"/>
        <v>184033.68799999994</v>
      </c>
      <c r="J288">
        <f t="shared" si="27"/>
        <v>0</v>
      </c>
      <c r="K288">
        <f t="shared" si="28"/>
        <v>184033.68799999994</v>
      </c>
    </row>
    <row r="289" spans="1:11" x14ac:dyDescent="0.25">
      <c r="A289" s="1">
        <v>45394</v>
      </c>
      <c r="B289">
        <v>24</v>
      </c>
      <c r="C289">
        <v>4276.1000000000004</v>
      </c>
      <c r="D289">
        <v>0</v>
      </c>
      <c r="E289">
        <f t="shared" si="24"/>
        <v>4276.1000000000004</v>
      </c>
      <c r="F289">
        <v>1693.2539999999999</v>
      </c>
      <c r="G289">
        <f t="shared" si="25"/>
        <v>2582.8460000000005</v>
      </c>
      <c r="H289">
        <f t="shared" si="29"/>
        <v>184033.68799999994</v>
      </c>
      <c r="I289">
        <f t="shared" si="26"/>
        <v>186616.53399999993</v>
      </c>
      <c r="J289">
        <f t="shared" si="27"/>
        <v>0</v>
      </c>
      <c r="K289">
        <f t="shared" si="28"/>
        <v>186616.53399999993</v>
      </c>
    </row>
    <row r="290" spans="1:11" x14ac:dyDescent="0.25">
      <c r="A290" s="1">
        <v>45395</v>
      </c>
      <c r="B290">
        <v>1</v>
      </c>
      <c r="C290">
        <v>4388.3130000000001</v>
      </c>
      <c r="D290">
        <v>0</v>
      </c>
      <c r="E290">
        <f t="shared" si="24"/>
        <v>4388.3130000000001</v>
      </c>
      <c r="F290">
        <v>1686.421</v>
      </c>
      <c r="G290">
        <f t="shared" si="25"/>
        <v>2701.8919999999998</v>
      </c>
      <c r="H290">
        <f t="shared" si="29"/>
        <v>186616.53399999993</v>
      </c>
      <c r="I290">
        <f t="shared" si="26"/>
        <v>189318.42599999992</v>
      </c>
      <c r="J290">
        <f t="shared" si="27"/>
        <v>0</v>
      </c>
      <c r="K290">
        <f t="shared" si="28"/>
        <v>189318.42599999992</v>
      </c>
    </row>
    <row r="291" spans="1:11" x14ac:dyDescent="0.25">
      <c r="A291" s="1">
        <v>45395</v>
      </c>
      <c r="B291">
        <v>2</v>
      </c>
      <c r="C291">
        <v>4199.5129999999999</v>
      </c>
      <c r="D291">
        <v>0</v>
      </c>
      <c r="E291">
        <f t="shared" si="24"/>
        <v>4199.5129999999999</v>
      </c>
      <c r="F291">
        <v>1474.67</v>
      </c>
      <c r="G291">
        <f t="shared" si="25"/>
        <v>2724.8429999999998</v>
      </c>
      <c r="H291">
        <f t="shared" si="29"/>
        <v>189318.42599999992</v>
      </c>
      <c r="I291">
        <f t="shared" si="26"/>
        <v>192043.26899999991</v>
      </c>
      <c r="J291">
        <f t="shared" si="27"/>
        <v>0</v>
      </c>
      <c r="K291">
        <f t="shared" si="28"/>
        <v>192043.26899999991</v>
      </c>
    </row>
    <row r="292" spans="1:11" x14ac:dyDescent="0.25">
      <c r="A292" s="1">
        <v>45395</v>
      </c>
      <c r="B292">
        <v>3</v>
      </c>
      <c r="C292">
        <v>4164.5379999999996</v>
      </c>
      <c r="D292">
        <v>0</v>
      </c>
      <c r="E292">
        <f t="shared" si="24"/>
        <v>4164.5379999999996</v>
      </c>
      <c r="F292">
        <v>1379.2380000000001</v>
      </c>
      <c r="G292">
        <f t="shared" si="25"/>
        <v>2785.2999999999993</v>
      </c>
      <c r="H292">
        <f t="shared" si="29"/>
        <v>192043.26899999991</v>
      </c>
      <c r="I292">
        <f t="shared" si="26"/>
        <v>194828.5689999999</v>
      </c>
      <c r="J292">
        <f t="shared" si="27"/>
        <v>0</v>
      </c>
      <c r="K292">
        <f t="shared" si="28"/>
        <v>194828.5689999999</v>
      </c>
    </row>
    <row r="293" spans="1:11" x14ac:dyDescent="0.25">
      <c r="A293" s="1">
        <v>45395</v>
      </c>
      <c r="B293">
        <v>4</v>
      </c>
      <c r="C293">
        <v>3954.7750000000001</v>
      </c>
      <c r="D293">
        <v>0</v>
      </c>
      <c r="E293">
        <f t="shared" si="24"/>
        <v>3954.7750000000001</v>
      </c>
      <c r="F293">
        <v>1218.73</v>
      </c>
      <c r="G293">
        <f t="shared" si="25"/>
        <v>2736.0450000000001</v>
      </c>
      <c r="H293">
        <f t="shared" si="29"/>
        <v>194828.5689999999</v>
      </c>
      <c r="I293">
        <f t="shared" si="26"/>
        <v>197564.61399999991</v>
      </c>
      <c r="J293">
        <f t="shared" si="27"/>
        <v>0</v>
      </c>
      <c r="K293">
        <f t="shared" si="28"/>
        <v>197564.61399999991</v>
      </c>
    </row>
    <row r="294" spans="1:11" x14ac:dyDescent="0.25">
      <c r="A294" s="1">
        <v>45395</v>
      </c>
      <c r="B294">
        <v>5</v>
      </c>
      <c r="C294">
        <v>3833.3249999999998</v>
      </c>
      <c r="D294">
        <v>0</v>
      </c>
      <c r="E294">
        <f t="shared" si="24"/>
        <v>3833.3249999999998</v>
      </c>
      <c r="F294">
        <v>1827.046</v>
      </c>
      <c r="G294">
        <f t="shared" si="25"/>
        <v>2006.2789999999998</v>
      </c>
      <c r="H294">
        <f t="shared" si="29"/>
        <v>197564.61399999991</v>
      </c>
      <c r="I294">
        <f t="shared" si="26"/>
        <v>199570.89299999992</v>
      </c>
      <c r="J294">
        <f t="shared" si="27"/>
        <v>0</v>
      </c>
      <c r="K294">
        <f t="shared" si="28"/>
        <v>199570.89299999992</v>
      </c>
    </row>
    <row r="295" spans="1:11" x14ac:dyDescent="0.25">
      <c r="A295" s="1">
        <v>45395</v>
      </c>
      <c r="B295">
        <v>6</v>
      </c>
      <c r="C295">
        <v>3715.1750000000002</v>
      </c>
      <c r="D295">
        <v>45.475000000000001</v>
      </c>
      <c r="E295">
        <f t="shared" si="24"/>
        <v>3760.65</v>
      </c>
      <c r="F295">
        <v>3025.6489999999999</v>
      </c>
      <c r="G295">
        <f t="shared" si="25"/>
        <v>735.0010000000002</v>
      </c>
      <c r="H295">
        <f t="shared" si="29"/>
        <v>199570.89299999992</v>
      </c>
      <c r="I295">
        <f t="shared" si="26"/>
        <v>200000</v>
      </c>
      <c r="J295">
        <f t="shared" si="27"/>
        <v>0</v>
      </c>
      <c r="K295">
        <f t="shared" si="28"/>
        <v>200000</v>
      </c>
    </row>
    <row r="296" spans="1:11" x14ac:dyDescent="0.25">
      <c r="A296" s="1">
        <v>45395</v>
      </c>
      <c r="B296">
        <v>7</v>
      </c>
      <c r="C296">
        <v>3703.163</v>
      </c>
      <c r="D296">
        <v>473.51299999999998</v>
      </c>
      <c r="E296">
        <f t="shared" si="24"/>
        <v>4176.6760000000004</v>
      </c>
      <c r="F296">
        <v>4121.6450000000004</v>
      </c>
      <c r="G296">
        <f t="shared" si="25"/>
        <v>55.030999999999949</v>
      </c>
      <c r="H296">
        <f t="shared" si="29"/>
        <v>200000</v>
      </c>
      <c r="I296">
        <f t="shared" si="26"/>
        <v>200000</v>
      </c>
      <c r="J296">
        <f t="shared" si="27"/>
        <v>0</v>
      </c>
      <c r="K296">
        <f t="shared" si="28"/>
        <v>200000</v>
      </c>
    </row>
    <row r="297" spans="1:11" x14ac:dyDescent="0.25">
      <c r="A297" s="1">
        <v>45395</v>
      </c>
      <c r="B297">
        <v>8</v>
      </c>
      <c r="C297">
        <v>3279.1</v>
      </c>
      <c r="D297">
        <v>1814.3</v>
      </c>
      <c r="E297">
        <f t="shared" si="24"/>
        <v>5093.3999999999996</v>
      </c>
      <c r="F297">
        <v>6913.5879999999997</v>
      </c>
      <c r="G297">
        <f t="shared" si="25"/>
        <v>-1820.1880000000001</v>
      </c>
      <c r="H297">
        <f t="shared" si="29"/>
        <v>200000</v>
      </c>
      <c r="I297">
        <f t="shared" si="26"/>
        <v>198179.81200000001</v>
      </c>
      <c r="J297">
        <f t="shared" si="27"/>
        <v>0</v>
      </c>
      <c r="K297">
        <f t="shared" si="28"/>
        <v>198179.81200000001</v>
      </c>
    </row>
    <row r="298" spans="1:11" x14ac:dyDescent="0.25">
      <c r="A298" s="1">
        <v>45395</v>
      </c>
      <c r="B298">
        <v>9</v>
      </c>
      <c r="C298">
        <v>3139.8</v>
      </c>
      <c r="D298">
        <v>3936.6750000000002</v>
      </c>
      <c r="E298">
        <f t="shared" si="24"/>
        <v>7076.4750000000004</v>
      </c>
      <c r="F298">
        <v>7743.2139999999999</v>
      </c>
      <c r="G298">
        <f t="shared" si="25"/>
        <v>-666.73899999999958</v>
      </c>
      <c r="H298">
        <f t="shared" si="29"/>
        <v>198179.81200000001</v>
      </c>
      <c r="I298">
        <f t="shared" si="26"/>
        <v>197513.073</v>
      </c>
      <c r="J298">
        <f t="shared" si="27"/>
        <v>0</v>
      </c>
      <c r="K298">
        <f t="shared" si="28"/>
        <v>197513.073</v>
      </c>
    </row>
    <row r="299" spans="1:11" x14ac:dyDescent="0.25">
      <c r="A299" s="1">
        <v>45395</v>
      </c>
      <c r="B299">
        <v>10</v>
      </c>
      <c r="C299">
        <v>3365.2249999999999</v>
      </c>
      <c r="D299">
        <v>5956.6130000000003</v>
      </c>
      <c r="E299">
        <f t="shared" si="24"/>
        <v>9321.8379999999997</v>
      </c>
      <c r="F299">
        <v>8642.35</v>
      </c>
      <c r="G299">
        <f t="shared" si="25"/>
        <v>679.48799999999937</v>
      </c>
      <c r="H299">
        <f t="shared" si="29"/>
        <v>197513.073</v>
      </c>
      <c r="I299">
        <f t="shared" si="26"/>
        <v>198192.56100000002</v>
      </c>
      <c r="J299">
        <f t="shared" si="27"/>
        <v>0</v>
      </c>
      <c r="K299">
        <f t="shared" si="28"/>
        <v>198192.56100000002</v>
      </c>
    </row>
    <row r="300" spans="1:11" x14ac:dyDescent="0.25">
      <c r="A300" s="1">
        <v>45395</v>
      </c>
      <c r="B300">
        <v>11</v>
      </c>
      <c r="C300">
        <v>3626.2379999999998</v>
      </c>
      <c r="D300">
        <v>7713.0379999999996</v>
      </c>
      <c r="E300">
        <f t="shared" si="24"/>
        <v>11339.276</v>
      </c>
      <c r="F300">
        <v>8618.0679999999993</v>
      </c>
      <c r="G300">
        <f t="shared" si="25"/>
        <v>2721.2080000000005</v>
      </c>
      <c r="H300">
        <f t="shared" si="29"/>
        <v>198192.56100000002</v>
      </c>
      <c r="I300">
        <f t="shared" si="26"/>
        <v>200000</v>
      </c>
      <c r="J300">
        <f t="shared" si="27"/>
        <v>0</v>
      </c>
      <c r="K300">
        <f t="shared" si="28"/>
        <v>200000</v>
      </c>
    </row>
    <row r="301" spans="1:11" x14ac:dyDescent="0.25">
      <c r="A301" s="1">
        <v>45395</v>
      </c>
      <c r="B301">
        <v>12</v>
      </c>
      <c r="C301">
        <v>3878.9630000000002</v>
      </c>
      <c r="D301">
        <v>8376.7630000000008</v>
      </c>
      <c r="E301">
        <f t="shared" si="24"/>
        <v>12255.726000000001</v>
      </c>
      <c r="F301">
        <v>8761.2849999999999</v>
      </c>
      <c r="G301">
        <f t="shared" si="25"/>
        <v>3494.4410000000007</v>
      </c>
      <c r="H301">
        <f t="shared" si="29"/>
        <v>200000</v>
      </c>
      <c r="I301">
        <f t="shared" si="26"/>
        <v>200000</v>
      </c>
      <c r="J301">
        <f t="shared" si="27"/>
        <v>0</v>
      </c>
      <c r="K301">
        <f t="shared" si="28"/>
        <v>200000</v>
      </c>
    </row>
    <row r="302" spans="1:11" x14ac:dyDescent="0.25">
      <c r="A302" s="1">
        <v>45395</v>
      </c>
      <c r="B302">
        <v>13</v>
      </c>
      <c r="C302">
        <v>4186.2879999999996</v>
      </c>
      <c r="D302">
        <v>8718.6</v>
      </c>
      <c r="E302">
        <f t="shared" si="24"/>
        <v>12904.887999999999</v>
      </c>
      <c r="F302">
        <v>9127.4519999999993</v>
      </c>
      <c r="G302">
        <f t="shared" si="25"/>
        <v>3777.4359999999997</v>
      </c>
      <c r="H302">
        <f t="shared" si="29"/>
        <v>200000</v>
      </c>
      <c r="I302">
        <f t="shared" si="26"/>
        <v>200000</v>
      </c>
      <c r="J302">
        <f t="shared" si="27"/>
        <v>0</v>
      </c>
      <c r="K302">
        <f t="shared" si="28"/>
        <v>200000</v>
      </c>
    </row>
    <row r="303" spans="1:11" x14ac:dyDescent="0.25">
      <c r="A303" s="1">
        <v>45395</v>
      </c>
      <c r="B303">
        <v>14</v>
      </c>
      <c r="C303">
        <v>4575.2629999999999</v>
      </c>
      <c r="D303">
        <v>9145.2880000000005</v>
      </c>
      <c r="E303">
        <f t="shared" si="24"/>
        <v>13720.550999999999</v>
      </c>
      <c r="F303">
        <v>7212.0150000000003</v>
      </c>
      <c r="G303">
        <f t="shared" si="25"/>
        <v>6508.5359999999991</v>
      </c>
      <c r="H303">
        <f t="shared" si="29"/>
        <v>200000</v>
      </c>
      <c r="I303">
        <f t="shared" si="26"/>
        <v>200000</v>
      </c>
      <c r="J303">
        <f t="shared" si="27"/>
        <v>0</v>
      </c>
      <c r="K303">
        <f t="shared" si="28"/>
        <v>200000</v>
      </c>
    </row>
    <row r="304" spans="1:11" x14ac:dyDescent="0.25">
      <c r="A304" s="1">
        <v>45395</v>
      </c>
      <c r="B304">
        <v>15</v>
      </c>
      <c r="C304">
        <v>4728.1379999999999</v>
      </c>
      <c r="D304">
        <v>8144.0749999999998</v>
      </c>
      <c r="E304">
        <f t="shared" si="24"/>
        <v>12872.213</v>
      </c>
      <c r="F304">
        <v>7434.875</v>
      </c>
      <c r="G304">
        <f t="shared" si="25"/>
        <v>5437.3379999999997</v>
      </c>
      <c r="H304">
        <f t="shared" si="29"/>
        <v>200000</v>
      </c>
      <c r="I304">
        <f t="shared" si="26"/>
        <v>200000</v>
      </c>
      <c r="J304">
        <f t="shared" si="27"/>
        <v>0</v>
      </c>
      <c r="K304">
        <f t="shared" si="28"/>
        <v>200000</v>
      </c>
    </row>
    <row r="305" spans="1:11" x14ac:dyDescent="0.25">
      <c r="A305" s="1">
        <v>45395</v>
      </c>
      <c r="B305">
        <v>16</v>
      </c>
      <c r="C305">
        <v>4374.7879999999996</v>
      </c>
      <c r="D305">
        <v>6291.4750000000004</v>
      </c>
      <c r="E305">
        <f t="shared" si="24"/>
        <v>10666.262999999999</v>
      </c>
      <c r="F305">
        <v>7487.8339999999998</v>
      </c>
      <c r="G305">
        <f t="shared" si="25"/>
        <v>3178.4289999999992</v>
      </c>
      <c r="H305">
        <f t="shared" si="29"/>
        <v>200000</v>
      </c>
      <c r="I305">
        <f t="shared" si="26"/>
        <v>200000</v>
      </c>
      <c r="J305">
        <f t="shared" si="27"/>
        <v>0</v>
      </c>
      <c r="K305">
        <f t="shared" si="28"/>
        <v>200000</v>
      </c>
    </row>
    <row r="306" spans="1:11" x14ac:dyDescent="0.25">
      <c r="A306" s="1">
        <v>45395</v>
      </c>
      <c r="B306">
        <v>17</v>
      </c>
      <c r="C306">
        <v>3919.3249999999998</v>
      </c>
      <c r="D306">
        <v>4863.9380000000001</v>
      </c>
      <c r="E306">
        <f t="shared" si="24"/>
        <v>8783.262999999999</v>
      </c>
      <c r="F306">
        <v>7225.3829999999998</v>
      </c>
      <c r="G306">
        <f t="shared" si="25"/>
        <v>1557.8799999999992</v>
      </c>
      <c r="H306">
        <f t="shared" si="29"/>
        <v>200000</v>
      </c>
      <c r="I306">
        <f t="shared" si="26"/>
        <v>200000</v>
      </c>
      <c r="J306">
        <f t="shared" si="27"/>
        <v>0</v>
      </c>
      <c r="K306">
        <f t="shared" si="28"/>
        <v>200000</v>
      </c>
    </row>
    <row r="307" spans="1:11" x14ac:dyDescent="0.25">
      <c r="A307" s="1">
        <v>45395</v>
      </c>
      <c r="B307">
        <v>18</v>
      </c>
      <c r="C307">
        <v>3067.6880000000001</v>
      </c>
      <c r="D307">
        <v>3051.0880000000002</v>
      </c>
      <c r="E307">
        <f t="shared" si="24"/>
        <v>6118.7759999999998</v>
      </c>
      <c r="F307">
        <v>6634.1490000000003</v>
      </c>
      <c r="G307">
        <f t="shared" si="25"/>
        <v>-515.3730000000005</v>
      </c>
      <c r="H307">
        <f t="shared" si="29"/>
        <v>200000</v>
      </c>
      <c r="I307">
        <f t="shared" si="26"/>
        <v>199484.62700000001</v>
      </c>
      <c r="J307">
        <f t="shared" si="27"/>
        <v>0</v>
      </c>
      <c r="K307">
        <f t="shared" si="28"/>
        <v>199484.62700000001</v>
      </c>
    </row>
    <row r="308" spans="1:11" x14ac:dyDescent="0.25">
      <c r="A308" s="1">
        <v>45395</v>
      </c>
      <c r="B308">
        <v>19</v>
      </c>
      <c r="C308">
        <v>1823</v>
      </c>
      <c r="D308">
        <v>1224.5250000000001</v>
      </c>
      <c r="E308">
        <f t="shared" si="24"/>
        <v>3047.5250000000001</v>
      </c>
      <c r="F308">
        <v>7088.4610000000002</v>
      </c>
      <c r="G308">
        <f t="shared" si="25"/>
        <v>-4040.9360000000001</v>
      </c>
      <c r="H308">
        <f t="shared" si="29"/>
        <v>199484.62700000001</v>
      </c>
      <c r="I308">
        <f t="shared" si="26"/>
        <v>195443.69100000002</v>
      </c>
      <c r="J308">
        <f t="shared" si="27"/>
        <v>0</v>
      </c>
      <c r="K308">
        <f t="shared" si="28"/>
        <v>195443.69100000002</v>
      </c>
    </row>
    <row r="309" spans="1:11" x14ac:dyDescent="0.25">
      <c r="A309" s="1">
        <v>45395</v>
      </c>
      <c r="B309">
        <v>20</v>
      </c>
      <c r="C309">
        <v>1388.1880000000001</v>
      </c>
      <c r="D309">
        <v>241.863</v>
      </c>
      <c r="E309">
        <f t="shared" si="24"/>
        <v>1630.0510000000002</v>
      </c>
      <c r="F309">
        <v>6896.5559999999996</v>
      </c>
      <c r="G309">
        <f t="shared" si="25"/>
        <v>-5266.5049999999992</v>
      </c>
      <c r="H309">
        <f t="shared" si="29"/>
        <v>195443.69100000002</v>
      </c>
      <c r="I309">
        <f t="shared" si="26"/>
        <v>190177.18600000002</v>
      </c>
      <c r="J309">
        <f t="shared" si="27"/>
        <v>0</v>
      </c>
      <c r="K309">
        <f t="shared" si="28"/>
        <v>190177.18600000002</v>
      </c>
    </row>
    <row r="310" spans="1:11" x14ac:dyDescent="0.25">
      <c r="A310" s="1">
        <v>45395</v>
      </c>
      <c r="B310">
        <v>21</v>
      </c>
      <c r="C310">
        <v>1684.8</v>
      </c>
      <c r="D310">
        <v>0</v>
      </c>
      <c r="E310">
        <f t="shared" si="24"/>
        <v>1684.8</v>
      </c>
      <c r="F310">
        <v>5358.7640000000001</v>
      </c>
      <c r="G310">
        <f t="shared" si="25"/>
        <v>-3673.9639999999999</v>
      </c>
      <c r="H310">
        <f t="shared" si="29"/>
        <v>190177.18600000002</v>
      </c>
      <c r="I310">
        <f t="shared" si="26"/>
        <v>186503.22200000001</v>
      </c>
      <c r="J310">
        <f t="shared" si="27"/>
        <v>0</v>
      </c>
      <c r="K310">
        <f t="shared" si="28"/>
        <v>186503.22200000001</v>
      </c>
    </row>
    <row r="311" spans="1:11" x14ac:dyDescent="0.25">
      <c r="A311" s="1">
        <v>45395</v>
      </c>
      <c r="B311">
        <v>22</v>
      </c>
      <c r="C311">
        <v>2293.1379999999999</v>
      </c>
      <c r="D311">
        <v>0</v>
      </c>
      <c r="E311">
        <f t="shared" si="24"/>
        <v>2293.1379999999999</v>
      </c>
      <c r="F311">
        <v>5172.4319999999998</v>
      </c>
      <c r="G311">
        <f t="shared" si="25"/>
        <v>-2879.2939999999999</v>
      </c>
      <c r="H311">
        <f t="shared" si="29"/>
        <v>186503.22200000001</v>
      </c>
      <c r="I311">
        <f t="shared" si="26"/>
        <v>183623.92800000001</v>
      </c>
      <c r="J311">
        <f t="shared" si="27"/>
        <v>0</v>
      </c>
      <c r="K311">
        <f t="shared" si="28"/>
        <v>183623.92800000001</v>
      </c>
    </row>
    <row r="312" spans="1:11" x14ac:dyDescent="0.25">
      <c r="A312" s="1">
        <v>45395</v>
      </c>
      <c r="B312">
        <v>23</v>
      </c>
      <c r="C312">
        <v>3020.6129999999998</v>
      </c>
      <c r="D312">
        <v>0</v>
      </c>
      <c r="E312">
        <f t="shared" si="24"/>
        <v>3020.6129999999998</v>
      </c>
      <c r="F312">
        <v>3204.39</v>
      </c>
      <c r="G312">
        <f t="shared" si="25"/>
        <v>-183.77700000000004</v>
      </c>
      <c r="H312">
        <f t="shared" si="29"/>
        <v>183623.92800000001</v>
      </c>
      <c r="I312">
        <f t="shared" si="26"/>
        <v>183440.15100000001</v>
      </c>
      <c r="J312">
        <f t="shared" si="27"/>
        <v>0</v>
      </c>
      <c r="K312">
        <f t="shared" si="28"/>
        <v>183440.15100000001</v>
      </c>
    </row>
    <row r="313" spans="1:11" x14ac:dyDescent="0.25">
      <c r="A313" s="1">
        <v>45395</v>
      </c>
      <c r="B313">
        <v>24</v>
      </c>
      <c r="C313">
        <v>3427.6</v>
      </c>
      <c r="D313">
        <v>0</v>
      </c>
      <c r="E313">
        <f t="shared" si="24"/>
        <v>3427.6</v>
      </c>
      <c r="F313">
        <v>1881.393</v>
      </c>
      <c r="G313">
        <f t="shared" si="25"/>
        <v>1546.2069999999999</v>
      </c>
      <c r="H313">
        <f t="shared" si="29"/>
        <v>183440.15100000001</v>
      </c>
      <c r="I313">
        <f t="shared" si="26"/>
        <v>184986.35800000001</v>
      </c>
      <c r="J313">
        <f t="shared" si="27"/>
        <v>0</v>
      </c>
      <c r="K313">
        <f t="shared" si="28"/>
        <v>184986.35800000001</v>
      </c>
    </row>
    <row r="314" spans="1:11" x14ac:dyDescent="0.25">
      <c r="A314" s="1">
        <v>45396</v>
      </c>
      <c r="B314">
        <v>1</v>
      </c>
      <c r="C314">
        <v>3845.3629999999998</v>
      </c>
      <c r="D314">
        <v>0</v>
      </c>
      <c r="E314">
        <f t="shared" si="24"/>
        <v>3845.3629999999998</v>
      </c>
      <c r="F314">
        <v>1707.511</v>
      </c>
      <c r="G314">
        <f t="shared" si="25"/>
        <v>2137.8519999999999</v>
      </c>
      <c r="H314">
        <f t="shared" si="29"/>
        <v>184986.35800000001</v>
      </c>
      <c r="I314">
        <f t="shared" si="26"/>
        <v>187124.21000000002</v>
      </c>
      <c r="J314">
        <f t="shared" si="27"/>
        <v>0</v>
      </c>
      <c r="K314">
        <f t="shared" si="28"/>
        <v>187124.21000000002</v>
      </c>
    </row>
    <row r="315" spans="1:11" x14ac:dyDescent="0.25">
      <c r="A315" s="1">
        <v>45396</v>
      </c>
      <c r="B315">
        <v>2</v>
      </c>
      <c r="C315">
        <v>4625.7749999999996</v>
      </c>
      <c r="D315">
        <v>0</v>
      </c>
      <c r="E315">
        <f t="shared" si="24"/>
        <v>4625.7749999999996</v>
      </c>
      <c r="F315">
        <v>1463.9449999999999</v>
      </c>
      <c r="G315">
        <f t="shared" si="25"/>
        <v>3161.83</v>
      </c>
      <c r="H315">
        <f t="shared" si="29"/>
        <v>187124.21000000002</v>
      </c>
      <c r="I315">
        <f t="shared" si="26"/>
        <v>190286.04</v>
      </c>
      <c r="J315">
        <f t="shared" si="27"/>
        <v>0</v>
      </c>
      <c r="K315">
        <f t="shared" si="28"/>
        <v>190286.04</v>
      </c>
    </row>
    <row r="316" spans="1:11" x14ac:dyDescent="0.25">
      <c r="A316" s="1">
        <v>45396</v>
      </c>
      <c r="B316">
        <v>3</v>
      </c>
      <c r="C316">
        <v>5458.9129999999996</v>
      </c>
      <c r="D316">
        <v>0</v>
      </c>
      <c r="E316">
        <f t="shared" si="24"/>
        <v>5458.9129999999996</v>
      </c>
      <c r="F316">
        <v>1369.2070000000001</v>
      </c>
      <c r="G316">
        <f t="shared" si="25"/>
        <v>4089.7059999999992</v>
      </c>
      <c r="H316">
        <f t="shared" si="29"/>
        <v>190286.04</v>
      </c>
      <c r="I316">
        <f t="shared" si="26"/>
        <v>194375.74600000001</v>
      </c>
      <c r="J316">
        <f t="shared" si="27"/>
        <v>0</v>
      </c>
      <c r="K316">
        <f t="shared" si="28"/>
        <v>194375.74600000001</v>
      </c>
    </row>
    <row r="317" spans="1:11" x14ac:dyDescent="0.25">
      <c r="A317" s="1">
        <v>45396</v>
      </c>
      <c r="B317">
        <v>4</v>
      </c>
      <c r="C317">
        <v>5633.7629999999999</v>
      </c>
      <c r="D317">
        <v>0</v>
      </c>
      <c r="E317">
        <f t="shared" si="24"/>
        <v>5633.7629999999999</v>
      </c>
      <c r="F317">
        <v>1372.0139999999999</v>
      </c>
      <c r="G317">
        <f t="shared" si="25"/>
        <v>4261.7489999999998</v>
      </c>
      <c r="H317">
        <f t="shared" si="29"/>
        <v>194375.74600000001</v>
      </c>
      <c r="I317">
        <f t="shared" si="26"/>
        <v>198637.49500000002</v>
      </c>
      <c r="J317">
        <f t="shared" si="27"/>
        <v>0</v>
      </c>
      <c r="K317">
        <f t="shared" si="28"/>
        <v>198637.49500000002</v>
      </c>
    </row>
    <row r="318" spans="1:11" x14ac:dyDescent="0.25">
      <c r="A318" s="1">
        <v>45396</v>
      </c>
      <c r="B318">
        <v>5</v>
      </c>
      <c r="C318">
        <v>5972.5</v>
      </c>
      <c r="D318">
        <v>0</v>
      </c>
      <c r="E318">
        <f t="shared" si="24"/>
        <v>5972.5</v>
      </c>
      <c r="F318">
        <v>2056.8389999999999</v>
      </c>
      <c r="G318">
        <f t="shared" si="25"/>
        <v>3915.6610000000001</v>
      </c>
      <c r="H318">
        <f t="shared" si="29"/>
        <v>198637.49500000002</v>
      </c>
      <c r="I318">
        <f t="shared" si="26"/>
        <v>200000</v>
      </c>
      <c r="J318">
        <f t="shared" si="27"/>
        <v>0</v>
      </c>
      <c r="K318">
        <f t="shared" si="28"/>
        <v>200000</v>
      </c>
    </row>
    <row r="319" spans="1:11" x14ac:dyDescent="0.25">
      <c r="A319" s="1">
        <v>45396</v>
      </c>
      <c r="B319">
        <v>6</v>
      </c>
      <c r="C319">
        <v>6276</v>
      </c>
      <c r="D319">
        <v>22.763000000000002</v>
      </c>
      <c r="E319">
        <f t="shared" si="24"/>
        <v>6298.7629999999999</v>
      </c>
      <c r="F319">
        <v>3406.194</v>
      </c>
      <c r="G319">
        <f t="shared" si="25"/>
        <v>2892.569</v>
      </c>
      <c r="H319">
        <f t="shared" si="29"/>
        <v>200000</v>
      </c>
      <c r="I319">
        <f t="shared" si="26"/>
        <v>200000</v>
      </c>
      <c r="J319">
        <f t="shared" si="27"/>
        <v>0</v>
      </c>
      <c r="K319">
        <f t="shared" si="28"/>
        <v>200000</v>
      </c>
    </row>
    <row r="320" spans="1:11" x14ac:dyDescent="0.25">
      <c r="A320" s="1">
        <v>45396</v>
      </c>
      <c r="B320">
        <v>7</v>
      </c>
      <c r="C320">
        <v>6597.65</v>
      </c>
      <c r="D320">
        <v>393.1</v>
      </c>
      <c r="E320">
        <f t="shared" si="24"/>
        <v>6990.75</v>
      </c>
      <c r="F320">
        <v>4640.0370000000003</v>
      </c>
      <c r="G320">
        <f t="shared" si="25"/>
        <v>2350.7129999999997</v>
      </c>
      <c r="H320">
        <f t="shared" si="29"/>
        <v>200000</v>
      </c>
      <c r="I320">
        <f t="shared" si="26"/>
        <v>200000</v>
      </c>
      <c r="J320">
        <f t="shared" si="27"/>
        <v>0</v>
      </c>
      <c r="K320">
        <f t="shared" si="28"/>
        <v>200000</v>
      </c>
    </row>
    <row r="321" spans="1:11" x14ac:dyDescent="0.25">
      <c r="A321" s="1">
        <v>45396</v>
      </c>
      <c r="B321">
        <v>8</v>
      </c>
      <c r="C321">
        <v>6402.85</v>
      </c>
      <c r="D321">
        <v>1521.95</v>
      </c>
      <c r="E321">
        <f t="shared" si="24"/>
        <v>7924.8</v>
      </c>
      <c r="F321">
        <v>6863.308</v>
      </c>
      <c r="G321">
        <f t="shared" si="25"/>
        <v>1061.4920000000002</v>
      </c>
      <c r="H321">
        <f t="shared" si="29"/>
        <v>200000</v>
      </c>
      <c r="I321">
        <f t="shared" si="26"/>
        <v>200000</v>
      </c>
      <c r="J321">
        <f t="shared" si="27"/>
        <v>0</v>
      </c>
      <c r="K321">
        <f t="shared" si="28"/>
        <v>200000</v>
      </c>
    </row>
    <row r="322" spans="1:11" x14ac:dyDescent="0.25">
      <c r="A322" s="1">
        <v>45396</v>
      </c>
      <c r="B322">
        <v>9</v>
      </c>
      <c r="C322">
        <v>6034.7129999999997</v>
      </c>
      <c r="D322">
        <v>2818.1129999999998</v>
      </c>
      <c r="E322">
        <f t="shared" si="24"/>
        <v>8852.8259999999991</v>
      </c>
      <c r="F322">
        <v>7686.8990000000003</v>
      </c>
      <c r="G322">
        <f t="shared" si="25"/>
        <v>1165.9269999999988</v>
      </c>
      <c r="H322">
        <f t="shared" si="29"/>
        <v>200000</v>
      </c>
      <c r="I322">
        <f t="shared" si="26"/>
        <v>200000</v>
      </c>
      <c r="J322">
        <f t="shared" si="27"/>
        <v>0</v>
      </c>
      <c r="K322">
        <f t="shared" si="28"/>
        <v>200000</v>
      </c>
    </row>
    <row r="323" spans="1:11" x14ac:dyDescent="0.25">
      <c r="A323" s="1">
        <v>45396</v>
      </c>
      <c r="B323">
        <v>10</v>
      </c>
      <c r="C323">
        <v>6372.4250000000002</v>
      </c>
      <c r="D323">
        <v>3986.95</v>
      </c>
      <c r="E323">
        <f t="shared" ref="E323:E386" si="30">C323+D323</f>
        <v>10359.375</v>
      </c>
      <c r="F323">
        <v>8579.4969999999994</v>
      </c>
      <c r="G323">
        <f t="shared" ref="G323:G386" si="31">E323-F323</f>
        <v>1779.8780000000006</v>
      </c>
      <c r="H323">
        <f t="shared" si="29"/>
        <v>200000</v>
      </c>
      <c r="I323">
        <f t="shared" ref="I323:I386" si="32">IF(H323+G323&gt;200000,200000,H323+G323)</f>
        <v>200000</v>
      </c>
      <c r="J323">
        <f t="shared" ref="J323:J386" si="33">IF(I323&lt;0,1,0)</f>
        <v>0</v>
      </c>
      <c r="K323">
        <f t="shared" ref="K323:K386" si="34">IF(J323=1,0,I323)</f>
        <v>200000</v>
      </c>
    </row>
    <row r="324" spans="1:11" x14ac:dyDescent="0.25">
      <c r="A324" s="1">
        <v>45396</v>
      </c>
      <c r="B324">
        <v>11</v>
      </c>
      <c r="C324">
        <v>6298.8379999999997</v>
      </c>
      <c r="D324">
        <v>5170.5</v>
      </c>
      <c r="E324">
        <f t="shared" si="30"/>
        <v>11469.338</v>
      </c>
      <c r="F324">
        <v>8555.3919999999998</v>
      </c>
      <c r="G324">
        <f t="shared" si="31"/>
        <v>2913.9459999999999</v>
      </c>
      <c r="H324">
        <f t="shared" ref="H324:H387" si="35">K323</f>
        <v>200000</v>
      </c>
      <c r="I324">
        <f t="shared" si="32"/>
        <v>200000</v>
      </c>
      <c r="J324">
        <f t="shared" si="33"/>
        <v>0</v>
      </c>
      <c r="K324">
        <f t="shared" si="34"/>
        <v>200000</v>
      </c>
    </row>
    <row r="325" spans="1:11" x14ac:dyDescent="0.25">
      <c r="A325" s="1">
        <v>45396</v>
      </c>
      <c r="B325">
        <v>12</v>
      </c>
      <c r="C325">
        <v>6509.4380000000001</v>
      </c>
      <c r="D325">
        <v>5239.8999999999996</v>
      </c>
      <c r="E325">
        <f t="shared" si="30"/>
        <v>11749.338</v>
      </c>
      <c r="F325">
        <v>8697.5669999999991</v>
      </c>
      <c r="G325">
        <f t="shared" si="31"/>
        <v>3051.7710000000006</v>
      </c>
      <c r="H325">
        <f t="shared" si="35"/>
        <v>200000</v>
      </c>
      <c r="I325">
        <f t="shared" si="32"/>
        <v>200000</v>
      </c>
      <c r="J325">
        <f t="shared" si="33"/>
        <v>0</v>
      </c>
      <c r="K325">
        <f t="shared" si="34"/>
        <v>200000</v>
      </c>
    </row>
    <row r="326" spans="1:11" x14ac:dyDescent="0.25">
      <c r="A326" s="1">
        <v>45396</v>
      </c>
      <c r="B326">
        <v>13</v>
      </c>
      <c r="C326">
        <v>6538.3</v>
      </c>
      <c r="D326">
        <v>5970</v>
      </c>
      <c r="E326">
        <f t="shared" si="30"/>
        <v>12508.3</v>
      </c>
      <c r="F326">
        <v>9061.07</v>
      </c>
      <c r="G326">
        <f t="shared" si="31"/>
        <v>3447.2299999999996</v>
      </c>
      <c r="H326">
        <f t="shared" si="35"/>
        <v>200000</v>
      </c>
      <c r="I326">
        <f t="shared" si="32"/>
        <v>200000</v>
      </c>
      <c r="J326">
        <f t="shared" si="33"/>
        <v>0</v>
      </c>
      <c r="K326">
        <f t="shared" si="34"/>
        <v>200000</v>
      </c>
    </row>
    <row r="327" spans="1:11" x14ac:dyDescent="0.25">
      <c r="A327" s="1">
        <v>45396</v>
      </c>
      <c r="B327">
        <v>14</v>
      </c>
      <c r="C327">
        <v>6541.3379999999997</v>
      </c>
      <c r="D327">
        <v>6004.3379999999997</v>
      </c>
      <c r="E327">
        <f t="shared" si="30"/>
        <v>12545.675999999999</v>
      </c>
      <c r="F327">
        <v>8560.3490000000002</v>
      </c>
      <c r="G327">
        <f t="shared" si="31"/>
        <v>3985.3269999999993</v>
      </c>
      <c r="H327">
        <f t="shared" si="35"/>
        <v>200000</v>
      </c>
      <c r="I327">
        <f t="shared" si="32"/>
        <v>200000</v>
      </c>
      <c r="J327">
        <f t="shared" si="33"/>
        <v>0</v>
      </c>
      <c r="K327">
        <f t="shared" si="34"/>
        <v>200000</v>
      </c>
    </row>
    <row r="328" spans="1:11" x14ac:dyDescent="0.25">
      <c r="A328" s="1">
        <v>45396</v>
      </c>
      <c r="B328">
        <v>15</v>
      </c>
      <c r="C328">
        <v>6461.2</v>
      </c>
      <c r="D328">
        <v>5506.875</v>
      </c>
      <c r="E328">
        <f t="shared" si="30"/>
        <v>11968.075000000001</v>
      </c>
      <c r="F328">
        <v>8824.8729999999996</v>
      </c>
      <c r="G328">
        <f t="shared" si="31"/>
        <v>3143.2020000000011</v>
      </c>
      <c r="H328">
        <f t="shared" si="35"/>
        <v>200000</v>
      </c>
      <c r="I328">
        <f t="shared" si="32"/>
        <v>200000</v>
      </c>
      <c r="J328">
        <f t="shared" si="33"/>
        <v>0</v>
      </c>
      <c r="K328">
        <f t="shared" si="34"/>
        <v>200000</v>
      </c>
    </row>
    <row r="329" spans="1:11" x14ac:dyDescent="0.25">
      <c r="A329" s="1">
        <v>45396</v>
      </c>
      <c r="B329">
        <v>16</v>
      </c>
      <c r="C329">
        <v>6375.2129999999997</v>
      </c>
      <c r="D329">
        <v>5212.8630000000003</v>
      </c>
      <c r="E329">
        <f t="shared" si="30"/>
        <v>11588.076000000001</v>
      </c>
      <c r="F329">
        <v>8887.7340000000004</v>
      </c>
      <c r="G329">
        <f t="shared" si="31"/>
        <v>2700.3420000000006</v>
      </c>
      <c r="H329">
        <f t="shared" si="35"/>
        <v>200000</v>
      </c>
      <c r="I329">
        <f t="shared" si="32"/>
        <v>200000</v>
      </c>
      <c r="J329">
        <f t="shared" si="33"/>
        <v>0</v>
      </c>
      <c r="K329">
        <f t="shared" si="34"/>
        <v>200000</v>
      </c>
    </row>
    <row r="330" spans="1:11" x14ac:dyDescent="0.25">
      <c r="A330" s="1">
        <v>45396</v>
      </c>
      <c r="B330">
        <v>17</v>
      </c>
      <c r="C330">
        <v>6976.7380000000003</v>
      </c>
      <c r="D330">
        <v>4309.4629999999997</v>
      </c>
      <c r="E330">
        <f t="shared" si="30"/>
        <v>11286.201000000001</v>
      </c>
      <c r="F330">
        <v>8576.2160000000003</v>
      </c>
      <c r="G330">
        <f t="shared" si="31"/>
        <v>2709.9850000000006</v>
      </c>
      <c r="H330">
        <f t="shared" si="35"/>
        <v>200000</v>
      </c>
      <c r="I330">
        <f t="shared" si="32"/>
        <v>200000</v>
      </c>
      <c r="J330">
        <f t="shared" si="33"/>
        <v>0</v>
      </c>
      <c r="K330">
        <f t="shared" si="34"/>
        <v>200000</v>
      </c>
    </row>
    <row r="331" spans="1:11" x14ac:dyDescent="0.25">
      <c r="A331" s="1">
        <v>45396</v>
      </c>
      <c r="B331">
        <v>18</v>
      </c>
      <c r="C331">
        <v>6850.1880000000001</v>
      </c>
      <c r="D331">
        <v>2943.1</v>
      </c>
      <c r="E331">
        <f t="shared" si="30"/>
        <v>9793.2880000000005</v>
      </c>
      <c r="F331">
        <v>7874.4459999999999</v>
      </c>
      <c r="G331">
        <f t="shared" si="31"/>
        <v>1918.8420000000006</v>
      </c>
      <c r="H331">
        <f t="shared" si="35"/>
        <v>200000</v>
      </c>
      <c r="I331">
        <f t="shared" si="32"/>
        <v>200000</v>
      </c>
      <c r="J331">
        <f t="shared" si="33"/>
        <v>0</v>
      </c>
      <c r="K331">
        <f t="shared" si="34"/>
        <v>200000</v>
      </c>
    </row>
    <row r="332" spans="1:11" x14ac:dyDescent="0.25">
      <c r="A332" s="1">
        <v>45396</v>
      </c>
      <c r="B332">
        <v>19</v>
      </c>
      <c r="C332">
        <v>6512.7129999999997</v>
      </c>
      <c r="D332">
        <v>1639.95</v>
      </c>
      <c r="E332">
        <f t="shared" si="30"/>
        <v>8152.6629999999996</v>
      </c>
      <c r="F332">
        <v>7036.9080000000004</v>
      </c>
      <c r="G332">
        <f t="shared" si="31"/>
        <v>1115.7549999999992</v>
      </c>
      <c r="H332">
        <f t="shared" si="35"/>
        <v>200000</v>
      </c>
      <c r="I332">
        <f t="shared" si="32"/>
        <v>200000</v>
      </c>
      <c r="J332">
        <f t="shared" si="33"/>
        <v>0</v>
      </c>
      <c r="K332">
        <f t="shared" si="34"/>
        <v>200000</v>
      </c>
    </row>
    <row r="333" spans="1:11" x14ac:dyDescent="0.25">
      <c r="A333" s="1">
        <v>45396</v>
      </c>
      <c r="B333">
        <v>20</v>
      </c>
      <c r="C333">
        <v>5602.85</v>
      </c>
      <c r="D333">
        <v>401.43799999999999</v>
      </c>
      <c r="E333">
        <f t="shared" si="30"/>
        <v>6004.2880000000005</v>
      </c>
      <c r="F333">
        <v>6846.3990000000003</v>
      </c>
      <c r="G333">
        <f t="shared" si="31"/>
        <v>-842.11099999999988</v>
      </c>
      <c r="H333">
        <f t="shared" si="35"/>
        <v>200000</v>
      </c>
      <c r="I333">
        <f t="shared" si="32"/>
        <v>199157.889</v>
      </c>
      <c r="J333">
        <f t="shared" si="33"/>
        <v>0</v>
      </c>
      <c r="K333">
        <f t="shared" si="34"/>
        <v>199157.889</v>
      </c>
    </row>
    <row r="334" spans="1:11" x14ac:dyDescent="0.25">
      <c r="A334" s="1">
        <v>45396</v>
      </c>
      <c r="B334">
        <v>21</v>
      </c>
      <c r="C334">
        <v>5012.5749999999998</v>
      </c>
      <c r="D334">
        <v>0</v>
      </c>
      <c r="E334">
        <f t="shared" si="30"/>
        <v>5012.5749999999998</v>
      </c>
      <c r="F334">
        <v>5319.7910000000002</v>
      </c>
      <c r="G334">
        <f t="shared" si="31"/>
        <v>-307.21600000000035</v>
      </c>
      <c r="H334">
        <f t="shared" si="35"/>
        <v>199157.889</v>
      </c>
      <c r="I334">
        <f t="shared" si="32"/>
        <v>198850.67300000001</v>
      </c>
      <c r="J334">
        <f t="shared" si="33"/>
        <v>0</v>
      </c>
      <c r="K334">
        <f t="shared" si="34"/>
        <v>198850.67300000001</v>
      </c>
    </row>
    <row r="335" spans="1:11" x14ac:dyDescent="0.25">
      <c r="A335" s="1">
        <v>45396</v>
      </c>
      <c r="B335">
        <v>22</v>
      </c>
      <c r="C335">
        <v>4847.3879999999999</v>
      </c>
      <c r="D335">
        <v>0</v>
      </c>
      <c r="E335">
        <f t="shared" si="30"/>
        <v>4847.3879999999999</v>
      </c>
      <c r="F335">
        <v>5134.8140000000003</v>
      </c>
      <c r="G335">
        <f t="shared" si="31"/>
        <v>-287.42600000000039</v>
      </c>
      <c r="H335">
        <f t="shared" si="35"/>
        <v>198850.67300000001</v>
      </c>
      <c r="I335">
        <f t="shared" si="32"/>
        <v>198563.247</v>
      </c>
      <c r="J335">
        <f t="shared" si="33"/>
        <v>0</v>
      </c>
      <c r="K335">
        <f t="shared" si="34"/>
        <v>198563.247</v>
      </c>
    </row>
    <row r="336" spans="1:11" x14ac:dyDescent="0.25">
      <c r="A336" s="1">
        <v>45396</v>
      </c>
      <c r="B336">
        <v>23</v>
      </c>
      <c r="C336">
        <v>4398.375</v>
      </c>
      <c r="D336">
        <v>0</v>
      </c>
      <c r="E336">
        <f t="shared" si="30"/>
        <v>4398.375</v>
      </c>
      <c r="F336">
        <v>3181.0859999999998</v>
      </c>
      <c r="G336">
        <f t="shared" si="31"/>
        <v>1217.2890000000002</v>
      </c>
      <c r="H336">
        <f t="shared" si="35"/>
        <v>198563.247</v>
      </c>
      <c r="I336">
        <f t="shared" si="32"/>
        <v>199780.53599999999</v>
      </c>
      <c r="J336">
        <f t="shared" si="33"/>
        <v>0</v>
      </c>
      <c r="K336">
        <f t="shared" si="34"/>
        <v>199780.53599999999</v>
      </c>
    </row>
    <row r="337" spans="1:11" x14ac:dyDescent="0.25">
      <c r="A337" s="1">
        <v>45396</v>
      </c>
      <c r="B337">
        <v>24</v>
      </c>
      <c r="C337">
        <v>3962.788</v>
      </c>
      <c r="D337">
        <v>0</v>
      </c>
      <c r="E337">
        <f t="shared" si="30"/>
        <v>3962.788</v>
      </c>
      <c r="F337">
        <v>1867.71</v>
      </c>
      <c r="G337">
        <f t="shared" si="31"/>
        <v>2095.078</v>
      </c>
      <c r="H337">
        <f t="shared" si="35"/>
        <v>199780.53599999999</v>
      </c>
      <c r="I337">
        <f t="shared" si="32"/>
        <v>200000</v>
      </c>
      <c r="J337">
        <f t="shared" si="33"/>
        <v>0</v>
      </c>
      <c r="K337">
        <f t="shared" si="34"/>
        <v>200000</v>
      </c>
    </row>
    <row r="338" spans="1:11" x14ac:dyDescent="0.25">
      <c r="A338" s="1">
        <v>45397</v>
      </c>
      <c r="B338">
        <v>1</v>
      </c>
      <c r="C338">
        <v>3412.875</v>
      </c>
      <c r="D338">
        <v>0</v>
      </c>
      <c r="E338">
        <f t="shared" si="30"/>
        <v>3412.875</v>
      </c>
      <c r="F338">
        <v>1563.6410000000001</v>
      </c>
      <c r="G338">
        <f t="shared" si="31"/>
        <v>1849.2339999999999</v>
      </c>
      <c r="H338">
        <f t="shared" si="35"/>
        <v>200000</v>
      </c>
      <c r="I338">
        <f t="shared" si="32"/>
        <v>200000</v>
      </c>
      <c r="J338">
        <f t="shared" si="33"/>
        <v>0</v>
      </c>
      <c r="K338">
        <f t="shared" si="34"/>
        <v>200000</v>
      </c>
    </row>
    <row r="339" spans="1:11" x14ac:dyDescent="0.25">
      <c r="A339" s="1">
        <v>45397</v>
      </c>
      <c r="B339">
        <v>2</v>
      </c>
      <c r="C339">
        <v>2599.9250000000002</v>
      </c>
      <c r="D339">
        <v>0</v>
      </c>
      <c r="E339">
        <f t="shared" si="30"/>
        <v>2599.9250000000002</v>
      </c>
      <c r="F339">
        <v>1340.597</v>
      </c>
      <c r="G339">
        <f t="shared" si="31"/>
        <v>1259.3280000000002</v>
      </c>
      <c r="H339">
        <f t="shared" si="35"/>
        <v>200000</v>
      </c>
      <c r="I339">
        <f t="shared" si="32"/>
        <v>200000</v>
      </c>
      <c r="J339">
        <f t="shared" si="33"/>
        <v>0</v>
      </c>
      <c r="K339">
        <f t="shared" si="34"/>
        <v>200000</v>
      </c>
    </row>
    <row r="340" spans="1:11" x14ac:dyDescent="0.25">
      <c r="A340" s="1">
        <v>45397</v>
      </c>
      <c r="B340">
        <v>3</v>
      </c>
      <c r="C340">
        <v>2349.8629999999998</v>
      </c>
      <c r="D340">
        <v>0</v>
      </c>
      <c r="E340">
        <f t="shared" si="30"/>
        <v>2349.8629999999998</v>
      </c>
      <c r="F340">
        <v>1253.8420000000001</v>
      </c>
      <c r="G340">
        <f t="shared" si="31"/>
        <v>1096.0209999999997</v>
      </c>
      <c r="H340">
        <f t="shared" si="35"/>
        <v>200000</v>
      </c>
      <c r="I340">
        <f t="shared" si="32"/>
        <v>200000</v>
      </c>
      <c r="J340">
        <f t="shared" si="33"/>
        <v>0</v>
      </c>
      <c r="K340">
        <f t="shared" si="34"/>
        <v>200000</v>
      </c>
    </row>
    <row r="341" spans="1:11" x14ac:dyDescent="0.25">
      <c r="A341" s="1">
        <v>45397</v>
      </c>
      <c r="B341">
        <v>4</v>
      </c>
      <c r="C341">
        <v>2203.0880000000002</v>
      </c>
      <c r="D341">
        <v>0</v>
      </c>
      <c r="E341">
        <f t="shared" si="30"/>
        <v>2203.0880000000002</v>
      </c>
      <c r="F341">
        <v>1256.412</v>
      </c>
      <c r="G341">
        <f t="shared" si="31"/>
        <v>946.67600000000016</v>
      </c>
      <c r="H341">
        <f t="shared" si="35"/>
        <v>200000</v>
      </c>
      <c r="I341">
        <f t="shared" si="32"/>
        <v>200000</v>
      </c>
      <c r="J341">
        <f t="shared" si="33"/>
        <v>0</v>
      </c>
      <c r="K341">
        <f t="shared" si="34"/>
        <v>200000</v>
      </c>
    </row>
    <row r="342" spans="1:11" x14ac:dyDescent="0.25">
      <c r="A342" s="1">
        <v>45397</v>
      </c>
      <c r="B342">
        <v>5</v>
      </c>
      <c r="C342">
        <v>2138.9250000000002</v>
      </c>
      <c r="D342">
        <v>0</v>
      </c>
      <c r="E342">
        <f t="shared" si="30"/>
        <v>2138.9250000000002</v>
      </c>
      <c r="F342">
        <v>1883.5350000000001</v>
      </c>
      <c r="G342">
        <f t="shared" si="31"/>
        <v>255.3900000000001</v>
      </c>
      <c r="H342">
        <f t="shared" si="35"/>
        <v>200000</v>
      </c>
      <c r="I342">
        <f t="shared" si="32"/>
        <v>200000</v>
      </c>
      <c r="J342">
        <f t="shared" si="33"/>
        <v>0</v>
      </c>
      <c r="K342">
        <f t="shared" si="34"/>
        <v>200000</v>
      </c>
    </row>
    <row r="343" spans="1:11" x14ac:dyDescent="0.25">
      <c r="A343" s="1">
        <v>45397</v>
      </c>
      <c r="B343">
        <v>6</v>
      </c>
      <c r="C343">
        <v>2209.0880000000002</v>
      </c>
      <c r="D343">
        <v>41.738</v>
      </c>
      <c r="E343">
        <f t="shared" si="30"/>
        <v>2250.826</v>
      </c>
      <c r="F343">
        <v>3119.1979999999999</v>
      </c>
      <c r="G343">
        <f t="shared" si="31"/>
        <v>-868.37199999999984</v>
      </c>
      <c r="H343">
        <f t="shared" si="35"/>
        <v>200000</v>
      </c>
      <c r="I343">
        <f t="shared" si="32"/>
        <v>199131.628</v>
      </c>
      <c r="J343">
        <f t="shared" si="33"/>
        <v>0</v>
      </c>
      <c r="K343">
        <f t="shared" si="34"/>
        <v>199131.628</v>
      </c>
    </row>
    <row r="344" spans="1:11" x14ac:dyDescent="0.25">
      <c r="A344" s="1">
        <v>45397</v>
      </c>
      <c r="B344">
        <v>7</v>
      </c>
      <c r="C344">
        <v>2132.9630000000002</v>
      </c>
      <c r="D344">
        <v>265.21300000000002</v>
      </c>
      <c r="E344">
        <f t="shared" si="30"/>
        <v>2398.1760000000004</v>
      </c>
      <c r="F344">
        <v>4249.0810000000001</v>
      </c>
      <c r="G344">
        <f t="shared" si="31"/>
        <v>-1850.9049999999997</v>
      </c>
      <c r="H344">
        <f t="shared" si="35"/>
        <v>199131.628</v>
      </c>
      <c r="I344">
        <f t="shared" si="32"/>
        <v>197280.723</v>
      </c>
      <c r="J344">
        <f t="shared" si="33"/>
        <v>0</v>
      </c>
      <c r="K344">
        <f t="shared" si="34"/>
        <v>197280.723</v>
      </c>
    </row>
    <row r="345" spans="1:11" x14ac:dyDescent="0.25">
      <c r="A345" s="1">
        <v>45397</v>
      </c>
      <c r="B345">
        <v>8</v>
      </c>
      <c r="C345">
        <v>1704.163</v>
      </c>
      <c r="D345">
        <v>872.42499999999995</v>
      </c>
      <c r="E345">
        <f t="shared" si="30"/>
        <v>2576.5879999999997</v>
      </c>
      <c r="F345">
        <v>6285.0240000000003</v>
      </c>
      <c r="G345">
        <f t="shared" si="31"/>
        <v>-3708.4360000000006</v>
      </c>
      <c r="H345">
        <f t="shared" si="35"/>
        <v>197280.723</v>
      </c>
      <c r="I345">
        <f t="shared" si="32"/>
        <v>193572.28700000001</v>
      </c>
      <c r="J345">
        <f t="shared" si="33"/>
        <v>0</v>
      </c>
      <c r="K345">
        <f t="shared" si="34"/>
        <v>193572.28700000001</v>
      </c>
    </row>
    <row r="346" spans="1:11" x14ac:dyDescent="0.25">
      <c r="A346" s="1">
        <v>45397</v>
      </c>
      <c r="B346">
        <v>9</v>
      </c>
      <c r="C346">
        <v>1390</v>
      </c>
      <c r="D346">
        <v>2106.913</v>
      </c>
      <c r="E346">
        <f t="shared" si="30"/>
        <v>3496.913</v>
      </c>
      <c r="F346">
        <v>7039.2219999999998</v>
      </c>
      <c r="G346">
        <f t="shared" si="31"/>
        <v>-3542.3089999999997</v>
      </c>
      <c r="H346">
        <f t="shared" si="35"/>
        <v>193572.28700000001</v>
      </c>
      <c r="I346">
        <f t="shared" si="32"/>
        <v>190029.978</v>
      </c>
      <c r="J346">
        <f t="shared" si="33"/>
        <v>0</v>
      </c>
      <c r="K346">
        <f t="shared" si="34"/>
        <v>190029.978</v>
      </c>
    </row>
    <row r="347" spans="1:11" x14ac:dyDescent="0.25">
      <c r="A347" s="1">
        <v>45397</v>
      </c>
      <c r="B347">
        <v>10</v>
      </c>
      <c r="C347">
        <v>1246.6500000000001</v>
      </c>
      <c r="D347">
        <v>4120.8879999999999</v>
      </c>
      <c r="E347">
        <f t="shared" si="30"/>
        <v>5367.5380000000005</v>
      </c>
      <c r="F347">
        <v>7856.6120000000001</v>
      </c>
      <c r="G347">
        <f t="shared" si="31"/>
        <v>-2489.0739999999996</v>
      </c>
      <c r="H347">
        <f t="shared" si="35"/>
        <v>190029.978</v>
      </c>
      <c r="I347">
        <f t="shared" si="32"/>
        <v>187540.90400000001</v>
      </c>
      <c r="J347">
        <f t="shared" si="33"/>
        <v>0</v>
      </c>
      <c r="K347">
        <f t="shared" si="34"/>
        <v>187540.90400000001</v>
      </c>
    </row>
    <row r="348" spans="1:11" x14ac:dyDescent="0.25">
      <c r="A348" s="1">
        <v>45397</v>
      </c>
      <c r="B348">
        <v>11</v>
      </c>
      <c r="C348">
        <v>1263.1130000000001</v>
      </c>
      <c r="D348">
        <v>5402.05</v>
      </c>
      <c r="E348">
        <f t="shared" si="30"/>
        <v>6665.1630000000005</v>
      </c>
      <c r="F348">
        <v>7834.5379999999996</v>
      </c>
      <c r="G348">
        <f t="shared" si="31"/>
        <v>-1169.3749999999991</v>
      </c>
      <c r="H348">
        <f t="shared" si="35"/>
        <v>187540.90400000001</v>
      </c>
      <c r="I348">
        <f t="shared" si="32"/>
        <v>186371.52900000001</v>
      </c>
      <c r="J348">
        <f t="shared" si="33"/>
        <v>0</v>
      </c>
      <c r="K348">
        <f t="shared" si="34"/>
        <v>186371.52900000001</v>
      </c>
    </row>
    <row r="349" spans="1:11" x14ac:dyDescent="0.25">
      <c r="A349" s="1">
        <v>45397</v>
      </c>
      <c r="B349">
        <v>12</v>
      </c>
      <c r="C349">
        <v>1257.0129999999999</v>
      </c>
      <c r="D349">
        <v>6184.7879999999996</v>
      </c>
      <c r="E349">
        <f t="shared" si="30"/>
        <v>7441.8009999999995</v>
      </c>
      <c r="F349">
        <v>7964.7340000000004</v>
      </c>
      <c r="G349">
        <f t="shared" si="31"/>
        <v>-522.9330000000009</v>
      </c>
      <c r="H349">
        <f t="shared" si="35"/>
        <v>186371.52900000001</v>
      </c>
      <c r="I349">
        <f t="shared" si="32"/>
        <v>185848.59600000002</v>
      </c>
      <c r="J349">
        <f t="shared" si="33"/>
        <v>0</v>
      </c>
      <c r="K349">
        <f t="shared" si="34"/>
        <v>185848.59600000002</v>
      </c>
    </row>
    <row r="350" spans="1:11" x14ac:dyDescent="0.25">
      <c r="A350" s="1">
        <v>45397</v>
      </c>
      <c r="B350">
        <v>13</v>
      </c>
      <c r="C350">
        <v>1076.1500000000001</v>
      </c>
      <c r="D350">
        <v>6366.5379999999996</v>
      </c>
      <c r="E350">
        <f t="shared" si="30"/>
        <v>7442.6880000000001</v>
      </c>
      <c r="F350">
        <v>8297.6090000000004</v>
      </c>
      <c r="G350">
        <f t="shared" si="31"/>
        <v>-854.92100000000028</v>
      </c>
      <c r="H350">
        <f t="shared" si="35"/>
        <v>185848.59600000002</v>
      </c>
      <c r="I350">
        <f t="shared" si="32"/>
        <v>184993.67500000002</v>
      </c>
      <c r="J350">
        <f t="shared" si="33"/>
        <v>0</v>
      </c>
      <c r="K350">
        <f t="shared" si="34"/>
        <v>184993.67500000002</v>
      </c>
    </row>
    <row r="351" spans="1:11" x14ac:dyDescent="0.25">
      <c r="A351" s="1">
        <v>45397</v>
      </c>
      <c r="B351">
        <v>14</v>
      </c>
      <c r="C351">
        <v>842.32500000000005</v>
      </c>
      <c r="D351">
        <v>5958.9880000000003</v>
      </c>
      <c r="E351">
        <f t="shared" si="30"/>
        <v>6801.3130000000001</v>
      </c>
      <c r="F351">
        <v>7839.0770000000002</v>
      </c>
      <c r="G351">
        <f t="shared" si="31"/>
        <v>-1037.7640000000001</v>
      </c>
      <c r="H351">
        <f t="shared" si="35"/>
        <v>184993.67500000002</v>
      </c>
      <c r="I351">
        <f t="shared" si="32"/>
        <v>183955.91100000002</v>
      </c>
      <c r="J351">
        <f t="shared" si="33"/>
        <v>0</v>
      </c>
      <c r="K351">
        <f t="shared" si="34"/>
        <v>183955.91100000002</v>
      </c>
    </row>
    <row r="352" spans="1:11" x14ac:dyDescent="0.25">
      <c r="A352" s="1">
        <v>45397</v>
      </c>
      <c r="B352">
        <v>15</v>
      </c>
      <c r="C352">
        <v>685.6</v>
      </c>
      <c r="D352">
        <v>5267.6379999999999</v>
      </c>
      <c r="E352">
        <f t="shared" si="30"/>
        <v>5953.2380000000003</v>
      </c>
      <c r="F352">
        <v>8081.3140000000003</v>
      </c>
      <c r="G352">
        <f t="shared" si="31"/>
        <v>-2128.076</v>
      </c>
      <c r="H352">
        <f t="shared" si="35"/>
        <v>183955.91100000002</v>
      </c>
      <c r="I352">
        <f t="shared" si="32"/>
        <v>181827.83500000002</v>
      </c>
      <c r="J352">
        <f t="shared" si="33"/>
        <v>0</v>
      </c>
      <c r="K352">
        <f t="shared" si="34"/>
        <v>181827.83500000002</v>
      </c>
    </row>
    <row r="353" spans="1:11" x14ac:dyDescent="0.25">
      <c r="A353" s="1">
        <v>45397</v>
      </c>
      <c r="B353">
        <v>16</v>
      </c>
      <c r="C353">
        <v>696.32500000000005</v>
      </c>
      <c r="D353">
        <v>4558.4250000000002</v>
      </c>
      <c r="E353">
        <f t="shared" si="30"/>
        <v>5254.75</v>
      </c>
      <c r="F353">
        <v>8138.8779999999997</v>
      </c>
      <c r="G353">
        <f t="shared" si="31"/>
        <v>-2884.1279999999997</v>
      </c>
      <c r="H353">
        <f t="shared" si="35"/>
        <v>181827.83500000002</v>
      </c>
      <c r="I353">
        <f t="shared" si="32"/>
        <v>178943.70700000002</v>
      </c>
      <c r="J353">
        <f t="shared" si="33"/>
        <v>0</v>
      </c>
      <c r="K353">
        <f t="shared" si="34"/>
        <v>178943.70700000002</v>
      </c>
    </row>
    <row r="354" spans="1:11" x14ac:dyDescent="0.25">
      <c r="A354" s="1">
        <v>45397</v>
      </c>
      <c r="B354">
        <v>17</v>
      </c>
      <c r="C354">
        <v>668.73800000000006</v>
      </c>
      <c r="D354">
        <v>3536.1129999999998</v>
      </c>
      <c r="E354">
        <f t="shared" si="30"/>
        <v>4204.8509999999997</v>
      </c>
      <c r="F354">
        <v>7853.6080000000002</v>
      </c>
      <c r="G354">
        <f t="shared" si="31"/>
        <v>-3648.7570000000005</v>
      </c>
      <c r="H354">
        <f t="shared" si="35"/>
        <v>178943.70700000002</v>
      </c>
      <c r="I354">
        <f t="shared" si="32"/>
        <v>175294.95</v>
      </c>
      <c r="J354">
        <f t="shared" si="33"/>
        <v>0</v>
      </c>
      <c r="K354">
        <f t="shared" si="34"/>
        <v>175294.95</v>
      </c>
    </row>
    <row r="355" spans="1:11" x14ac:dyDescent="0.25">
      <c r="A355" s="1">
        <v>45397</v>
      </c>
      <c r="B355">
        <v>18</v>
      </c>
      <c r="C355">
        <v>613.68799999999999</v>
      </c>
      <c r="D355">
        <v>2229.5129999999999</v>
      </c>
      <c r="E355">
        <f t="shared" si="30"/>
        <v>2843.201</v>
      </c>
      <c r="F355">
        <v>7210.9669999999996</v>
      </c>
      <c r="G355">
        <f t="shared" si="31"/>
        <v>-4367.7659999999996</v>
      </c>
      <c r="H355">
        <f t="shared" si="35"/>
        <v>175294.95</v>
      </c>
      <c r="I355">
        <f t="shared" si="32"/>
        <v>170927.18400000001</v>
      </c>
      <c r="J355">
        <f t="shared" si="33"/>
        <v>0</v>
      </c>
      <c r="K355">
        <f t="shared" si="34"/>
        <v>170927.18400000001</v>
      </c>
    </row>
    <row r="356" spans="1:11" x14ac:dyDescent="0.25">
      <c r="A356" s="1">
        <v>45397</v>
      </c>
      <c r="B356">
        <v>19</v>
      </c>
      <c r="C356">
        <v>666.21299999999997</v>
      </c>
      <c r="D356">
        <v>1019.625</v>
      </c>
      <c r="E356">
        <f t="shared" si="30"/>
        <v>1685.838</v>
      </c>
      <c r="F356">
        <v>6443.9979999999996</v>
      </c>
      <c r="G356">
        <f t="shared" si="31"/>
        <v>-4758.16</v>
      </c>
      <c r="H356">
        <f t="shared" si="35"/>
        <v>170927.18400000001</v>
      </c>
      <c r="I356">
        <f t="shared" si="32"/>
        <v>166169.024</v>
      </c>
      <c r="J356">
        <f t="shared" si="33"/>
        <v>0</v>
      </c>
      <c r="K356">
        <f t="shared" si="34"/>
        <v>166169.024</v>
      </c>
    </row>
    <row r="357" spans="1:11" x14ac:dyDescent="0.25">
      <c r="A357" s="1">
        <v>45397</v>
      </c>
      <c r="B357">
        <v>20</v>
      </c>
      <c r="C357">
        <v>1073.825</v>
      </c>
      <c r="D357">
        <v>275.10000000000002</v>
      </c>
      <c r="E357">
        <f t="shared" si="30"/>
        <v>1348.9250000000002</v>
      </c>
      <c r="F357">
        <v>6269.54</v>
      </c>
      <c r="G357">
        <f t="shared" si="31"/>
        <v>-4920.6149999999998</v>
      </c>
      <c r="H357">
        <f t="shared" si="35"/>
        <v>166169.024</v>
      </c>
      <c r="I357">
        <f t="shared" si="32"/>
        <v>161248.40900000001</v>
      </c>
      <c r="J357">
        <f t="shared" si="33"/>
        <v>0</v>
      </c>
      <c r="K357">
        <f t="shared" si="34"/>
        <v>161248.40900000001</v>
      </c>
    </row>
    <row r="358" spans="1:11" x14ac:dyDescent="0.25">
      <c r="A358" s="1">
        <v>45397</v>
      </c>
      <c r="B358">
        <v>21</v>
      </c>
      <c r="C358">
        <v>1802.7750000000001</v>
      </c>
      <c r="D358">
        <v>16.899999999999999</v>
      </c>
      <c r="E358">
        <f t="shared" si="30"/>
        <v>1819.6750000000002</v>
      </c>
      <c r="F358">
        <v>4871.5600000000004</v>
      </c>
      <c r="G358">
        <f t="shared" si="31"/>
        <v>-3051.8850000000002</v>
      </c>
      <c r="H358">
        <f t="shared" si="35"/>
        <v>161248.40900000001</v>
      </c>
      <c r="I358">
        <f t="shared" si="32"/>
        <v>158196.524</v>
      </c>
      <c r="J358">
        <f t="shared" si="33"/>
        <v>0</v>
      </c>
      <c r="K358">
        <f t="shared" si="34"/>
        <v>158196.524</v>
      </c>
    </row>
    <row r="359" spans="1:11" x14ac:dyDescent="0.25">
      <c r="A359" s="1">
        <v>45397</v>
      </c>
      <c r="B359">
        <v>22</v>
      </c>
      <c r="C359">
        <v>2176.7379999999998</v>
      </c>
      <c r="D359">
        <v>0</v>
      </c>
      <c r="E359">
        <f t="shared" si="30"/>
        <v>2176.7379999999998</v>
      </c>
      <c r="F359">
        <v>4702.1689999999999</v>
      </c>
      <c r="G359">
        <f t="shared" si="31"/>
        <v>-2525.431</v>
      </c>
      <c r="H359">
        <f t="shared" si="35"/>
        <v>158196.524</v>
      </c>
      <c r="I359">
        <f t="shared" si="32"/>
        <v>155671.09299999999</v>
      </c>
      <c r="J359">
        <f t="shared" si="33"/>
        <v>0</v>
      </c>
      <c r="K359">
        <f t="shared" si="34"/>
        <v>155671.09299999999</v>
      </c>
    </row>
    <row r="360" spans="1:11" x14ac:dyDescent="0.25">
      <c r="A360" s="1">
        <v>45397</v>
      </c>
      <c r="B360">
        <v>23</v>
      </c>
      <c r="C360">
        <v>2737.8380000000002</v>
      </c>
      <c r="D360">
        <v>0</v>
      </c>
      <c r="E360">
        <f t="shared" si="30"/>
        <v>2737.8380000000002</v>
      </c>
      <c r="F360">
        <v>2913.056</v>
      </c>
      <c r="G360">
        <f t="shared" si="31"/>
        <v>-175.21799999999985</v>
      </c>
      <c r="H360">
        <f t="shared" si="35"/>
        <v>155671.09299999999</v>
      </c>
      <c r="I360">
        <f t="shared" si="32"/>
        <v>155495.875</v>
      </c>
      <c r="J360">
        <f t="shared" si="33"/>
        <v>0</v>
      </c>
      <c r="K360">
        <f t="shared" si="34"/>
        <v>155495.875</v>
      </c>
    </row>
    <row r="361" spans="1:11" x14ac:dyDescent="0.25">
      <c r="A361" s="1">
        <v>45397</v>
      </c>
      <c r="B361">
        <v>24</v>
      </c>
      <c r="C361">
        <v>2771.35</v>
      </c>
      <c r="D361">
        <v>0</v>
      </c>
      <c r="E361">
        <f t="shared" si="30"/>
        <v>2771.35</v>
      </c>
      <c r="F361">
        <v>1710.3420000000001</v>
      </c>
      <c r="G361">
        <f t="shared" si="31"/>
        <v>1061.0079999999998</v>
      </c>
      <c r="H361">
        <f t="shared" si="35"/>
        <v>155495.875</v>
      </c>
      <c r="I361">
        <f t="shared" si="32"/>
        <v>156556.883</v>
      </c>
      <c r="J361">
        <f t="shared" si="33"/>
        <v>0</v>
      </c>
      <c r="K361">
        <f t="shared" si="34"/>
        <v>156556.883</v>
      </c>
    </row>
    <row r="362" spans="1:11" x14ac:dyDescent="0.25">
      <c r="A362" s="1">
        <v>45398</v>
      </c>
      <c r="B362">
        <v>1</v>
      </c>
      <c r="C362">
        <v>3206.038</v>
      </c>
      <c r="D362">
        <v>0</v>
      </c>
      <c r="E362">
        <f t="shared" si="30"/>
        <v>3206.038</v>
      </c>
      <c r="F362">
        <v>1497.0039999999999</v>
      </c>
      <c r="G362">
        <f t="shared" si="31"/>
        <v>1709.0340000000001</v>
      </c>
      <c r="H362">
        <f t="shared" si="35"/>
        <v>156556.883</v>
      </c>
      <c r="I362">
        <f t="shared" si="32"/>
        <v>158265.91700000002</v>
      </c>
      <c r="J362">
        <f t="shared" si="33"/>
        <v>0</v>
      </c>
      <c r="K362">
        <f t="shared" si="34"/>
        <v>158265.91700000002</v>
      </c>
    </row>
    <row r="363" spans="1:11" x14ac:dyDescent="0.25">
      <c r="A363" s="1">
        <v>45398</v>
      </c>
      <c r="B363">
        <v>2</v>
      </c>
      <c r="C363">
        <v>3041.5749999999998</v>
      </c>
      <c r="D363">
        <v>0</v>
      </c>
      <c r="E363">
        <f t="shared" si="30"/>
        <v>3041.5749999999998</v>
      </c>
      <c r="F363">
        <v>1283.4649999999999</v>
      </c>
      <c r="G363">
        <f t="shared" si="31"/>
        <v>1758.11</v>
      </c>
      <c r="H363">
        <f t="shared" si="35"/>
        <v>158265.91700000002</v>
      </c>
      <c r="I363">
        <f t="shared" si="32"/>
        <v>160024.027</v>
      </c>
      <c r="J363">
        <f t="shared" si="33"/>
        <v>0</v>
      </c>
      <c r="K363">
        <f t="shared" si="34"/>
        <v>160024.027</v>
      </c>
    </row>
    <row r="364" spans="1:11" x14ac:dyDescent="0.25">
      <c r="A364" s="1">
        <v>45398</v>
      </c>
      <c r="B364">
        <v>3</v>
      </c>
      <c r="C364">
        <v>3059.288</v>
      </c>
      <c r="D364">
        <v>0</v>
      </c>
      <c r="E364">
        <f t="shared" si="30"/>
        <v>3059.288</v>
      </c>
      <c r="F364">
        <v>1200.4069999999999</v>
      </c>
      <c r="G364">
        <f t="shared" si="31"/>
        <v>1858.8810000000001</v>
      </c>
      <c r="H364">
        <f t="shared" si="35"/>
        <v>160024.027</v>
      </c>
      <c r="I364">
        <f t="shared" si="32"/>
        <v>161882.908</v>
      </c>
      <c r="J364">
        <f t="shared" si="33"/>
        <v>0</v>
      </c>
      <c r="K364">
        <f t="shared" si="34"/>
        <v>161882.908</v>
      </c>
    </row>
    <row r="365" spans="1:11" x14ac:dyDescent="0.25">
      <c r="A365" s="1">
        <v>45398</v>
      </c>
      <c r="B365">
        <v>4</v>
      </c>
      <c r="C365">
        <v>3767.3</v>
      </c>
      <c r="D365">
        <v>0</v>
      </c>
      <c r="E365">
        <f t="shared" si="30"/>
        <v>3767.3</v>
      </c>
      <c r="F365">
        <v>1202.8679999999999</v>
      </c>
      <c r="G365">
        <f t="shared" si="31"/>
        <v>2564.4320000000002</v>
      </c>
      <c r="H365">
        <f t="shared" si="35"/>
        <v>161882.908</v>
      </c>
      <c r="I365">
        <f t="shared" si="32"/>
        <v>164447.34</v>
      </c>
      <c r="J365">
        <f t="shared" si="33"/>
        <v>0</v>
      </c>
      <c r="K365">
        <f t="shared" si="34"/>
        <v>164447.34</v>
      </c>
    </row>
    <row r="366" spans="1:11" x14ac:dyDescent="0.25">
      <c r="A366" s="1">
        <v>45398</v>
      </c>
      <c r="B366">
        <v>5</v>
      </c>
      <c r="C366">
        <v>4547.4629999999997</v>
      </c>
      <c r="D366">
        <v>0</v>
      </c>
      <c r="E366">
        <f t="shared" si="30"/>
        <v>4547.4629999999997</v>
      </c>
      <c r="F366">
        <v>1803.2660000000001</v>
      </c>
      <c r="G366">
        <f t="shared" si="31"/>
        <v>2744.1969999999997</v>
      </c>
      <c r="H366">
        <f t="shared" si="35"/>
        <v>164447.34</v>
      </c>
      <c r="I366">
        <f t="shared" si="32"/>
        <v>167191.53699999998</v>
      </c>
      <c r="J366">
        <f t="shared" si="33"/>
        <v>0</v>
      </c>
      <c r="K366">
        <f t="shared" si="34"/>
        <v>167191.53699999998</v>
      </c>
    </row>
    <row r="367" spans="1:11" x14ac:dyDescent="0.25">
      <c r="A367" s="1">
        <v>45398</v>
      </c>
      <c r="B367">
        <v>6</v>
      </c>
      <c r="C367">
        <v>4833.8500000000004</v>
      </c>
      <c r="D367">
        <v>54.274999999999999</v>
      </c>
      <c r="E367">
        <f t="shared" si="30"/>
        <v>4888.125</v>
      </c>
      <c r="F367">
        <v>2986.2689999999998</v>
      </c>
      <c r="G367">
        <f t="shared" si="31"/>
        <v>1901.8560000000002</v>
      </c>
      <c r="H367">
        <f t="shared" si="35"/>
        <v>167191.53699999998</v>
      </c>
      <c r="I367">
        <f t="shared" si="32"/>
        <v>169093.39299999998</v>
      </c>
      <c r="J367">
        <f t="shared" si="33"/>
        <v>0</v>
      </c>
      <c r="K367">
        <f t="shared" si="34"/>
        <v>169093.39299999998</v>
      </c>
    </row>
    <row r="368" spans="1:11" x14ac:dyDescent="0.25">
      <c r="A368" s="1">
        <v>45398</v>
      </c>
      <c r="B368">
        <v>7</v>
      </c>
      <c r="C368">
        <v>5403.1750000000002</v>
      </c>
      <c r="D368">
        <v>325.81299999999999</v>
      </c>
      <c r="E368">
        <f t="shared" si="30"/>
        <v>5728.9880000000003</v>
      </c>
      <c r="F368">
        <v>4068</v>
      </c>
      <c r="G368">
        <f t="shared" si="31"/>
        <v>1660.9880000000003</v>
      </c>
      <c r="H368">
        <f t="shared" si="35"/>
        <v>169093.39299999998</v>
      </c>
      <c r="I368">
        <f t="shared" si="32"/>
        <v>170754.38099999999</v>
      </c>
      <c r="J368">
        <f t="shared" si="33"/>
        <v>0</v>
      </c>
      <c r="K368">
        <f t="shared" si="34"/>
        <v>170754.38099999999</v>
      </c>
    </row>
    <row r="369" spans="1:11" x14ac:dyDescent="0.25">
      <c r="A369" s="1">
        <v>45398</v>
      </c>
      <c r="B369">
        <v>8</v>
      </c>
      <c r="C369">
        <v>5836.0249999999996</v>
      </c>
      <c r="D369">
        <v>1107.075</v>
      </c>
      <c r="E369">
        <f t="shared" si="30"/>
        <v>6943.0999999999995</v>
      </c>
      <c r="F369">
        <v>6017.1790000000001</v>
      </c>
      <c r="G369">
        <f t="shared" si="31"/>
        <v>925.92099999999937</v>
      </c>
      <c r="H369">
        <f t="shared" si="35"/>
        <v>170754.38099999999</v>
      </c>
      <c r="I369">
        <f t="shared" si="32"/>
        <v>171680.302</v>
      </c>
      <c r="J369">
        <f t="shared" si="33"/>
        <v>0</v>
      </c>
      <c r="K369">
        <f t="shared" si="34"/>
        <v>171680.302</v>
      </c>
    </row>
    <row r="370" spans="1:11" x14ac:dyDescent="0.25">
      <c r="A370" s="1">
        <v>45398</v>
      </c>
      <c r="B370">
        <v>9</v>
      </c>
      <c r="C370">
        <v>6202.0630000000001</v>
      </c>
      <c r="D370">
        <v>2157.1129999999998</v>
      </c>
      <c r="E370">
        <f t="shared" si="30"/>
        <v>8359.1759999999995</v>
      </c>
      <c r="F370">
        <v>6739.2359999999999</v>
      </c>
      <c r="G370">
        <f t="shared" si="31"/>
        <v>1619.9399999999996</v>
      </c>
      <c r="H370">
        <f t="shared" si="35"/>
        <v>171680.302</v>
      </c>
      <c r="I370">
        <f t="shared" si="32"/>
        <v>173300.242</v>
      </c>
      <c r="J370">
        <f t="shared" si="33"/>
        <v>0</v>
      </c>
      <c r="K370">
        <f t="shared" si="34"/>
        <v>173300.242</v>
      </c>
    </row>
    <row r="371" spans="1:11" x14ac:dyDescent="0.25">
      <c r="A371" s="1">
        <v>45398</v>
      </c>
      <c r="B371">
        <v>10</v>
      </c>
      <c r="C371">
        <v>6557.2129999999997</v>
      </c>
      <c r="D371">
        <v>3077.663</v>
      </c>
      <c r="E371">
        <f t="shared" si="30"/>
        <v>9634.8760000000002</v>
      </c>
      <c r="F371">
        <v>7521.7910000000002</v>
      </c>
      <c r="G371">
        <f t="shared" si="31"/>
        <v>2113.085</v>
      </c>
      <c r="H371">
        <f t="shared" si="35"/>
        <v>173300.242</v>
      </c>
      <c r="I371">
        <f t="shared" si="32"/>
        <v>175413.32699999999</v>
      </c>
      <c r="J371">
        <f t="shared" si="33"/>
        <v>0</v>
      </c>
      <c r="K371">
        <f t="shared" si="34"/>
        <v>175413.32699999999</v>
      </c>
    </row>
    <row r="372" spans="1:11" x14ac:dyDescent="0.25">
      <c r="A372" s="1">
        <v>45398</v>
      </c>
      <c r="B372">
        <v>11</v>
      </c>
      <c r="C372">
        <v>6800.7629999999999</v>
      </c>
      <c r="D372">
        <v>4139.2</v>
      </c>
      <c r="E372">
        <f t="shared" si="30"/>
        <v>10939.963</v>
      </c>
      <c r="F372">
        <v>7500.6570000000002</v>
      </c>
      <c r="G372">
        <f t="shared" si="31"/>
        <v>3439.3059999999996</v>
      </c>
      <c r="H372">
        <f t="shared" si="35"/>
        <v>175413.32699999999</v>
      </c>
      <c r="I372">
        <f t="shared" si="32"/>
        <v>178852.633</v>
      </c>
      <c r="J372">
        <f t="shared" si="33"/>
        <v>0</v>
      </c>
      <c r="K372">
        <f t="shared" si="34"/>
        <v>178852.633</v>
      </c>
    </row>
    <row r="373" spans="1:11" x14ac:dyDescent="0.25">
      <c r="A373" s="1">
        <v>45398</v>
      </c>
      <c r="B373">
        <v>12</v>
      </c>
      <c r="C373">
        <v>6714.5</v>
      </c>
      <c r="D373">
        <v>4771.8879999999999</v>
      </c>
      <c r="E373">
        <f t="shared" si="30"/>
        <v>11486.387999999999</v>
      </c>
      <c r="F373">
        <v>7625.3050000000003</v>
      </c>
      <c r="G373">
        <f t="shared" si="31"/>
        <v>3861.0829999999987</v>
      </c>
      <c r="H373">
        <f t="shared" si="35"/>
        <v>178852.633</v>
      </c>
      <c r="I373">
        <f t="shared" si="32"/>
        <v>182713.71600000001</v>
      </c>
      <c r="J373">
        <f t="shared" si="33"/>
        <v>0</v>
      </c>
      <c r="K373">
        <f t="shared" si="34"/>
        <v>182713.71600000001</v>
      </c>
    </row>
    <row r="374" spans="1:11" x14ac:dyDescent="0.25">
      <c r="A374" s="1">
        <v>45398</v>
      </c>
      <c r="B374">
        <v>13</v>
      </c>
      <c r="C374">
        <v>6545.4380000000001</v>
      </c>
      <c r="D374">
        <v>5342.2749999999996</v>
      </c>
      <c r="E374">
        <f t="shared" si="30"/>
        <v>11887.713</v>
      </c>
      <c r="F374">
        <v>7943.9949999999999</v>
      </c>
      <c r="G374">
        <f t="shared" si="31"/>
        <v>3943.7179999999998</v>
      </c>
      <c r="H374">
        <f t="shared" si="35"/>
        <v>182713.71600000001</v>
      </c>
      <c r="I374">
        <f t="shared" si="32"/>
        <v>186657.43400000001</v>
      </c>
      <c r="J374">
        <f t="shared" si="33"/>
        <v>0</v>
      </c>
      <c r="K374">
        <f t="shared" si="34"/>
        <v>186657.43400000001</v>
      </c>
    </row>
    <row r="375" spans="1:11" x14ac:dyDescent="0.25">
      <c r="A375" s="1">
        <v>45398</v>
      </c>
      <c r="B375">
        <v>14</v>
      </c>
      <c r="C375">
        <v>6455.5749999999998</v>
      </c>
      <c r="D375">
        <v>5622.8379999999997</v>
      </c>
      <c r="E375">
        <f t="shared" si="30"/>
        <v>12078.413</v>
      </c>
      <c r="F375">
        <v>7505.0029999999997</v>
      </c>
      <c r="G375">
        <f t="shared" si="31"/>
        <v>4573.4100000000008</v>
      </c>
      <c r="H375">
        <f t="shared" si="35"/>
        <v>186657.43400000001</v>
      </c>
      <c r="I375">
        <f t="shared" si="32"/>
        <v>191230.84400000001</v>
      </c>
      <c r="J375">
        <f t="shared" si="33"/>
        <v>0</v>
      </c>
      <c r="K375">
        <f t="shared" si="34"/>
        <v>191230.84400000001</v>
      </c>
    </row>
    <row r="376" spans="1:11" x14ac:dyDescent="0.25">
      <c r="A376" s="1">
        <v>45398</v>
      </c>
      <c r="B376">
        <v>15</v>
      </c>
      <c r="C376">
        <v>6052.4250000000002</v>
      </c>
      <c r="D376">
        <v>5443.7629999999999</v>
      </c>
      <c r="E376">
        <f t="shared" si="30"/>
        <v>11496.188</v>
      </c>
      <c r="F376">
        <v>7736.9170000000004</v>
      </c>
      <c r="G376">
        <f t="shared" si="31"/>
        <v>3759.2709999999997</v>
      </c>
      <c r="H376">
        <f t="shared" si="35"/>
        <v>191230.84400000001</v>
      </c>
      <c r="I376">
        <f t="shared" si="32"/>
        <v>194990.11500000002</v>
      </c>
      <c r="J376">
        <f t="shared" si="33"/>
        <v>0</v>
      </c>
      <c r="K376">
        <f t="shared" si="34"/>
        <v>194990.11500000002</v>
      </c>
    </row>
    <row r="377" spans="1:11" x14ac:dyDescent="0.25">
      <c r="A377" s="1">
        <v>45398</v>
      </c>
      <c r="B377">
        <v>16</v>
      </c>
      <c r="C377">
        <v>5514.3249999999998</v>
      </c>
      <c r="D377">
        <v>4813.0129999999999</v>
      </c>
      <c r="E377">
        <f t="shared" si="30"/>
        <v>10327.338</v>
      </c>
      <c r="F377">
        <v>7792.027</v>
      </c>
      <c r="G377">
        <f t="shared" si="31"/>
        <v>2535.3109999999997</v>
      </c>
      <c r="H377">
        <f t="shared" si="35"/>
        <v>194990.11500000002</v>
      </c>
      <c r="I377">
        <f t="shared" si="32"/>
        <v>197525.42600000001</v>
      </c>
      <c r="J377">
        <f t="shared" si="33"/>
        <v>0</v>
      </c>
      <c r="K377">
        <f t="shared" si="34"/>
        <v>197525.42600000001</v>
      </c>
    </row>
    <row r="378" spans="1:11" x14ac:dyDescent="0.25">
      <c r="A378" s="1">
        <v>45398</v>
      </c>
      <c r="B378">
        <v>17</v>
      </c>
      <c r="C378">
        <v>4683.6379999999999</v>
      </c>
      <c r="D378">
        <v>3809.9879999999998</v>
      </c>
      <c r="E378">
        <f t="shared" si="30"/>
        <v>8493.6260000000002</v>
      </c>
      <c r="F378">
        <v>7518.915</v>
      </c>
      <c r="G378">
        <f t="shared" si="31"/>
        <v>974.71100000000024</v>
      </c>
      <c r="H378">
        <f t="shared" si="35"/>
        <v>197525.42600000001</v>
      </c>
      <c r="I378">
        <f t="shared" si="32"/>
        <v>198500.13700000002</v>
      </c>
      <c r="J378">
        <f t="shared" si="33"/>
        <v>0</v>
      </c>
      <c r="K378">
        <f t="shared" si="34"/>
        <v>198500.13700000002</v>
      </c>
    </row>
    <row r="379" spans="1:11" x14ac:dyDescent="0.25">
      <c r="A379" s="1">
        <v>45398</v>
      </c>
      <c r="B379">
        <v>18</v>
      </c>
      <c r="C379">
        <v>4193.0249999999996</v>
      </c>
      <c r="D379">
        <v>2631.1880000000001</v>
      </c>
      <c r="E379">
        <f t="shared" si="30"/>
        <v>6824.2129999999997</v>
      </c>
      <c r="F379">
        <v>6903.6610000000001</v>
      </c>
      <c r="G379">
        <f t="shared" si="31"/>
        <v>-79.44800000000032</v>
      </c>
      <c r="H379">
        <f t="shared" si="35"/>
        <v>198500.13700000002</v>
      </c>
      <c r="I379">
        <f t="shared" si="32"/>
        <v>198420.68900000001</v>
      </c>
      <c r="J379">
        <f t="shared" si="33"/>
        <v>0</v>
      </c>
      <c r="K379">
        <f t="shared" si="34"/>
        <v>198420.68900000001</v>
      </c>
    </row>
    <row r="380" spans="1:11" x14ac:dyDescent="0.25">
      <c r="A380" s="1">
        <v>45398</v>
      </c>
      <c r="B380">
        <v>19</v>
      </c>
      <c r="C380">
        <v>3605.6</v>
      </c>
      <c r="D380">
        <v>1189.2750000000001</v>
      </c>
      <c r="E380">
        <f t="shared" si="30"/>
        <v>4794.875</v>
      </c>
      <c r="F380">
        <v>6169.3770000000004</v>
      </c>
      <c r="G380">
        <f t="shared" si="31"/>
        <v>-1374.5020000000004</v>
      </c>
      <c r="H380">
        <f t="shared" si="35"/>
        <v>198420.68900000001</v>
      </c>
      <c r="I380">
        <f t="shared" si="32"/>
        <v>197046.18700000001</v>
      </c>
      <c r="J380">
        <f t="shared" si="33"/>
        <v>0</v>
      </c>
      <c r="K380">
        <f t="shared" si="34"/>
        <v>197046.18700000001</v>
      </c>
    </row>
    <row r="381" spans="1:11" x14ac:dyDescent="0.25">
      <c r="A381" s="1">
        <v>45398</v>
      </c>
      <c r="B381">
        <v>20</v>
      </c>
      <c r="C381">
        <v>3165.8130000000001</v>
      </c>
      <c r="D381">
        <v>346.08800000000002</v>
      </c>
      <c r="E381">
        <f t="shared" si="30"/>
        <v>3511.9010000000003</v>
      </c>
      <c r="F381">
        <v>6002.3549999999996</v>
      </c>
      <c r="G381">
        <f t="shared" si="31"/>
        <v>-2490.4539999999993</v>
      </c>
      <c r="H381">
        <f t="shared" si="35"/>
        <v>197046.18700000001</v>
      </c>
      <c r="I381">
        <f t="shared" si="32"/>
        <v>194555.73300000001</v>
      </c>
      <c r="J381">
        <f t="shared" si="33"/>
        <v>0</v>
      </c>
      <c r="K381">
        <f t="shared" si="34"/>
        <v>194555.73300000001</v>
      </c>
    </row>
    <row r="382" spans="1:11" x14ac:dyDescent="0.25">
      <c r="A382" s="1">
        <v>45398</v>
      </c>
      <c r="B382">
        <v>21</v>
      </c>
      <c r="C382">
        <v>3181.3629999999998</v>
      </c>
      <c r="D382">
        <v>30.324999999999999</v>
      </c>
      <c r="E382">
        <f t="shared" si="30"/>
        <v>3211.6879999999996</v>
      </c>
      <c r="F382">
        <v>4663.951</v>
      </c>
      <c r="G382">
        <f t="shared" si="31"/>
        <v>-1452.2630000000004</v>
      </c>
      <c r="H382">
        <f t="shared" si="35"/>
        <v>194555.73300000001</v>
      </c>
      <c r="I382">
        <f t="shared" si="32"/>
        <v>193103.47</v>
      </c>
      <c r="J382">
        <f t="shared" si="33"/>
        <v>0</v>
      </c>
      <c r="K382">
        <f t="shared" si="34"/>
        <v>193103.47</v>
      </c>
    </row>
    <row r="383" spans="1:11" x14ac:dyDescent="0.25">
      <c r="A383" s="1">
        <v>45398</v>
      </c>
      <c r="B383">
        <v>22</v>
      </c>
      <c r="C383">
        <v>3564.0129999999999</v>
      </c>
      <c r="D383">
        <v>0</v>
      </c>
      <c r="E383">
        <f t="shared" si="30"/>
        <v>3564.0129999999999</v>
      </c>
      <c r="F383">
        <v>4501.7790000000005</v>
      </c>
      <c r="G383">
        <f t="shared" si="31"/>
        <v>-937.76600000000053</v>
      </c>
      <c r="H383">
        <f t="shared" si="35"/>
        <v>193103.47</v>
      </c>
      <c r="I383">
        <f t="shared" si="32"/>
        <v>192165.704</v>
      </c>
      <c r="J383">
        <f t="shared" si="33"/>
        <v>0</v>
      </c>
      <c r="K383">
        <f t="shared" si="34"/>
        <v>192165.704</v>
      </c>
    </row>
    <row r="384" spans="1:11" x14ac:dyDescent="0.25">
      <c r="A384" s="1">
        <v>45398</v>
      </c>
      <c r="B384">
        <v>23</v>
      </c>
      <c r="C384">
        <v>3475.4250000000002</v>
      </c>
      <c r="D384">
        <v>0</v>
      </c>
      <c r="E384">
        <f t="shared" si="30"/>
        <v>3475.4250000000002</v>
      </c>
      <c r="F384">
        <v>2788.9119999999998</v>
      </c>
      <c r="G384">
        <f t="shared" si="31"/>
        <v>686.51300000000037</v>
      </c>
      <c r="H384">
        <f t="shared" si="35"/>
        <v>192165.704</v>
      </c>
      <c r="I384">
        <f t="shared" si="32"/>
        <v>192852.217</v>
      </c>
      <c r="J384">
        <f t="shared" si="33"/>
        <v>0</v>
      </c>
      <c r="K384">
        <f t="shared" si="34"/>
        <v>192852.217</v>
      </c>
    </row>
    <row r="385" spans="1:11" x14ac:dyDescent="0.25">
      <c r="A385" s="1">
        <v>45398</v>
      </c>
      <c r="B385">
        <v>24</v>
      </c>
      <c r="C385">
        <v>3159.6379999999999</v>
      </c>
      <c r="D385">
        <v>0</v>
      </c>
      <c r="E385">
        <f t="shared" si="30"/>
        <v>3159.6379999999999</v>
      </c>
      <c r="F385">
        <v>1637.453</v>
      </c>
      <c r="G385">
        <f t="shared" si="31"/>
        <v>1522.1849999999999</v>
      </c>
      <c r="H385">
        <f t="shared" si="35"/>
        <v>192852.217</v>
      </c>
      <c r="I385">
        <f t="shared" si="32"/>
        <v>194374.402</v>
      </c>
      <c r="J385">
        <f t="shared" si="33"/>
        <v>0</v>
      </c>
      <c r="K385">
        <f t="shared" si="34"/>
        <v>194374.402</v>
      </c>
    </row>
    <row r="386" spans="1:11" x14ac:dyDescent="0.25">
      <c r="A386" s="1">
        <v>45399</v>
      </c>
      <c r="B386">
        <v>1</v>
      </c>
      <c r="C386">
        <v>2878.875</v>
      </c>
      <c r="D386">
        <v>0</v>
      </c>
      <c r="E386">
        <f t="shared" si="30"/>
        <v>2878.875</v>
      </c>
      <c r="F386">
        <v>1461.3610000000001</v>
      </c>
      <c r="G386">
        <f t="shared" si="31"/>
        <v>1417.5139999999999</v>
      </c>
      <c r="H386">
        <f t="shared" si="35"/>
        <v>194374.402</v>
      </c>
      <c r="I386">
        <f t="shared" si="32"/>
        <v>195791.916</v>
      </c>
      <c r="J386">
        <f t="shared" si="33"/>
        <v>0</v>
      </c>
      <c r="K386">
        <f t="shared" si="34"/>
        <v>195791.916</v>
      </c>
    </row>
    <row r="387" spans="1:11" x14ac:dyDescent="0.25">
      <c r="A387" s="1">
        <v>45399</v>
      </c>
      <c r="B387">
        <v>2</v>
      </c>
      <c r="C387">
        <v>2527.9749999999999</v>
      </c>
      <c r="D387">
        <v>0</v>
      </c>
      <c r="E387">
        <f t="shared" ref="E387:E450" si="36">C387+D387</f>
        <v>2527.9749999999999</v>
      </c>
      <c r="F387">
        <v>1252.9069999999999</v>
      </c>
      <c r="G387">
        <f t="shared" ref="G387:G450" si="37">E387-F387</f>
        <v>1275.068</v>
      </c>
      <c r="H387">
        <f t="shared" si="35"/>
        <v>195791.916</v>
      </c>
      <c r="I387">
        <f t="shared" ref="I387:I450" si="38">IF(H387+G387&gt;200000,200000,H387+G387)</f>
        <v>197066.984</v>
      </c>
      <c r="J387">
        <f t="shared" ref="J387:J450" si="39">IF(I387&lt;0,1,0)</f>
        <v>0</v>
      </c>
      <c r="K387">
        <f t="shared" ref="K387:K450" si="40">IF(J387=1,0,I387)</f>
        <v>197066.984</v>
      </c>
    </row>
    <row r="388" spans="1:11" x14ac:dyDescent="0.25">
      <c r="A388" s="1">
        <v>45399</v>
      </c>
      <c r="B388">
        <v>3</v>
      </c>
      <c r="C388">
        <v>2261.4</v>
      </c>
      <c r="D388">
        <v>0</v>
      </c>
      <c r="E388">
        <f t="shared" si="36"/>
        <v>2261.4</v>
      </c>
      <c r="F388">
        <v>1171.826</v>
      </c>
      <c r="G388">
        <f t="shared" si="37"/>
        <v>1089.5740000000001</v>
      </c>
      <c r="H388">
        <f t="shared" ref="H388:H451" si="41">K387</f>
        <v>197066.984</v>
      </c>
      <c r="I388">
        <f t="shared" si="38"/>
        <v>198156.55799999999</v>
      </c>
      <c r="J388">
        <f t="shared" si="39"/>
        <v>0</v>
      </c>
      <c r="K388">
        <f t="shared" si="40"/>
        <v>198156.55799999999</v>
      </c>
    </row>
    <row r="389" spans="1:11" x14ac:dyDescent="0.25">
      <c r="A389" s="1">
        <v>45399</v>
      </c>
      <c r="B389">
        <v>4</v>
      </c>
      <c r="C389">
        <v>2010.65</v>
      </c>
      <c r="D389">
        <v>0</v>
      </c>
      <c r="E389">
        <f t="shared" si="36"/>
        <v>2010.65</v>
      </c>
      <c r="F389">
        <v>1174.2280000000001</v>
      </c>
      <c r="G389">
        <f t="shared" si="37"/>
        <v>836.42200000000003</v>
      </c>
      <c r="H389">
        <f t="shared" si="41"/>
        <v>198156.55799999999</v>
      </c>
      <c r="I389">
        <f t="shared" si="38"/>
        <v>198992.97999999998</v>
      </c>
      <c r="J389">
        <f t="shared" si="39"/>
        <v>0</v>
      </c>
      <c r="K389">
        <f t="shared" si="40"/>
        <v>198992.97999999998</v>
      </c>
    </row>
    <row r="390" spans="1:11" x14ac:dyDescent="0.25">
      <c r="A390" s="1">
        <v>45399</v>
      </c>
      <c r="B390">
        <v>5</v>
      </c>
      <c r="C390">
        <v>2118.9250000000002</v>
      </c>
      <c r="D390">
        <v>0</v>
      </c>
      <c r="E390">
        <f t="shared" si="36"/>
        <v>2118.9250000000002</v>
      </c>
      <c r="F390">
        <v>1760.3309999999999</v>
      </c>
      <c r="G390">
        <f t="shared" si="37"/>
        <v>358.59400000000028</v>
      </c>
      <c r="H390">
        <f t="shared" si="41"/>
        <v>198992.97999999998</v>
      </c>
      <c r="I390">
        <f t="shared" si="38"/>
        <v>199351.57399999999</v>
      </c>
      <c r="J390">
        <f t="shared" si="39"/>
        <v>0</v>
      </c>
      <c r="K390">
        <f t="shared" si="40"/>
        <v>199351.57399999999</v>
      </c>
    </row>
    <row r="391" spans="1:11" x14ac:dyDescent="0.25">
      <c r="A391" s="1">
        <v>45399</v>
      </c>
      <c r="B391">
        <v>6</v>
      </c>
      <c r="C391">
        <v>1950.7750000000001</v>
      </c>
      <c r="D391">
        <v>93.263000000000005</v>
      </c>
      <c r="E391">
        <f t="shared" si="36"/>
        <v>2044.038</v>
      </c>
      <c r="F391">
        <v>2915.1669999999999</v>
      </c>
      <c r="G391">
        <f t="shared" si="37"/>
        <v>-871.12899999999991</v>
      </c>
      <c r="H391">
        <f t="shared" si="41"/>
        <v>199351.57399999999</v>
      </c>
      <c r="I391">
        <f t="shared" si="38"/>
        <v>198480.44500000001</v>
      </c>
      <c r="J391">
        <f t="shared" si="39"/>
        <v>0</v>
      </c>
      <c r="K391">
        <f t="shared" si="40"/>
        <v>198480.44500000001</v>
      </c>
    </row>
    <row r="392" spans="1:11" x14ac:dyDescent="0.25">
      <c r="A392" s="1">
        <v>45399</v>
      </c>
      <c r="B392">
        <v>7</v>
      </c>
      <c r="C392">
        <v>1878.15</v>
      </c>
      <c r="D392">
        <v>431.625</v>
      </c>
      <c r="E392">
        <f t="shared" si="36"/>
        <v>2309.7750000000001</v>
      </c>
      <c r="F392">
        <v>3971.143</v>
      </c>
      <c r="G392">
        <f t="shared" si="37"/>
        <v>-1661.3679999999999</v>
      </c>
      <c r="H392">
        <f t="shared" si="41"/>
        <v>198480.44500000001</v>
      </c>
      <c r="I392">
        <f t="shared" si="38"/>
        <v>196819.07700000002</v>
      </c>
      <c r="J392">
        <f t="shared" si="39"/>
        <v>0</v>
      </c>
      <c r="K392">
        <f t="shared" si="40"/>
        <v>196819.07700000002</v>
      </c>
    </row>
    <row r="393" spans="1:11" x14ac:dyDescent="0.25">
      <c r="A393" s="1">
        <v>45399</v>
      </c>
      <c r="B393">
        <v>8</v>
      </c>
      <c r="C393">
        <v>1701.65</v>
      </c>
      <c r="D393">
        <v>1212.6379999999999</v>
      </c>
      <c r="E393">
        <f t="shared" si="36"/>
        <v>2914.288</v>
      </c>
      <c r="F393">
        <v>5873.9129999999996</v>
      </c>
      <c r="G393">
        <f t="shared" si="37"/>
        <v>-2959.6249999999995</v>
      </c>
      <c r="H393">
        <f t="shared" si="41"/>
        <v>196819.07700000002</v>
      </c>
      <c r="I393">
        <f t="shared" si="38"/>
        <v>193859.45200000002</v>
      </c>
      <c r="J393">
        <f t="shared" si="39"/>
        <v>0</v>
      </c>
      <c r="K393">
        <f t="shared" si="40"/>
        <v>193859.45200000002</v>
      </c>
    </row>
    <row r="394" spans="1:11" x14ac:dyDescent="0.25">
      <c r="A394" s="1">
        <v>45399</v>
      </c>
      <c r="B394">
        <v>9</v>
      </c>
      <c r="C394">
        <v>1884</v>
      </c>
      <c r="D394">
        <v>2365.538</v>
      </c>
      <c r="E394">
        <f t="shared" si="36"/>
        <v>4249.5380000000005</v>
      </c>
      <c r="F394">
        <v>6578.7780000000002</v>
      </c>
      <c r="G394">
        <f t="shared" si="37"/>
        <v>-2329.2399999999998</v>
      </c>
      <c r="H394">
        <f t="shared" si="41"/>
        <v>193859.45200000002</v>
      </c>
      <c r="I394">
        <f t="shared" si="38"/>
        <v>191530.21200000003</v>
      </c>
      <c r="J394">
        <f t="shared" si="39"/>
        <v>0</v>
      </c>
      <c r="K394">
        <f t="shared" si="40"/>
        <v>191530.21200000003</v>
      </c>
    </row>
    <row r="395" spans="1:11" x14ac:dyDescent="0.25">
      <c r="A395" s="1">
        <v>45399</v>
      </c>
      <c r="B395">
        <v>10</v>
      </c>
      <c r="C395">
        <v>1902.7629999999999</v>
      </c>
      <c r="D395">
        <v>3505.5129999999999</v>
      </c>
      <c r="E395">
        <f t="shared" si="36"/>
        <v>5408.2759999999998</v>
      </c>
      <c r="F395">
        <v>7342.701</v>
      </c>
      <c r="G395">
        <f t="shared" si="37"/>
        <v>-1934.4250000000002</v>
      </c>
      <c r="H395">
        <f t="shared" si="41"/>
        <v>191530.21200000003</v>
      </c>
      <c r="I395">
        <f t="shared" si="38"/>
        <v>189595.78700000004</v>
      </c>
      <c r="J395">
        <f t="shared" si="39"/>
        <v>0</v>
      </c>
      <c r="K395">
        <f t="shared" si="40"/>
        <v>189595.78700000004</v>
      </c>
    </row>
    <row r="396" spans="1:11" x14ac:dyDescent="0.25">
      <c r="A396" s="1">
        <v>45399</v>
      </c>
      <c r="B396">
        <v>11</v>
      </c>
      <c r="C396">
        <v>1701.713</v>
      </c>
      <c r="D396">
        <v>4333.3999999999996</v>
      </c>
      <c r="E396">
        <f t="shared" si="36"/>
        <v>6035.1129999999994</v>
      </c>
      <c r="F396">
        <v>7322.07</v>
      </c>
      <c r="G396">
        <f t="shared" si="37"/>
        <v>-1286.9570000000003</v>
      </c>
      <c r="H396">
        <f t="shared" si="41"/>
        <v>189595.78700000004</v>
      </c>
      <c r="I396">
        <f t="shared" si="38"/>
        <v>188308.83000000005</v>
      </c>
      <c r="J396">
        <f t="shared" si="39"/>
        <v>0</v>
      </c>
      <c r="K396">
        <f t="shared" si="40"/>
        <v>188308.83000000005</v>
      </c>
    </row>
    <row r="397" spans="1:11" x14ac:dyDescent="0.25">
      <c r="A397" s="1">
        <v>45399</v>
      </c>
      <c r="B397">
        <v>12</v>
      </c>
      <c r="C397">
        <v>1613.3</v>
      </c>
      <c r="D397">
        <v>4681.125</v>
      </c>
      <c r="E397">
        <f t="shared" si="36"/>
        <v>6294.4250000000002</v>
      </c>
      <c r="F397">
        <v>7443.75</v>
      </c>
      <c r="G397">
        <f t="shared" si="37"/>
        <v>-1149.3249999999998</v>
      </c>
      <c r="H397">
        <f t="shared" si="41"/>
        <v>188308.83000000005</v>
      </c>
      <c r="I397">
        <f t="shared" si="38"/>
        <v>187159.50500000003</v>
      </c>
      <c r="J397">
        <f t="shared" si="39"/>
        <v>0</v>
      </c>
      <c r="K397">
        <f t="shared" si="40"/>
        <v>187159.50500000003</v>
      </c>
    </row>
    <row r="398" spans="1:11" x14ac:dyDescent="0.25">
      <c r="A398" s="1">
        <v>45399</v>
      </c>
      <c r="B398">
        <v>13</v>
      </c>
      <c r="C398">
        <v>1565.875</v>
      </c>
      <c r="D398">
        <v>4732.4629999999997</v>
      </c>
      <c r="E398">
        <f t="shared" si="36"/>
        <v>6298.3379999999997</v>
      </c>
      <c r="F398">
        <v>7754.8519999999999</v>
      </c>
      <c r="G398">
        <f t="shared" si="37"/>
        <v>-1456.5140000000001</v>
      </c>
      <c r="H398">
        <f t="shared" si="41"/>
        <v>187159.50500000003</v>
      </c>
      <c r="I398">
        <f t="shared" si="38"/>
        <v>185702.99100000004</v>
      </c>
      <c r="J398">
        <f t="shared" si="39"/>
        <v>0</v>
      </c>
      <c r="K398">
        <f t="shared" si="40"/>
        <v>185702.99100000004</v>
      </c>
    </row>
    <row r="399" spans="1:11" x14ac:dyDescent="0.25">
      <c r="A399" s="1">
        <v>45399</v>
      </c>
      <c r="B399">
        <v>14</v>
      </c>
      <c r="C399">
        <v>1509.5</v>
      </c>
      <c r="D399">
        <v>4975.9250000000002</v>
      </c>
      <c r="E399">
        <f t="shared" si="36"/>
        <v>6485.4250000000002</v>
      </c>
      <c r="F399">
        <v>7326.3130000000001</v>
      </c>
      <c r="G399">
        <f t="shared" si="37"/>
        <v>-840.88799999999992</v>
      </c>
      <c r="H399">
        <f t="shared" si="41"/>
        <v>185702.99100000004</v>
      </c>
      <c r="I399">
        <f t="shared" si="38"/>
        <v>184862.10300000003</v>
      </c>
      <c r="J399">
        <f t="shared" si="39"/>
        <v>0</v>
      </c>
      <c r="K399">
        <f t="shared" si="40"/>
        <v>184862.10300000003</v>
      </c>
    </row>
    <row r="400" spans="1:11" x14ac:dyDescent="0.25">
      <c r="A400" s="1">
        <v>45399</v>
      </c>
      <c r="B400">
        <v>15</v>
      </c>
      <c r="C400">
        <v>1533.288</v>
      </c>
      <c r="D400">
        <v>4614.1130000000003</v>
      </c>
      <c r="E400">
        <f t="shared" si="36"/>
        <v>6147.4009999999998</v>
      </c>
      <c r="F400">
        <v>7552.7039999999997</v>
      </c>
      <c r="G400">
        <f t="shared" si="37"/>
        <v>-1405.3029999999999</v>
      </c>
      <c r="H400">
        <f t="shared" si="41"/>
        <v>184862.10300000003</v>
      </c>
      <c r="I400">
        <f t="shared" si="38"/>
        <v>183456.80000000005</v>
      </c>
      <c r="J400">
        <f t="shared" si="39"/>
        <v>0</v>
      </c>
      <c r="K400">
        <f t="shared" si="40"/>
        <v>183456.80000000005</v>
      </c>
    </row>
    <row r="401" spans="1:11" x14ac:dyDescent="0.25">
      <c r="A401" s="1">
        <v>45399</v>
      </c>
      <c r="B401">
        <v>16</v>
      </c>
      <c r="C401">
        <v>1480.588</v>
      </c>
      <c r="D401">
        <v>4263.0129999999999</v>
      </c>
      <c r="E401">
        <f t="shared" si="36"/>
        <v>5743.6009999999997</v>
      </c>
      <c r="F401">
        <v>7606.5029999999997</v>
      </c>
      <c r="G401">
        <f t="shared" si="37"/>
        <v>-1862.902</v>
      </c>
      <c r="H401">
        <f t="shared" si="41"/>
        <v>183456.80000000005</v>
      </c>
      <c r="I401">
        <f t="shared" si="38"/>
        <v>181593.89800000004</v>
      </c>
      <c r="J401">
        <f t="shared" si="39"/>
        <v>0</v>
      </c>
      <c r="K401">
        <f t="shared" si="40"/>
        <v>181593.89800000004</v>
      </c>
    </row>
    <row r="402" spans="1:11" x14ac:dyDescent="0.25">
      <c r="A402" s="1">
        <v>45399</v>
      </c>
      <c r="B402">
        <v>17</v>
      </c>
      <c r="C402">
        <v>1392.4</v>
      </c>
      <c r="D402">
        <v>3740.45</v>
      </c>
      <c r="E402">
        <f t="shared" si="36"/>
        <v>5132.8500000000004</v>
      </c>
      <c r="F402">
        <v>7339.893</v>
      </c>
      <c r="G402">
        <f t="shared" si="37"/>
        <v>-2207.0429999999997</v>
      </c>
      <c r="H402">
        <f t="shared" si="41"/>
        <v>181593.89800000004</v>
      </c>
      <c r="I402">
        <f t="shared" si="38"/>
        <v>179386.85500000004</v>
      </c>
      <c r="J402">
        <f t="shared" si="39"/>
        <v>0</v>
      </c>
      <c r="K402">
        <f t="shared" si="40"/>
        <v>179386.85500000004</v>
      </c>
    </row>
    <row r="403" spans="1:11" x14ac:dyDescent="0.25">
      <c r="A403" s="1">
        <v>45399</v>
      </c>
      <c r="B403">
        <v>18</v>
      </c>
      <c r="C403">
        <v>1282.713</v>
      </c>
      <c r="D403">
        <v>2461.4499999999998</v>
      </c>
      <c r="E403">
        <f t="shared" si="36"/>
        <v>3744.1629999999996</v>
      </c>
      <c r="F403">
        <v>6739.2879999999996</v>
      </c>
      <c r="G403">
        <f t="shared" si="37"/>
        <v>-2995.125</v>
      </c>
      <c r="H403">
        <f t="shared" si="41"/>
        <v>179386.85500000004</v>
      </c>
      <c r="I403">
        <f t="shared" si="38"/>
        <v>176391.73000000004</v>
      </c>
      <c r="J403">
        <f t="shared" si="39"/>
        <v>0</v>
      </c>
      <c r="K403">
        <f t="shared" si="40"/>
        <v>176391.73000000004</v>
      </c>
    </row>
    <row r="404" spans="1:11" x14ac:dyDescent="0.25">
      <c r="A404" s="1">
        <v>45399</v>
      </c>
      <c r="B404">
        <v>19</v>
      </c>
      <c r="C404">
        <v>1154.8879999999999</v>
      </c>
      <c r="D404">
        <v>1051.2380000000001</v>
      </c>
      <c r="E404">
        <f t="shared" si="36"/>
        <v>2206.1260000000002</v>
      </c>
      <c r="F404">
        <v>6022.4870000000001</v>
      </c>
      <c r="G404">
        <f t="shared" si="37"/>
        <v>-3816.3609999999999</v>
      </c>
      <c r="H404">
        <f t="shared" si="41"/>
        <v>176391.73000000004</v>
      </c>
      <c r="I404">
        <f t="shared" si="38"/>
        <v>172575.36900000004</v>
      </c>
      <c r="J404">
        <f t="shared" si="39"/>
        <v>0</v>
      </c>
      <c r="K404">
        <f t="shared" si="40"/>
        <v>172575.36900000004</v>
      </c>
    </row>
    <row r="405" spans="1:11" x14ac:dyDescent="0.25">
      <c r="A405" s="1">
        <v>45399</v>
      </c>
      <c r="B405">
        <v>20</v>
      </c>
      <c r="C405">
        <v>1046.0129999999999</v>
      </c>
      <c r="D405">
        <v>227.42500000000001</v>
      </c>
      <c r="E405">
        <f t="shared" si="36"/>
        <v>1273.4379999999999</v>
      </c>
      <c r="F405">
        <v>5859.442</v>
      </c>
      <c r="G405">
        <f t="shared" si="37"/>
        <v>-4586.0039999999999</v>
      </c>
      <c r="H405">
        <f t="shared" si="41"/>
        <v>172575.36900000004</v>
      </c>
      <c r="I405">
        <f t="shared" si="38"/>
        <v>167989.36500000005</v>
      </c>
      <c r="J405">
        <f t="shared" si="39"/>
        <v>0</v>
      </c>
      <c r="K405">
        <f t="shared" si="40"/>
        <v>167989.36500000005</v>
      </c>
    </row>
    <row r="406" spans="1:11" x14ac:dyDescent="0.25">
      <c r="A406" s="1">
        <v>45399</v>
      </c>
      <c r="B406">
        <v>21</v>
      </c>
      <c r="C406">
        <v>924.46299999999997</v>
      </c>
      <c r="D406">
        <v>5.5250000000000004</v>
      </c>
      <c r="E406">
        <f t="shared" si="36"/>
        <v>929.98799999999994</v>
      </c>
      <c r="F406">
        <v>4552.9049999999997</v>
      </c>
      <c r="G406">
        <f t="shared" si="37"/>
        <v>-3622.9169999999999</v>
      </c>
      <c r="H406">
        <f t="shared" si="41"/>
        <v>167989.36500000005</v>
      </c>
      <c r="I406">
        <f t="shared" si="38"/>
        <v>164366.44800000006</v>
      </c>
      <c r="J406">
        <f t="shared" si="39"/>
        <v>0</v>
      </c>
      <c r="K406">
        <f t="shared" si="40"/>
        <v>164366.44800000006</v>
      </c>
    </row>
    <row r="407" spans="1:11" x14ac:dyDescent="0.25">
      <c r="A407" s="1">
        <v>45399</v>
      </c>
      <c r="B407">
        <v>22</v>
      </c>
      <c r="C407">
        <v>838.05</v>
      </c>
      <c r="D407">
        <v>0</v>
      </c>
      <c r="E407">
        <f t="shared" si="36"/>
        <v>838.05</v>
      </c>
      <c r="F407">
        <v>4394.5940000000001</v>
      </c>
      <c r="G407">
        <f t="shared" si="37"/>
        <v>-3556.5439999999999</v>
      </c>
      <c r="H407">
        <f t="shared" si="41"/>
        <v>164366.44800000006</v>
      </c>
      <c r="I407">
        <f t="shared" si="38"/>
        <v>160809.90400000007</v>
      </c>
      <c r="J407">
        <f t="shared" si="39"/>
        <v>0</v>
      </c>
      <c r="K407">
        <f t="shared" si="40"/>
        <v>160809.90400000007</v>
      </c>
    </row>
    <row r="408" spans="1:11" x14ac:dyDescent="0.25">
      <c r="A408" s="1">
        <v>45399</v>
      </c>
      <c r="B408">
        <v>23</v>
      </c>
      <c r="C408">
        <v>799.63800000000003</v>
      </c>
      <c r="D408">
        <v>0</v>
      </c>
      <c r="E408">
        <f t="shared" si="36"/>
        <v>799.63800000000003</v>
      </c>
      <c r="F408">
        <v>2722.509</v>
      </c>
      <c r="G408">
        <f t="shared" si="37"/>
        <v>-1922.8710000000001</v>
      </c>
      <c r="H408">
        <f t="shared" si="41"/>
        <v>160809.90400000007</v>
      </c>
      <c r="I408">
        <f t="shared" si="38"/>
        <v>158887.03300000005</v>
      </c>
      <c r="J408">
        <f t="shared" si="39"/>
        <v>0</v>
      </c>
      <c r="K408">
        <f t="shared" si="40"/>
        <v>158887.03300000005</v>
      </c>
    </row>
    <row r="409" spans="1:11" x14ac:dyDescent="0.25">
      <c r="A409" s="1">
        <v>45399</v>
      </c>
      <c r="B409">
        <v>24</v>
      </c>
      <c r="C409">
        <v>796.38800000000003</v>
      </c>
      <c r="D409">
        <v>0</v>
      </c>
      <c r="E409">
        <f t="shared" si="36"/>
        <v>796.38800000000003</v>
      </c>
      <c r="F409">
        <v>1598.4659999999999</v>
      </c>
      <c r="G409">
        <f t="shared" si="37"/>
        <v>-802.07799999999986</v>
      </c>
      <c r="H409">
        <f t="shared" si="41"/>
        <v>158887.03300000005</v>
      </c>
      <c r="I409">
        <f t="shared" si="38"/>
        <v>158084.95500000005</v>
      </c>
      <c r="J409">
        <f t="shared" si="39"/>
        <v>0</v>
      </c>
      <c r="K409">
        <f t="shared" si="40"/>
        <v>158084.95500000005</v>
      </c>
    </row>
    <row r="410" spans="1:11" x14ac:dyDescent="0.25">
      <c r="A410" s="1">
        <v>45400</v>
      </c>
      <c r="B410">
        <v>1</v>
      </c>
      <c r="C410">
        <v>832.66300000000001</v>
      </c>
      <c r="D410">
        <v>0</v>
      </c>
      <c r="E410">
        <f t="shared" si="36"/>
        <v>832.66300000000001</v>
      </c>
      <c r="F410">
        <v>1548.144</v>
      </c>
      <c r="G410">
        <f t="shared" si="37"/>
        <v>-715.48099999999999</v>
      </c>
      <c r="H410">
        <f t="shared" si="41"/>
        <v>158084.95500000005</v>
      </c>
      <c r="I410">
        <f t="shared" si="38"/>
        <v>157369.47400000005</v>
      </c>
      <c r="J410">
        <f t="shared" si="39"/>
        <v>0</v>
      </c>
      <c r="K410">
        <f t="shared" si="40"/>
        <v>157369.47400000005</v>
      </c>
    </row>
    <row r="411" spans="1:11" x14ac:dyDescent="0.25">
      <c r="A411" s="1">
        <v>45400</v>
      </c>
      <c r="B411">
        <v>2</v>
      </c>
      <c r="C411">
        <v>983.56299999999999</v>
      </c>
      <c r="D411">
        <v>0</v>
      </c>
      <c r="E411">
        <f t="shared" si="36"/>
        <v>983.56299999999999</v>
      </c>
      <c r="F411">
        <v>1327.31</v>
      </c>
      <c r="G411">
        <f t="shared" si="37"/>
        <v>-343.74699999999996</v>
      </c>
      <c r="H411">
        <f t="shared" si="41"/>
        <v>157369.47400000005</v>
      </c>
      <c r="I411">
        <f t="shared" si="38"/>
        <v>157025.72700000004</v>
      </c>
      <c r="J411">
        <f t="shared" si="39"/>
        <v>0</v>
      </c>
      <c r="K411">
        <f t="shared" si="40"/>
        <v>157025.72700000004</v>
      </c>
    </row>
    <row r="412" spans="1:11" x14ac:dyDescent="0.25">
      <c r="A412" s="1">
        <v>45400</v>
      </c>
      <c r="B412">
        <v>3</v>
      </c>
      <c r="C412">
        <v>1133.9880000000001</v>
      </c>
      <c r="D412">
        <v>0</v>
      </c>
      <c r="E412">
        <f t="shared" si="36"/>
        <v>1133.9880000000001</v>
      </c>
      <c r="F412">
        <v>1241.415</v>
      </c>
      <c r="G412">
        <f t="shared" si="37"/>
        <v>-107.42699999999991</v>
      </c>
      <c r="H412">
        <f t="shared" si="41"/>
        <v>157025.72700000004</v>
      </c>
      <c r="I412">
        <f t="shared" si="38"/>
        <v>156918.30000000005</v>
      </c>
      <c r="J412">
        <f t="shared" si="39"/>
        <v>0</v>
      </c>
      <c r="K412">
        <f t="shared" si="40"/>
        <v>156918.30000000005</v>
      </c>
    </row>
    <row r="413" spans="1:11" x14ac:dyDescent="0.25">
      <c r="A413" s="1">
        <v>45400</v>
      </c>
      <c r="B413">
        <v>4</v>
      </c>
      <c r="C413">
        <v>1195.9000000000001</v>
      </c>
      <c r="D413">
        <v>0</v>
      </c>
      <c r="E413">
        <f t="shared" si="36"/>
        <v>1195.9000000000001</v>
      </c>
      <c r="F413">
        <v>1243.9590000000001</v>
      </c>
      <c r="G413">
        <f t="shared" si="37"/>
        <v>-48.058999999999969</v>
      </c>
      <c r="H413">
        <f t="shared" si="41"/>
        <v>156918.30000000005</v>
      </c>
      <c r="I413">
        <f t="shared" si="38"/>
        <v>156870.24100000004</v>
      </c>
      <c r="J413">
        <f t="shared" si="39"/>
        <v>0</v>
      </c>
      <c r="K413">
        <f t="shared" si="40"/>
        <v>156870.24100000004</v>
      </c>
    </row>
    <row r="414" spans="1:11" x14ac:dyDescent="0.25">
      <c r="A414" s="1">
        <v>45400</v>
      </c>
      <c r="B414">
        <v>5</v>
      </c>
      <c r="C414">
        <v>1108.713</v>
      </c>
      <c r="D414">
        <v>0</v>
      </c>
      <c r="E414">
        <f t="shared" si="36"/>
        <v>1108.713</v>
      </c>
      <c r="F414">
        <v>1864.8679999999999</v>
      </c>
      <c r="G414">
        <f t="shared" si="37"/>
        <v>-756.15499999999997</v>
      </c>
      <c r="H414">
        <f t="shared" si="41"/>
        <v>156870.24100000004</v>
      </c>
      <c r="I414">
        <f t="shared" si="38"/>
        <v>156114.08600000004</v>
      </c>
      <c r="J414">
        <f t="shared" si="39"/>
        <v>0</v>
      </c>
      <c r="K414">
        <f t="shared" si="40"/>
        <v>156114.08600000004</v>
      </c>
    </row>
    <row r="415" spans="1:11" x14ac:dyDescent="0.25">
      <c r="A415" s="1">
        <v>45400</v>
      </c>
      <c r="B415">
        <v>6</v>
      </c>
      <c r="C415">
        <v>1068.5250000000001</v>
      </c>
      <c r="D415">
        <v>23.388000000000002</v>
      </c>
      <c r="E415">
        <f t="shared" si="36"/>
        <v>1091.913</v>
      </c>
      <c r="F415">
        <v>3088.2840000000001</v>
      </c>
      <c r="G415">
        <f t="shared" si="37"/>
        <v>-1996.3710000000001</v>
      </c>
      <c r="H415">
        <f t="shared" si="41"/>
        <v>156114.08600000004</v>
      </c>
      <c r="I415">
        <f t="shared" si="38"/>
        <v>154117.71500000003</v>
      </c>
      <c r="J415">
        <f t="shared" si="39"/>
        <v>0</v>
      </c>
      <c r="K415">
        <f t="shared" si="40"/>
        <v>154117.71500000003</v>
      </c>
    </row>
    <row r="416" spans="1:11" x14ac:dyDescent="0.25">
      <c r="A416" s="1">
        <v>45400</v>
      </c>
      <c r="B416">
        <v>7</v>
      </c>
      <c r="C416">
        <v>1048.038</v>
      </c>
      <c r="D416">
        <v>454.05</v>
      </c>
      <c r="E416">
        <f t="shared" si="36"/>
        <v>1502.088</v>
      </c>
      <c r="F416">
        <v>4206.9690000000001</v>
      </c>
      <c r="G416">
        <f t="shared" si="37"/>
        <v>-2704.8810000000003</v>
      </c>
      <c r="H416">
        <f t="shared" si="41"/>
        <v>154117.71500000003</v>
      </c>
      <c r="I416">
        <f t="shared" si="38"/>
        <v>151412.83400000003</v>
      </c>
      <c r="J416">
        <f t="shared" si="39"/>
        <v>0</v>
      </c>
      <c r="K416">
        <f t="shared" si="40"/>
        <v>151412.83400000003</v>
      </c>
    </row>
    <row r="417" spans="1:11" x14ac:dyDescent="0.25">
      <c r="A417" s="1">
        <v>45400</v>
      </c>
      <c r="B417">
        <v>8</v>
      </c>
      <c r="C417">
        <v>944.56299999999999</v>
      </c>
      <c r="D417">
        <v>1750.7380000000001</v>
      </c>
      <c r="E417">
        <f t="shared" si="36"/>
        <v>2695.3009999999999</v>
      </c>
      <c r="F417">
        <v>6555.7349999999997</v>
      </c>
      <c r="G417">
        <f t="shared" si="37"/>
        <v>-3860.4339999999997</v>
      </c>
      <c r="H417">
        <f t="shared" si="41"/>
        <v>151412.83400000003</v>
      </c>
      <c r="I417">
        <f t="shared" si="38"/>
        <v>147552.40000000002</v>
      </c>
      <c r="J417">
        <f t="shared" si="39"/>
        <v>0</v>
      </c>
      <c r="K417">
        <f t="shared" si="40"/>
        <v>147552.40000000002</v>
      </c>
    </row>
    <row r="418" spans="1:11" x14ac:dyDescent="0.25">
      <c r="A418" s="1">
        <v>45400</v>
      </c>
      <c r="B418">
        <v>9</v>
      </c>
      <c r="C418">
        <v>970.76300000000003</v>
      </c>
      <c r="D418">
        <v>3414.125</v>
      </c>
      <c r="E418">
        <f t="shared" si="36"/>
        <v>4384.8879999999999</v>
      </c>
      <c r="F418">
        <v>6969.4579999999996</v>
      </c>
      <c r="G418">
        <f t="shared" si="37"/>
        <v>-2584.5699999999997</v>
      </c>
      <c r="H418">
        <f t="shared" si="41"/>
        <v>147552.40000000002</v>
      </c>
      <c r="I418">
        <f t="shared" si="38"/>
        <v>144967.83000000002</v>
      </c>
      <c r="J418">
        <f t="shared" si="39"/>
        <v>0</v>
      </c>
      <c r="K418">
        <f t="shared" si="40"/>
        <v>144967.83000000002</v>
      </c>
    </row>
    <row r="419" spans="1:11" x14ac:dyDescent="0.25">
      <c r="A419" s="1">
        <v>45400</v>
      </c>
      <c r="B419">
        <v>10</v>
      </c>
      <c r="C419">
        <v>1167.2750000000001</v>
      </c>
      <c r="D419">
        <v>4769.3879999999999</v>
      </c>
      <c r="E419">
        <f t="shared" si="36"/>
        <v>5936.6630000000005</v>
      </c>
      <c r="F419">
        <v>7778.7460000000001</v>
      </c>
      <c r="G419">
        <f t="shared" si="37"/>
        <v>-1842.0829999999996</v>
      </c>
      <c r="H419">
        <f t="shared" si="41"/>
        <v>144967.83000000002</v>
      </c>
      <c r="I419">
        <f t="shared" si="38"/>
        <v>143125.747</v>
      </c>
      <c r="J419">
        <f t="shared" si="39"/>
        <v>0</v>
      </c>
      <c r="K419">
        <f t="shared" si="40"/>
        <v>143125.747</v>
      </c>
    </row>
    <row r="420" spans="1:11" x14ac:dyDescent="0.25">
      <c r="A420" s="1">
        <v>45400</v>
      </c>
      <c r="B420">
        <v>11</v>
      </c>
      <c r="C420">
        <v>1420.288</v>
      </c>
      <c r="D420">
        <v>5606.7380000000003</v>
      </c>
      <c r="E420">
        <f t="shared" si="36"/>
        <v>7027.0259999999998</v>
      </c>
      <c r="F420">
        <v>7756.8909999999996</v>
      </c>
      <c r="G420">
        <f t="shared" si="37"/>
        <v>-729.86499999999978</v>
      </c>
      <c r="H420">
        <f t="shared" si="41"/>
        <v>143125.747</v>
      </c>
      <c r="I420">
        <f t="shared" si="38"/>
        <v>142395.88200000001</v>
      </c>
      <c r="J420">
        <f t="shared" si="39"/>
        <v>0</v>
      </c>
      <c r="K420">
        <f t="shared" si="40"/>
        <v>142395.88200000001</v>
      </c>
    </row>
    <row r="421" spans="1:11" x14ac:dyDescent="0.25">
      <c r="A421" s="1">
        <v>45400</v>
      </c>
      <c r="B421">
        <v>12</v>
      </c>
      <c r="C421">
        <v>1610.7629999999999</v>
      </c>
      <c r="D421">
        <v>6108</v>
      </c>
      <c r="E421">
        <f t="shared" si="36"/>
        <v>7718.7629999999999</v>
      </c>
      <c r="F421">
        <v>7885.7969999999996</v>
      </c>
      <c r="G421">
        <f t="shared" si="37"/>
        <v>-167.03399999999965</v>
      </c>
      <c r="H421">
        <f t="shared" si="41"/>
        <v>142395.88200000001</v>
      </c>
      <c r="I421">
        <f t="shared" si="38"/>
        <v>142228.848</v>
      </c>
      <c r="J421">
        <f t="shared" si="39"/>
        <v>0</v>
      </c>
      <c r="K421">
        <f t="shared" si="40"/>
        <v>142228.848</v>
      </c>
    </row>
    <row r="422" spans="1:11" x14ac:dyDescent="0.25">
      <c r="A422" s="1">
        <v>45400</v>
      </c>
      <c r="B422">
        <v>13</v>
      </c>
      <c r="C422">
        <v>1773.963</v>
      </c>
      <c r="D422">
        <v>6099.8630000000003</v>
      </c>
      <c r="E422">
        <f t="shared" si="36"/>
        <v>7873.826</v>
      </c>
      <c r="F422">
        <v>8215.3729999999996</v>
      </c>
      <c r="G422">
        <f t="shared" si="37"/>
        <v>-341.54699999999957</v>
      </c>
      <c r="H422">
        <f t="shared" si="41"/>
        <v>142228.848</v>
      </c>
      <c r="I422">
        <f t="shared" si="38"/>
        <v>141887.30100000001</v>
      </c>
      <c r="J422">
        <f t="shared" si="39"/>
        <v>0</v>
      </c>
      <c r="K422">
        <f t="shared" si="40"/>
        <v>141887.30100000001</v>
      </c>
    </row>
    <row r="423" spans="1:11" x14ac:dyDescent="0.25">
      <c r="A423" s="1">
        <v>45400</v>
      </c>
      <c r="B423">
        <v>14</v>
      </c>
      <c r="C423">
        <v>2041.9380000000001</v>
      </c>
      <c r="D423">
        <v>5979.2129999999997</v>
      </c>
      <c r="E423">
        <f t="shared" si="36"/>
        <v>8021.1509999999998</v>
      </c>
      <c r="F423">
        <v>7761.3850000000002</v>
      </c>
      <c r="G423">
        <f t="shared" si="37"/>
        <v>259.76599999999962</v>
      </c>
      <c r="H423">
        <f t="shared" si="41"/>
        <v>141887.30100000001</v>
      </c>
      <c r="I423">
        <f t="shared" si="38"/>
        <v>142147.06700000001</v>
      </c>
      <c r="J423">
        <f t="shared" si="39"/>
        <v>0</v>
      </c>
      <c r="K423">
        <f t="shared" si="40"/>
        <v>142147.06700000001</v>
      </c>
    </row>
    <row r="424" spans="1:11" x14ac:dyDescent="0.25">
      <c r="A424" s="1">
        <v>45400</v>
      </c>
      <c r="B424">
        <v>15</v>
      </c>
      <c r="C424">
        <v>2218.8000000000002</v>
      </c>
      <c r="D424">
        <v>6035.7380000000003</v>
      </c>
      <c r="E424">
        <f t="shared" si="36"/>
        <v>8254.5380000000005</v>
      </c>
      <c r="F424">
        <v>8001.2209999999995</v>
      </c>
      <c r="G424">
        <f t="shared" si="37"/>
        <v>253.31700000000092</v>
      </c>
      <c r="H424">
        <f t="shared" si="41"/>
        <v>142147.06700000001</v>
      </c>
      <c r="I424">
        <f t="shared" si="38"/>
        <v>142400.38400000002</v>
      </c>
      <c r="J424">
        <f t="shared" si="39"/>
        <v>0</v>
      </c>
      <c r="K424">
        <f t="shared" si="40"/>
        <v>142400.38400000002</v>
      </c>
    </row>
    <row r="425" spans="1:11" x14ac:dyDescent="0.25">
      <c r="A425" s="1">
        <v>45400</v>
      </c>
      <c r="B425">
        <v>16</v>
      </c>
      <c r="C425">
        <v>2332.3249999999998</v>
      </c>
      <c r="D425">
        <v>5759.7879999999996</v>
      </c>
      <c r="E425">
        <f t="shared" si="36"/>
        <v>8092.1129999999994</v>
      </c>
      <c r="F425">
        <v>8058.2150000000001</v>
      </c>
      <c r="G425">
        <f t="shared" si="37"/>
        <v>33.897999999999229</v>
      </c>
      <c r="H425">
        <f t="shared" si="41"/>
        <v>142400.38400000002</v>
      </c>
      <c r="I425">
        <f t="shared" si="38"/>
        <v>142434.28200000001</v>
      </c>
      <c r="J425">
        <f t="shared" si="39"/>
        <v>0</v>
      </c>
      <c r="K425">
        <f t="shared" si="40"/>
        <v>142434.28200000001</v>
      </c>
    </row>
    <row r="426" spans="1:11" x14ac:dyDescent="0.25">
      <c r="A426" s="1">
        <v>45400</v>
      </c>
      <c r="B426">
        <v>17</v>
      </c>
      <c r="C426">
        <v>2170.6750000000002</v>
      </c>
      <c r="D426">
        <v>4938.2129999999997</v>
      </c>
      <c r="E426">
        <f t="shared" si="36"/>
        <v>7108.8879999999999</v>
      </c>
      <c r="F426">
        <v>7775.7719999999999</v>
      </c>
      <c r="G426">
        <f t="shared" si="37"/>
        <v>-666.88400000000001</v>
      </c>
      <c r="H426">
        <f t="shared" si="41"/>
        <v>142434.28200000001</v>
      </c>
      <c r="I426">
        <f t="shared" si="38"/>
        <v>141767.39800000002</v>
      </c>
      <c r="J426">
        <f t="shared" si="39"/>
        <v>0</v>
      </c>
      <c r="K426">
        <f t="shared" si="40"/>
        <v>141767.39800000002</v>
      </c>
    </row>
    <row r="427" spans="1:11" x14ac:dyDescent="0.25">
      <c r="A427" s="1">
        <v>45400</v>
      </c>
      <c r="B427">
        <v>18</v>
      </c>
      <c r="C427">
        <v>1907.463</v>
      </c>
      <c r="D427">
        <v>3262.375</v>
      </c>
      <c r="E427">
        <f t="shared" si="36"/>
        <v>5169.8379999999997</v>
      </c>
      <c r="F427">
        <v>7139.5</v>
      </c>
      <c r="G427">
        <f t="shared" si="37"/>
        <v>-1969.6620000000003</v>
      </c>
      <c r="H427">
        <f t="shared" si="41"/>
        <v>141767.39800000002</v>
      </c>
      <c r="I427">
        <f t="shared" si="38"/>
        <v>139797.736</v>
      </c>
      <c r="J427">
        <f t="shared" si="39"/>
        <v>0</v>
      </c>
      <c r="K427">
        <f t="shared" si="40"/>
        <v>139797.736</v>
      </c>
    </row>
    <row r="428" spans="1:11" x14ac:dyDescent="0.25">
      <c r="A428" s="1">
        <v>45400</v>
      </c>
      <c r="B428">
        <v>19</v>
      </c>
      <c r="C428">
        <v>1663.9749999999999</v>
      </c>
      <c r="D428">
        <v>1365.9</v>
      </c>
      <c r="E428">
        <f t="shared" si="36"/>
        <v>3029.875</v>
      </c>
      <c r="F428">
        <v>6380.1319999999996</v>
      </c>
      <c r="G428">
        <f t="shared" si="37"/>
        <v>-3350.2569999999996</v>
      </c>
      <c r="H428">
        <f t="shared" si="41"/>
        <v>139797.736</v>
      </c>
      <c r="I428">
        <f t="shared" si="38"/>
        <v>136447.47899999999</v>
      </c>
      <c r="J428">
        <f t="shared" si="39"/>
        <v>0</v>
      </c>
      <c r="K428">
        <f t="shared" si="40"/>
        <v>136447.47899999999</v>
      </c>
    </row>
    <row r="429" spans="1:11" x14ac:dyDescent="0.25">
      <c r="A429" s="1">
        <v>45400</v>
      </c>
      <c r="B429">
        <v>20</v>
      </c>
      <c r="C429">
        <v>1374.0630000000001</v>
      </c>
      <c r="D429">
        <v>343.58800000000002</v>
      </c>
      <c r="E429">
        <f t="shared" si="36"/>
        <v>1717.6510000000001</v>
      </c>
      <c r="F429">
        <v>6207.4040000000005</v>
      </c>
      <c r="G429">
        <f t="shared" si="37"/>
        <v>-4489.7530000000006</v>
      </c>
      <c r="H429">
        <f t="shared" si="41"/>
        <v>136447.47899999999</v>
      </c>
      <c r="I429">
        <f t="shared" si="38"/>
        <v>131957.726</v>
      </c>
      <c r="J429">
        <f t="shared" si="39"/>
        <v>0</v>
      </c>
      <c r="K429">
        <f t="shared" si="40"/>
        <v>131957.726</v>
      </c>
    </row>
    <row r="430" spans="1:11" x14ac:dyDescent="0.25">
      <c r="A430" s="1">
        <v>45400</v>
      </c>
      <c r="B430">
        <v>21</v>
      </c>
      <c r="C430">
        <v>1570.6880000000001</v>
      </c>
      <c r="D430">
        <v>9.7750000000000004</v>
      </c>
      <c r="E430">
        <f t="shared" si="36"/>
        <v>1580.4630000000002</v>
      </c>
      <c r="F430">
        <v>4823.2790000000005</v>
      </c>
      <c r="G430">
        <f t="shared" si="37"/>
        <v>-3242.8160000000003</v>
      </c>
      <c r="H430">
        <f t="shared" si="41"/>
        <v>131957.726</v>
      </c>
      <c r="I430">
        <f t="shared" si="38"/>
        <v>128714.90999999999</v>
      </c>
      <c r="J430">
        <f t="shared" si="39"/>
        <v>0</v>
      </c>
      <c r="K430">
        <f t="shared" si="40"/>
        <v>128714.90999999999</v>
      </c>
    </row>
    <row r="431" spans="1:11" x14ac:dyDescent="0.25">
      <c r="A431" s="1">
        <v>45400</v>
      </c>
      <c r="B431">
        <v>22</v>
      </c>
      <c r="C431">
        <v>1720.0129999999999</v>
      </c>
      <c r="D431">
        <v>0</v>
      </c>
      <c r="E431">
        <f t="shared" si="36"/>
        <v>1720.0129999999999</v>
      </c>
      <c r="F431">
        <v>4655.567</v>
      </c>
      <c r="G431">
        <f t="shared" si="37"/>
        <v>-2935.5540000000001</v>
      </c>
      <c r="H431">
        <f t="shared" si="41"/>
        <v>128714.90999999999</v>
      </c>
      <c r="I431">
        <f t="shared" si="38"/>
        <v>125779.35599999999</v>
      </c>
      <c r="J431">
        <f t="shared" si="39"/>
        <v>0</v>
      </c>
      <c r="K431">
        <f t="shared" si="40"/>
        <v>125779.35599999999</v>
      </c>
    </row>
    <row r="432" spans="1:11" x14ac:dyDescent="0.25">
      <c r="A432" s="1">
        <v>45400</v>
      </c>
      <c r="B432">
        <v>23</v>
      </c>
      <c r="C432">
        <v>1954.838</v>
      </c>
      <c r="D432">
        <v>0</v>
      </c>
      <c r="E432">
        <f t="shared" si="36"/>
        <v>1954.838</v>
      </c>
      <c r="F432">
        <v>2884.1849999999999</v>
      </c>
      <c r="G432">
        <f t="shared" si="37"/>
        <v>-929.34699999999998</v>
      </c>
      <c r="H432">
        <f t="shared" si="41"/>
        <v>125779.35599999999</v>
      </c>
      <c r="I432">
        <f t="shared" si="38"/>
        <v>124850.00899999999</v>
      </c>
      <c r="J432">
        <f t="shared" si="39"/>
        <v>0</v>
      </c>
      <c r="K432">
        <f t="shared" si="40"/>
        <v>124850.00899999999</v>
      </c>
    </row>
    <row r="433" spans="1:11" x14ac:dyDescent="0.25">
      <c r="A433" s="1">
        <v>45400</v>
      </c>
      <c r="B433">
        <v>24</v>
      </c>
      <c r="C433">
        <v>2022.1880000000001</v>
      </c>
      <c r="D433">
        <v>0</v>
      </c>
      <c r="E433">
        <f t="shared" si="36"/>
        <v>2022.1880000000001</v>
      </c>
      <c r="F433">
        <v>1693.3910000000001</v>
      </c>
      <c r="G433">
        <f t="shared" si="37"/>
        <v>328.79700000000003</v>
      </c>
      <c r="H433">
        <f t="shared" si="41"/>
        <v>124850.00899999999</v>
      </c>
      <c r="I433">
        <f t="shared" si="38"/>
        <v>125178.806</v>
      </c>
      <c r="J433">
        <f t="shared" si="39"/>
        <v>0</v>
      </c>
      <c r="K433">
        <f t="shared" si="40"/>
        <v>125178.806</v>
      </c>
    </row>
    <row r="434" spans="1:11" x14ac:dyDescent="0.25">
      <c r="A434" s="1">
        <v>45401</v>
      </c>
      <c r="B434">
        <v>1</v>
      </c>
      <c r="C434">
        <v>2147.4</v>
      </c>
      <c r="D434">
        <v>0</v>
      </c>
      <c r="E434">
        <f t="shared" si="36"/>
        <v>2147.4</v>
      </c>
      <c r="F434">
        <v>1692.2660000000001</v>
      </c>
      <c r="G434">
        <f t="shared" si="37"/>
        <v>455.13400000000001</v>
      </c>
      <c r="H434">
        <f t="shared" si="41"/>
        <v>125178.806</v>
      </c>
      <c r="I434">
        <f t="shared" si="38"/>
        <v>125633.94</v>
      </c>
      <c r="J434">
        <f t="shared" si="39"/>
        <v>0</v>
      </c>
      <c r="K434">
        <f t="shared" si="40"/>
        <v>125633.94</v>
      </c>
    </row>
    <row r="435" spans="1:11" x14ac:dyDescent="0.25">
      <c r="A435" s="1">
        <v>45401</v>
      </c>
      <c r="B435">
        <v>2</v>
      </c>
      <c r="C435">
        <v>2305.1999999999998</v>
      </c>
      <c r="D435">
        <v>0</v>
      </c>
      <c r="E435">
        <f t="shared" si="36"/>
        <v>2305.1999999999998</v>
      </c>
      <c r="F435">
        <v>1450.874</v>
      </c>
      <c r="G435">
        <f t="shared" si="37"/>
        <v>854.32599999999979</v>
      </c>
      <c r="H435">
        <f t="shared" si="41"/>
        <v>125633.94</v>
      </c>
      <c r="I435">
        <f t="shared" si="38"/>
        <v>126488.266</v>
      </c>
      <c r="J435">
        <f t="shared" si="39"/>
        <v>0</v>
      </c>
      <c r="K435">
        <f t="shared" si="40"/>
        <v>126488.266</v>
      </c>
    </row>
    <row r="436" spans="1:11" x14ac:dyDescent="0.25">
      <c r="A436" s="1">
        <v>45401</v>
      </c>
      <c r="B436">
        <v>3</v>
      </c>
      <c r="C436">
        <v>2501.9630000000002</v>
      </c>
      <c r="D436">
        <v>0</v>
      </c>
      <c r="E436">
        <f t="shared" si="36"/>
        <v>2501.9630000000002</v>
      </c>
      <c r="F436">
        <v>1356.982</v>
      </c>
      <c r="G436">
        <f t="shared" si="37"/>
        <v>1144.9810000000002</v>
      </c>
      <c r="H436">
        <f t="shared" si="41"/>
        <v>126488.266</v>
      </c>
      <c r="I436">
        <f t="shared" si="38"/>
        <v>127633.247</v>
      </c>
      <c r="J436">
        <f t="shared" si="39"/>
        <v>0</v>
      </c>
      <c r="K436">
        <f t="shared" si="40"/>
        <v>127633.247</v>
      </c>
    </row>
    <row r="437" spans="1:11" x14ac:dyDescent="0.25">
      <c r="A437" s="1">
        <v>45401</v>
      </c>
      <c r="B437">
        <v>4</v>
      </c>
      <c r="C437">
        <v>2833.625</v>
      </c>
      <c r="D437">
        <v>0</v>
      </c>
      <c r="E437">
        <f t="shared" si="36"/>
        <v>2833.625</v>
      </c>
      <c r="F437">
        <v>1359.7629999999999</v>
      </c>
      <c r="G437">
        <f t="shared" si="37"/>
        <v>1473.8620000000001</v>
      </c>
      <c r="H437">
        <f t="shared" si="41"/>
        <v>127633.247</v>
      </c>
      <c r="I437">
        <f t="shared" si="38"/>
        <v>129107.109</v>
      </c>
      <c r="J437">
        <f t="shared" si="39"/>
        <v>0</v>
      </c>
      <c r="K437">
        <f t="shared" si="40"/>
        <v>129107.109</v>
      </c>
    </row>
    <row r="438" spans="1:11" x14ac:dyDescent="0.25">
      <c r="A438" s="1">
        <v>45401</v>
      </c>
      <c r="B438">
        <v>5</v>
      </c>
      <c r="C438">
        <v>2877.9630000000002</v>
      </c>
      <c r="D438">
        <v>0</v>
      </c>
      <c r="E438">
        <f t="shared" si="36"/>
        <v>2877.9630000000002</v>
      </c>
      <c r="F438">
        <v>1705.4739999999999</v>
      </c>
      <c r="G438">
        <f t="shared" si="37"/>
        <v>1172.4890000000003</v>
      </c>
      <c r="H438">
        <f t="shared" si="41"/>
        <v>129107.109</v>
      </c>
      <c r="I438">
        <f t="shared" si="38"/>
        <v>130279.598</v>
      </c>
      <c r="J438">
        <f t="shared" si="39"/>
        <v>0</v>
      </c>
      <c r="K438">
        <f t="shared" si="40"/>
        <v>130279.598</v>
      </c>
    </row>
    <row r="439" spans="1:11" x14ac:dyDescent="0.25">
      <c r="A439" s="1">
        <v>45401</v>
      </c>
      <c r="B439">
        <v>6</v>
      </c>
      <c r="C439">
        <v>2784.9879999999998</v>
      </c>
      <c r="D439">
        <v>132.125</v>
      </c>
      <c r="E439">
        <f t="shared" si="36"/>
        <v>2917.1129999999998</v>
      </c>
      <c r="F439">
        <v>3375.7820000000002</v>
      </c>
      <c r="G439">
        <f t="shared" si="37"/>
        <v>-458.66900000000032</v>
      </c>
      <c r="H439">
        <f t="shared" si="41"/>
        <v>130279.598</v>
      </c>
      <c r="I439">
        <f t="shared" si="38"/>
        <v>129820.929</v>
      </c>
      <c r="J439">
        <f t="shared" si="39"/>
        <v>0</v>
      </c>
      <c r="K439">
        <f t="shared" si="40"/>
        <v>129820.929</v>
      </c>
    </row>
    <row r="440" spans="1:11" x14ac:dyDescent="0.25">
      <c r="A440" s="1">
        <v>45401</v>
      </c>
      <c r="B440">
        <v>7</v>
      </c>
      <c r="C440">
        <v>2484.5250000000001</v>
      </c>
      <c r="D440">
        <v>723.76300000000003</v>
      </c>
      <c r="E440">
        <f t="shared" si="36"/>
        <v>3208.288</v>
      </c>
      <c r="F440">
        <v>4598.6080000000002</v>
      </c>
      <c r="G440">
        <f t="shared" si="37"/>
        <v>-1390.3200000000002</v>
      </c>
      <c r="H440">
        <f t="shared" si="41"/>
        <v>129820.929</v>
      </c>
      <c r="I440">
        <f t="shared" si="38"/>
        <v>128430.609</v>
      </c>
      <c r="J440">
        <f t="shared" si="39"/>
        <v>0</v>
      </c>
      <c r="K440">
        <f t="shared" si="40"/>
        <v>128430.609</v>
      </c>
    </row>
    <row r="441" spans="1:11" x14ac:dyDescent="0.25">
      <c r="A441" s="1">
        <v>45401</v>
      </c>
      <c r="B441">
        <v>8</v>
      </c>
      <c r="C441">
        <v>2028.2380000000001</v>
      </c>
      <c r="D441">
        <v>2284.4250000000002</v>
      </c>
      <c r="E441">
        <f t="shared" si="36"/>
        <v>4312.6630000000005</v>
      </c>
      <c r="F441">
        <v>6802.0280000000002</v>
      </c>
      <c r="G441">
        <f t="shared" si="37"/>
        <v>-2489.3649999999998</v>
      </c>
      <c r="H441">
        <f t="shared" si="41"/>
        <v>128430.609</v>
      </c>
      <c r="I441">
        <f t="shared" si="38"/>
        <v>125941.24399999999</v>
      </c>
      <c r="J441">
        <f t="shared" si="39"/>
        <v>0</v>
      </c>
      <c r="K441">
        <f t="shared" si="40"/>
        <v>125941.24399999999</v>
      </c>
    </row>
    <row r="442" spans="1:11" x14ac:dyDescent="0.25">
      <c r="A442" s="1">
        <v>45401</v>
      </c>
      <c r="B442">
        <v>9</v>
      </c>
      <c r="C442">
        <v>1521.088</v>
      </c>
      <c r="D442">
        <v>4433.2749999999996</v>
      </c>
      <c r="E442">
        <f t="shared" si="36"/>
        <v>5954.3629999999994</v>
      </c>
      <c r="F442">
        <v>7618.2659999999996</v>
      </c>
      <c r="G442">
        <f t="shared" si="37"/>
        <v>-1663.9030000000002</v>
      </c>
      <c r="H442">
        <f t="shared" si="41"/>
        <v>125941.24399999999</v>
      </c>
      <c r="I442">
        <f t="shared" si="38"/>
        <v>124277.34099999999</v>
      </c>
      <c r="J442">
        <f t="shared" si="39"/>
        <v>0</v>
      </c>
      <c r="K442">
        <f t="shared" si="40"/>
        <v>124277.34099999999</v>
      </c>
    </row>
    <row r="443" spans="1:11" x14ac:dyDescent="0.25">
      <c r="A443" s="1">
        <v>45401</v>
      </c>
      <c r="B443">
        <v>10</v>
      </c>
      <c r="C443">
        <v>1461.3130000000001</v>
      </c>
      <c r="D443">
        <v>6028.0379999999996</v>
      </c>
      <c r="E443">
        <f t="shared" si="36"/>
        <v>7489.3509999999997</v>
      </c>
      <c r="F443">
        <v>8502.8940000000002</v>
      </c>
      <c r="G443">
        <f t="shared" si="37"/>
        <v>-1013.5430000000006</v>
      </c>
      <c r="H443">
        <f t="shared" si="41"/>
        <v>124277.34099999999</v>
      </c>
      <c r="I443">
        <f t="shared" si="38"/>
        <v>123263.79799999998</v>
      </c>
      <c r="J443">
        <f t="shared" si="39"/>
        <v>0</v>
      </c>
      <c r="K443">
        <f t="shared" si="40"/>
        <v>123263.79799999998</v>
      </c>
    </row>
    <row r="444" spans="1:11" x14ac:dyDescent="0.25">
      <c r="A444" s="1">
        <v>45401</v>
      </c>
      <c r="B444">
        <v>11</v>
      </c>
      <c r="C444">
        <v>1696.35</v>
      </c>
      <c r="D444">
        <v>6467.6880000000001</v>
      </c>
      <c r="E444">
        <f t="shared" si="36"/>
        <v>8164.0380000000005</v>
      </c>
      <c r="F444">
        <v>8479.0040000000008</v>
      </c>
      <c r="G444">
        <f t="shared" si="37"/>
        <v>-314.96600000000035</v>
      </c>
      <c r="H444">
        <f t="shared" si="41"/>
        <v>123263.79799999998</v>
      </c>
      <c r="I444">
        <f t="shared" si="38"/>
        <v>122948.83199999998</v>
      </c>
      <c r="J444">
        <f t="shared" si="39"/>
        <v>0</v>
      </c>
      <c r="K444">
        <f t="shared" si="40"/>
        <v>122948.83199999998</v>
      </c>
    </row>
    <row r="445" spans="1:11" x14ac:dyDescent="0.25">
      <c r="A445" s="1">
        <v>45401</v>
      </c>
      <c r="B445">
        <v>12</v>
      </c>
      <c r="C445">
        <v>1765.338</v>
      </c>
      <c r="D445">
        <v>6435.5630000000001</v>
      </c>
      <c r="E445">
        <f t="shared" si="36"/>
        <v>8200.9009999999998</v>
      </c>
      <c r="F445">
        <v>8619.91</v>
      </c>
      <c r="G445">
        <f t="shared" si="37"/>
        <v>-419.00900000000001</v>
      </c>
      <c r="H445">
        <f t="shared" si="41"/>
        <v>122948.83199999998</v>
      </c>
      <c r="I445">
        <f t="shared" si="38"/>
        <v>122529.82299999997</v>
      </c>
      <c r="J445">
        <f t="shared" si="39"/>
        <v>0</v>
      </c>
      <c r="K445">
        <f t="shared" si="40"/>
        <v>122529.82299999997</v>
      </c>
    </row>
    <row r="446" spans="1:11" x14ac:dyDescent="0.25">
      <c r="A446" s="1">
        <v>45401</v>
      </c>
      <c r="B446">
        <v>13</v>
      </c>
      <c r="C446">
        <v>1944.213</v>
      </c>
      <c r="D446">
        <v>6565.6130000000003</v>
      </c>
      <c r="E446">
        <f t="shared" si="36"/>
        <v>8509.8260000000009</v>
      </c>
      <c r="F446">
        <v>8980.1679999999997</v>
      </c>
      <c r="G446">
        <f t="shared" si="37"/>
        <v>-470.34199999999873</v>
      </c>
      <c r="H446">
        <f t="shared" si="41"/>
        <v>122529.82299999997</v>
      </c>
      <c r="I446">
        <f t="shared" si="38"/>
        <v>122059.48099999997</v>
      </c>
      <c r="J446">
        <f t="shared" si="39"/>
        <v>0</v>
      </c>
      <c r="K446">
        <f t="shared" si="40"/>
        <v>122059.48099999997</v>
      </c>
    </row>
    <row r="447" spans="1:11" x14ac:dyDescent="0.25">
      <c r="A447" s="1">
        <v>45401</v>
      </c>
      <c r="B447">
        <v>14</v>
      </c>
      <c r="C447">
        <v>1947.65</v>
      </c>
      <c r="D447">
        <v>6601.0379999999996</v>
      </c>
      <c r="E447">
        <f t="shared" si="36"/>
        <v>8548.6880000000001</v>
      </c>
      <c r="F447">
        <v>8483.9169999999995</v>
      </c>
      <c r="G447">
        <f t="shared" si="37"/>
        <v>64.77100000000064</v>
      </c>
      <c r="H447">
        <f t="shared" si="41"/>
        <v>122059.48099999997</v>
      </c>
      <c r="I447">
        <f t="shared" si="38"/>
        <v>122124.25199999998</v>
      </c>
      <c r="J447">
        <f t="shared" si="39"/>
        <v>0</v>
      </c>
      <c r="K447">
        <f t="shared" si="40"/>
        <v>122124.25199999998</v>
      </c>
    </row>
    <row r="448" spans="1:11" x14ac:dyDescent="0.25">
      <c r="A448" s="1">
        <v>45401</v>
      </c>
      <c r="B448">
        <v>15</v>
      </c>
      <c r="C448">
        <v>1829.925</v>
      </c>
      <c r="D448">
        <v>5915.05</v>
      </c>
      <c r="E448">
        <f t="shared" si="36"/>
        <v>7744.9750000000004</v>
      </c>
      <c r="F448">
        <v>8746.08</v>
      </c>
      <c r="G448">
        <f t="shared" si="37"/>
        <v>-1001.1049999999996</v>
      </c>
      <c r="H448">
        <f t="shared" si="41"/>
        <v>122124.25199999998</v>
      </c>
      <c r="I448">
        <f t="shared" si="38"/>
        <v>121123.14699999998</v>
      </c>
      <c r="J448">
        <f t="shared" si="39"/>
        <v>0</v>
      </c>
      <c r="K448">
        <f t="shared" si="40"/>
        <v>121123.14699999998</v>
      </c>
    </row>
    <row r="449" spans="1:11" x14ac:dyDescent="0.25">
      <c r="A449" s="1">
        <v>45401</v>
      </c>
      <c r="B449">
        <v>16</v>
      </c>
      <c r="C449">
        <v>1870.1379999999999</v>
      </c>
      <c r="D449">
        <v>4890.9750000000004</v>
      </c>
      <c r="E449">
        <f t="shared" si="36"/>
        <v>6761.1130000000003</v>
      </c>
      <c r="F449">
        <v>8808.3790000000008</v>
      </c>
      <c r="G449">
        <f t="shared" si="37"/>
        <v>-2047.2660000000005</v>
      </c>
      <c r="H449">
        <f t="shared" si="41"/>
        <v>121123.14699999998</v>
      </c>
      <c r="I449">
        <f t="shared" si="38"/>
        <v>119075.88099999998</v>
      </c>
      <c r="J449">
        <f t="shared" si="39"/>
        <v>0</v>
      </c>
      <c r="K449">
        <f t="shared" si="40"/>
        <v>119075.88099999998</v>
      </c>
    </row>
    <row r="450" spans="1:11" x14ac:dyDescent="0.25">
      <c r="A450" s="1">
        <v>45401</v>
      </c>
      <c r="B450">
        <v>17</v>
      </c>
      <c r="C450">
        <v>1758.125</v>
      </c>
      <c r="D450">
        <v>3690.0129999999999</v>
      </c>
      <c r="E450">
        <f t="shared" si="36"/>
        <v>5448.1379999999999</v>
      </c>
      <c r="F450">
        <v>8499.643</v>
      </c>
      <c r="G450">
        <f t="shared" si="37"/>
        <v>-3051.5050000000001</v>
      </c>
      <c r="H450">
        <f t="shared" si="41"/>
        <v>119075.88099999998</v>
      </c>
      <c r="I450">
        <f t="shared" si="38"/>
        <v>116024.37599999997</v>
      </c>
      <c r="J450">
        <f t="shared" si="39"/>
        <v>0</v>
      </c>
      <c r="K450">
        <f t="shared" si="40"/>
        <v>116024.37599999997</v>
      </c>
    </row>
    <row r="451" spans="1:11" x14ac:dyDescent="0.25">
      <c r="A451" s="1">
        <v>45401</v>
      </c>
      <c r="B451">
        <v>18</v>
      </c>
      <c r="C451">
        <v>1628.6379999999999</v>
      </c>
      <c r="D451">
        <v>2319.663</v>
      </c>
      <c r="E451">
        <f t="shared" ref="E451:E514" si="42">C451+D451</f>
        <v>3948.3009999999999</v>
      </c>
      <c r="F451">
        <v>7804.1390000000001</v>
      </c>
      <c r="G451">
        <f t="shared" ref="G451:G514" si="43">E451-F451</f>
        <v>-3855.8380000000002</v>
      </c>
      <c r="H451">
        <f t="shared" si="41"/>
        <v>116024.37599999997</v>
      </c>
      <c r="I451">
        <f t="shared" ref="I451:I514" si="44">IF(H451+G451&gt;200000,200000,H451+G451)</f>
        <v>112168.53799999997</v>
      </c>
      <c r="J451">
        <f t="shared" ref="J451:J514" si="45">IF(I451&lt;0,1,0)</f>
        <v>0</v>
      </c>
      <c r="K451">
        <f t="shared" ref="K451:K514" si="46">IF(J451=1,0,I451)</f>
        <v>112168.53799999997</v>
      </c>
    </row>
    <row r="452" spans="1:11" x14ac:dyDescent="0.25">
      <c r="A452" s="1">
        <v>45401</v>
      </c>
      <c r="B452">
        <v>19</v>
      </c>
      <c r="C452">
        <v>1580.4749999999999</v>
      </c>
      <c r="D452">
        <v>1186.9000000000001</v>
      </c>
      <c r="E452">
        <f t="shared" si="42"/>
        <v>2767.375</v>
      </c>
      <c r="F452">
        <v>7099.7380000000003</v>
      </c>
      <c r="G452">
        <f t="shared" si="43"/>
        <v>-4332.3630000000003</v>
      </c>
      <c r="H452">
        <f t="shared" ref="H452:H515" si="47">K451</f>
        <v>112168.53799999997</v>
      </c>
      <c r="I452">
        <f t="shared" si="44"/>
        <v>107836.17499999997</v>
      </c>
      <c r="J452">
        <f t="shared" si="45"/>
        <v>0</v>
      </c>
      <c r="K452">
        <f t="shared" si="46"/>
        <v>107836.17499999997</v>
      </c>
    </row>
    <row r="453" spans="1:11" x14ac:dyDescent="0.25">
      <c r="A453" s="1">
        <v>45401</v>
      </c>
      <c r="B453">
        <v>20</v>
      </c>
      <c r="C453">
        <v>1403.1880000000001</v>
      </c>
      <c r="D453">
        <v>457.76299999999998</v>
      </c>
      <c r="E453">
        <f t="shared" si="42"/>
        <v>1860.951</v>
      </c>
      <c r="F453">
        <v>6907.5280000000002</v>
      </c>
      <c r="G453">
        <f t="shared" si="43"/>
        <v>-5046.5770000000002</v>
      </c>
      <c r="H453">
        <f t="shared" si="47"/>
        <v>107836.17499999997</v>
      </c>
      <c r="I453">
        <f t="shared" si="44"/>
        <v>102789.59799999997</v>
      </c>
      <c r="J453">
        <f t="shared" si="45"/>
        <v>0</v>
      </c>
      <c r="K453">
        <f t="shared" si="46"/>
        <v>102789.59799999997</v>
      </c>
    </row>
    <row r="454" spans="1:11" x14ac:dyDescent="0.25">
      <c r="A454" s="1">
        <v>45401</v>
      </c>
      <c r="B454">
        <v>21</v>
      </c>
      <c r="C454">
        <v>1497.7249999999999</v>
      </c>
      <c r="D454">
        <v>12.788</v>
      </c>
      <c r="E454">
        <f t="shared" si="42"/>
        <v>1510.5129999999999</v>
      </c>
      <c r="F454">
        <v>5367.2889999999998</v>
      </c>
      <c r="G454">
        <f t="shared" si="43"/>
        <v>-3856.7759999999998</v>
      </c>
      <c r="H454">
        <f t="shared" si="47"/>
        <v>102789.59799999997</v>
      </c>
      <c r="I454">
        <f t="shared" si="44"/>
        <v>98932.821999999971</v>
      </c>
      <c r="J454">
        <f t="shared" si="45"/>
        <v>0</v>
      </c>
      <c r="K454">
        <f t="shared" si="46"/>
        <v>98932.821999999971</v>
      </c>
    </row>
    <row r="455" spans="1:11" x14ac:dyDescent="0.25">
      <c r="A455" s="1">
        <v>45401</v>
      </c>
      <c r="B455">
        <v>22</v>
      </c>
      <c r="C455">
        <v>1671.663</v>
      </c>
      <c r="D455">
        <v>0</v>
      </c>
      <c r="E455">
        <f t="shared" si="42"/>
        <v>1671.663</v>
      </c>
      <c r="F455">
        <v>5180.6610000000001</v>
      </c>
      <c r="G455">
        <f t="shared" si="43"/>
        <v>-3508.998</v>
      </c>
      <c r="H455">
        <f t="shared" si="47"/>
        <v>98932.821999999971</v>
      </c>
      <c r="I455">
        <f t="shared" si="44"/>
        <v>95423.823999999964</v>
      </c>
      <c r="J455">
        <f t="shared" si="45"/>
        <v>0</v>
      </c>
      <c r="K455">
        <f t="shared" si="46"/>
        <v>95423.823999999964</v>
      </c>
    </row>
    <row r="456" spans="1:11" x14ac:dyDescent="0.25">
      <c r="A456" s="1">
        <v>45401</v>
      </c>
      <c r="B456">
        <v>23</v>
      </c>
      <c r="C456">
        <v>1720.963</v>
      </c>
      <c r="D456">
        <v>0</v>
      </c>
      <c r="E456">
        <f t="shared" si="42"/>
        <v>1720.963</v>
      </c>
      <c r="F456">
        <v>3209.4879999999998</v>
      </c>
      <c r="G456">
        <f t="shared" si="43"/>
        <v>-1488.5249999999999</v>
      </c>
      <c r="H456">
        <f t="shared" si="47"/>
        <v>95423.823999999964</v>
      </c>
      <c r="I456">
        <f t="shared" si="44"/>
        <v>93935.29899999997</v>
      </c>
      <c r="J456">
        <f t="shared" si="45"/>
        <v>0</v>
      </c>
      <c r="K456">
        <f t="shared" si="46"/>
        <v>93935.29899999997</v>
      </c>
    </row>
    <row r="457" spans="1:11" x14ac:dyDescent="0.25">
      <c r="A457" s="1">
        <v>45401</v>
      </c>
      <c r="B457">
        <v>24</v>
      </c>
      <c r="C457">
        <v>1723.9</v>
      </c>
      <c r="D457">
        <v>0</v>
      </c>
      <c r="E457">
        <f t="shared" si="42"/>
        <v>1723.9</v>
      </c>
      <c r="F457">
        <v>1884.386</v>
      </c>
      <c r="G457">
        <f t="shared" si="43"/>
        <v>-160.48599999999988</v>
      </c>
      <c r="H457">
        <f t="shared" si="47"/>
        <v>93935.29899999997</v>
      </c>
      <c r="I457">
        <f t="shared" si="44"/>
        <v>93774.812999999966</v>
      </c>
      <c r="J457">
        <f t="shared" si="45"/>
        <v>0</v>
      </c>
      <c r="K457">
        <f t="shared" si="46"/>
        <v>93774.812999999966</v>
      </c>
    </row>
    <row r="458" spans="1:11" x14ac:dyDescent="0.25">
      <c r="A458" s="1">
        <v>45402</v>
      </c>
      <c r="B458">
        <v>1</v>
      </c>
      <c r="C458">
        <v>1948.213</v>
      </c>
      <c r="D458">
        <v>0</v>
      </c>
      <c r="E458">
        <f t="shared" si="42"/>
        <v>1948.213</v>
      </c>
      <c r="F458">
        <v>1721.0340000000001</v>
      </c>
      <c r="G458">
        <f t="shared" si="43"/>
        <v>227.17899999999986</v>
      </c>
      <c r="H458">
        <f t="shared" si="47"/>
        <v>93774.812999999966</v>
      </c>
      <c r="I458">
        <f t="shared" si="44"/>
        <v>94001.991999999969</v>
      </c>
      <c r="J458">
        <f t="shared" si="45"/>
        <v>0</v>
      </c>
      <c r="K458">
        <f t="shared" si="46"/>
        <v>94001.991999999969</v>
      </c>
    </row>
    <row r="459" spans="1:11" x14ac:dyDescent="0.25">
      <c r="A459" s="1">
        <v>45402</v>
      </c>
      <c r="B459">
        <v>2</v>
      </c>
      <c r="C459">
        <v>2266.5630000000001</v>
      </c>
      <c r="D459">
        <v>0</v>
      </c>
      <c r="E459">
        <f t="shared" si="42"/>
        <v>2266.5630000000001</v>
      </c>
      <c r="F459">
        <v>1475.539</v>
      </c>
      <c r="G459">
        <f t="shared" si="43"/>
        <v>791.02400000000011</v>
      </c>
      <c r="H459">
        <f t="shared" si="47"/>
        <v>94001.991999999969</v>
      </c>
      <c r="I459">
        <f t="shared" si="44"/>
        <v>94793.015999999974</v>
      </c>
      <c r="J459">
        <f t="shared" si="45"/>
        <v>0</v>
      </c>
      <c r="K459">
        <f t="shared" si="46"/>
        <v>94793.015999999974</v>
      </c>
    </row>
    <row r="460" spans="1:11" x14ac:dyDescent="0.25">
      <c r="A460" s="1">
        <v>45402</v>
      </c>
      <c r="B460">
        <v>3</v>
      </c>
      <c r="C460">
        <v>2522.8130000000001</v>
      </c>
      <c r="D460">
        <v>0</v>
      </c>
      <c r="E460">
        <f t="shared" si="42"/>
        <v>2522.8130000000001</v>
      </c>
      <c r="F460">
        <v>1380.0509999999999</v>
      </c>
      <c r="G460">
        <f t="shared" si="43"/>
        <v>1142.7620000000002</v>
      </c>
      <c r="H460">
        <f t="shared" si="47"/>
        <v>94793.015999999974</v>
      </c>
      <c r="I460">
        <f t="shared" si="44"/>
        <v>95935.777999999977</v>
      </c>
      <c r="J460">
        <f t="shared" si="45"/>
        <v>0</v>
      </c>
      <c r="K460">
        <f t="shared" si="46"/>
        <v>95935.777999999977</v>
      </c>
    </row>
    <row r="461" spans="1:11" x14ac:dyDescent="0.25">
      <c r="A461" s="1">
        <v>45402</v>
      </c>
      <c r="B461">
        <v>4</v>
      </c>
      <c r="C461">
        <v>2655.8879999999999</v>
      </c>
      <c r="D461">
        <v>0</v>
      </c>
      <c r="E461">
        <f t="shared" si="42"/>
        <v>2655.8879999999999</v>
      </c>
      <c r="F461">
        <v>1382.8789999999999</v>
      </c>
      <c r="G461">
        <f t="shared" si="43"/>
        <v>1273.009</v>
      </c>
      <c r="H461">
        <f t="shared" si="47"/>
        <v>95935.777999999977</v>
      </c>
      <c r="I461">
        <f t="shared" si="44"/>
        <v>97208.786999999982</v>
      </c>
      <c r="J461">
        <f t="shared" si="45"/>
        <v>0</v>
      </c>
      <c r="K461">
        <f t="shared" si="46"/>
        <v>97208.786999999982</v>
      </c>
    </row>
    <row r="462" spans="1:11" x14ac:dyDescent="0.25">
      <c r="A462" s="1">
        <v>45402</v>
      </c>
      <c r="B462">
        <v>5</v>
      </c>
      <c r="C462">
        <v>2681.55</v>
      </c>
      <c r="D462">
        <v>0</v>
      </c>
      <c r="E462">
        <f t="shared" si="42"/>
        <v>2681.55</v>
      </c>
      <c r="F462">
        <v>2073.1280000000002</v>
      </c>
      <c r="G462">
        <f t="shared" si="43"/>
        <v>608.42200000000003</v>
      </c>
      <c r="H462">
        <f t="shared" si="47"/>
        <v>97208.786999999982</v>
      </c>
      <c r="I462">
        <f t="shared" si="44"/>
        <v>97817.208999999988</v>
      </c>
      <c r="J462">
        <f t="shared" si="45"/>
        <v>0</v>
      </c>
      <c r="K462">
        <f t="shared" si="46"/>
        <v>97817.208999999988</v>
      </c>
    </row>
    <row r="463" spans="1:11" x14ac:dyDescent="0.25">
      <c r="A463" s="1">
        <v>45402</v>
      </c>
      <c r="B463">
        <v>6</v>
      </c>
      <c r="C463">
        <v>2601.2750000000001</v>
      </c>
      <c r="D463">
        <v>260.22500000000002</v>
      </c>
      <c r="E463">
        <f t="shared" si="42"/>
        <v>2861.5</v>
      </c>
      <c r="F463">
        <v>3433.17</v>
      </c>
      <c r="G463">
        <f t="shared" si="43"/>
        <v>-571.67000000000007</v>
      </c>
      <c r="H463">
        <f t="shared" si="47"/>
        <v>97817.208999999988</v>
      </c>
      <c r="I463">
        <f t="shared" si="44"/>
        <v>97245.53899999999</v>
      </c>
      <c r="J463">
        <f t="shared" si="45"/>
        <v>0</v>
      </c>
      <c r="K463">
        <f t="shared" si="46"/>
        <v>97245.53899999999</v>
      </c>
    </row>
    <row r="464" spans="1:11" x14ac:dyDescent="0.25">
      <c r="A464" s="1">
        <v>45402</v>
      </c>
      <c r="B464">
        <v>7</v>
      </c>
      <c r="C464">
        <v>2638.5749999999998</v>
      </c>
      <c r="D464">
        <v>681.01300000000003</v>
      </c>
      <c r="E464">
        <f t="shared" si="42"/>
        <v>3319.5879999999997</v>
      </c>
      <c r="F464">
        <v>4676.7849999999999</v>
      </c>
      <c r="G464">
        <f t="shared" si="43"/>
        <v>-1357.1970000000001</v>
      </c>
      <c r="H464">
        <f t="shared" si="47"/>
        <v>97245.53899999999</v>
      </c>
      <c r="I464">
        <f t="shared" si="44"/>
        <v>95888.34199999999</v>
      </c>
      <c r="J464">
        <f t="shared" si="45"/>
        <v>0</v>
      </c>
      <c r="K464">
        <f t="shared" si="46"/>
        <v>95888.34199999999</v>
      </c>
    </row>
    <row r="465" spans="1:11" x14ac:dyDescent="0.25">
      <c r="A465" s="1">
        <v>45402</v>
      </c>
      <c r="B465">
        <v>8</v>
      </c>
      <c r="C465">
        <v>2693.7379999999998</v>
      </c>
      <c r="D465">
        <v>1367.7249999999999</v>
      </c>
      <c r="E465">
        <f t="shared" si="42"/>
        <v>4061.4629999999997</v>
      </c>
      <c r="F465">
        <v>7287.8509999999997</v>
      </c>
      <c r="G465">
        <f t="shared" si="43"/>
        <v>-3226.3879999999999</v>
      </c>
      <c r="H465">
        <f t="shared" si="47"/>
        <v>95888.34199999999</v>
      </c>
      <c r="I465">
        <f t="shared" si="44"/>
        <v>92661.953999999983</v>
      </c>
      <c r="J465">
        <f t="shared" si="45"/>
        <v>0</v>
      </c>
      <c r="K465">
        <f t="shared" si="46"/>
        <v>92661.953999999983</v>
      </c>
    </row>
    <row r="466" spans="1:11" x14ac:dyDescent="0.25">
      <c r="A466" s="1">
        <v>45402</v>
      </c>
      <c r="B466">
        <v>9</v>
      </c>
      <c r="C466">
        <v>2936.288</v>
      </c>
      <c r="D466">
        <v>2244.9879999999998</v>
      </c>
      <c r="E466">
        <f t="shared" si="42"/>
        <v>5181.2759999999998</v>
      </c>
      <c r="F466">
        <v>7747.777</v>
      </c>
      <c r="G466">
        <f t="shared" si="43"/>
        <v>-2566.5010000000002</v>
      </c>
      <c r="H466">
        <f t="shared" si="47"/>
        <v>92661.953999999983</v>
      </c>
      <c r="I466">
        <f t="shared" si="44"/>
        <v>90095.45299999998</v>
      </c>
      <c r="J466">
        <f t="shared" si="45"/>
        <v>0</v>
      </c>
      <c r="K466">
        <f t="shared" si="46"/>
        <v>90095.45299999998</v>
      </c>
    </row>
    <row r="467" spans="1:11" x14ac:dyDescent="0.25">
      <c r="A467" s="1">
        <v>45402</v>
      </c>
      <c r="B467">
        <v>10</v>
      </c>
      <c r="C467">
        <v>3229.1880000000001</v>
      </c>
      <c r="D467">
        <v>3289.05</v>
      </c>
      <c r="E467">
        <f t="shared" si="42"/>
        <v>6518.2380000000003</v>
      </c>
      <c r="F467">
        <v>8647.4429999999993</v>
      </c>
      <c r="G467">
        <f t="shared" si="43"/>
        <v>-2129.204999999999</v>
      </c>
      <c r="H467">
        <f t="shared" si="47"/>
        <v>90095.45299999998</v>
      </c>
      <c r="I467">
        <f t="shared" si="44"/>
        <v>87966.247999999978</v>
      </c>
      <c r="J467">
        <f t="shared" si="45"/>
        <v>0</v>
      </c>
      <c r="K467">
        <f t="shared" si="46"/>
        <v>87966.247999999978</v>
      </c>
    </row>
    <row r="468" spans="1:11" x14ac:dyDescent="0.25">
      <c r="A468" s="1">
        <v>45402</v>
      </c>
      <c r="B468">
        <v>11</v>
      </c>
      <c r="C468">
        <v>3333.2750000000001</v>
      </c>
      <c r="D468">
        <v>3780.8</v>
      </c>
      <c r="E468">
        <f t="shared" si="42"/>
        <v>7114.0750000000007</v>
      </c>
      <c r="F468">
        <v>8623.1470000000008</v>
      </c>
      <c r="G468">
        <f t="shared" si="43"/>
        <v>-1509.0720000000001</v>
      </c>
      <c r="H468">
        <f t="shared" si="47"/>
        <v>87966.247999999978</v>
      </c>
      <c r="I468">
        <f t="shared" si="44"/>
        <v>86457.175999999978</v>
      </c>
      <c r="J468">
        <f t="shared" si="45"/>
        <v>0</v>
      </c>
      <c r="K468">
        <f t="shared" si="46"/>
        <v>86457.175999999978</v>
      </c>
    </row>
    <row r="469" spans="1:11" x14ac:dyDescent="0.25">
      <c r="A469" s="1">
        <v>45402</v>
      </c>
      <c r="B469">
        <v>12</v>
      </c>
      <c r="C469">
        <v>3592.125</v>
      </c>
      <c r="D469">
        <v>4266.5379999999996</v>
      </c>
      <c r="E469">
        <f t="shared" si="42"/>
        <v>7858.6629999999996</v>
      </c>
      <c r="F469">
        <v>8766.4490000000005</v>
      </c>
      <c r="G469">
        <f t="shared" si="43"/>
        <v>-907.78600000000097</v>
      </c>
      <c r="H469">
        <f t="shared" si="47"/>
        <v>86457.175999999978</v>
      </c>
      <c r="I469">
        <f t="shared" si="44"/>
        <v>85549.38999999997</v>
      </c>
      <c r="J469">
        <f t="shared" si="45"/>
        <v>0</v>
      </c>
      <c r="K469">
        <f t="shared" si="46"/>
        <v>85549.38999999997</v>
      </c>
    </row>
    <row r="470" spans="1:11" x14ac:dyDescent="0.25">
      <c r="A470" s="1">
        <v>45402</v>
      </c>
      <c r="B470">
        <v>13</v>
      </c>
      <c r="C470">
        <v>3842.413</v>
      </c>
      <c r="D470">
        <v>4328.0379999999996</v>
      </c>
      <c r="E470">
        <f t="shared" si="42"/>
        <v>8170.4509999999991</v>
      </c>
      <c r="F470">
        <v>9132.8310000000001</v>
      </c>
      <c r="G470">
        <f t="shared" si="43"/>
        <v>-962.38000000000102</v>
      </c>
      <c r="H470">
        <f t="shared" si="47"/>
        <v>85549.38999999997</v>
      </c>
      <c r="I470">
        <f t="shared" si="44"/>
        <v>84587.009999999966</v>
      </c>
      <c r="J470">
        <f t="shared" si="45"/>
        <v>0</v>
      </c>
      <c r="K470">
        <f t="shared" si="46"/>
        <v>84587.009999999966</v>
      </c>
    </row>
    <row r="471" spans="1:11" x14ac:dyDescent="0.25">
      <c r="A471" s="1">
        <v>45402</v>
      </c>
      <c r="B471">
        <v>14</v>
      </c>
      <c r="C471">
        <v>3900.3380000000002</v>
      </c>
      <c r="D471">
        <v>4282.625</v>
      </c>
      <c r="E471">
        <f t="shared" si="42"/>
        <v>8182.9629999999997</v>
      </c>
      <c r="F471">
        <v>8628.143</v>
      </c>
      <c r="G471">
        <f t="shared" si="43"/>
        <v>-445.18000000000029</v>
      </c>
      <c r="H471">
        <f t="shared" si="47"/>
        <v>84587.009999999966</v>
      </c>
      <c r="I471">
        <f t="shared" si="44"/>
        <v>84141.829999999958</v>
      </c>
      <c r="J471">
        <f t="shared" si="45"/>
        <v>0</v>
      </c>
      <c r="K471">
        <f t="shared" si="46"/>
        <v>84141.829999999958</v>
      </c>
    </row>
    <row r="472" spans="1:11" x14ac:dyDescent="0.25">
      <c r="A472" s="1">
        <v>45402</v>
      </c>
      <c r="B472">
        <v>15</v>
      </c>
      <c r="C472">
        <v>3871.4879999999998</v>
      </c>
      <c r="D472">
        <v>3939.6</v>
      </c>
      <c r="E472">
        <f t="shared" si="42"/>
        <v>7811.0879999999997</v>
      </c>
      <c r="F472">
        <v>8894.7630000000008</v>
      </c>
      <c r="G472">
        <f t="shared" si="43"/>
        <v>-1083.6750000000011</v>
      </c>
      <c r="H472">
        <f t="shared" si="47"/>
        <v>84141.829999999958</v>
      </c>
      <c r="I472">
        <f t="shared" si="44"/>
        <v>83058.154999999955</v>
      </c>
      <c r="J472">
        <f t="shared" si="45"/>
        <v>0</v>
      </c>
      <c r="K472">
        <f t="shared" si="46"/>
        <v>83058.154999999955</v>
      </c>
    </row>
    <row r="473" spans="1:11" x14ac:dyDescent="0.25">
      <c r="A473" s="1">
        <v>45402</v>
      </c>
      <c r="B473">
        <v>16</v>
      </c>
      <c r="C473">
        <v>3587.1880000000001</v>
      </c>
      <c r="D473">
        <v>3408.8380000000002</v>
      </c>
      <c r="E473">
        <f t="shared" si="42"/>
        <v>6996.0259999999998</v>
      </c>
      <c r="F473">
        <v>8958.1209999999992</v>
      </c>
      <c r="G473">
        <f t="shared" si="43"/>
        <v>-1962.0949999999993</v>
      </c>
      <c r="H473">
        <f t="shared" si="47"/>
        <v>83058.154999999955</v>
      </c>
      <c r="I473">
        <f t="shared" si="44"/>
        <v>81096.059999999954</v>
      </c>
      <c r="J473">
        <f t="shared" si="45"/>
        <v>0</v>
      </c>
      <c r="K473">
        <f t="shared" si="46"/>
        <v>81096.059999999954</v>
      </c>
    </row>
    <row r="474" spans="1:11" x14ac:dyDescent="0.25">
      <c r="A474" s="1">
        <v>45402</v>
      </c>
      <c r="B474">
        <v>17</v>
      </c>
      <c r="C474">
        <v>3293.0129999999999</v>
      </c>
      <c r="D474">
        <v>2702.4749999999999</v>
      </c>
      <c r="E474">
        <f t="shared" si="42"/>
        <v>5995.4879999999994</v>
      </c>
      <c r="F474">
        <v>8644.1370000000006</v>
      </c>
      <c r="G474">
        <f t="shared" si="43"/>
        <v>-2648.6490000000013</v>
      </c>
      <c r="H474">
        <f t="shared" si="47"/>
        <v>81096.059999999954</v>
      </c>
      <c r="I474">
        <f t="shared" si="44"/>
        <v>78447.410999999949</v>
      </c>
      <c r="J474">
        <f t="shared" si="45"/>
        <v>0</v>
      </c>
      <c r="K474">
        <f t="shared" si="46"/>
        <v>78447.410999999949</v>
      </c>
    </row>
    <row r="475" spans="1:11" x14ac:dyDescent="0.25">
      <c r="A475" s="1">
        <v>45402</v>
      </c>
      <c r="B475">
        <v>18</v>
      </c>
      <c r="C475">
        <v>2748.3879999999999</v>
      </c>
      <c r="D475">
        <v>1841.338</v>
      </c>
      <c r="E475">
        <f t="shared" si="42"/>
        <v>4589.7259999999997</v>
      </c>
      <c r="F475">
        <v>7936.8090000000002</v>
      </c>
      <c r="G475">
        <f t="shared" si="43"/>
        <v>-3347.0830000000005</v>
      </c>
      <c r="H475">
        <f t="shared" si="47"/>
        <v>78447.410999999949</v>
      </c>
      <c r="I475">
        <f t="shared" si="44"/>
        <v>75100.32799999995</v>
      </c>
      <c r="J475">
        <f t="shared" si="45"/>
        <v>0</v>
      </c>
      <c r="K475">
        <f t="shared" si="46"/>
        <v>75100.32799999995</v>
      </c>
    </row>
    <row r="476" spans="1:11" x14ac:dyDescent="0.25">
      <c r="A476" s="1">
        <v>45402</v>
      </c>
      <c r="B476">
        <v>19</v>
      </c>
      <c r="C476">
        <v>2197.9250000000002</v>
      </c>
      <c r="D476">
        <v>893.51300000000003</v>
      </c>
      <c r="E476">
        <f t="shared" si="42"/>
        <v>3091.4380000000001</v>
      </c>
      <c r="F476">
        <v>7092.6379999999999</v>
      </c>
      <c r="G476">
        <f t="shared" si="43"/>
        <v>-4001.2</v>
      </c>
      <c r="H476">
        <f t="shared" si="47"/>
        <v>75100.32799999995</v>
      </c>
      <c r="I476">
        <f t="shared" si="44"/>
        <v>71099.127999999953</v>
      </c>
      <c r="J476">
        <f t="shared" si="45"/>
        <v>0</v>
      </c>
      <c r="K476">
        <f t="shared" si="46"/>
        <v>71099.127999999953</v>
      </c>
    </row>
    <row r="477" spans="1:11" x14ac:dyDescent="0.25">
      <c r="A477" s="1">
        <v>45402</v>
      </c>
      <c r="B477">
        <v>20</v>
      </c>
      <c r="C477">
        <v>1794.8130000000001</v>
      </c>
      <c r="D477">
        <v>211.27500000000001</v>
      </c>
      <c r="E477">
        <f t="shared" si="42"/>
        <v>2006.0880000000002</v>
      </c>
      <c r="F477">
        <v>6900.62</v>
      </c>
      <c r="G477">
        <f t="shared" si="43"/>
        <v>-4894.5319999999992</v>
      </c>
      <c r="H477">
        <f t="shared" si="47"/>
        <v>71099.127999999953</v>
      </c>
      <c r="I477">
        <f t="shared" si="44"/>
        <v>66204.595999999961</v>
      </c>
      <c r="J477">
        <f t="shared" si="45"/>
        <v>0</v>
      </c>
      <c r="K477">
        <f t="shared" si="46"/>
        <v>66204.595999999961</v>
      </c>
    </row>
    <row r="478" spans="1:11" x14ac:dyDescent="0.25">
      <c r="A478" s="1">
        <v>45402</v>
      </c>
      <c r="B478">
        <v>21</v>
      </c>
      <c r="C478">
        <v>1357.075</v>
      </c>
      <c r="D478">
        <v>6.0880000000000001</v>
      </c>
      <c r="E478">
        <f t="shared" si="42"/>
        <v>1363.163</v>
      </c>
      <c r="F478">
        <v>5361.9219999999996</v>
      </c>
      <c r="G478">
        <f t="shared" si="43"/>
        <v>-3998.7589999999996</v>
      </c>
      <c r="H478">
        <f t="shared" si="47"/>
        <v>66204.595999999961</v>
      </c>
      <c r="I478">
        <f t="shared" si="44"/>
        <v>62205.836999999963</v>
      </c>
      <c r="J478">
        <f t="shared" si="45"/>
        <v>0</v>
      </c>
      <c r="K478">
        <f t="shared" si="46"/>
        <v>62205.836999999963</v>
      </c>
    </row>
    <row r="479" spans="1:11" x14ac:dyDescent="0.25">
      <c r="A479" s="1">
        <v>45402</v>
      </c>
      <c r="B479">
        <v>22</v>
      </c>
      <c r="C479">
        <v>1288.213</v>
      </c>
      <c r="D479">
        <v>0</v>
      </c>
      <c r="E479">
        <f t="shared" si="42"/>
        <v>1288.213</v>
      </c>
      <c r="F479">
        <v>5175.4799999999996</v>
      </c>
      <c r="G479">
        <f t="shared" si="43"/>
        <v>-3887.2669999999998</v>
      </c>
      <c r="H479">
        <f t="shared" si="47"/>
        <v>62205.836999999963</v>
      </c>
      <c r="I479">
        <f t="shared" si="44"/>
        <v>58318.569999999963</v>
      </c>
      <c r="J479">
        <f t="shared" si="45"/>
        <v>0</v>
      </c>
      <c r="K479">
        <f t="shared" si="46"/>
        <v>58318.569999999963</v>
      </c>
    </row>
    <row r="480" spans="1:11" x14ac:dyDescent="0.25">
      <c r="A480" s="1">
        <v>45402</v>
      </c>
      <c r="B480">
        <v>23</v>
      </c>
      <c r="C480">
        <v>1273.3630000000001</v>
      </c>
      <c r="D480">
        <v>0</v>
      </c>
      <c r="E480">
        <f t="shared" si="42"/>
        <v>1273.3630000000001</v>
      </c>
      <c r="F480">
        <v>3206.279</v>
      </c>
      <c r="G480">
        <f t="shared" si="43"/>
        <v>-1932.9159999999999</v>
      </c>
      <c r="H480">
        <f t="shared" si="47"/>
        <v>58318.569999999963</v>
      </c>
      <c r="I480">
        <f t="shared" si="44"/>
        <v>56385.653999999966</v>
      </c>
      <c r="J480">
        <f t="shared" si="45"/>
        <v>0</v>
      </c>
      <c r="K480">
        <f t="shared" si="46"/>
        <v>56385.653999999966</v>
      </c>
    </row>
    <row r="481" spans="1:11" x14ac:dyDescent="0.25">
      <c r="A481" s="1">
        <v>45402</v>
      </c>
      <c r="B481">
        <v>24</v>
      </c>
      <c r="C481">
        <v>1262.5250000000001</v>
      </c>
      <c r="D481">
        <v>0</v>
      </c>
      <c r="E481">
        <f t="shared" si="42"/>
        <v>1262.5250000000001</v>
      </c>
      <c r="F481">
        <v>1882.502</v>
      </c>
      <c r="G481">
        <f t="shared" si="43"/>
        <v>-619.97699999999986</v>
      </c>
      <c r="H481">
        <f t="shared" si="47"/>
        <v>56385.653999999966</v>
      </c>
      <c r="I481">
        <f t="shared" si="44"/>
        <v>55765.676999999967</v>
      </c>
      <c r="J481">
        <f t="shared" si="45"/>
        <v>0</v>
      </c>
      <c r="K481">
        <f t="shared" si="46"/>
        <v>55765.676999999967</v>
      </c>
    </row>
    <row r="482" spans="1:11" x14ac:dyDescent="0.25">
      <c r="A482" s="1">
        <v>45403</v>
      </c>
      <c r="B482">
        <v>1</v>
      </c>
      <c r="C482">
        <v>1398.838</v>
      </c>
      <c r="D482">
        <v>0</v>
      </c>
      <c r="E482">
        <f t="shared" si="42"/>
        <v>1398.838</v>
      </c>
      <c r="F482">
        <v>1577.616</v>
      </c>
      <c r="G482">
        <f t="shared" si="43"/>
        <v>-178.77800000000002</v>
      </c>
      <c r="H482">
        <f t="shared" si="47"/>
        <v>55765.676999999967</v>
      </c>
      <c r="I482">
        <f t="shared" si="44"/>
        <v>55586.898999999969</v>
      </c>
      <c r="J482">
        <f t="shared" si="45"/>
        <v>0</v>
      </c>
      <c r="K482">
        <f t="shared" si="46"/>
        <v>55586.898999999969</v>
      </c>
    </row>
    <row r="483" spans="1:11" x14ac:dyDescent="0.25">
      <c r="A483" s="1">
        <v>45403</v>
      </c>
      <c r="B483">
        <v>2</v>
      </c>
      <c r="C483">
        <v>1532.7249999999999</v>
      </c>
      <c r="D483">
        <v>0</v>
      </c>
      <c r="E483">
        <f t="shared" si="42"/>
        <v>1532.7249999999999</v>
      </c>
      <c r="F483">
        <v>1352.578</v>
      </c>
      <c r="G483">
        <f t="shared" si="43"/>
        <v>180.14699999999993</v>
      </c>
      <c r="H483">
        <f t="shared" si="47"/>
        <v>55586.898999999969</v>
      </c>
      <c r="I483">
        <f t="shared" si="44"/>
        <v>55767.045999999966</v>
      </c>
      <c r="J483">
        <f t="shared" si="45"/>
        <v>0</v>
      </c>
      <c r="K483">
        <f t="shared" si="46"/>
        <v>55767.045999999966</v>
      </c>
    </row>
    <row r="484" spans="1:11" x14ac:dyDescent="0.25">
      <c r="A484" s="1">
        <v>45403</v>
      </c>
      <c r="B484">
        <v>3</v>
      </c>
      <c r="C484">
        <v>1704.1880000000001</v>
      </c>
      <c r="D484">
        <v>0</v>
      </c>
      <c r="E484">
        <f t="shared" si="42"/>
        <v>1704.1880000000001</v>
      </c>
      <c r="F484">
        <v>1265.048</v>
      </c>
      <c r="G484">
        <f t="shared" si="43"/>
        <v>439.1400000000001</v>
      </c>
      <c r="H484">
        <f t="shared" si="47"/>
        <v>55767.045999999966</v>
      </c>
      <c r="I484">
        <f t="shared" si="44"/>
        <v>56206.185999999965</v>
      </c>
      <c r="J484">
        <f t="shared" si="45"/>
        <v>0</v>
      </c>
      <c r="K484">
        <f t="shared" si="46"/>
        <v>56206.185999999965</v>
      </c>
    </row>
    <row r="485" spans="1:11" x14ac:dyDescent="0.25">
      <c r="A485" s="1">
        <v>45403</v>
      </c>
      <c r="B485">
        <v>4</v>
      </c>
      <c r="C485">
        <v>1849.1</v>
      </c>
      <c r="D485">
        <v>0</v>
      </c>
      <c r="E485">
        <f t="shared" si="42"/>
        <v>1849.1</v>
      </c>
      <c r="F485">
        <v>1267.6410000000001</v>
      </c>
      <c r="G485">
        <f t="shared" si="43"/>
        <v>581.45899999999983</v>
      </c>
      <c r="H485">
        <f t="shared" si="47"/>
        <v>56206.185999999965</v>
      </c>
      <c r="I485">
        <f t="shared" si="44"/>
        <v>56787.644999999968</v>
      </c>
      <c r="J485">
        <f t="shared" si="45"/>
        <v>0</v>
      </c>
      <c r="K485">
        <f t="shared" si="46"/>
        <v>56787.644999999968</v>
      </c>
    </row>
    <row r="486" spans="1:11" x14ac:dyDescent="0.25">
      <c r="A486" s="1">
        <v>45403</v>
      </c>
      <c r="B486">
        <v>5</v>
      </c>
      <c r="C486">
        <v>1937.375</v>
      </c>
      <c r="D486">
        <v>0</v>
      </c>
      <c r="E486">
        <f t="shared" si="42"/>
        <v>1937.375</v>
      </c>
      <c r="F486">
        <v>1900.37</v>
      </c>
      <c r="G486">
        <f t="shared" si="43"/>
        <v>37.005000000000109</v>
      </c>
      <c r="H486">
        <f t="shared" si="47"/>
        <v>56787.644999999968</v>
      </c>
      <c r="I486">
        <f t="shared" si="44"/>
        <v>56824.649999999965</v>
      </c>
      <c r="J486">
        <f t="shared" si="45"/>
        <v>0</v>
      </c>
      <c r="K486">
        <f t="shared" si="46"/>
        <v>56824.649999999965</v>
      </c>
    </row>
    <row r="487" spans="1:11" x14ac:dyDescent="0.25">
      <c r="A487" s="1">
        <v>45403</v>
      </c>
      <c r="B487">
        <v>6</v>
      </c>
      <c r="C487">
        <v>2067.2629999999999</v>
      </c>
      <c r="D487">
        <v>38.700000000000003</v>
      </c>
      <c r="E487">
        <f t="shared" si="42"/>
        <v>2105.9629999999997</v>
      </c>
      <c r="F487">
        <v>3147.076</v>
      </c>
      <c r="G487">
        <f t="shared" si="43"/>
        <v>-1041.1130000000003</v>
      </c>
      <c r="H487">
        <f t="shared" si="47"/>
        <v>56824.649999999965</v>
      </c>
      <c r="I487">
        <f t="shared" si="44"/>
        <v>55783.536999999968</v>
      </c>
      <c r="J487">
        <f t="shared" si="45"/>
        <v>0</v>
      </c>
      <c r="K487">
        <f t="shared" si="46"/>
        <v>55783.536999999968</v>
      </c>
    </row>
    <row r="488" spans="1:11" x14ac:dyDescent="0.25">
      <c r="A488" s="1">
        <v>45403</v>
      </c>
      <c r="B488">
        <v>7</v>
      </c>
      <c r="C488">
        <v>2184.8380000000002</v>
      </c>
      <c r="D488">
        <v>474.45</v>
      </c>
      <c r="E488">
        <f t="shared" si="42"/>
        <v>2659.288</v>
      </c>
      <c r="F488">
        <v>4287.0569999999998</v>
      </c>
      <c r="G488">
        <f t="shared" si="43"/>
        <v>-1627.7689999999998</v>
      </c>
      <c r="H488">
        <f t="shared" si="47"/>
        <v>55783.536999999968</v>
      </c>
      <c r="I488">
        <f t="shared" si="44"/>
        <v>54155.767999999967</v>
      </c>
      <c r="J488">
        <f t="shared" si="45"/>
        <v>0</v>
      </c>
      <c r="K488">
        <f t="shared" si="46"/>
        <v>54155.767999999967</v>
      </c>
    </row>
    <row r="489" spans="1:11" x14ac:dyDescent="0.25">
      <c r="A489" s="1">
        <v>45403</v>
      </c>
      <c r="B489">
        <v>8</v>
      </c>
      <c r="C489">
        <v>1934.588</v>
      </c>
      <c r="D489">
        <v>1766.1880000000001</v>
      </c>
      <c r="E489">
        <f t="shared" si="42"/>
        <v>3700.7759999999998</v>
      </c>
      <c r="F489">
        <v>6341.1970000000001</v>
      </c>
      <c r="G489">
        <f t="shared" si="43"/>
        <v>-2640.4210000000003</v>
      </c>
      <c r="H489">
        <f t="shared" si="47"/>
        <v>54155.767999999967</v>
      </c>
      <c r="I489">
        <f t="shared" si="44"/>
        <v>51515.346999999965</v>
      </c>
      <c r="J489">
        <f t="shared" si="45"/>
        <v>0</v>
      </c>
      <c r="K489">
        <f t="shared" si="46"/>
        <v>51515.346999999965</v>
      </c>
    </row>
    <row r="490" spans="1:11" x14ac:dyDescent="0.25">
      <c r="A490" s="1">
        <v>45403</v>
      </c>
      <c r="B490">
        <v>9</v>
      </c>
      <c r="C490">
        <v>1946.1130000000001</v>
      </c>
      <c r="D490">
        <v>3378.413</v>
      </c>
      <c r="E490">
        <f t="shared" si="42"/>
        <v>5324.5259999999998</v>
      </c>
      <c r="F490">
        <v>7102.1360000000004</v>
      </c>
      <c r="G490">
        <f t="shared" si="43"/>
        <v>-1777.6100000000006</v>
      </c>
      <c r="H490">
        <f t="shared" si="47"/>
        <v>51515.346999999965</v>
      </c>
      <c r="I490">
        <f t="shared" si="44"/>
        <v>49737.736999999965</v>
      </c>
      <c r="J490">
        <f t="shared" si="45"/>
        <v>0</v>
      </c>
      <c r="K490">
        <f t="shared" si="46"/>
        <v>49737.736999999965</v>
      </c>
    </row>
    <row r="491" spans="1:11" x14ac:dyDescent="0.25">
      <c r="A491" s="1">
        <v>45403</v>
      </c>
      <c r="B491">
        <v>10</v>
      </c>
      <c r="C491">
        <v>2419.8380000000002</v>
      </c>
      <c r="D491">
        <v>4721.9629999999997</v>
      </c>
      <c r="E491">
        <f t="shared" si="42"/>
        <v>7141.8009999999995</v>
      </c>
      <c r="F491">
        <v>7926.8310000000001</v>
      </c>
      <c r="G491">
        <f t="shared" si="43"/>
        <v>-785.03000000000065</v>
      </c>
      <c r="H491">
        <f t="shared" si="47"/>
        <v>49737.736999999965</v>
      </c>
      <c r="I491">
        <f t="shared" si="44"/>
        <v>48952.706999999966</v>
      </c>
      <c r="J491">
        <f t="shared" si="45"/>
        <v>0</v>
      </c>
      <c r="K491">
        <f t="shared" si="46"/>
        <v>48952.706999999966</v>
      </c>
    </row>
    <row r="492" spans="1:11" x14ac:dyDescent="0.25">
      <c r="A492" s="1">
        <v>45403</v>
      </c>
      <c r="B492">
        <v>11</v>
      </c>
      <c r="C492">
        <v>2898.95</v>
      </c>
      <c r="D492">
        <v>5160.4629999999997</v>
      </c>
      <c r="E492">
        <f t="shared" si="42"/>
        <v>8059.4129999999996</v>
      </c>
      <c r="F492">
        <v>7904.56</v>
      </c>
      <c r="G492">
        <f t="shared" si="43"/>
        <v>154.85299999999916</v>
      </c>
      <c r="H492">
        <f t="shared" si="47"/>
        <v>48952.706999999966</v>
      </c>
      <c r="I492">
        <f t="shared" si="44"/>
        <v>49107.559999999969</v>
      </c>
      <c r="J492">
        <f t="shared" si="45"/>
        <v>0</v>
      </c>
      <c r="K492">
        <f t="shared" si="46"/>
        <v>49107.559999999969</v>
      </c>
    </row>
    <row r="493" spans="1:11" x14ac:dyDescent="0.25">
      <c r="A493" s="1">
        <v>45403</v>
      </c>
      <c r="B493">
        <v>12</v>
      </c>
      <c r="C493">
        <v>3274.163</v>
      </c>
      <c r="D493">
        <v>5038.2629999999999</v>
      </c>
      <c r="E493">
        <f t="shared" si="42"/>
        <v>8312.4259999999995</v>
      </c>
      <c r="F493">
        <v>8035.9189999999999</v>
      </c>
      <c r="G493">
        <f t="shared" si="43"/>
        <v>276.50699999999961</v>
      </c>
      <c r="H493">
        <f t="shared" si="47"/>
        <v>49107.559999999969</v>
      </c>
      <c r="I493">
        <f t="shared" si="44"/>
        <v>49384.066999999966</v>
      </c>
      <c r="J493">
        <f t="shared" si="45"/>
        <v>0</v>
      </c>
      <c r="K493">
        <f t="shared" si="46"/>
        <v>49384.066999999966</v>
      </c>
    </row>
    <row r="494" spans="1:11" x14ac:dyDescent="0.25">
      <c r="A494" s="1">
        <v>45403</v>
      </c>
      <c r="B494">
        <v>13</v>
      </c>
      <c r="C494">
        <v>3595.8380000000002</v>
      </c>
      <c r="D494">
        <v>4713.7879999999996</v>
      </c>
      <c r="E494">
        <f t="shared" si="42"/>
        <v>8309.6260000000002</v>
      </c>
      <c r="F494">
        <v>8371.77</v>
      </c>
      <c r="G494">
        <f t="shared" si="43"/>
        <v>-62.144000000000233</v>
      </c>
      <c r="H494">
        <f t="shared" si="47"/>
        <v>49384.066999999966</v>
      </c>
      <c r="I494">
        <f t="shared" si="44"/>
        <v>49321.922999999966</v>
      </c>
      <c r="J494">
        <f t="shared" si="45"/>
        <v>0</v>
      </c>
      <c r="K494">
        <f t="shared" si="46"/>
        <v>49321.922999999966</v>
      </c>
    </row>
    <row r="495" spans="1:11" x14ac:dyDescent="0.25">
      <c r="A495" s="1">
        <v>45403</v>
      </c>
      <c r="B495">
        <v>14</v>
      </c>
      <c r="C495">
        <v>3973.15</v>
      </c>
      <c r="D495">
        <v>4531.9250000000002</v>
      </c>
      <c r="E495">
        <f t="shared" si="42"/>
        <v>8505.0750000000007</v>
      </c>
      <c r="F495">
        <v>7909.1390000000001</v>
      </c>
      <c r="G495">
        <f t="shared" si="43"/>
        <v>595.9360000000006</v>
      </c>
      <c r="H495">
        <f t="shared" si="47"/>
        <v>49321.922999999966</v>
      </c>
      <c r="I495">
        <f t="shared" si="44"/>
        <v>49917.858999999968</v>
      </c>
      <c r="J495">
        <f t="shared" si="45"/>
        <v>0</v>
      </c>
      <c r="K495">
        <f t="shared" si="46"/>
        <v>49917.858999999968</v>
      </c>
    </row>
    <row r="496" spans="1:11" x14ac:dyDescent="0.25">
      <c r="A496" s="1">
        <v>45403</v>
      </c>
      <c r="B496">
        <v>15</v>
      </c>
      <c r="C496">
        <v>4240.5249999999996</v>
      </c>
      <c r="D496">
        <v>4170.3500000000004</v>
      </c>
      <c r="E496">
        <f t="shared" si="42"/>
        <v>8410.875</v>
      </c>
      <c r="F496">
        <v>8153.5410000000002</v>
      </c>
      <c r="G496">
        <f t="shared" si="43"/>
        <v>257.33399999999983</v>
      </c>
      <c r="H496">
        <f t="shared" si="47"/>
        <v>49917.858999999968</v>
      </c>
      <c r="I496">
        <f t="shared" si="44"/>
        <v>50175.19299999997</v>
      </c>
      <c r="J496">
        <f t="shared" si="45"/>
        <v>0</v>
      </c>
      <c r="K496">
        <f t="shared" si="46"/>
        <v>50175.19299999997</v>
      </c>
    </row>
    <row r="497" spans="1:11" x14ac:dyDescent="0.25">
      <c r="A497" s="1">
        <v>45403</v>
      </c>
      <c r="B497">
        <v>16</v>
      </c>
      <c r="C497">
        <v>4450.5879999999997</v>
      </c>
      <c r="D497">
        <v>3515.0630000000001</v>
      </c>
      <c r="E497">
        <f t="shared" si="42"/>
        <v>7965.6509999999998</v>
      </c>
      <c r="F497">
        <v>8211.6190000000006</v>
      </c>
      <c r="G497">
        <f t="shared" si="43"/>
        <v>-245.96800000000076</v>
      </c>
      <c r="H497">
        <f t="shared" si="47"/>
        <v>50175.19299999997</v>
      </c>
      <c r="I497">
        <f t="shared" si="44"/>
        <v>49929.224999999969</v>
      </c>
      <c r="J497">
        <f t="shared" si="45"/>
        <v>0</v>
      </c>
      <c r="K497">
        <f t="shared" si="46"/>
        <v>49929.224999999969</v>
      </c>
    </row>
    <row r="498" spans="1:11" x14ac:dyDescent="0.25">
      <c r="A498" s="1">
        <v>45403</v>
      </c>
      <c r="B498">
        <v>17</v>
      </c>
      <c r="C498">
        <v>4511.9629999999997</v>
      </c>
      <c r="D498">
        <v>2743.9879999999998</v>
      </c>
      <c r="E498">
        <f t="shared" si="42"/>
        <v>7255.9509999999991</v>
      </c>
      <c r="F498">
        <v>7923.8</v>
      </c>
      <c r="G498">
        <f t="shared" si="43"/>
        <v>-667.84900000000107</v>
      </c>
      <c r="H498">
        <f t="shared" si="47"/>
        <v>49929.224999999969</v>
      </c>
      <c r="I498">
        <f t="shared" si="44"/>
        <v>49261.375999999967</v>
      </c>
      <c r="J498">
        <f t="shared" si="45"/>
        <v>0</v>
      </c>
      <c r="K498">
        <f t="shared" si="46"/>
        <v>49261.375999999967</v>
      </c>
    </row>
    <row r="499" spans="1:11" x14ac:dyDescent="0.25">
      <c r="A499" s="1">
        <v>45403</v>
      </c>
      <c r="B499">
        <v>18</v>
      </c>
      <c r="C499">
        <v>4392.3630000000003</v>
      </c>
      <c r="D499">
        <v>1887.788</v>
      </c>
      <c r="E499">
        <f t="shared" si="42"/>
        <v>6280.1509999999998</v>
      </c>
      <c r="F499">
        <v>7275.4160000000002</v>
      </c>
      <c r="G499">
        <f t="shared" si="43"/>
        <v>-995.26500000000033</v>
      </c>
      <c r="H499">
        <f t="shared" si="47"/>
        <v>49261.375999999967</v>
      </c>
      <c r="I499">
        <f t="shared" si="44"/>
        <v>48266.110999999968</v>
      </c>
      <c r="J499">
        <f t="shared" si="45"/>
        <v>0</v>
      </c>
      <c r="K499">
        <f t="shared" si="46"/>
        <v>48266.110999999968</v>
      </c>
    </row>
    <row r="500" spans="1:11" x14ac:dyDescent="0.25">
      <c r="A500" s="1">
        <v>45403</v>
      </c>
      <c r="B500">
        <v>19</v>
      </c>
      <c r="C500">
        <v>4057.6880000000001</v>
      </c>
      <c r="D500">
        <v>909.85</v>
      </c>
      <c r="E500">
        <f t="shared" si="42"/>
        <v>4967.5380000000005</v>
      </c>
      <c r="F500">
        <v>6501.5910000000003</v>
      </c>
      <c r="G500">
        <f t="shared" si="43"/>
        <v>-1534.0529999999999</v>
      </c>
      <c r="H500">
        <f t="shared" si="47"/>
        <v>48266.110999999968</v>
      </c>
      <c r="I500">
        <f t="shared" si="44"/>
        <v>46732.057999999968</v>
      </c>
      <c r="J500">
        <f t="shared" si="45"/>
        <v>0</v>
      </c>
      <c r="K500">
        <f t="shared" si="46"/>
        <v>46732.057999999968</v>
      </c>
    </row>
    <row r="501" spans="1:11" x14ac:dyDescent="0.25">
      <c r="A501" s="1">
        <v>45403</v>
      </c>
      <c r="B501">
        <v>20</v>
      </c>
      <c r="C501">
        <v>3567.875</v>
      </c>
      <c r="D501">
        <v>212.28800000000001</v>
      </c>
      <c r="E501">
        <f t="shared" si="42"/>
        <v>3780.163</v>
      </c>
      <c r="F501">
        <v>6325.5749999999998</v>
      </c>
      <c r="G501">
        <f t="shared" si="43"/>
        <v>-2545.4119999999998</v>
      </c>
      <c r="H501">
        <f t="shared" si="47"/>
        <v>46732.057999999968</v>
      </c>
      <c r="I501">
        <f t="shared" si="44"/>
        <v>44186.645999999972</v>
      </c>
      <c r="J501">
        <f t="shared" si="45"/>
        <v>0</v>
      </c>
      <c r="K501">
        <f t="shared" si="46"/>
        <v>44186.645999999972</v>
      </c>
    </row>
    <row r="502" spans="1:11" x14ac:dyDescent="0.25">
      <c r="A502" s="1">
        <v>45403</v>
      </c>
      <c r="B502">
        <v>21</v>
      </c>
      <c r="C502">
        <v>3013.4380000000001</v>
      </c>
      <c r="D502">
        <v>6.1</v>
      </c>
      <c r="E502">
        <f t="shared" si="42"/>
        <v>3019.538</v>
      </c>
      <c r="F502">
        <v>4915.1000000000004</v>
      </c>
      <c r="G502">
        <f t="shared" si="43"/>
        <v>-1895.5620000000004</v>
      </c>
      <c r="H502">
        <f t="shared" si="47"/>
        <v>44186.645999999972</v>
      </c>
      <c r="I502">
        <f t="shared" si="44"/>
        <v>42291.083999999973</v>
      </c>
      <c r="J502">
        <f t="shared" si="45"/>
        <v>0</v>
      </c>
      <c r="K502">
        <f t="shared" si="46"/>
        <v>42291.083999999973</v>
      </c>
    </row>
    <row r="503" spans="1:11" x14ac:dyDescent="0.25">
      <c r="A503" s="1">
        <v>45403</v>
      </c>
      <c r="B503">
        <v>22</v>
      </c>
      <c r="C503">
        <v>2788.8130000000001</v>
      </c>
      <c r="D503">
        <v>0</v>
      </c>
      <c r="E503">
        <f t="shared" si="42"/>
        <v>2788.8130000000001</v>
      </c>
      <c r="F503">
        <v>4744.1949999999997</v>
      </c>
      <c r="G503">
        <f t="shared" si="43"/>
        <v>-1955.3819999999996</v>
      </c>
      <c r="H503">
        <f t="shared" si="47"/>
        <v>42291.083999999973</v>
      </c>
      <c r="I503">
        <f t="shared" si="44"/>
        <v>40335.701999999976</v>
      </c>
      <c r="J503">
        <f t="shared" si="45"/>
        <v>0</v>
      </c>
      <c r="K503">
        <f t="shared" si="46"/>
        <v>40335.701999999976</v>
      </c>
    </row>
    <row r="504" spans="1:11" x14ac:dyDescent="0.25">
      <c r="A504" s="1">
        <v>45403</v>
      </c>
      <c r="B504">
        <v>23</v>
      </c>
      <c r="C504">
        <v>2913.0880000000002</v>
      </c>
      <c r="D504">
        <v>0</v>
      </c>
      <c r="E504">
        <f t="shared" si="42"/>
        <v>2913.0880000000002</v>
      </c>
      <c r="F504">
        <v>2939.0920000000001</v>
      </c>
      <c r="G504">
        <f t="shared" si="43"/>
        <v>-26.003999999999905</v>
      </c>
      <c r="H504">
        <f t="shared" si="47"/>
        <v>40335.701999999976</v>
      </c>
      <c r="I504">
        <f t="shared" si="44"/>
        <v>40309.697999999975</v>
      </c>
      <c r="J504">
        <f t="shared" si="45"/>
        <v>0</v>
      </c>
      <c r="K504">
        <f t="shared" si="46"/>
        <v>40309.697999999975</v>
      </c>
    </row>
    <row r="505" spans="1:11" x14ac:dyDescent="0.25">
      <c r="A505" s="1">
        <v>45403</v>
      </c>
      <c r="B505">
        <v>24</v>
      </c>
      <c r="C505">
        <v>2756.2</v>
      </c>
      <c r="D505">
        <v>0</v>
      </c>
      <c r="E505">
        <f t="shared" si="42"/>
        <v>2756.2</v>
      </c>
      <c r="F505">
        <v>1725.6279999999999</v>
      </c>
      <c r="G505">
        <f t="shared" si="43"/>
        <v>1030.5719999999999</v>
      </c>
      <c r="H505">
        <f t="shared" si="47"/>
        <v>40309.697999999975</v>
      </c>
      <c r="I505">
        <f t="shared" si="44"/>
        <v>41340.269999999975</v>
      </c>
      <c r="J505">
        <f t="shared" si="45"/>
        <v>0</v>
      </c>
      <c r="K505">
        <f t="shared" si="46"/>
        <v>41340.269999999975</v>
      </c>
    </row>
    <row r="506" spans="1:11" x14ac:dyDescent="0.25">
      <c r="A506" s="1">
        <v>45404</v>
      </c>
      <c r="B506">
        <v>1</v>
      </c>
      <c r="C506">
        <v>2444.663</v>
      </c>
      <c r="D506">
        <v>0</v>
      </c>
      <c r="E506">
        <f t="shared" si="42"/>
        <v>2444.663</v>
      </c>
      <c r="F506">
        <v>1561.84</v>
      </c>
      <c r="G506">
        <f t="shared" si="43"/>
        <v>882.82300000000009</v>
      </c>
      <c r="H506">
        <f t="shared" si="47"/>
        <v>41340.269999999975</v>
      </c>
      <c r="I506">
        <f t="shared" si="44"/>
        <v>42223.092999999972</v>
      </c>
      <c r="J506">
        <f t="shared" si="45"/>
        <v>0</v>
      </c>
      <c r="K506">
        <f t="shared" si="46"/>
        <v>42223.092999999972</v>
      </c>
    </row>
    <row r="507" spans="1:11" x14ac:dyDescent="0.25">
      <c r="A507" s="1">
        <v>45404</v>
      </c>
      <c r="B507">
        <v>2</v>
      </c>
      <c r="C507">
        <v>2285.6880000000001</v>
      </c>
      <c r="D507">
        <v>0</v>
      </c>
      <c r="E507">
        <f t="shared" si="42"/>
        <v>2285.6880000000001</v>
      </c>
      <c r="F507">
        <v>1339.0530000000001</v>
      </c>
      <c r="G507">
        <f t="shared" si="43"/>
        <v>946.63499999999999</v>
      </c>
      <c r="H507">
        <f t="shared" si="47"/>
        <v>42223.092999999972</v>
      </c>
      <c r="I507">
        <f t="shared" si="44"/>
        <v>43169.727999999974</v>
      </c>
      <c r="J507">
        <f t="shared" si="45"/>
        <v>0</v>
      </c>
      <c r="K507">
        <f t="shared" si="46"/>
        <v>43169.727999999974</v>
      </c>
    </row>
    <row r="508" spans="1:11" x14ac:dyDescent="0.25">
      <c r="A508" s="1">
        <v>45404</v>
      </c>
      <c r="B508">
        <v>3</v>
      </c>
      <c r="C508">
        <v>2196.663</v>
      </c>
      <c r="D508">
        <v>0</v>
      </c>
      <c r="E508">
        <f t="shared" si="42"/>
        <v>2196.663</v>
      </c>
      <c r="F508">
        <v>1252.3969999999999</v>
      </c>
      <c r="G508">
        <f t="shared" si="43"/>
        <v>944.26600000000008</v>
      </c>
      <c r="H508">
        <f t="shared" si="47"/>
        <v>43169.727999999974</v>
      </c>
      <c r="I508">
        <f t="shared" si="44"/>
        <v>44113.993999999977</v>
      </c>
      <c r="J508">
        <f t="shared" si="45"/>
        <v>0</v>
      </c>
      <c r="K508">
        <f t="shared" si="46"/>
        <v>44113.993999999977</v>
      </c>
    </row>
    <row r="509" spans="1:11" x14ac:dyDescent="0.25">
      <c r="A509" s="1">
        <v>45404</v>
      </c>
      <c r="B509">
        <v>4</v>
      </c>
      <c r="C509">
        <v>2105.1379999999999</v>
      </c>
      <c r="D509">
        <v>0</v>
      </c>
      <c r="E509">
        <f t="shared" si="42"/>
        <v>2105.1379999999999</v>
      </c>
      <c r="F509">
        <v>1254.9639999999999</v>
      </c>
      <c r="G509">
        <f t="shared" si="43"/>
        <v>850.17399999999998</v>
      </c>
      <c r="H509">
        <f t="shared" si="47"/>
        <v>44113.993999999977</v>
      </c>
      <c r="I509">
        <f t="shared" si="44"/>
        <v>44964.167999999976</v>
      </c>
      <c r="J509">
        <f t="shared" si="45"/>
        <v>0</v>
      </c>
      <c r="K509">
        <f t="shared" si="46"/>
        <v>44964.167999999976</v>
      </c>
    </row>
    <row r="510" spans="1:11" x14ac:dyDescent="0.25">
      <c r="A510" s="1">
        <v>45404</v>
      </c>
      <c r="B510">
        <v>5</v>
      </c>
      <c r="C510">
        <v>2107.9250000000002</v>
      </c>
      <c r="D510">
        <v>0</v>
      </c>
      <c r="E510">
        <f t="shared" si="42"/>
        <v>2107.9250000000002</v>
      </c>
      <c r="F510">
        <v>1881.366</v>
      </c>
      <c r="G510">
        <f t="shared" si="43"/>
        <v>226.5590000000002</v>
      </c>
      <c r="H510">
        <f t="shared" si="47"/>
        <v>44964.167999999976</v>
      </c>
      <c r="I510">
        <f t="shared" si="44"/>
        <v>45190.726999999977</v>
      </c>
      <c r="J510">
        <f t="shared" si="45"/>
        <v>0</v>
      </c>
      <c r="K510">
        <f t="shared" si="46"/>
        <v>45190.726999999977</v>
      </c>
    </row>
    <row r="511" spans="1:11" x14ac:dyDescent="0.25">
      <c r="A511" s="1">
        <v>45404</v>
      </c>
      <c r="B511">
        <v>6</v>
      </c>
      <c r="C511">
        <v>2172.9380000000001</v>
      </c>
      <c r="D511">
        <v>56.024999999999999</v>
      </c>
      <c r="E511">
        <f t="shared" si="42"/>
        <v>2228.9630000000002</v>
      </c>
      <c r="F511">
        <v>3115.605</v>
      </c>
      <c r="G511">
        <f t="shared" si="43"/>
        <v>-886.64199999999983</v>
      </c>
      <c r="H511">
        <f t="shared" si="47"/>
        <v>45190.726999999977</v>
      </c>
      <c r="I511">
        <f t="shared" si="44"/>
        <v>44304.084999999977</v>
      </c>
      <c r="J511">
        <f t="shared" si="45"/>
        <v>0</v>
      </c>
      <c r="K511">
        <f t="shared" si="46"/>
        <v>44304.084999999977</v>
      </c>
    </row>
    <row r="512" spans="1:11" x14ac:dyDescent="0.25">
      <c r="A512" s="1">
        <v>45404</v>
      </c>
      <c r="B512">
        <v>7</v>
      </c>
      <c r="C512">
        <v>2164.1129999999998</v>
      </c>
      <c r="D512">
        <v>442.78800000000001</v>
      </c>
      <c r="E512">
        <f t="shared" si="42"/>
        <v>2606.9009999999998</v>
      </c>
      <c r="F512">
        <v>4244.1859999999997</v>
      </c>
      <c r="G512">
        <f t="shared" si="43"/>
        <v>-1637.2849999999999</v>
      </c>
      <c r="H512">
        <f t="shared" si="47"/>
        <v>44304.084999999977</v>
      </c>
      <c r="I512">
        <f t="shared" si="44"/>
        <v>42666.799999999974</v>
      </c>
      <c r="J512">
        <f t="shared" si="45"/>
        <v>0</v>
      </c>
      <c r="K512">
        <f t="shared" si="46"/>
        <v>42666.799999999974</v>
      </c>
    </row>
    <row r="513" spans="1:11" x14ac:dyDescent="0.25">
      <c r="A513" s="1">
        <v>45404</v>
      </c>
      <c r="B513">
        <v>8</v>
      </c>
      <c r="C513">
        <v>2141</v>
      </c>
      <c r="D513">
        <v>1446.9</v>
      </c>
      <c r="E513">
        <f t="shared" si="42"/>
        <v>3587.9</v>
      </c>
      <c r="F513">
        <v>6150.9610000000002</v>
      </c>
      <c r="G513">
        <f t="shared" si="43"/>
        <v>-2563.0610000000001</v>
      </c>
      <c r="H513">
        <f t="shared" si="47"/>
        <v>42666.799999999974</v>
      </c>
      <c r="I513">
        <f t="shared" si="44"/>
        <v>40103.738999999972</v>
      </c>
      <c r="J513">
        <f t="shared" si="45"/>
        <v>0</v>
      </c>
      <c r="K513">
        <f t="shared" si="46"/>
        <v>40103.738999999972</v>
      </c>
    </row>
    <row r="514" spans="1:11" x14ac:dyDescent="0.25">
      <c r="A514" s="1">
        <v>45404</v>
      </c>
      <c r="B514">
        <v>9</v>
      </c>
      <c r="C514">
        <v>2122.288</v>
      </c>
      <c r="D514">
        <v>2735.5880000000002</v>
      </c>
      <c r="E514">
        <f t="shared" si="42"/>
        <v>4857.8760000000002</v>
      </c>
      <c r="F514">
        <v>6889.0720000000001</v>
      </c>
      <c r="G514">
        <f t="shared" si="43"/>
        <v>-2031.1959999999999</v>
      </c>
      <c r="H514">
        <f t="shared" si="47"/>
        <v>40103.738999999972</v>
      </c>
      <c r="I514">
        <f t="shared" si="44"/>
        <v>38072.542999999976</v>
      </c>
      <c r="J514">
        <f t="shared" si="45"/>
        <v>0</v>
      </c>
      <c r="K514">
        <f t="shared" si="46"/>
        <v>38072.542999999976</v>
      </c>
    </row>
    <row r="515" spans="1:11" x14ac:dyDescent="0.25">
      <c r="A515" s="1">
        <v>45404</v>
      </c>
      <c r="B515">
        <v>10</v>
      </c>
      <c r="C515">
        <v>2205.788</v>
      </c>
      <c r="D515">
        <v>3847.4630000000002</v>
      </c>
      <c r="E515">
        <f t="shared" ref="E515:E578" si="48">C515+D515</f>
        <v>6053.2510000000002</v>
      </c>
      <c r="F515">
        <v>7689.0259999999998</v>
      </c>
      <c r="G515">
        <f t="shared" ref="G515:G578" si="49">E515-F515</f>
        <v>-1635.7749999999996</v>
      </c>
      <c r="H515">
        <f t="shared" si="47"/>
        <v>38072.542999999976</v>
      </c>
      <c r="I515">
        <f t="shared" ref="I515:I578" si="50">IF(H515+G515&gt;200000,200000,H515+G515)</f>
        <v>36436.767999999975</v>
      </c>
      <c r="J515">
        <f t="shared" ref="J515:J578" si="51">IF(I515&lt;0,1,0)</f>
        <v>0</v>
      </c>
      <c r="K515">
        <f t="shared" ref="K515:K578" si="52">IF(J515=1,0,I515)</f>
        <v>36436.767999999975</v>
      </c>
    </row>
    <row r="516" spans="1:11" x14ac:dyDescent="0.25">
      <c r="A516" s="1">
        <v>45404</v>
      </c>
      <c r="B516">
        <v>11</v>
      </c>
      <c r="C516">
        <v>2236.8130000000001</v>
      </c>
      <c r="D516">
        <v>4368.1379999999999</v>
      </c>
      <c r="E516">
        <f t="shared" si="48"/>
        <v>6604.951</v>
      </c>
      <c r="F516">
        <v>7667.4229999999998</v>
      </c>
      <c r="G516">
        <f t="shared" si="49"/>
        <v>-1062.4719999999998</v>
      </c>
      <c r="H516">
        <f t="shared" ref="H516:H579" si="53">K515</f>
        <v>36436.767999999975</v>
      </c>
      <c r="I516">
        <f t="shared" si="50"/>
        <v>35374.295999999973</v>
      </c>
      <c r="J516">
        <f t="shared" si="51"/>
        <v>0</v>
      </c>
      <c r="K516">
        <f t="shared" si="52"/>
        <v>35374.295999999973</v>
      </c>
    </row>
    <row r="517" spans="1:11" x14ac:dyDescent="0.25">
      <c r="A517" s="1">
        <v>45404</v>
      </c>
      <c r="B517">
        <v>12</v>
      </c>
      <c r="C517">
        <v>2309.5500000000002</v>
      </c>
      <c r="D517">
        <v>4245.9380000000001</v>
      </c>
      <c r="E517">
        <f t="shared" si="48"/>
        <v>6555.4880000000003</v>
      </c>
      <c r="F517">
        <v>7794.8419999999996</v>
      </c>
      <c r="G517">
        <f t="shared" si="49"/>
        <v>-1239.3539999999994</v>
      </c>
      <c r="H517">
        <f t="shared" si="53"/>
        <v>35374.295999999973</v>
      </c>
      <c r="I517">
        <f t="shared" si="50"/>
        <v>34134.941999999974</v>
      </c>
      <c r="J517">
        <f t="shared" si="51"/>
        <v>0</v>
      </c>
      <c r="K517">
        <f t="shared" si="52"/>
        <v>34134.941999999974</v>
      </c>
    </row>
    <row r="518" spans="1:11" x14ac:dyDescent="0.25">
      <c r="A518" s="1">
        <v>45404</v>
      </c>
      <c r="B518">
        <v>13</v>
      </c>
      <c r="C518">
        <v>2168.6129999999998</v>
      </c>
      <c r="D518">
        <v>4059.038</v>
      </c>
      <c r="E518">
        <f t="shared" si="48"/>
        <v>6227.6509999999998</v>
      </c>
      <c r="F518">
        <v>8120.6170000000002</v>
      </c>
      <c r="G518">
        <f t="shared" si="49"/>
        <v>-1892.9660000000003</v>
      </c>
      <c r="H518">
        <f t="shared" si="53"/>
        <v>34134.941999999974</v>
      </c>
      <c r="I518">
        <f t="shared" si="50"/>
        <v>32241.975999999973</v>
      </c>
      <c r="J518">
        <f t="shared" si="51"/>
        <v>0</v>
      </c>
      <c r="K518">
        <f t="shared" si="52"/>
        <v>32241.975999999973</v>
      </c>
    </row>
    <row r="519" spans="1:11" x14ac:dyDescent="0.25">
      <c r="A519" s="1">
        <v>45404</v>
      </c>
      <c r="B519">
        <v>14</v>
      </c>
      <c r="C519">
        <v>2051.375</v>
      </c>
      <c r="D519">
        <v>3880.1750000000002</v>
      </c>
      <c r="E519">
        <f t="shared" si="48"/>
        <v>5931.55</v>
      </c>
      <c r="F519">
        <v>7671.8649999999998</v>
      </c>
      <c r="G519">
        <f t="shared" si="49"/>
        <v>-1740.3149999999996</v>
      </c>
      <c r="H519">
        <f t="shared" si="53"/>
        <v>32241.975999999973</v>
      </c>
      <c r="I519">
        <f t="shared" si="50"/>
        <v>30501.660999999975</v>
      </c>
      <c r="J519">
        <f t="shared" si="51"/>
        <v>0</v>
      </c>
      <c r="K519">
        <f t="shared" si="52"/>
        <v>30501.660999999975</v>
      </c>
    </row>
    <row r="520" spans="1:11" x14ac:dyDescent="0.25">
      <c r="A520" s="1">
        <v>45404</v>
      </c>
      <c r="B520">
        <v>15</v>
      </c>
      <c r="C520">
        <v>1815.825</v>
      </c>
      <c r="D520">
        <v>3558.1129999999998</v>
      </c>
      <c r="E520">
        <f t="shared" si="48"/>
        <v>5373.9380000000001</v>
      </c>
      <c r="F520">
        <v>7908.9350000000004</v>
      </c>
      <c r="G520">
        <f t="shared" si="49"/>
        <v>-2534.9970000000003</v>
      </c>
      <c r="H520">
        <f t="shared" si="53"/>
        <v>30501.660999999975</v>
      </c>
      <c r="I520">
        <f t="shared" si="50"/>
        <v>27966.663999999975</v>
      </c>
      <c r="J520">
        <f t="shared" si="51"/>
        <v>0</v>
      </c>
      <c r="K520">
        <f t="shared" si="52"/>
        <v>27966.663999999975</v>
      </c>
    </row>
    <row r="521" spans="1:11" x14ac:dyDescent="0.25">
      <c r="A521" s="1">
        <v>45404</v>
      </c>
      <c r="B521">
        <v>16</v>
      </c>
      <c r="C521">
        <v>1594.1379999999999</v>
      </c>
      <c r="D521">
        <v>3103.875</v>
      </c>
      <c r="E521">
        <f t="shared" si="48"/>
        <v>4698.0129999999999</v>
      </c>
      <c r="F521">
        <v>8129.5029999999997</v>
      </c>
      <c r="G521">
        <f t="shared" si="49"/>
        <v>-3431.49</v>
      </c>
      <c r="H521">
        <f t="shared" si="53"/>
        <v>27966.663999999975</v>
      </c>
      <c r="I521">
        <f t="shared" si="50"/>
        <v>24535.173999999977</v>
      </c>
      <c r="J521">
        <f t="shared" si="51"/>
        <v>0</v>
      </c>
      <c r="K521">
        <f t="shared" si="52"/>
        <v>24535.173999999977</v>
      </c>
    </row>
    <row r="522" spans="1:11" x14ac:dyDescent="0.25">
      <c r="A522" s="1">
        <v>45404</v>
      </c>
      <c r="B522">
        <v>17</v>
      </c>
      <c r="C522">
        <v>1369.25</v>
      </c>
      <c r="D522">
        <v>2497.6129999999998</v>
      </c>
      <c r="E522">
        <f t="shared" si="48"/>
        <v>3866.8629999999998</v>
      </c>
      <c r="F522">
        <v>7844.5619999999999</v>
      </c>
      <c r="G522">
        <f t="shared" si="49"/>
        <v>-3977.6990000000001</v>
      </c>
      <c r="H522">
        <f t="shared" si="53"/>
        <v>24535.173999999977</v>
      </c>
      <c r="I522">
        <f t="shared" si="50"/>
        <v>20557.474999999977</v>
      </c>
      <c r="J522">
        <f t="shared" si="51"/>
        <v>0</v>
      </c>
      <c r="K522">
        <f t="shared" si="52"/>
        <v>20557.474999999977</v>
      </c>
    </row>
    <row r="523" spans="1:11" x14ac:dyDescent="0.25">
      <c r="A523" s="1">
        <v>45404</v>
      </c>
      <c r="B523">
        <v>18</v>
      </c>
      <c r="C523">
        <v>1099.7249999999999</v>
      </c>
      <c r="D523">
        <v>1671.1130000000001</v>
      </c>
      <c r="E523">
        <f t="shared" si="48"/>
        <v>2770.8379999999997</v>
      </c>
      <c r="F523">
        <v>7202.6610000000001</v>
      </c>
      <c r="G523">
        <f t="shared" si="49"/>
        <v>-4431.8230000000003</v>
      </c>
      <c r="H523">
        <f t="shared" si="53"/>
        <v>20557.474999999977</v>
      </c>
      <c r="I523">
        <f t="shared" si="50"/>
        <v>16125.651999999976</v>
      </c>
      <c r="J523">
        <f t="shared" si="51"/>
        <v>0</v>
      </c>
      <c r="K523">
        <f t="shared" si="52"/>
        <v>16125.651999999976</v>
      </c>
    </row>
    <row r="524" spans="1:11" x14ac:dyDescent="0.25">
      <c r="A524" s="1">
        <v>45404</v>
      </c>
      <c r="B524">
        <v>19</v>
      </c>
      <c r="C524">
        <v>862.26300000000003</v>
      </c>
      <c r="D524">
        <v>807.27499999999998</v>
      </c>
      <c r="E524">
        <f t="shared" si="48"/>
        <v>1669.538</v>
      </c>
      <c r="F524">
        <v>6436.5749999999998</v>
      </c>
      <c r="G524">
        <f t="shared" si="49"/>
        <v>-4767.0370000000003</v>
      </c>
      <c r="H524">
        <f t="shared" si="53"/>
        <v>16125.651999999976</v>
      </c>
      <c r="I524">
        <f t="shared" si="50"/>
        <v>11358.614999999976</v>
      </c>
      <c r="J524">
        <f t="shared" si="51"/>
        <v>0</v>
      </c>
      <c r="K524">
        <f t="shared" si="52"/>
        <v>11358.614999999976</v>
      </c>
    </row>
    <row r="525" spans="1:11" x14ac:dyDescent="0.25">
      <c r="A525" s="1">
        <v>45404</v>
      </c>
      <c r="B525">
        <v>20</v>
      </c>
      <c r="C525">
        <v>603.875</v>
      </c>
      <c r="D525">
        <v>205.08799999999999</v>
      </c>
      <c r="E525">
        <f t="shared" si="48"/>
        <v>808.96299999999997</v>
      </c>
      <c r="F525">
        <v>6262.3190000000004</v>
      </c>
      <c r="G525">
        <f t="shared" si="49"/>
        <v>-5453.3560000000007</v>
      </c>
      <c r="H525">
        <f t="shared" si="53"/>
        <v>11358.614999999976</v>
      </c>
      <c r="I525">
        <f t="shared" si="50"/>
        <v>5905.2589999999755</v>
      </c>
      <c r="J525">
        <f t="shared" si="51"/>
        <v>0</v>
      </c>
      <c r="K525">
        <f t="shared" si="52"/>
        <v>5905.2589999999755</v>
      </c>
    </row>
    <row r="526" spans="1:11" x14ac:dyDescent="0.25">
      <c r="A526" s="1">
        <v>45404</v>
      </c>
      <c r="B526">
        <v>21</v>
      </c>
      <c r="C526">
        <v>531.21299999999997</v>
      </c>
      <c r="D526">
        <v>38.024999999999999</v>
      </c>
      <c r="E526">
        <f t="shared" si="48"/>
        <v>569.23799999999994</v>
      </c>
      <c r="F526">
        <v>4865.9489999999996</v>
      </c>
      <c r="G526">
        <f t="shared" si="49"/>
        <v>-4296.7109999999993</v>
      </c>
      <c r="H526">
        <f t="shared" si="53"/>
        <v>5905.2589999999755</v>
      </c>
      <c r="I526">
        <f t="shared" si="50"/>
        <v>1608.5479999999761</v>
      </c>
      <c r="J526">
        <f t="shared" si="51"/>
        <v>0</v>
      </c>
      <c r="K526">
        <f t="shared" si="52"/>
        <v>1608.5479999999761</v>
      </c>
    </row>
    <row r="527" spans="1:11" x14ac:dyDescent="0.25">
      <c r="A527" s="1">
        <v>45404</v>
      </c>
      <c r="B527">
        <v>22</v>
      </c>
      <c r="C527">
        <v>493.91300000000001</v>
      </c>
      <c r="D527">
        <v>0</v>
      </c>
      <c r="E527">
        <f t="shared" si="48"/>
        <v>493.91300000000001</v>
      </c>
      <c r="F527">
        <v>4696.7529999999997</v>
      </c>
      <c r="G527">
        <f t="shared" si="49"/>
        <v>-4202.84</v>
      </c>
      <c r="H527">
        <f t="shared" si="53"/>
        <v>1608.5479999999761</v>
      </c>
      <c r="I527">
        <f t="shared" si="50"/>
        <v>-2594.292000000024</v>
      </c>
      <c r="J527">
        <f t="shared" si="51"/>
        <v>1</v>
      </c>
      <c r="K527">
        <f t="shared" si="52"/>
        <v>0</v>
      </c>
    </row>
    <row r="528" spans="1:11" x14ac:dyDescent="0.25">
      <c r="A528" s="1">
        <v>45404</v>
      </c>
      <c r="B528">
        <v>23</v>
      </c>
      <c r="C528">
        <v>434.97500000000002</v>
      </c>
      <c r="D528">
        <v>0</v>
      </c>
      <c r="E528">
        <f t="shared" si="48"/>
        <v>434.97500000000002</v>
      </c>
      <c r="F528">
        <v>2909.701</v>
      </c>
      <c r="G528">
        <f t="shared" si="49"/>
        <v>-2474.7260000000001</v>
      </c>
      <c r="H528">
        <f t="shared" si="53"/>
        <v>0</v>
      </c>
      <c r="I528">
        <f t="shared" si="50"/>
        <v>-2474.7260000000001</v>
      </c>
      <c r="J528">
        <f t="shared" si="51"/>
        <v>1</v>
      </c>
      <c r="K528">
        <f t="shared" si="52"/>
        <v>0</v>
      </c>
    </row>
    <row r="529" spans="1:11" x14ac:dyDescent="0.25">
      <c r="A529" s="1">
        <v>45404</v>
      </c>
      <c r="B529">
        <v>24</v>
      </c>
      <c r="C529">
        <v>443.738</v>
      </c>
      <c r="D529">
        <v>0</v>
      </c>
      <c r="E529">
        <f t="shared" si="48"/>
        <v>443.738</v>
      </c>
      <c r="F529">
        <v>1708.3720000000001</v>
      </c>
      <c r="G529">
        <f t="shared" si="49"/>
        <v>-1264.634</v>
      </c>
      <c r="H529">
        <f t="shared" si="53"/>
        <v>0</v>
      </c>
      <c r="I529">
        <f t="shared" si="50"/>
        <v>-1264.634</v>
      </c>
      <c r="J529">
        <f t="shared" si="51"/>
        <v>1</v>
      </c>
      <c r="K529">
        <f t="shared" si="52"/>
        <v>0</v>
      </c>
    </row>
    <row r="530" spans="1:11" x14ac:dyDescent="0.25">
      <c r="A530" s="1">
        <v>45405</v>
      </c>
      <c r="B530">
        <v>1</v>
      </c>
      <c r="C530">
        <v>421.71300000000002</v>
      </c>
      <c r="D530">
        <v>0</v>
      </c>
      <c r="E530">
        <f t="shared" si="48"/>
        <v>421.71300000000002</v>
      </c>
      <c r="F530">
        <v>1701.4780000000001</v>
      </c>
      <c r="G530">
        <f t="shared" si="49"/>
        <v>-1279.7650000000001</v>
      </c>
      <c r="H530">
        <f t="shared" si="53"/>
        <v>0</v>
      </c>
      <c r="I530">
        <f t="shared" si="50"/>
        <v>-1279.7650000000001</v>
      </c>
      <c r="J530">
        <f t="shared" si="51"/>
        <v>1</v>
      </c>
      <c r="K530">
        <f t="shared" si="52"/>
        <v>0</v>
      </c>
    </row>
    <row r="531" spans="1:11" x14ac:dyDescent="0.25">
      <c r="A531" s="1">
        <v>45405</v>
      </c>
      <c r="B531">
        <v>2</v>
      </c>
      <c r="C531">
        <v>421.41300000000001</v>
      </c>
      <c r="D531">
        <v>0</v>
      </c>
      <c r="E531">
        <f t="shared" si="48"/>
        <v>421.41300000000001</v>
      </c>
      <c r="F531">
        <v>1487.836</v>
      </c>
      <c r="G531">
        <f t="shared" si="49"/>
        <v>-1066.423</v>
      </c>
      <c r="H531">
        <f t="shared" si="53"/>
        <v>0</v>
      </c>
      <c r="I531">
        <f t="shared" si="50"/>
        <v>-1066.423</v>
      </c>
      <c r="J531">
        <f t="shared" si="51"/>
        <v>1</v>
      </c>
      <c r="K531">
        <f t="shared" si="52"/>
        <v>0</v>
      </c>
    </row>
    <row r="532" spans="1:11" x14ac:dyDescent="0.25">
      <c r="A532" s="1">
        <v>45405</v>
      </c>
      <c r="B532">
        <v>3</v>
      </c>
      <c r="C532">
        <v>424.32499999999999</v>
      </c>
      <c r="D532">
        <v>0</v>
      </c>
      <c r="E532">
        <f t="shared" si="48"/>
        <v>424.32499999999999</v>
      </c>
      <c r="F532">
        <v>1391.5530000000001</v>
      </c>
      <c r="G532">
        <f t="shared" si="49"/>
        <v>-967.22800000000007</v>
      </c>
      <c r="H532">
        <f t="shared" si="53"/>
        <v>0</v>
      </c>
      <c r="I532">
        <f t="shared" si="50"/>
        <v>-967.22800000000007</v>
      </c>
      <c r="J532">
        <f t="shared" si="51"/>
        <v>1</v>
      </c>
      <c r="K532">
        <f t="shared" si="52"/>
        <v>0</v>
      </c>
    </row>
    <row r="533" spans="1:11" x14ac:dyDescent="0.25">
      <c r="A533" s="1">
        <v>45405</v>
      </c>
      <c r="B533">
        <v>4</v>
      </c>
      <c r="C533">
        <v>475.82499999999999</v>
      </c>
      <c r="D533">
        <v>0</v>
      </c>
      <c r="E533">
        <f t="shared" si="48"/>
        <v>475.82499999999999</v>
      </c>
      <c r="F533">
        <v>1229.6120000000001</v>
      </c>
      <c r="G533">
        <f t="shared" si="49"/>
        <v>-753.78700000000003</v>
      </c>
      <c r="H533">
        <f t="shared" si="53"/>
        <v>0</v>
      </c>
      <c r="I533">
        <f t="shared" si="50"/>
        <v>-753.78700000000003</v>
      </c>
      <c r="J533">
        <f t="shared" si="51"/>
        <v>1</v>
      </c>
      <c r="K533">
        <f t="shared" si="52"/>
        <v>0</v>
      </c>
    </row>
    <row r="534" spans="1:11" x14ac:dyDescent="0.25">
      <c r="A534" s="1">
        <v>45405</v>
      </c>
      <c r="B534">
        <v>5</v>
      </c>
      <c r="C534">
        <v>548.22500000000002</v>
      </c>
      <c r="D534">
        <v>0</v>
      </c>
      <c r="E534">
        <f t="shared" si="48"/>
        <v>548.22500000000002</v>
      </c>
      <c r="F534">
        <v>1843.3589999999999</v>
      </c>
      <c r="G534">
        <f t="shared" si="49"/>
        <v>-1295.134</v>
      </c>
      <c r="H534">
        <f t="shared" si="53"/>
        <v>0</v>
      </c>
      <c r="I534">
        <f t="shared" si="50"/>
        <v>-1295.134</v>
      </c>
      <c r="J534">
        <f t="shared" si="51"/>
        <v>1</v>
      </c>
      <c r="K534">
        <f t="shared" si="52"/>
        <v>0</v>
      </c>
    </row>
    <row r="535" spans="1:11" x14ac:dyDescent="0.25">
      <c r="A535" s="1">
        <v>45405</v>
      </c>
      <c r="B535">
        <v>6</v>
      </c>
      <c r="C535">
        <v>646.76300000000003</v>
      </c>
      <c r="D535">
        <v>66.75</v>
      </c>
      <c r="E535">
        <f t="shared" si="48"/>
        <v>713.51300000000003</v>
      </c>
      <c r="F535">
        <v>3052.663</v>
      </c>
      <c r="G535">
        <f t="shared" si="49"/>
        <v>-2339.15</v>
      </c>
      <c r="H535">
        <f t="shared" si="53"/>
        <v>0</v>
      </c>
      <c r="I535">
        <f t="shared" si="50"/>
        <v>-2339.15</v>
      </c>
      <c r="J535">
        <f t="shared" si="51"/>
        <v>1</v>
      </c>
      <c r="K535">
        <f t="shared" si="52"/>
        <v>0</v>
      </c>
    </row>
    <row r="536" spans="1:11" x14ac:dyDescent="0.25">
      <c r="A536" s="1">
        <v>45405</v>
      </c>
      <c r="B536">
        <v>7</v>
      </c>
      <c r="C536">
        <v>730.15</v>
      </c>
      <c r="D536">
        <v>624.79999999999995</v>
      </c>
      <c r="E536">
        <f t="shared" si="48"/>
        <v>1354.9499999999998</v>
      </c>
      <c r="F536">
        <v>4158.4449999999997</v>
      </c>
      <c r="G536">
        <f t="shared" si="49"/>
        <v>-2803.4949999999999</v>
      </c>
      <c r="H536">
        <f t="shared" si="53"/>
        <v>0</v>
      </c>
      <c r="I536">
        <f t="shared" si="50"/>
        <v>-2803.4949999999999</v>
      </c>
      <c r="J536">
        <f t="shared" si="51"/>
        <v>1</v>
      </c>
      <c r="K536">
        <f t="shared" si="52"/>
        <v>0</v>
      </c>
    </row>
    <row r="537" spans="1:11" x14ac:dyDescent="0.25">
      <c r="A537" s="1">
        <v>45405</v>
      </c>
      <c r="B537">
        <v>8</v>
      </c>
      <c r="C537">
        <v>611.51300000000003</v>
      </c>
      <c r="D537">
        <v>2220.038</v>
      </c>
      <c r="E537">
        <f t="shared" si="48"/>
        <v>2831.5509999999999</v>
      </c>
      <c r="F537">
        <v>6975.317</v>
      </c>
      <c r="G537">
        <f t="shared" si="49"/>
        <v>-4143.7659999999996</v>
      </c>
      <c r="H537">
        <f t="shared" si="53"/>
        <v>0</v>
      </c>
      <c r="I537">
        <f t="shared" si="50"/>
        <v>-4143.7659999999996</v>
      </c>
      <c r="J537">
        <f t="shared" si="51"/>
        <v>1</v>
      </c>
      <c r="K537">
        <f t="shared" si="52"/>
        <v>0</v>
      </c>
    </row>
    <row r="538" spans="1:11" x14ac:dyDescent="0.25">
      <c r="A538" s="1">
        <v>45405</v>
      </c>
      <c r="B538">
        <v>9</v>
      </c>
      <c r="C538">
        <v>560.81299999999999</v>
      </c>
      <c r="D538">
        <v>4509.7629999999999</v>
      </c>
      <c r="E538">
        <f t="shared" si="48"/>
        <v>5070.576</v>
      </c>
      <c r="F538">
        <v>7812.3490000000002</v>
      </c>
      <c r="G538">
        <f t="shared" si="49"/>
        <v>-2741.7730000000001</v>
      </c>
      <c r="H538">
        <f t="shared" si="53"/>
        <v>0</v>
      </c>
      <c r="I538">
        <f t="shared" si="50"/>
        <v>-2741.7730000000001</v>
      </c>
      <c r="J538">
        <f t="shared" si="51"/>
        <v>1</v>
      </c>
      <c r="K538">
        <f t="shared" si="52"/>
        <v>0</v>
      </c>
    </row>
    <row r="539" spans="1:11" x14ac:dyDescent="0.25">
      <c r="A539" s="1">
        <v>45405</v>
      </c>
      <c r="B539">
        <v>10</v>
      </c>
      <c r="C539">
        <v>604.07500000000005</v>
      </c>
      <c r="D539">
        <v>6009.375</v>
      </c>
      <c r="E539">
        <f t="shared" si="48"/>
        <v>6613.45</v>
      </c>
      <c r="F539">
        <v>8719.5139999999992</v>
      </c>
      <c r="G539">
        <f t="shared" si="49"/>
        <v>-2106.0639999999994</v>
      </c>
      <c r="H539">
        <f t="shared" si="53"/>
        <v>0</v>
      </c>
      <c r="I539">
        <f t="shared" si="50"/>
        <v>-2106.0639999999994</v>
      </c>
      <c r="J539">
        <f t="shared" si="51"/>
        <v>1</v>
      </c>
      <c r="K539">
        <f t="shared" si="52"/>
        <v>0</v>
      </c>
    </row>
    <row r="540" spans="1:11" x14ac:dyDescent="0.25">
      <c r="A540" s="1">
        <v>45405</v>
      </c>
      <c r="B540">
        <v>11</v>
      </c>
      <c r="C540">
        <v>771.81299999999999</v>
      </c>
      <c r="D540">
        <v>6756.8130000000001</v>
      </c>
      <c r="E540">
        <f t="shared" si="48"/>
        <v>7528.6260000000002</v>
      </c>
      <c r="F540">
        <v>8695.0149999999994</v>
      </c>
      <c r="G540">
        <f t="shared" si="49"/>
        <v>-1166.3889999999992</v>
      </c>
      <c r="H540">
        <f t="shared" si="53"/>
        <v>0</v>
      </c>
      <c r="I540">
        <f t="shared" si="50"/>
        <v>-1166.3889999999992</v>
      </c>
      <c r="J540">
        <f t="shared" si="51"/>
        <v>1</v>
      </c>
      <c r="K540">
        <f t="shared" si="52"/>
        <v>0</v>
      </c>
    </row>
    <row r="541" spans="1:11" x14ac:dyDescent="0.25">
      <c r="A541" s="1">
        <v>45405</v>
      </c>
      <c r="B541">
        <v>12</v>
      </c>
      <c r="C541">
        <v>884</v>
      </c>
      <c r="D541">
        <v>6561.5379999999996</v>
      </c>
      <c r="E541">
        <f t="shared" si="48"/>
        <v>7445.5379999999996</v>
      </c>
      <c r="F541">
        <v>8839.5110000000004</v>
      </c>
      <c r="G541">
        <f t="shared" si="49"/>
        <v>-1393.9730000000009</v>
      </c>
      <c r="H541">
        <f t="shared" si="53"/>
        <v>0</v>
      </c>
      <c r="I541">
        <f t="shared" si="50"/>
        <v>-1393.9730000000009</v>
      </c>
      <c r="J541">
        <f t="shared" si="51"/>
        <v>1</v>
      </c>
      <c r="K541">
        <f t="shared" si="52"/>
        <v>0</v>
      </c>
    </row>
    <row r="542" spans="1:11" x14ac:dyDescent="0.25">
      <c r="A542" s="1">
        <v>45405</v>
      </c>
      <c r="B542">
        <v>13</v>
      </c>
      <c r="C542">
        <v>869.46299999999997</v>
      </c>
      <c r="D542">
        <v>6942.3130000000001</v>
      </c>
      <c r="E542">
        <f t="shared" si="48"/>
        <v>7811.7759999999998</v>
      </c>
      <c r="F542">
        <v>9208.9470000000001</v>
      </c>
      <c r="G542">
        <f t="shared" si="49"/>
        <v>-1397.1710000000003</v>
      </c>
      <c r="H542">
        <f t="shared" si="53"/>
        <v>0</v>
      </c>
      <c r="I542">
        <f t="shared" si="50"/>
        <v>-1397.1710000000003</v>
      </c>
      <c r="J542">
        <f t="shared" si="51"/>
        <v>1</v>
      </c>
      <c r="K542">
        <f t="shared" si="52"/>
        <v>0</v>
      </c>
    </row>
    <row r="543" spans="1:11" x14ac:dyDescent="0.25">
      <c r="A543" s="1">
        <v>45405</v>
      </c>
      <c r="B543">
        <v>14</v>
      </c>
      <c r="C543">
        <v>865.21299999999997</v>
      </c>
      <c r="D543">
        <v>7253.5379999999996</v>
      </c>
      <c r="E543">
        <f t="shared" si="48"/>
        <v>8118.7509999999993</v>
      </c>
      <c r="F543">
        <v>7276.4080000000004</v>
      </c>
      <c r="G543">
        <f t="shared" si="49"/>
        <v>842.34299999999894</v>
      </c>
      <c r="H543">
        <f t="shared" si="53"/>
        <v>0</v>
      </c>
      <c r="I543">
        <f t="shared" si="50"/>
        <v>842.34299999999894</v>
      </c>
      <c r="J543">
        <f t="shared" si="51"/>
        <v>0</v>
      </c>
      <c r="K543">
        <f t="shared" si="52"/>
        <v>842.34299999999894</v>
      </c>
    </row>
    <row r="544" spans="1:11" x14ac:dyDescent="0.25">
      <c r="A544" s="1">
        <v>45405</v>
      </c>
      <c r="B544">
        <v>15</v>
      </c>
      <c r="C544">
        <v>796.05</v>
      </c>
      <c r="D544">
        <v>7172.7380000000003</v>
      </c>
      <c r="E544">
        <f t="shared" si="48"/>
        <v>7968.7880000000005</v>
      </c>
      <c r="F544">
        <v>7501.2579999999998</v>
      </c>
      <c r="G544">
        <f t="shared" si="49"/>
        <v>467.53000000000065</v>
      </c>
      <c r="H544">
        <f t="shared" si="53"/>
        <v>842.34299999999894</v>
      </c>
      <c r="I544">
        <f t="shared" si="50"/>
        <v>1309.8729999999996</v>
      </c>
      <c r="J544">
        <f t="shared" si="51"/>
        <v>0</v>
      </c>
      <c r="K544">
        <f t="shared" si="52"/>
        <v>1309.8729999999996</v>
      </c>
    </row>
    <row r="545" spans="1:11" x14ac:dyDescent="0.25">
      <c r="A545" s="1">
        <v>45405</v>
      </c>
      <c r="B545">
        <v>16</v>
      </c>
      <c r="C545">
        <v>676.75</v>
      </c>
      <c r="D545">
        <v>6145.2879999999996</v>
      </c>
      <c r="E545">
        <f t="shared" si="48"/>
        <v>6822.0379999999996</v>
      </c>
      <c r="F545">
        <v>7554.69</v>
      </c>
      <c r="G545">
        <f t="shared" si="49"/>
        <v>-732.65200000000004</v>
      </c>
      <c r="H545">
        <f t="shared" si="53"/>
        <v>1309.8729999999996</v>
      </c>
      <c r="I545">
        <f t="shared" si="50"/>
        <v>577.22099999999955</v>
      </c>
      <c r="J545">
        <f t="shared" si="51"/>
        <v>0</v>
      </c>
      <c r="K545">
        <f t="shared" si="52"/>
        <v>577.22099999999955</v>
      </c>
    </row>
    <row r="546" spans="1:11" x14ac:dyDescent="0.25">
      <c r="A546" s="1">
        <v>45405</v>
      </c>
      <c r="B546">
        <v>17</v>
      </c>
      <c r="C546">
        <v>512.625</v>
      </c>
      <c r="D546">
        <v>4845.6000000000004</v>
      </c>
      <c r="E546">
        <f t="shared" si="48"/>
        <v>5358.2250000000004</v>
      </c>
      <c r="F546">
        <v>7289.8959999999997</v>
      </c>
      <c r="G546">
        <f t="shared" si="49"/>
        <v>-1931.6709999999994</v>
      </c>
      <c r="H546">
        <f t="shared" si="53"/>
        <v>577.22099999999955</v>
      </c>
      <c r="I546">
        <f t="shared" si="50"/>
        <v>-1354.4499999999998</v>
      </c>
      <c r="J546">
        <f t="shared" si="51"/>
        <v>1</v>
      </c>
      <c r="K546">
        <f t="shared" si="52"/>
        <v>0</v>
      </c>
    </row>
    <row r="547" spans="1:11" x14ac:dyDescent="0.25">
      <c r="A547" s="1">
        <v>45405</v>
      </c>
      <c r="B547">
        <v>18</v>
      </c>
      <c r="C547">
        <v>417.5</v>
      </c>
      <c r="D547">
        <v>3004.7629999999999</v>
      </c>
      <c r="E547">
        <f t="shared" si="48"/>
        <v>3422.2629999999999</v>
      </c>
      <c r="F547">
        <v>6693.3819999999996</v>
      </c>
      <c r="G547">
        <f t="shared" si="49"/>
        <v>-3271.1189999999997</v>
      </c>
      <c r="H547">
        <f t="shared" si="53"/>
        <v>0</v>
      </c>
      <c r="I547">
        <f t="shared" si="50"/>
        <v>-3271.1189999999997</v>
      </c>
      <c r="J547">
        <f t="shared" si="51"/>
        <v>1</v>
      </c>
      <c r="K547">
        <f t="shared" si="52"/>
        <v>0</v>
      </c>
    </row>
    <row r="548" spans="1:11" x14ac:dyDescent="0.25">
      <c r="A548" s="1">
        <v>45405</v>
      </c>
      <c r="B548">
        <v>19</v>
      </c>
      <c r="C548">
        <v>377.32499999999999</v>
      </c>
      <c r="D548">
        <v>1426.675</v>
      </c>
      <c r="E548">
        <f t="shared" si="48"/>
        <v>1804</v>
      </c>
      <c r="F548">
        <v>7151.75</v>
      </c>
      <c r="G548">
        <f t="shared" si="49"/>
        <v>-5347.75</v>
      </c>
      <c r="H548">
        <f t="shared" si="53"/>
        <v>0</v>
      </c>
      <c r="I548">
        <f t="shared" si="50"/>
        <v>-5347.75</v>
      </c>
      <c r="J548">
        <f t="shared" si="51"/>
        <v>1</v>
      </c>
      <c r="K548">
        <f t="shared" si="52"/>
        <v>0</v>
      </c>
    </row>
    <row r="549" spans="1:11" x14ac:dyDescent="0.25">
      <c r="A549" s="1">
        <v>45405</v>
      </c>
      <c r="B549">
        <v>20</v>
      </c>
      <c r="C549">
        <v>552.58799999999997</v>
      </c>
      <c r="D549">
        <v>450.125</v>
      </c>
      <c r="E549">
        <f t="shared" si="48"/>
        <v>1002.713</v>
      </c>
      <c r="F549">
        <v>6958.1319999999996</v>
      </c>
      <c r="G549">
        <f t="shared" si="49"/>
        <v>-5955.4189999999999</v>
      </c>
      <c r="H549">
        <f t="shared" si="53"/>
        <v>0</v>
      </c>
      <c r="I549">
        <f t="shared" si="50"/>
        <v>-5955.4189999999999</v>
      </c>
      <c r="J549">
        <f t="shared" si="51"/>
        <v>1</v>
      </c>
      <c r="K549">
        <f t="shared" si="52"/>
        <v>0</v>
      </c>
    </row>
    <row r="550" spans="1:11" x14ac:dyDescent="0.25">
      <c r="A550" s="1">
        <v>45405</v>
      </c>
      <c r="B550">
        <v>21</v>
      </c>
      <c r="C550">
        <v>849.4</v>
      </c>
      <c r="D550">
        <v>49.463000000000001</v>
      </c>
      <c r="E550">
        <f t="shared" si="48"/>
        <v>898.86299999999994</v>
      </c>
      <c r="F550">
        <v>5406.61</v>
      </c>
      <c r="G550">
        <f t="shared" si="49"/>
        <v>-4507.7469999999994</v>
      </c>
      <c r="H550">
        <f t="shared" si="53"/>
        <v>0</v>
      </c>
      <c r="I550">
        <f t="shared" si="50"/>
        <v>-4507.7469999999994</v>
      </c>
      <c r="J550">
        <f t="shared" si="51"/>
        <v>1</v>
      </c>
      <c r="K550">
        <f t="shared" si="52"/>
        <v>0</v>
      </c>
    </row>
    <row r="551" spans="1:11" x14ac:dyDescent="0.25">
      <c r="A551" s="1">
        <v>45405</v>
      </c>
      <c r="B551">
        <v>22</v>
      </c>
      <c r="C551">
        <v>1143.675</v>
      </c>
      <c r="D551">
        <v>0</v>
      </c>
      <c r="E551">
        <f t="shared" si="48"/>
        <v>1143.675</v>
      </c>
      <c r="F551">
        <v>5218.6139999999996</v>
      </c>
      <c r="G551">
        <f t="shared" si="49"/>
        <v>-4074.9389999999994</v>
      </c>
      <c r="H551">
        <f t="shared" si="53"/>
        <v>0</v>
      </c>
      <c r="I551">
        <f t="shared" si="50"/>
        <v>-4074.9389999999994</v>
      </c>
      <c r="J551">
        <f t="shared" si="51"/>
        <v>1</v>
      </c>
      <c r="K551">
        <f t="shared" si="52"/>
        <v>0</v>
      </c>
    </row>
    <row r="552" spans="1:11" x14ac:dyDescent="0.25">
      <c r="A552" s="1">
        <v>45405</v>
      </c>
      <c r="B552">
        <v>23</v>
      </c>
      <c r="C552">
        <v>1355.6379999999999</v>
      </c>
      <c r="D552">
        <v>0</v>
      </c>
      <c r="E552">
        <f t="shared" si="48"/>
        <v>1355.6379999999999</v>
      </c>
      <c r="F552">
        <v>3233.0010000000002</v>
      </c>
      <c r="G552">
        <f t="shared" si="49"/>
        <v>-1877.3630000000003</v>
      </c>
      <c r="H552">
        <f t="shared" si="53"/>
        <v>0</v>
      </c>
      <c r="I552">
        <f t="shared" si="50"/>
        <v>-1877.3630000000003</v>
      </c>
      <c r="J552">
        <f t="shared" si="51"/>
        <v>1</v>
      </c>
      <c r="K552">
        <f t="shared" si="52"/>
        <v>0</v>
      </c>
    </row>
    <row r="553" spans="1:11" x14ac:dyDescent="0.25">
      <c r="A553" s="1">
        <v>45405</v>
      </c>
      <c r="B553">
        <v>24</v>
      </c>
      <c r="C553">
        <v>1587.25</v>
      </c>
      <c r="D553">
        <v>0</v>
      </c>
      <c r="E553">
        <f t="shared" si="48"/>
        <v>1587.25</v>
      </c>
      <c r="F553">
        <v>1898.191</v>
      </c>
      <c r="G553">
        <f t="shared" si="49"/>
        <v>-310.94100000000003</v>
      </c>
      <c r="H553">
        <f t="shared" si="53"/>
        <v>0</v>
      </c>
      <c r="I553">
        <f t="shared" si="50"/>
        <v>-310.94100000000003</v>
      </c>
      <c r="J553">
        <f t="shared" si="51"/>
        <v>1</v>
      </c>
      <c r="K553">
        <f t="shared" si="52"/>
        <v>0</v>
      </c>
    </row>
    <row r="554" spans="1:11" x14ac:dyDescent="0.25">
      <c r="A554" s="1">
        <v>45406</v>
      </c>
      <c r="B554">
        <v>1</v>
      </c>
      <c r="C554">
        <v>1856.2249999999999</v>
      </c>
      <c r="D554">
        <v>0</v>
      </c>
      <c r="E554">
        <f t="shared" si="48"/>
        <v>1856.2249999999999</v>
      </c>
      <c r="F554">
        <v>1722.7570000000001</v>
      </c>
      <c r="G554">
        <f t="shared" si="49"/>
        <v>133.46799999999985</v>
      </c>
      <c r="H554">
        <f t="shared" si="53"/>
        <v>0</v>
      </c>
      <c r="I554">
        <f t="shared" si="50"/>
        <v>133.46799999999985</v>
      </c>
      <c r="J554">
        <f t="shared" si="51"/>
        <v>0</v>
      </c>
      <c r="K554">
        <f t="shared" si="52"/>
        <v>133.46799999999985</v>
      </c>
    </row>
    <row r="555" spans="1:11" x14ac:dyDescent="0.25">
      <c r="A555" s="1">
        <v>45406</v>
      </c>
      <c r="B555">
        <v>2</v>
      </c>
      <c r="C555">
        <v>2004.8630000000001</v>
      </c>
      <c r="D555">
        <v>0</v>
      </c>
      <c r="E555">
        <f t="shared" si="48"/>
        <v>2004.8630000000001</v>
      </c>
      <c r="F555">
        <v>1477.0160000000001</v>
      </c>
      <c r="G555">
        <f t="shared" si="49"/>
        <v>527.84699999999998</v>
      </c>
      <c r="H555">
        <f t="shared" si="53"/>
        <v>133.46799999999985</v>
      </c>
      <c r="I555">
        <f t="shared" si="50"/>
        <v>661.31499999999983</v>
      </c>
      <c r="J555">
        <f t="shared" si="51"/>
        <v>0</v>
      </c>
      <c r="K555">
        <f t="shared" si="52"/>
        <v>661.31499999999983</v>
      </c>
    </row>
    <row r="556" spans="1:11" x14ac:dyDescent="0.25">
      <c r="A556" s="1">
        <v>45406</v>
      </c>
      <c r="B556">
        <v>3</v>
      </c>
      <c r="C556">
        <v>1942.425</v>
      </c>
      <c r="D556">
        <v>0</v>
      </c>
      <c r="E556">
        <f t="shared" si="48"/>
        <v>1942.425</v>
      </c>
      <c r="F556">
        <v>1381.432</v>
      </c>
      <c r="G556">
        <f t="shared" si="49"/>
        <v>560.99299999999994</v>
      </c>
      <c r="H556">
        <f t="shared" si="53"/>
        <v>661.31499999999983</v>
      </c>
      <c r="I556">
        <f t="shared" si="50"/>
        <v>1222.3079999999998</v>
      </c>
      <c r="J556">
        <f t="shared" si="51"/>
        <v>0</v>
      </c>
      <c r="K556">
        <f t="shared" si="52"/>
        <v>1222.3079999999998</v>
      </c>
    </row>
    <row r="557" spans="1:11" x14ac:dyDescent="0.25">
      <c r="A557" s="1">
        <v>45406</v>
      </c>
      <c r="B557">
        <v>4</v>
      </c>
      <c r="C557">
        <v>1797.0250000000001</v>
      </c>
      <c r="D557">
        <v>0</v>
      </c>
      <c r="E557">
        <f t="shared" si="48"/>
        <v>1797.0250000000001</v>
      </c>
      <c r="F557">
        <v>1384.2639999999999</v>
      </c>
      <c r="G557">
        <f t="shared" si="49"/>
        <v>412.76100000000019</v>
      </c>
      <c r="H557">
        <f t="shared" si="53"/>
        <v>1222.3079999999998</v>
      </c>
      <c r="I557">
        <f t="shared" si="50"/>
        <v>1635.069</v>
      </c>
      <c r="J557">
        <f t="shared" si="51"/>
        <v>0</v>
      </c>
      <c r="K557">
        <f t="shared" si="52"/>
        <v>1635.069</v>
      </c>
    </row>
    <row r="558" spans="1:11" x14ac:dyDescent="0.25">
      <c r="A558" s="1">
        <v>45406</v>
      </c>
      <c r="B558">
        <v>5</v>
      </c>
      <c r="C558">
        <v>1627.1130000000001</v>
      </c>
      <c r="D558">
        <v>0</v>
      </c>
      <c r="E558">
        <f t="shared" si="48"/>
        <v>1627.1130000000001</v>
      </c>
      <c r="F558">
        <v>2075.2040000000002</v>
      </c>
      <c r="G558">
        <f t="shared" si="49"/>
        <v>-448.09100000000012</v>
      </c>
      <c r="H558">
        <f t="shared" si="53"/>
        <v>1635.069</v>
      </c>
      <c r="I558">
        <f t="shared" si="50"/>
        <v>1186.9779999999998</v>
      </c>
      <c r="J558">
        <f t="shared" si="51"/>
        <v>0</v>
      </c>
      <c r="K558">
        <f t="shared" si="52"/>
        <v>1186.9779999999998</v>
      </c>
    </row>
    <row r="559" spans="1:11" x14ac:dyDescent="0.25">
      <c r="A559" s="1">
        <v>45406</v>
      </c>
      <c r="B559">
        <v>6</v>
      </c>
      <c r="C559">
        <v>1479.425</v>
      </c>
      <c r="D559">
        <v>114.77500000000001</v>
      </c>
      <c r="E559">
        <f t="shared" si="48"/>
        <v>1594.2</v>
      </c>
      <c r="F559">
        <v>3436.607</v>
      </c>
      <c r="G559">
        <f t="shared" si="49"/>
        <v>-1842.4069999999999</v>
      </c>
      <c r="H559">
        <f t="shared" si="53"/>
        <v>1186.9779999999998</v>
      </c>
      <c r="I559">
        <f t="shared" si="50"/>
        <v>-655.42900000000009</v>
      </c>
      <c r="J559">
        <f t="shared" si="51"/>
        <v>1</v>
      </c>
      <c r="K559">
        <f t="shared" si="52"/>
        <v>0</v>
      </c>
    </row>
    <row r="560" spans="1:11" x14ac:dyDescent="0.25">
      <c r="A560" s="1">
        <v>45406</v>
      </c>
      <c r="B560">
        <v>7</v>
      </c>
      <c r="C560">
        <v>1272.9880000000001</v>
      </c>
      <c r="D560">
        <v>633.08799999999997</v>
      </c>
      <c r="E560">
        <f t="shared" si="48"/>
        <v>1906.076</v>
      </c>
      <c r="F560">
        <v>4681.4660000000003</v>
      </c>
      <c r="G560">
        <f t="shared" si="49"/>
        <v>-2775.3900000000003</v>
      </c>
      <c r="H560">
        <f t="shared" si="53"/>
        <v>0</v>
      </c>
      <c r="I560">
        <f t="shared" si="50"/>
        <v>-2775.3900000000003</v>
      </c>
      <c r="J560">
        <f t="shared" si="51"/>
        <v>1</v>
      </c>
      <c r="K560">
        <f t="shared" si="52"/>
        <v>0</v>
      </c>
    </row>
    <row r="561" spans="1:11" x14ac:dyDescent="0.25">
      <c r="A561" s="1">
        <v>45406</v>
      </c>
      <c r="B561">
        <v>8</v>
      </c>
      <c r="C561">
        <v>820.93799999999999</v>
      </c>
      <c r="D561">
        <v>1677.075</v>
      </c>
      <c r="E561">
        <f t="shared" si="48"/>
        <v>2498.0129999999999</v>
      </c>
      <c r="F561">
        <v>6924.5870000000004</v>
      </c>
      <c r="G561">
        <f t="shared" si="49"/>
        <v>-4426.5740000000005</v>
      </c>
      <c r="H561">
        <f t="shared" si="53"/>
        <v>0</v>
      </c>
      <c r="I561">
        <f t="shared" si="50"/>
        <v>-4426.5740000000005</v>
      </c>
      <c r="J561">
        <f t="shared" si="51"/>
        <v>1</v>
      </c>
      <c r="K561">
        <f t="shared" si="52"/>
        <v>0</v>
      </c>
    </row>
    <row r="562" spans="1:11" x14ac:dyDescent="0.25">
      <c r="A562" s="1">
        <v>45406</v>
      </c>
      <c r="B562">
        <v>9</v>
      </c>
      <c r="C562">
        <v>444.613</v>
      </c>
      <c r="D562">
        <v>2961.3629999999998</v>
      </c>
      <c r="E562">
        <f t="shared" si="48"/>
        <v>3405.9759999999997</v>
      </c>
      <c r="F562">
        <v>7755.5320000000002</v>
      </c>
      <c r="G562">
        <f t="shared" si="49"/>
        <v>-4349.5560000000005</v>
      </c>
      <c r="H562">
        <f t="shared" si="53"/>
        <v>0</v>
      </c>
      <c r="I562">
        <f t="shared" si="50"/>
        <v>-4349.5560000000005</v>
      </c>
      <c r="J562">
        <f t="shared" si="51"/>
        <v>1</v>
      </c>
      <c r="K562">
        <f t="shared" si="52"/>
        <v>0</v>
      </c>
    </row>
    <row r="563" spans="1:11" x14ac:dyDescent="0.25">
      <c r="A563" s="1">
        <v>45406</v>
      </c>
      <c r="B563">
        <v>10</v>
      </c>
      <c r="C563">
        <v>346.07499999999999</v>
      </c>
      <c r="D563">
        <v>4438.3630000000003</v>
      </c>
      <c r="E563">
        <f t="shared" si="48"/>
        <v>4784.4380000000001</v>
      </c>
      <c r="F563">
        <v>8656.0990000000002</v>
      </c>
      <c r="G563">
        <f t="shared" si="49"/>
        <v>-3871.6610000000001</v>
      </c>
      <c r="H563">
        <f t="shared" si="53"/>
        <v>0</v>
      </c>
      <c r="I563">
        <f t="shared" si="50"/>
        <v>-3871.6610000000001</v>
      </c>
      <c r="J563">
        <f t="shared" si="51"/>
        <v>1</v>
      </c>
      <c r="K563">
        <f t="shared" si="52"/>
        <v>0</v>
      </c>
    </row>
    <row r="564" spans="1:11" x14ac:dyDescent="0.25">
      <c r="A564" s="1">
        <v>45406</v>
      </c>
      <c r="B564">
        <v>11</v>
      </c>
      <c r="C564">
        <v>400.25</v>
      </c>
      <c r="D564">
        <v>5538.8249999999998</v>
      </c>
      <c r="E564">
        <f t="shared" si="48"/>
        <v>5939.0749999999998</v>
      </c>
      <c r="F564">
        <v>8631.7790000000005</v>
      </c>
      <c r="G564">
        <f t="shared" si="49"/>
        <v>-2692.7040000000006</v>
      </c>
      <c r="H564">
        <f t="shared" si="53"/>
        <v>0</v>
      </c>
      <c r="I564">
        <f t="shared" si="50"/>
        <v>-2692.7040000000006</v>
      </c>
      <c r="J564">
        <f t="shared" si="51"/>
        <v>1</v>
      </c>
      <c r="K564">
        <f t="shared" si="52"/>
        <v>0</v>
      </c>
    </row>
    <row r="565" spans="1:11" x14ac:dyDescent="0.25">
      <c r="A565" s="1">
        <v>45406</v>
      </c>
      <c r="B565">
        <v>12</v>
      </c>
      <c r="C565">
        <v>468.875</v>
      </c>
      <c r="D565">
        <v>5703.8379999999997</v>
      </c>
      <c r="E565">
        <f t="shared" si="48"/>
        <v>6172.7129999999997</v>
      </c>
      <c r="F565">
        <v>8775.2240000000002</v>
      </c>
      <c r="G565">
        <f t="shared" si="49"/>
        <v>-2602.5110000000004</v>
      </c>
      <c r="H565">
        <f t="shared" si="53"/>
        <v>0</v>
      </c>
      <c r="I565">
        <f t="shared" si="50"/>
        <v>-2602.5110000000004</v>
      </c>
      <c r="J565">
        <f t="shared" si="51"/>
        <v>1</v>
      </c>
      <c r="K565">
        <f t="shared" si="52"/>
        <v>0</v>
      </c>
    </row>
    <row r="566" spans="1:11" x14ac:dyDescent="0.25">
      <c r="A566" s="1">
        <v>45406</v>
      </c>
      <c r="B566">
        <v>13</v>
      </c>
      <c r="C566">
        <v>546.43799999999999</v>
      </c>
      <c r="D566">
        <v>5460.4750000000004</v>
      </c>
      <c r="E566">
        <f t="shared" si="48"/>
        <v>6006.9130000000005</v>
      </c>
      <c r="F566">
        <v>9141.973</v>
      </c>
      <c r="G566">
        <f t="shared" si="49"/>
        <v>-3135.0599999999995</v>
      </c>
      <c r="H566">
        <f t="shared" si="53"/>
        <v>0</v>
      </c>
      <c r="I566">
        <f t="shared" si="50"/>
        <v>-3135.0599999999995</v>
      </c>
      <c r="J566">
        <f t="shared" si="51"/>
        <v>1</v>
      </c>
      <c r="K566">
        <f t="shared" si="52"/>
        <v>0</v>
      </c>
    </row>
    <row r="567" spans="1:11" x14ac:dyDescent="0.25">
      <c r="A567" s="1">
        <v>45406</v>
      </c>
      <c r="B567">
        <v>14</v>
      </c>
      <c r="C567">
        <v>667.36300000000006</v>
      </c>
      <c r="D567">
        <v>5304.3630000000003</v>
      </c>
      <c r="E567">
        <f t="shared" si="48"/>
        <v>5971.7260000000006</v>
      </c>
      <c r="F567">
        <v>8636.7800000000007</v>
      </c>
      <c r="G567">
        <f t="shared" si="49"/>
        <v>-2665.0540000000001</v>
      </c>
      <c r="H567">
        <f t="shared" si="53"/>
        <v>0</v>
      </c>
      <c r="I567">
        <f t="shared" si="50"/>
        <v>-2665.0540000000001</v>
      </c>
      <c r="J567">
        <f t="shared" si="51"/>
        <v>1</v>
      </c>
      <c r="K567">
        <f t="shared" si="52"/>
        <v>0</v>
      </c>
    </row>
    <row r="568" spans="1:11" x14ac:dyDescent="0.25">
      <c r="A568" s="1">
        <v>45406</v>
      </c>
      <c r="B568">
        <v>15</v>
      </c>
      <c r="C568">
        <v>822.86300000000006</v>
      </c>
      <c r="D568">
        <v>4556.125</v>
      </c>
      <c r="E568">
        <f t="shared" si="48"/>
        <v>5378.9880000000003</v>
      </c>
      <c r="F568">
        <v>8903.6669999999995</v>
      </c>
      <c r="G568">
        <f t="shared" si="49"/>
        <v>-3524.6789999999992</v>
      </c>
      <c r="H568">
        <f t="shared" si="53"/>
        <v>0</v>
      </c>
      <c r="I568">
        <f t="shared" si="50"/>
        <v>-3524.6789999999992</v>
      </c>
      <c r="J568">
        <f t="shared" si="51"/>
        <v>1</v>
      </c>
      <c r="K568">
        <f t="shared" si="52"/>
        <v>0</v>
      </c>
    </row>
    <row r="569" spans="1:11" x14ac:dyDescent="0.25">
      <c r="A569" s="1">
        <v>45406</v>
      </c>
      <c r="B569">
        <v>16</v>
      </c>
      <c r="C569">
        <v>922.45</v>
      </c>
      <c r="D569">
        <v>3752.7379999999998</v>
      </c>
      <c r="E569">
        <f t="shared" si="48"/>
        <v>4675.1880000000001</v>
      </c>
      <c r="F569">
        <v>8967.0879999999997</v>
      </c>
      <c r="G569">
        <f t="shared" si="49"/>
        <v>-4291.8999999999996</v>
      </c>
      <c r="H569">
        <f t="shared" si="53"/>
        <v>0</v>
      </c>
      <c r="I569">
        <f t="shared" si="50"/>
        <v>-4291.8999999999996</v>
      </c>
      <c r="J569">
        <f t="shared" si="51"/>
        <v>1</v>
      </c>
      <c r="K569">
        <f t="shared" si="52"/>
        <v>0</v>
      </c>
    </row>
    <row r="570" spans="1:11" x14ac:dyDescent="0.25">
      <c r="A570" s="1">
        <v>45406</v>
      </c>
      <c r="B570">
        <v>17</v>
      </c>
      <c r="C570">
        <v>1021.088</v>
      </c>
      <c r="D570">
        <v>2874.7249999999999</v>
      </c>
      <c r="E570">
        <f t="shared" si="48"/>
        <v>3895.8130000000001</v>
      </c>
      <c r="F570">
        <v>8652.7890000000007</v>
      </c>
      <c r="G570">
        <f t="shared" si="49"/>
        <v>-4756.9760000000006</v>
      </c>
      <c r="H570">
        <f t="shared" si="53"/>
        <v>0</v>
      </c>
      <c r="I570">
        <f t="shared" si="50"/>
        <v>-4756.9760000000006</v>
      </c>
      <c r="J570">
        <f t="shared" si="51"/>
        <v>1</v>
      </c>
      <c r="K570">
        <f t="shared" si="52"/>
        <v>0</v>
      </c>
    </row>
    <row r="571" spans="1:11" x14ac:dyDescent="0.25">
      <c r="A571" s="1">
        <v>45406</v>
      </c>
      <c r="B571">
        <v>18</v>
      </c>
      <c r="C571">
        <v>1162.538</v>
      </c>
      <c r="D571">
        <v>1860.8630000000001</v>
      </c>
      <c r="E571">
        <f t="shared" si="48"/>
        <v>3023.4009999999998</v>
      </c>
      <c r="F571">
        <v>7944.7539999999999</v>
      </c>
      <c r="G571">
        <f t="shared" si="49"/>
        <v>-4921.3530000000001</v>
      </c>
      <c r="H571">
        <f t="shared" si="53"/>
        <v>0</v>
      </c>
      <c r="I571">
        <f t="shared" si="50"/>
        <v>-4921.3530000000001</v>
      </c>
      <c r="J571">
        <f t="shared" si="51"/>
        <v>1</v>
      </c>
      <c r="K571">
        <f t="shared" si="52"/>
        <v>0</v>
      </c>
    </row>
    <row r="572" spans="1:11" x14ac:dyDescent="0.25">
      <c r="A572" s="1">
        <v>45406</v>
      </c>
      <c r="B572">
        <v>19</v>
      </c>
      <c r="C572">
        <v>1165.1379999999999</v>
      </c>
      <c r="D572">
        <v>979.18799999999999</v>
      </c>
      <c r="E572">
        <f t="shared" si="48"/>
        <v>2144.326</v>
      </c>
      <c r="F572">
        <v>7099.7380000000003</v>
      </c>
      <c r="G572">
        <f t="shared" si="49"/>
        <v>-4955.4120000000003</v>
      </c>
      <c r="H572">
        <f t="shared" si="53"/>
        <v>0</v>
      </c>
      <c r="I572">
        <f t="shared" si="50"/>
        <v>-4955.4120000000003</v>
      </c>
      <c r="J572">
        <f t="shared" si="51"/>
        <v>1</v>
      </c>
      <c r="K572">
        <f t="shared" si="52"/>
        <v>0</v>
      </c>
    </row>
    <row r="573" spans="1:11" x14ac:dyDescent="0.25">
      <c r="A573" s="1">
        <v>45406</v>
      </c>
      <c r="B573">
        <v>20</v>
      </c>
      <c r="C573">
        <v>1097.3</v>
      </c>
      <c r="D573">
        <v>281</v>
      </c>
      <c r="E573">
        <f t="shared" si="48"/>
        <v>1378.3</v>
      </c>
      <c r="F573">
        <v>6907.5280000000002</v>
      </c>
      <c r="G573">
        <f t="shared" si="49"/>
        <v>-5529.2280000000001</v>
      </c>
      <c r="H573">
        <f t="shared" si="53"/>
        <v>0</v>
      </c>
      <c r="I573">
        <f t="shared" si="50"/>
        <v>-5529.2280000000001</v>
      </c>
      <c r="J573">
        <f t="shared" si="51"/>
        <v>1</v>
      </c>
      <c r="K573">
        <f t="shared" si="52"/>
        <v>0</v>
      </c>
    </row>
    <row r="574" spans="1:11" x14ac:dyDescent="0.25">
      <c r="A574" s="1">
        <v>45406</v>
      </c>
      <c r="B574">
        <v>21</v>
      </c>
      <c r="C574">
        <v>1061.6500000000001</v>
      </c>
      <c r="D574">
        <v>20.524999999999999</v>
      </c>
      <c r="E574">
        <f t="shared" si="48"/>
        <v>1082.1750000000002</v>
      </c>
      <c r="F574">
        <v>5367.2889999999998</v>
      </c>
      <c r="G574">
        <f t="shared" si="49"/>
        <v>-4285.1139999999996</v>
      </c>
      <c r="H574">
        <f t="shared" si="53"/>
        <v>0</v>
      </c>
      <c r="I574">
        <f t="shared" si="50"/>
        <v>-4285.1139999999996</v>
      </c>
      <c r="J574">
        <f t="shared" si="51"/>
        <v>1</v>
      </c>
      <c r="K574">
        <f t="shared" si="52"/>
        <v>0</v>
      </c>
    </row>
    <row r="575" spans="1:11" x14ac:dyDescent="0.25">
      <c r="A575" s="1">
        <v>45406</v>
      </c>
      <c r="B575">
        <v>22</v>
      </c>
      <c r="C575">
        <v>1075.3630000000001</v>
      </c>
      <c r="D575">
        <v>0</v>
      </c>
      <c r="E575">
        <f t="shared" si="48"/>
        <v>1075.3630000000001</v>
      </c>
      <c r="F575">
        <v>5180.6610000000001</v>
      </c>
      <c r="G575">
        <f t="shared" si="49"/>
        <v>-4105.2979999999998</v>
      </c>
      <c r="H575">
        <f t="shared" si="53"/>
        <v>0</v>
      </c>
      <c r="I575">
        <f t="shared" si="50"/>
        <v>-4105.2979999999998</v>
      </c>
      <c r="J575">
        <f t="shared" si="51"/>
        <v>1</v>
      </c>
      <c r="K575">
        <f t="shared" si="52"/>
        <v>0</v>
      </c>
    </row>
    <row r="576" spans="1:11" x14ac:dyDescent="0.25">
      <c r="A576" s="1">
        <v>45406</v>
      </c>
      <c r="B576">
        <v>23</v>
      </c>
      <c r="C576">
        <v>1059.625</v>
      </c>
      <c r="D576">
        <v>0</v>
      </c>
      <c r="E576">
        <f t="shared" si="48"/>
        <v>1059.625</v>
      </c>
      <c r="F576">
        <v>3209.4879999999998</v>
      </c>
      <c r="G576">
        <f t="shared" si="49"/>
        <v>-2149.8629999999998</v>
      </c>
      <c r="H576">
        <f t="shared" si="53"/>
        <v>0</v>
      </c>
      <c r="I576">
        <f t="shared" si="50"/>
        <v>-2149.8629999999998</v>
      </c>
      <c r="J576">
        <f t="shared" si="51"/>
        <v>1</v>
      </c>
      <c r="K576">
        <f t="shared" si="52"/>
        <v>0</v>
      </c>
    </row>
    <row r="577" spans="1:11" x14ac:dyDescent="0.25">
      <c r="A577" s="1">
        <v>45406</v>
      </c>
      <c r="B577">
        <v>24</v>
      </c>
      <c r="C577">
        <v>943.01300000000003</v>
      </c>
      <c r="D577">
        <v>0</v>
      </c>
      <c r="E577">
        <f t="shared" si="48"/>
        <v>943.01300000000003</v>
      </c>
      <c r="F577">
        <v>1884.386</v>
      </c>
      <c r="G577">
        <f t="shared" si="49"/>
        <v>-941.37299999999993</v>
      </c>
      <c r="H577">
        <f t="shared" si="53"/>
        <v>0</v>
      </c>
      <c r="I577">
        <f t="shared" si="50"/>
        <v>-941.37299999999993</v>
      </c>
      <c r="J577">
        <f t="shared" si="51"/>
        <v>1</v>
      </c>
      <c r="K577">
        <f t="shared" si="52"/>
        <v>0</v>
      </c>
    </row>
    <row r="578" spans="1:11" x14ac:dyDescent="0.25">
      <c r="A578" s="1">
        <v>45407</v>
      </c>
      <c r="B578">
        <v>1</v>
      </c>
      <c r="C578">
        <v>916.68799999999999</v>
      </c>
      <c r="D578">
        <v>0</v>
      </c>
      <c r="E578">
        <f t="shared" si="48"/>
        <v>916.68799999999999</v>
      </c>
      <c r="F578">
        <v>1591.8150000000001</v>
      </c>
      <c r="G578">
        <f t="shared" si="49"/>
        <v>-675.12700000000007</v>
      </c>
      <c r="H578">
        <f t="shared" si="53"/>
        <v>0</v>
      </c>
      <c r="I578">
        <f t="shared" si="50"/>
        <v>-675.12700000000007</v>
      </c>
      <c r="J578">
        <f t="shared" si="51"/>
        <v>1</v>
      </c>
      <c r="K578">
        <f t="shared" si="52"/>
        <v>0</v>
      </c>
    </row>
    <row r="579" spans="1:11" x14ac:dyDescent="0.25">
      <c r="A579" s="1">
        <v>45407</v>
      </c>
      <c r="B579">
        <v>2</v>
      </c>
      <c r="C579">
        <v>812.21299999999997</v>
      </c>
      <c r="D579">
        <v>0</v>
      </c>
      <c r="E579">
        <f t="shared" ref="E579:E642" si="54">C579+D579</f>
        <v>812.21299999999997</v>
      </c>
      <c r="F579">
        <v>1364.752</v>
      </c>
      <c r="G579">
        <f t="shared" ref="G579:G642" si="55">E579-F579</f>
        <v>-552.53899999999999</v>
      </c>
      <c r="H579">
        <f t="shared" si="53"/>
        <v>0</v>
      </c>
      <c r="I579">
        <f t="shared" ref="I579:I642" si="56">IF(H579+G579&gt;200000,200000,H579+G579)</f>
        <v>-552.53899999999999</v>
      </c>
      <c r="J579">
        <f t="shared" ref="J579:J642" si="57">IF(I579&lt;0,1,0)</f>
        <v>1</v>
      </c>
      <c r="K579">
        <f t="shared" ref="K579:K642" si="58">IF(J579=1,0,I579)</f>
        <v>0</v>
      </c>
    </row>
    <row r="580" spans="1:11" x14ac:dyDescent="0.25">
      <c r="A580" s="1">
        <v>45407</v>
      </c>
      <c r="B580">
        <v>3</v>
      </c>
      <c r="C580">
        <v>826.8</v>
      </c>
      <c r="D580">
        <v>0</v>
      </c>
      <c r="E580">
        <f t="shared" si="54"/>
        <v>826.8</v>
      </c>
      <c r="F580">
        <v>1276.433</v>
      </c>
      <c r="G580">
        <f t="shared" si="55"/>
        <v>-449.63300000000004</v>
      </c>
      <c r="H580">
        <f t="shared" ref="H580:H643" si="59">K579</f>
        <v>0</v>
      </c>
      <c r="I580">
        <f t="shared" si="56"/>
        <v>-449.63300000000004</v>
      </c>
      <c r="J580">
        <f t="shared" si="57"/>
        <v>1</v>
      </c>
      <c r="K580">
        <f t="shared" si="58"/>
        <v>0</v>
      </c>
    </row>
    <row r="581" spans="1:11" x14ac:dyDescent="0.25">
      <c r="A581" s="1">
        <v>45407</v>
      </c>
      <c r="B581">
        <v>4</v>
      </c>
      <c r="C581">
        <v>789.55</v>
      </c>
      <c r="D581">
        <v>0</v>
      </c>
      <c r="E581">
        <f t="shared" si="54"/>
        <v>789.55</v>
      </c>
      <c r="F581">
        <v>1279.05</v>
      </c>
      <c r="G581">
        <f t="shared" si="55"/>
        <v>-489.5</v>
      </c>
      <c r="H581">
        <f t="shared" si="59"/>
        <v>0</v>
      </c>
      <c r="I581">
        <f t="shared" si="56"/>
        <v>-489.5</v>
      </c>
      <c r="J581">
        <f t="shared" si="57"/>
        <v>1</v>
      </c>
      <c r="K581">
        <f t="shared" si="58"/>
        <v>0</v>
      </c>
    </row>
    <row r="582" spans="1:11" x14ac:dyDescent="0.25">
      <c r="A582" s="1">
        <v>45407</v>
      </c>
      <c r="B582">
        <v>5</v>
      </c>
      <c r="C582">
        <v>709.35</v>
      </c>
      <c r="D582">
        <v>0</v>
      </c>
      <c r="E582">
        <f t="shared" si="54"/>
        <v>709.35</v>
      </c>
      <c r="F582">
        <v>1917.473</v>
      </c>
      <c r="G582">
        <f t="shared" si="55"/>
        <v>-1208.123</v>
      </c>
      <c r="H582">
        <f t="shared" si="59"/>
        <v>0</v>
      </c>
      <c r="I582">
        <f t="shared" si="56"/>
        <v>-1208.123</v>
      </c>
      <c r="J582">
        <f t="shared" si="57"/>
        <v>1</v>
      </c>
      <c r="K582">
        <f t="shared" si="58"/>
        <v>0</v>
      </c>
    </row>
    <row r="583" spans="1:11" x14ac:dyDescent="0.25">
      <c r="A583" s="1">
        <v>45407</v>
      </c>
      <c r="B583">
        <v>6</v>
      </c>
      <c r="C583">
        <v>649.67499999999995</v>
      </c>
      <c r="D583">
        <v>70.738</v>
      </c>
      <c r="E583">
        <f t="shared" si="54"/>
        <v>720.41300000000001</v>
      </c>
      <c r="F583">
        <v>3175.3989999999999</v>
      </c>
      <c r="G583">
        <f t="shared" si="55"/>
        <v>-2454.9859999999999</v>
      </c>
      <c r="H583">
        <f t="shared" si="59"/>
        <v>0</v>
      </c>
      <c r="I583">
        <f t="shared" si="56"/>
        <v>-2454.9859999999999</v>
      </c>
      <c r="J583">
        <f t="shared" si="57"/>
        <v>1</v>
      </c>
      <c r="K583">
        <f t="shared" si="58"/>
        <v>0</v>
      </c>
    </row>
    <row r="584" spans="1:11" x14ac:dyDescent="0.25">
      <c r="A584" s="1">
        <v>45407</v>
      </c>
      <c r="B584">
        <v>7</v>
      </c>
      <c r="C584">
        <v>643.02499999999998</v>
      </c>
      <c r="D584">
        <v>588.23800000000006</v>
      </c>
      <c r="E584">
        <f t="shared" si="54"/>
        <v>1231.2629999999999</v>
      </c>
      <c r="F584">
        <v>4325.6409999999996</v>
      </c>
      <c r="G584">
        <f t="shared" si="55"/>
        <v>-3094.3779999999997</v>
      </c>
      <c r="H584">
        <f t="shared" si="59"/>
        <v>0</v>
      </c>
      <c r="I584">
        <f t="shared" si="56"/>
        <v>-3094.3779999999997</v>
      </c>
      <c r="J584">
        <f t="shared" si="57"/>
        <v>1</v>
      </c>
      <c r="K584">
        <f t="shared" si="58"/>
        <v>0</v>
      </c>
    </row>
    <row r="585" spans="1:11" x14ac:dyDescent="0.25">
      <c r="A585" s="1">
        <v>45407</v>
      </c>
      <c r="B585">
        <v>8</v>
      </c>
      <c r="C585">
        <v>498.13799999999998</v>
      </c>
      <c r="D585">
        <v>1954.5129999999999</v>
      </c>
      <c r="E585">
        <f t="shared" si="54"/>
        <v>2452.6509999999998</v>
      </c>
      <c r="F585">
        <v>6398.268</v>
      </c>
      <c r="G585">
        <f t="shared" si="55"/>
        <v>-3945.6170000000002</v>
      </c>
      <c r="H585">
        <f t="shared" si="59"/>
        <v>0</v>
      </c>
      <c r="I585">
        <f t="shared" si="56"/>
        <v>-3945.6170000000002</v>
      </c>
      <c r="J585">
        <f t="shared" si="57"/>
        <v>1</v>
      </c>
      <c r="K585">
        <f t="shared" si="58"/>
        <v>0</v>
      </c>
    </row>
    <row r="586" spans="1:11" x14ac:dyDescent="0.25">
      <c r="A586" s="1">
        <v>45407</v>
      </c>
      <c r="B586">
        <v>9</v>
      </c>
      <c r="C586">
        <v>327.488</v>
      </c>
      <c r="D586">
        <v>3962.5880000000002</v>
      </c>
      <c r="E586">
        <f t="shared" si="54"/>
        <v>4290.076</v>
      </c>
      <c r="F586">
        <v>7166.0550000000003</v>
      </c>
      <c r="G586">
        <f t="shared" si="55"/>
        <v>-2875.9790000000003</v>
      </c>
      <c r="H586">
        <f t="shared" si="59"/>
        <v>0</v>
      </c>
      <c r="I586">
        <f t="shared" si="56"/>
        <v>-2875.9790000000003</v>
      </c>
      <c r="J586">
        <f t="shared" si="57"/>
        <v>1</v>
      </c>
      <c r="K586">
        <f t="shared" si="58"/>
        <v>0</v>
      </c>
    </row>
    <row r="587" spans="1:11" x14ac:dyDescent="0.25">
      <c r="A587" s="1">
        <v>45407</v>
      </c>
      <c r="B587">
        <v>10</v>
      </c>
      <c r="C587">
        <v>334.21300000000002</v>
      </c>
      <c r="D587">
        <v>5705.2129999999997</v>
      </c>
      <c r="E587">
        <f t="shared" si="54"/>
        <v>6039.4259999999995</v>
      </c>
      <c r="F587">
        <v>7998.1719999999996</v>
      </c>
      <c r="G587">
        <f t="shared" si="55"/>
        <v>-1958.7460000000001</v>
      </c>
      <c r="H587">
        <f t="shared" si="59"/>
        <v>0</v>
      </c>
      <c r="I587">
        <f t="shared" si="56"/>
        <v>-1958.7460000000001</v>
      </c>
      <c r="J587">
        <f t="shared" si="57"/>
        <v>1</v>
      </c>
      <c r="K587">
        <f t="shared" si="58"/>
        <v>0</v>
      </c>
    </row>
    <row r="588" spans="1:11" x14ac:dyDescent="0.25">
      <c r="A588" s="1">
        <v>45407</v>
      </c>
      <c r="B588">
        <v>11</v>
      </c>
      <c r="C588">
        <v>454.28800000000001</v>
      </c>
      <c r="D588">
        <v>6661.0630000000001</v>
      </c>
      <c r="E588">
        <f t="shared" si="54"/>
        <v>7115.3510000000006</v>
      </c>
      <c r="F588">
        <v>7975.701</v>
      </c>
      <c r="G588">
        <f t="shared" si="55"/>
        <v>-860.34999999999945</v>
      </c>
      <c r="H588">
        <f t="shared" si="59"/>
        <v>0</v>
      </c>
      <c r="I588">
        <f t="shared" si="56"/>
        <v>-860.34999999999945</v>
      </c>
      <c r="J588">
        <f t="shared" si="57"/>
        <v>1</v>
      </c>
      <c r="K588">
        <f t="shared" si="58"/>
        <v>0</v>
      </c>
    </row>
    <row r="589" spans="1:11" x14ac:dyDescent="0.25">
      <c r="A589" s="1">
        <v>45407</v>
      </c>
      <c r="B589">
        <v>12</v>
      </c>
      <c r="C589">
        <v>566.375</v>
      </c>
      <c r="D589">
        <v>7085.5129999999999</v>
      </c>
      <c r="E589">
        <f t="shared" si="54"/>
        <v>7651.8879999999999</v>
      </c>
      <c r="F589">
        <v>8108.2430000000004</v>
      </c>
      <c r="G589">
        <f t="shared" si="55"/>
        <v>-456.35500000000047</v>
      </c>
      <c r="H589">
        <f t="shared" si="59"/>
        <v>0</v>
      </c>
      <c r="I589">
        <f t="shared" si="56"/>
        <v>-456.35500000000047</v>
      </c>
      <c r="J589">
        <f t="shared" si="57"/>
        <v>1</v>
      </c>
      <c r="K589">
        <f t="shared" si="58"/>
        <v>0</v>
      </c>
    </row>
    <row r="590" spans="1:11" x14ac:dyDescent="0.25">
      <c r="A590" s="1">
        <v>45407</v>
      </c>
      <c r="B590">
        <v>13</v>
      </c>
      <c r="C590">
        <v>840.11300000000006</v>
      </c>
      <c r="D590">
        <v>7051.4880000000003</v>
      </c>
      <c r="E590">
        <f t="shared" si="54"/>
        <v>7891.6010000000006</v>
      </c>
      <c r="F590">
        <v>8447.116</v>
      </c>
      <c r="G590">
        <f t="shared" si="55"/>
        <v>-555.51499999999942</v>
      </c>
      <c r="H590">
        <f t="shared" si="59"/>
        <v>0</v>
      </c>
      <c r="I590">
        <f t="shared" si="56"/>
        <v>-555.51499999999942</v>
      </c>
      <c r="J590">
        <f t="shared" si="57"/>
        <v>1</v>
      </c>
      <c r="K590">
        <f t="shared" si="58"/>
        <v>0</v>
      </c>
    </row>
    <row r="591" spans="1:11" x14ac:dyDescent="0.25">
      <c r="A591" s="1">
        <v>45407</v>
      </c>
      <c r="B591">
        <v>14</v>
      </c>
      <c r="C591">
        <v>1195.9380000000001</v>
      </c>
      <c r="D591">
        <v>6787.8249999999998</v>
      </c>
      <c r="E591">
        <f t="shared" si="54"/>
        <v>7983.7629999999999</v>
      </c>
      <c r="F591">
        <v>7980.3220000000001</v>
      </c>
      <c r="G591">
        <f t="shared" si="55"/>
        <v>3.4409999999998035</v>
      </c>
      <c r="H591">
        <f t="shared" si="59"/>
        <v>0</v>
      </c>
      <c r="I591">
        <f t="shared" si="56"/>
        <v>3.4409999999998035</v>
      </c>
      <c r="J591">
        <f t="shared" si="57"/>
        <v>0</v>
      </c>
      <c r="K591">
        <f t="shared" si="58"/>
        <v>3.4409999999998035</v>
      </c>
    </row>
    <row r="592" spans="1:11" x14ac:dyDescent="0.25">
      <c r="A592" s="1">
        <v>45407</v>
      </c>
      <c r="B592">
        <v>15</v>
      </c>
      <c r="C592">
        <v>1197.925</v>
      </c>
      <c r="D592">
        <v>6747.8</v>
      </c>
      <c r="E592">
        <f t="shared" si="54"/>
        <v>7945.7250000000004</v>
      </c>
      <c r="F592">
        <v>8226.9230000000007</v>
      </c>
      <c r="G592">
        <f t="shared" si="55"/>
        <v>-281.19800000000032</v>
      </c>
      <c r="H592">
        <f t="shared" si="59"/>
        <v>3.4409999999998035</v>
      </c>
      <c r="I592">
        <f t="shared" si="56"/>
        <v>-277.75700000000052</v>
      </c>
      <c r="J592">
        <f t="shared" si="57"/>
        <v>1</v>
      </c>
      <c r="K592">
        <f t="shared" si="58"/>
        <v>0</v>
      </c>
    </row>
    <row r="593" spans="1:11" x14ac:dyDescent="0.25">
      <c r="A593" s="1">
        <v>45407</v>
      </c>
      <c r="B593">
        <v>16</v>
      </c>
      <c r="C593">
        <v>1209.425</v>
      </c>
      <c r="D593">
        <v>6309.6379999999999</v>
      </c>
      <c r="E593">
        <f t="shared" si="54"/>
        <v>7519.0630000000001</v>
      </c>
      <c r="F593">
        <v>8285.5239999999994</v>
      </c>
      <c r="G593">
        <f t="shared" si="55"/>
        <v>-766.46099999999933</v>
      </c>
      <c r="H593">
        <f t="shared" si="59"/>
        <v>0</v>
      </c>
      <c r="I593">
        <f t="shared" si="56"/>
        <v>-766.46099999999933</v>
      </c>
      <c r="J593">
        <f t="shared" si="57"/>
        <v>1</v>
      </c>
      <c r="K593">
        <f t="shared" si="58"/>
        <v>0</v>
      </c>
    </row>
    <row r="594" spans="1:11" x14ac:dyDescent="0.25">
      <c r="A594" s="1">
        <v>45407</v>
      </c>
      <c r="B594">
        <v>17</v>
      </c>
      <c r="C594">
        <v>1406.4880000000001</v>
      </c>
      <c r="D594">
        <v>4961.95</v>
      </c>
      <c r="E594">
        <f t="shared" si="54"/>
        <v>6368.4380000000001</v>
      </c>
      <c r="F594">
        <v>7995.1139999999996</v>
      </c>
      <c r="G594">
        <f t="shared" si="55"/>
        <v>-1626.6759999999995</v>
      </c>
      <c r="H594">
        <f t="shared" si="59"/>
        <v>0</v>
      </c>
      <c r="I594">
        <f t="shared" si="56"/>
        <v>-1626.6759999999995</v>
      </c>
      <c r="J594">
        <f t="shared" si="57"/>
        <v>1</v>
      </c>
      <c r="K594">
        <f t="shared" si="58"/>
        <v>0</v>
      </c>
    </row>
    <row r="595" spans="1:11" x14ac:dyDescent="0.25">
      <c r="A595" s="1">
        <v>45407</v>
      </c>
      <c r="B595">
        <v>18</v>
      </c>
      <c r="C595">
        <v>1202.213</v>
      </c>
      <c r="D595">
        <v>3556.375</v>
      </c>
      <c r="E595">
        <f t="shared" si="54"/>
        <v>4758.5879999999997</v>
      </c>
      <c r="F595">
        <v>7340.8940000000002</v>
      </c>
      <c r="G595">
        <f t="shared" si="55"/>
        <v>-2582.3060000000005</v>
      </c>
      <c r="H595">
        <f t="shared" si="59"/>
        <v>0</v>
      </c>
      <c r="I595">
        <f t="shared" si="56"/>
        <v>-2582.3060000000005</v>
      </c>
      <c r="J595">
        <f t="shared" si="57"/>
        <v>1</v>
      </c>
      <c r="K595">
        <f t="shared" si="58"/>
        <v>0</v>
      </c>
    </row>
    <row r="596" spans="1:11" x14ac:dyDescent="0.25">
      <c r="A596" s="1">
        <v>45407</v>
      </c>
      <c r="B596">
        <v>19</v>
      </c>
      <c r="C596">
        <v>812.52499999999998</v>
      </c>
      <c r="D596">
        <v>1637.338</v>
      </c>
      <c r="E596">
        <f t="shared" si="54"/>
        <v>2449.8629999999998</v>
      </c>
      <c r="F596">
        <v>6560.1059999999998</v>
      </c>
      <c r="G596">
        <f t="shared" si="55"/>
        <v>-4110.2430000000004</v>
      </c>
      <c r="H596">
        <f t="shared" si="59"/>
        <v>0</v>
      </c>
      <c r="I596">
        <f t="shared" si="56"/>
        <v>-4110.2430000000004</v>
      </c>
      <c r="J596">
        <f t="shared" si="57"/>
        <v>1</v>
      </c>
      <c r="K596">
        <f t="shared" si="58"/>
        <v>0</v>
      </c>
    </row>
    <row r="597" spans="1:11" x14ac:dyDescent="0.25">
      <c r="A597" s="1">
        <v>45407</v>
      </c>
      <c r="B597">
        <v>20</v>
      </c>
      <c r="C597">
        <v>826.71299999999997</v>
      </c>
      <c r="D597">
        <v>483.93799999999999</v>
      </c>
      <c r="E597">
        <f t="shared" si="54"/>
        <v>1310.6509999999998</v>
      </c>
      <c r="F597">
        <v>6382.5050000000001</v>
      </c>
      <c r="G597">
        <f t="shared" si="55"/>
        <v>-5071.8540000000003</v>
      </c>
      <c r="H597">
        <f t="shared" si="59"/>
        <v>0</v>
      </c>
      <c r="I597">
        <f t="shared" si="56"/>
        <v>-5071.8540000000003</v>
      </c>
      <c r="J597">
        <f t="shared" si="57"/>
        <v>1</v>
      </c>
      <c r="K597">
        <f t="shared" si="58"/>
        <v>0</v>
      </c>
    </row>
    <row r="598" spans="1:11" x14ac:dyDescent="0.25">
      <c r="A598" s="1">
        <v>45407</v>
      </c>
      <c r="B598">
        <v>21</v>
      </c>
      <c r="C598">
        <v>986.92499999999995</v>
      </c>
      <c r="D598">
        <v>43.338000000000001</v>
      </c>
      <c r="E598">
        <f t="shared" si="54"/>
        <v>1030.2629999999999</v>
      </c>
      <c r="F598">
        <v>4959.3360000000002</v>
      </c>
      <c r="G598">
        <f t="shared" si="55"/>
        <v>-3929.0730000000003</v>
      </c>
      <c r="H598">
        <f t="shared" si="59"/>
        <v>0</v>
      </c>
      <c r="I598">
        <f t="shared" si="56"/>
        <v>-3929.0730000000003</v>
      </c>
      <c r="J598">
        <f t="shared" si="57"/>
        <v>1</v>
      </c>
      <c r="K598">
        <f t="shared" si="58"/>
        <v>0</v>
      </c>
    </row>
    <row r="599" spans="1:11" x14ac:dyDescent="0.25">
      <c r="A599" s="1">
        <v>45407</v>
      </c>
      <c r="B599">
        <v>22</v>
      </c>
      <c r="C599">
        <v>1386.2</v>
      </c>
      <c r="D599">
        <v>0</v>
      </c>
      <c r="E599">
        <f t="shared" si="54"/>
        <v>1386.2</v>
      </c>
      <c r="F599">
        <v>4786.893</v>
      </c>
      <c r="G599">
        <f t="shared" si="55"/>
        <v>-3400.6930000000002</v>
      </c>
      <c r="H599">
        <f t="shared" si="59"/>
        <v>0</v>
      </c>
      <c r="I599">
        <f t="shared" si="56"/>
        <v>-3400.6930000000002</v>
      </c>
      <c r="J599">
        <f t="shared" si="57"/>
        <v>1</v>
      </c>
      <c r="K599">
        <f t="shared" si="58"/>
        <v>0</v>
      </c>
    </row>
    <row r="600" spans="1:11" x14ac:dyDescent="0.25">
      <c r="A600" s="1">
        <v>45407</v>
      </c>
      <c r="B600">
        <v>23</v>
      </c>
      <c r="C600">
        <v>1638.1</v>
      </c>
      <c r="D600">
        <v>0</v>
      </c>
      <c r="E600">
        <f t="shared" si="54"/>
        <v>1638.1</v>
      </c>
      <c r="F600">
        <v>2965.5439999999999</v>
      </c>
      <c r="G600">
        <f t="shared" si="55"/>
        <v>-1327.444</v>
      </c>
      <c r="H600">
        <f t="shared" si="59"/>
        <v>0</v>
      </c>
      <c r="I600">
        <f t="shared" si="56"/>
        <v>-1327.444</v>
      </c>
      <c r="J600">
        <f t="shared" si="57"/>
        <v>1</v>
      </c>
      <c r="K600">
        <f t="shared" si="58"/>
        <v>0</v>
      </c>
    </row>
    <row r="601" spans="1:11" x14ac:dyDescent="0.25">
      <c r="A601" s="1">
        <v>45407</v>
      </c>
      <c r="B601">
        <v>24</v>
      </c>
      <c r="C601">
        <v>2046.35</v>
      </c>
      <c r="D601">
        <v>0</v>
      </c>
      <c r="E601">
        <f t="shared" si="54"/>
        <v>2046.35</v>
      </c>
      <c r="F601">
        <v>1741.1590000000001</v>
      </c>
      <c r="G601">
        <f t="shared" si="55"/>
        <v>305.1909999999998</v>
      </c>
      <c r="H601">
        <f t="shared" si="59"/>
        <v>0</v>
      </c>
      <c r="I601">
        <f t="shared" si="56"/>
        <v>305.1909999999998</v>
      </c>
      <c r="J601">
        <f t="shared" si="57"/>
        <v>0</v>
      </c>
      <c r="K601">
        <f t="shared" si="58"/>
        <v>305.1909999999998</v>
      </c>
    </row>
    <row r="602" spans="1:11" x14ac:dyDescent="0.25">
      <c r="A602" s="1">
        <v>45408</v>
      </c>
      <c r="B602">
        <v>1</v>
      </c>
      <c r="C602">
        <v>2263.875</v>
      </c>
      <c r="D602">
        <v>0</v>
      </c>
      <c r="E602">
        <f t="shared" si="54"/>
        <v>2263.875</v>
      </c>
      <c r="F602">
        <v>1523.9770000000001</v>
      </c>
      <c r="G602">
        <f t="shared" si="55"/>
        <v>739.89799999999991</v>
      </c>
      <c r="H602">
        <f t="shared" si="59"/>
        <v>305.1909999999998</v>
      </c>
      <c r="I602">
        <f t="shared" si="56"/>
        <v>1045.0889999999997</v>
      </c>
      <c r="J602">
        <f t="shared" si="57"/>
        <v>0</v>
      </c>
      <c r="K602">
        <f t="shared" si="58"/>
        <v>1045.0889999999997</v>
      </c>
    </row>
    <row r="603" spans="1:11" x14ac:dyDescent="0.25">
      <c r="A603" s="1">
        <v>45408</v>
      </c>
      <c r="B603">
        <v>2</v>
      </c>
      <c r="C603">
        <v>2458.625</v>
      </c>
      <c r="D603">
        <v>0</v>
      </c>
      <c r="E603">
        <f t="shared" si="54"/>
        <v>2458.625</v>
      </c>
      <c r="F603">
        <v>1306.5909999999999</v>
      </c>
      <c r="G603">
        <f t="shared" si="55"/>
        <v>1152.0340000000001</v>
      </c>
      <c r="H603">
        <f t="shared" si="59"/>
        <v>1045.0889999999997</v>
      </c>
      <c r="I603">
        <f t="shared" si="56"/>
        <v>2197.1229999999996</v>
      </c>
      <c r="J603">
        <f t="shared" si="57"/>
        <v>0</v>
      </c>
      <c r="K603">
        <f t="shared" si="58"/>
        <v>2197.1229999999996</v>
      </c>
    </row>
    <row r="604" spans="1:11" x14ac:dyDescent="0.25">
      <c r="A604" s="1">
        <v>45408</v>
      </c>
      <c r="B604">
        <v>3</v>
      </c>
      <c r="C604">
        <v>2301.0749999999998</v>
      </c>
      <c r="D604">
        <v>0</v>
      </c>
      <c r="E604">
        <f t="shared" si="54"/>
        <v>2301.0749999999998</v>
      </c>
      <c r="F604">
        <v>1222.0360000000001</v>
      </c>
      <c r="G604">
        <f t="shared" si="55"/>
        <v>1079.0389999999998</v>
      </c>
      <c r="H604">
        <f t="shared" si="59"/>
        <v>2197.1229999999996</v>
      </c>
      <c r="I604">
        <f t="shared" si="56"/>
        <v>3276.1619999999994</v>
      </c>
      <c r="J604">
        <f t="shared" si="57"/>
        <v>0</v>
      </c>
      <c r="K604">
        <f t="shared" si="58"/>
        <v>3276.1619999999994</v>
      </c>
    </row>
    <row r="605" spans="1:11" x14ac:dyDescent="0.25">
      <c r="A605" s="1">
        <v>45408</v>
      </c>
      <c r="B605">
        <v>4</v>
      </c>
      <c r="C605">
        <v>2109.3380000000002</v>
      </c>
      <c r="D605">
        <v>0</v>
      </c>
      <c r="E605">
        <f t="shared" si="54"/>
        <v>2109.3380000000002</v>
      </c>
      <c r="F605">
        <v>1224.5409999999999</v>
      </c>
      <c r="G605">
        <f t="shared" si="55"/>
        <v>884.79700000000025</v>
      </c>
      <c r="H605">
        <f t="shared" si="59"/>
        <v>3276.1619999999994</v>
      </c>
      <c r="I605">
        <f t="shared" si="56"/>
        <v>4160.9589999999998</v>
      </c>
      <c r="J605">
        <f t="shared" si="57"/>
        <v>0</v>
      </c>
      <c r="K605">
        <f t="shared" si="58"/>
        <v>4160.9589999999998</v>
      </c>
    </row>
    <row r="606" spans="1:11" x14ac:dyDescent="0.25">
      <c r="A606" s="1">
        <v>45408</v>
      </c>
      <c r="B606">
        <v>5</v>
      </c>
      <c r="C606">
        <v>2023.55</v>
      </c>
      <c r="D606">
        <v>0</v>
      </c>
      <c r="E606">
        <f t="shared" si="54"/>
        <v>2023.55</v>
      </c>
      <c r="F606">
        <v>1835.7570000000001</v>
      </c>
      <c r="G606">
        <f t="shared" si="55"/>
        <v>187.79299999999989</v>
      </c>
      <c r="H606">
        <f t="shared" si="59"/>
        <v>4160.9589999999998</v>
      </c>
      <c r="I606">
        <f t="shared" si="56"/>
        <v>4348.7519999999995</v>
      </c>
      <c r="J606">
        <f t="shared" si="57"/>
        <v>0</v>
      </c>
      <c r="K606">
        <f t="shared" si="58"/>
        <v>4348.7519999999995</v>
      </c>
    </row>
    <row r="607" spans="1:11" x14ac:dyDescent="0.25">
      <c r="A607" s="1">
        <v>45408</v>
      </c>
      <c r="B607">
        <v>6</v>
      </c>
      <c r="C607">
        <v>1784.9749999999999</v>
      </c>
      <c r="D607">
        <v>161.97499999999999</v>
      </c>
      <c r="E607">
        <f t="shared" si="54"/>
        <v>1946.9499999999998</v>
      </c>
      <c r="F607">
        <v>3040.0749999999998</v>
      </c>
      <c r="G607">
        <f t="shared" si="55"/>
        <v>-1093.125</v>
      </c>
      <c r="H607">
        <f t="shared" si="59"/>
        <v>4348.7519999999995</v>
      </c>
      <c r="I607">
        <f t="shared" si="56"/>
        <v>3255.6269999999995</v>
      </c>
      <c r="J607">
        <f t="shared" si="57"/>
        <v>0</v>
      </c>
      <c r="K607">
        <f t="shared" si="58"/>
        <v>3255.6269999999995</v>
      </c>
    </row>
    <row r="608" spans="1:11" x14ac:dyDescent="0.25">
      <c r="A608" s="1">
        <v>45408</v>
      </c>
      <c r="B608">
        <v>7</v>
      </c>
      <c r="C608">
        <v>1567.675</v>
      </c>
      <c r="D608">
        <v>1019.7380000000001</v>
      </c>
      <c r="E608">
        <f t="shared" si="54"/>
        <v>2587.413</v>
      </c>
      <c r="F608">
        <v>4141.2969999999996</v>
      </c>
      <c r="G608">
        <f t="shared" si="55"/>
        <v>-1553.8839999999996</v>
      </c>
      <c r="H608">
        <f t="shared" si="59"/>
        <v>3255.6269999999995</v>
      </c>
      <c r="I608">
        <f t="shared" si="56"/>
        <v>1701.7429999999999</v>
      </c>
      <c r="J608">
        <f t="shared" si="57"/>
        <v>0</v>
      </c>
      <c r="K608">
        <f t="shared" si="58"/>
        <v>1701.7429999999999</v>
      </c>
    </row>
    <row r="609" spans="1:11" x14ac:dyDescent="0.25">
      <c r="A609" s="1">
        <v>45408</v>
      </c>
      <c r="B609">
        <v>8</v>
      </c>
      <c r="C609">
        <v>964.16300000000001</v>
      </c>
      <c r="D609">
        <v>3401.7379999999998</v>
      </c>
      <c r="E609">
        <f t="shared" si="54"/>
        <v>4365.9009999999998</v>
      </c>
      <c r="F609">
        <v>6125.5959999999995</v>
      </c>
      <c r="G609">
        <f t="shared" si="55"/>
        <v>-1759.6949999999997</v>
      </c>
      <c r="H609">
        <f t="shared" si="59"/>
        <v>1701.7429999999999</v>
      </c>
      <c r="I609">
        <f t="shared" si="56"/>
        <v>-57.951999999999771</v>
      </c>
      <c r="J609">
        <f t="shared" si="57"/>
        <v>1</v>
      </c>
      <c r="K609">
        <f t="shared" si="58"/>
        <v>0</v>
      </c>
    </row>
    <row r="610" spans="1:11" x14ac:dyDescent="0.25">
      <c r="A610" s="1">
        <v>45408</v>
      </c>
      <c r="B610">
        <v>9</v>
      </c>
      <c r="C610">
        <v>340.32499999999999</v>
      </c>
      <c r="D610">
        <v>6584.1629999999996</v>
      </c>
      <c r="E610">
        <f t="shared" si="54"/>
        <v>6924.4879999999994</v>
      </c>
      <c r="F610">
        <v>6860.6629999999996</v>
      </c>
      <c r="G610">
        <f t="shared" si="55"/>
        <v>63.824999999999818</v>
      </c>
      <c r="H610">
        <f t="shared" si="59"/>
        <v>0</v>
      </c>
      <c r="I610">
        <f t="shared" si="56"/>
        <v>63.824999999999818</v>
      </c>
      <c r="J610">
        <f t="shared" si="57"/>
        <v>0</v>
      </c>
      <c r="K610">
        <f t="shared" si="58"/>
        <v>63.824999999999818</v>
      </c>
    </row>
    <row r="611" spans="1:11" x14ac:dyDescent="0.25">
      <c r="A611" s="1">
        <v>45408</v>
      </c>
      <c r="B611">
        <v>10</v>
      </c>
      <c r="C611">
        <v>347.58800000000002</v>
      </c>
      <c r="D611">
        <v>9175.8250000000007</v>
      </c>
      <c r="E611">
        <f t="shared" si="54"/>
        <v>9523.4130000000005</v>
      </c>
      <c r="F611">
        <v>7657.3190000000004</v>
      </c>
      <c r="G611">
        <f t="shared" si="55"/>
        <v>1866.0940000000001</v>
      </c>
      <c r="H611">
        <f t="shared" si="59"/>
        <v>63.824999999999818</v>
      </c>
      <c r="I611">
        <f t="shared" si="56"/>
        <v>1929.9189999999999</v>
      </c>
      <c r="J611">
        <f t="shared" si="57"/>
        <v>0</v>
      </c>
      <c r="K611">
        <f t="shared" si="58"/>
        <v>1929.9189999999999</v>
      </c>
    </row>
    <row r="612" spans="1:11" x14ac:dyDescent="0.25">
      <c r="A612" s="1">
        <v>45408</v>
      </c>
      <c r="B612">
        <v>11</v>
      </c>
      <c r="C612">
        <v>794.97500000000002</v>
      </c>
      <c r="D612">
        <v>10221.475</v>
      </c>
      <c r="E612">
        <f t="shared" si="54"/>
        <v>11016.45</v>
      </c>
      <c r="F612">
        <v>7635.8040000000001</v>
      </c>
      <c r="G612">
        <f t="shared" si="55"/>
        <v>3380.6460000000006</v>
      </c>
      <c r="H612">
        <f t="shared" si="59"/>
        <v>1929.9189999999999</v>
      </c>
      <c r="I612">
        <f t="shared" si="56"/>
        <v>5310.5650000000005</v>
      </c>
      <c r="J612">
        <f t="shared" si="57"/>
        <v>0</v>
      </c>
      <c r="K612">
        <f t="shared" si="58"/>
        <v>5310.5650000000005</v>
      </c>
    </row>
    <row r="613" spans="1:11" x14ac:dyDescent="0.25">
      <c r="A613" s="1">
        <v>45408</v>
      </c>
      <c r="B613">
        <v>12</v>
      </c>
      <c r="C613">
        <v>1097.7</v>
      </c>
      <c r="D613">
        <v>9122.9249999999993</v>
      </c>
      <c r="E613">
        <f t="shared" si="54"/>
        <v>10220.625</v>
      </c>
      <c r="F613">
        <v>7762.6980000000003</v>
      </c>
      <c r="G613">
        <f t="shared" si="55"/>
        <v>2457.9269999999997</v>
      </c>
      <c r="H613">
        <f t="shared" si="59"/>
        <v>5310.5650000000005</v>
      </c>
      <c r="I613">
        <f t="shared" si="56"/>
        <v>7768.4920000000002</v>
      </c>
      <c r="J613">
        <f t="shared" si="57"/>
        <v>0</v>
      </c>
      <c r="K613">
        <f t="shared" si="58"/>
        <v>7768.4920000000002</v>
      </c>
    </row>
    <row r="614" spans="1:11" x14ac:dyDescent="0.25">
      <c r="A614" s="1">
        <v>45408</v>
      </c>
      <c r="B614">
        <v>13</v>
      </c>
      <c r="C614">
        <v>1180.2380000000001</v>
      </c>
      <c r="D614">
        <v>8306.6380000000008</v>
      </c>
      <c r="E614">
        <f t="shared" si="54"/>
        <v>9486.8760000000002</v>
      </c>
      <c r="F614">
        <v>8087.13</v>
      </c>
      <c r="G614">
        <f t="shared" si="55"/>
        <v>1399.7460000000001</v>
      </c>
      <c r="H614">
        <f t="shared" si="59"/>
        <v>7768.4920000000002</v>
      </c>
      <c r="I614">
        <f t="shared" si="56"/>
        <v>9168.2380000000012</v>
      </c>
      <c r="J614">
        <f t="shared" si="57"/>
        <v>0</v>
      </c>
      <c r="K614">
        <f t="shared" si="58"/>
        <v>9168.2380000000012</v>
      </c>
    </row>
    <row r="615" spans="1:11" x14ac:dyDescent="0.25">
      <c r="A615" s="1">
        <v>45408</v>
      </c>
      <c r="B615">
        <v>14</v>
      </c>
      <c r="C615">
        <v>1288.9000000000001</v>
      </c>
      <c r="D615">
        <v>7050.75</v>
      </c>
      <c r="E615">
        <f t="shared" si="54"/>
        <v>8339.65</v>
      </c>
      <c r="F615">
        <v>7640.2290000000003</v>
      </c>
      <c r="G615">
        <f t="shared" si="55"/>
        <v>699.42099999999937</v>
      </c>
      <c r="H615">
        <f t="shared" si="59"/>
        <v>9168.2380000000012</v>
      </c>
      <c r="I615">
        <f t="shared" si="56"/>
        <v>9867.6589999999997</v>
      </c>
      <c r="J615">
        <f t="shared" si="57"/>
        <v>0</v>
      </c>
      <c r="K615">
        <f t="shared" si="58"/>
        <v>9867.6589999999997</v>
      </c>
    </row>
    <row r="616" spans="1:11" x14ac:dyDescent="0.25">
      <c r="A616" s="1">
        <v>45408</v>
      </c>
      <c r="B616">
        <v>15</v>
      </c>
      <c r="C616">
        <v>1493.075</v>
      </c>
      <c r="D616">
        <v>6062.5749999999998</v>
      </c>
      <c r="E616">
        <f t="shared" si="54"/>
        <v>7555.65</v>
      </c>
      <c r="F616">
        <v>7876.3209999999999</v>
      </c>
      <c r="G616">
        <f t="shared" si="55"/>
        <v>-320.67100000000028</v>
      </c>
      <c r="H616">
        <f t="shared" si="59"/>
        <v>9867.6589999999997</v>
      </c>
      <c r="I616">
        <f t="shared" si="56"/>
        <v>9546.9879999999994</v>
      </c>
      <c r="J616">
        <f t="shared" si="57"/>
        <v>0</v>
      </c>
      <c r="K616">
        <f t="shared" si="58"/>
        <v>9546.9879999999994</v>
      </c>
    </row>
    <row r="617" spans="1:11" x14ac:dyDescent="0.25">
      <c r="A617" s="1">
        <v>45408</v>
      </c>
      <c r="B617">
        <v>16</v>
      </c>
      <c r="C617">
        <v>1700.825</v>
      </c>
      <c r="D617">
        <v>5928.65</v>
      </c>
      <c r="E617">
        <f t="shared" si="54"/>
        <v>7629.4749999999995</v>
      </c>
      <c r="F617">
        <v>7932.424</v>
      </c>
      <c r="G617">
        <f t="shared" si="55"/>
        <v>-302.94900000000052</v>
      </c>
      <c r="H617">
        <f t="shared" si="59"/>
        <v>9546.9879999999994</v>
      </c>
      <c r="I617">
        <f t="shared" si="56"/>
        <v>9244.0389999999989</v>
      </c>
      <c r="J617">
        <f t="shared" si="57"/>
        <v>0</v>
      </c>
      <c r="K617">
        <f t="shared" si="58"/>
        <v>9244.0389999999989</v>
      </c>
    </row>
    <row r="618" spans="1:11" x14ac:dyDescent="0.25">
      <c r="A618" s="1">
        <v>45408</v>
      </c>
      <c r="B618">
        <v>17</v>
      </c>
      <c r="C618">
        <v>1787.45</v>
      </c>
      <c r="D618">
        <v>4994.0129999999999</v>
      </c>
      <c r="E618">
        <f t="shared" si="54"/>
        <v>6781.4629999999997</v>
      </c>
      <c r="F618">
        <v>7654.3909999999996</v>
      </c>
      <c r="G618">
        <f t="shared" si="55"/>
        <v>-872.92799999999988</v>
      </c>
      <c r="H618">
        <f t="shared" si="59"/>
        <v>9244.0389999999989</v>
      </c>
      <c r="I618">
        <f t="shared" si="56"/>
        <v>8371.110999999999</v>
      </c>
      <c r="J618">
        <f t="shared" si="57"/>
        <v>0</v>
      </c>
      <c r="K618">
        <f t="shared" si="58"/>
        <v>8371.110999999999</v>
      </c>
    </row>
    <row r="619" spans="1:11" x14ac:dyDescent="0.25">
      <c r="A619" s="1">
        <v>45408</v>
      </c>
      <c r="B619">
        <v>18</v>
      </c>
      <c r="C619">
        <v>1652.0250000000001</v>
      </c>
      <c r="D619">
        <v>3616.875</v>
      </c>
      <c r="E619">
        <f t="shared" si="54"/>
        <v>5268.9</v>
      </c>
      <c r="F619">
        <v>7028.0510000000004</v>
      </c>
      <c r="G619">
        <f t="shared" si="55"/>
        <v>-1759.1510000000007</v>
      </c>
      <c r="H619">
        <f t="shared" si="59"/>
        <v>8371.110999999999</v>
      </c>
      <c r="I619">
        <f t="shared" si="56"/>
        <v>6611.9599999999982</v>
      </c>
      <c r="J619">
        <f t="shared" si="57"/>
        <v>0</v>
      </c>
      <c r="K619">
        <f t="shared" si="58"/>
        <v>6611.9599999999982</v>
      </c>
    </row>
    <row r="620" spans="1:11" x14ac:dyDescent="0.25">
      <c r="A620" s="1">
        <v>45408</v>
      </c>
      <c r="B620">
        <v>19</v>
      </c>
      <c r="C620">
        <v>1363.95</v>
      </c>
      <c r="D620">
        <v>1739.125</v>
      </c>
      <c r="E620">
        <f t="shared" si="54"/>
        <v>3103.0749999999998</v>
      </c>
      <c r="F620">
        <v>6280.5370000000003</v>
      </c>
      <c r="G620">
        <f t="shared" si="55"/>
        <v>-3177.4620000000004</v>
      </c>
      <c r="H620">
        <f t="shared" si="59"/>
        <v>6611.9599999999982</v>
      </c>
      <c r="I620">
        <f t="shared" si="56"/>
        <v>3434.4979999999978</v>
      </c>
      <c r="J620">
        <f t="shared" si="57"/>
        <v>0</v>
      </c>
      <c r="K620">
        <f t="shared" si="58"/>
        <v>3434.4979999999978</v>
      </c>
    </row>
    <row r="621" spans="1:11" x14ac:dyDescent="0.25">
      <c r="A621" s="1">
        <v>45408</v>
      </c>
      <c r="B621">
        <v>20</v>
      </c>
      <c r="C621">
        <v>1101.9000000000001</v>
      </c>
      <c r="D621">
        <v>467.45</v>
      </c>
      <c r="E621">
        <f t="shared" si="54"/>
        <v>1569.3500000000001</v>
      </c>
      <c r="F621">
        <v>6110.5050000000001</v>
      </c>
      <c r="G621">
        <f t="shared" si="55"/>
        <v>-4541.1549999999997</v>
      </c>
      <c r="H621">
        <f t="shared" si="59"/>
        <v>3434.4979999999978</v>
      </c>
      <c r="I621">
        <f t="shared" si="56"/>
        <v>-1106.657000000002</v>
      </c>
      <c r="J621">
        <f t="shared" si="57"/>
        <v>1</v>
      </c>
      <c r="K621">
        <f t="shared" si="58"/>
        <v>0</v>
      </c>
    </row>
    <row r="622" spans="1:11" x14ac:dyDescent="0.25">
      <c r="A622" s="1">
        <v>45408</v>
      </c>
      <c r="B622">
        <v>21</v>
      </c>
      <c r="C622">
        <v>1571.6379999999999</v>
      </c>
      <c r="D622">
        <v>36.088000000000001</v>
      </c>
      <c r="E622">
        <f t="shared" si="54"/>
        <v>1607.7259999999999</v>
      </c>
      <c r="F622">
        <v>4747.9870000000001</v>
      </c>
      <c r="G622">
        <f t="shared" si="55"/>
        <v>-3140.2610000000004</v>
      </c>
      <c r="H622">
        <f t="shared" si="59"/>
        <v>0</v>
      </c>
      <c r="I622">
        <f t="shared" si="56"/>
        <v>-3140.2610000000004</v>
      </c>
      <c r="J622">
        <f t="shared" si="57"/>
        <v>1</v>
      </c>
      <c r="K622">
        <f t="shared" si="58"/>
        <v>0</v>
      </c>
    </row>
    <row r="623" spans="1:11" x14ac:dyDescent="0.25">
      <c r="A623" s="1">
        <v>45408</v>
      </c>
      <c r="B623">
        <v>22</v>
      </c>
      <c r="C623">
        <v>2538.8380000000002</v>
      </c>
      <c r="D623">
        <v>0</v>
      </c>
      <c r="E623">
        <f t="shared" si="54"/>
        <v>2538.8380000000002</v>
      </c>
      <c r="F623">
        <v>4582.8919999999998</v>
      </c>
      <c r="G623">
        <f t="shared" si="55"/>
        <v>-2044.0539999999996</v>
      </c>
      <c r="H623">
        <f t="shared" si="59"/>
        <v>0</v>
      </c>
      <c r="I623">
        <f t="shared" si="56"/>
        <v>-2044.0539999999996</v>
      </c>
      <c r="J623">
        <f t="shared" si="57"/>
        <v>1</v>
      </c>
      <c r="K623">
        <f t="shared" si="58"/>
        <v>0</v>
      </c>
    </row>
    <row r="624" spans="1:11" x14ac:dyDescent="0.25">
      <c r="A624" s="1">
        <v>45408</v>
      </c>
      <c r="B624">
        <v>23</v>
      </c>
      <c r="C624">
        <v>3423.9</v>
      </c>
      <c r="D624">
        <v>0</v>
      </c>
      <c r="E624">
        <f t="shared" si="54"/>
        <v>3423.9</v>
      </c>
      <c r="F624">
        <v>2839.163</v>
      </c>
      <c r="G624">
        <f t="shared" si="55"/>
        <v>584.73700000000008</v>
      </c>
      <c r="H624">
        <f t="shared" si="59"/>
        <v>0</v>
      </c>
      <c r="I624">
        <f t="shared" si="56"/>
        <v>584.73700000000008</v>
      </c>
      <c r="J624">
        <f t="shared" si="57"/>
        <v>0</v>
      </c>
      <c r="K624">
        <f t="shared" si="58"/>
        <v>584.73700000000008</v>
      </c>
    </row>
    <row r="625" spans="1:11" x14ac:dyDescent="0.25">
      <c r="A625" s="1">
        <v>45408</v>
      </c>
      <c r="B625">
        <v>24</v>
      </c>
      <c r="C625">
        <v>3971.375</v>
      </c>
      <c r="D625">
        <v>0</v>
      </c>
      <c r="E625">
        <f t="shared" si="54"/>
        <v>3971.375</v>
      </c>
      <c r="F625">
        <v>1666.9570000000001</v>
      </c>
      <c r="G625">
        <f t="shared" si="55"/>
        <v>2304.4179999999997</v>
      </c>
      <c r="H625">
        <f t="shared" si="59"/>
        <v>584.73700000000008</v>
      </c>
      <c r="I625">
        <f t="shared" si="56"/>
        <v>2889.1549999999997</v>
      </c>
      <c r="J625">
        <f t="shared" si="57"/>
        <v>0</v>
      </c>
      <c r="K625">
        <f t="shared" si="58"/>
        <v>2889.1549999999997</v>
      </c>
    </row>
    <row r="626" spans="1:11" x14ac:dyDescent="0.25">
      <c r="A626" s="1">
        <v>45409</v>
      </c>
      <c r="B626">
        <v>1</v>
      </c>
      <c r="C626">
        <v>4154.6499999999996</v>
      </c>
      <c r="D626">
        <v>0</v>
      </c>
      <c r="E626">
        <f t="shared" si="54"/>
        <v>4154.6499999999996</v>
      </c>
      <c r="F626">
        <v>1487.692</v>
      </c>
      <c r="G626">
        <f t="shared" si="55"/>
        <v>2666.9579999999996</v>
      </c>
      <c r="H626">
        <f t="shared" si="59"/>
        <v>2889.1549999999997</v>
      </c>
      <c r="I626">
        <f t="shared" si="56"/>
        <v>5556.1129999999994</v>
      </c>
      <c r="J626">
        <f t="shared" si="57"/>
        <v>0</v>
      </c>
      <c r="K626">
        <f t="shared" si="58"/>
        <v>5556.1129999999994</v>
      </c>
    </row>
    <row r="627" spans="1:11" x14ac:dyDescent="0.25">
      <c r="A627" s="1">
        <v>45409</v>
      </c>
      <c r="B627">
        <v>2</v>
      </c>
      <c r="C627">
        <v>4045.5630000000001</v>
      </c>
      <c r="D627">
        <v>0</v>
      </c>
      <c r="E627">
        <f t="shared" si="54"/>
        <v>4045.5630000000001</v>
      </c>
      <c r="F627">
        <v>1275.481</v>
      </c>
      <c r="G627">
        <f t="shared" si="55"/>
        <v>2770.0820000000003</v>
      </c>
      <c r="H627">
        <f t="shared" si="59"/>
        <v>5556.1129999999994</v>
      </c>
      <c r="I627">
        <f t="shared" si="56"/>
        <v>8326.1949999999997</v>
      </c>
      <c r="J627">
        <f t="shared" si="57"/>
        <v>0</v>
      </c>
      <c r="K627">
        <f t="shared" si="58"/>
        <v>8326.1949999999997</v>
      </c>
    </row>
    <row r="628" spans="1:11" x14ac:dyDescent="0.25">
      <c r="A628" s="1">
        <v>45409</v>
      </c>
      <c r="B628">
        <v>3</v>
      </c>
      <c r="C628">
        <v>3708.0630000000001</v>
      </c>
      <c r="D628">
        <v>0</v>
      </c>
      <c r="E628">
        <f t="shared" si="54"/>
        <v>3708.0630000000001</v>
      </c>
      <c r="F628">
        <v>1192.94</v>
      </c>
      <c r="G628">
        <f t="shared" si="55"/>
        <v>2515.123</v>
      </c>
      <c r="H628">
        <f t="shared" si="59"/>
        <v>8326.1949999999997</v>
      </c>
      <c r="I628">
        <f t="shared" si="56"/>
        <v>10841.317999999999</v>
      </c>
      <c r="J628">
        <f t="shared" si="57"/>
        <v>0</v>
      </c>
      <c r="K628">
        <f t="shared" si="58"/>
        <v>10841.317999999999</v>
      </c>
    </row>
    <row r="629" spans="1:11" x14ac:dyDescent="0.25">
      <c r="A629" s="1">
        <v>45409</v>
      </c>
      <c r="B629">
        <v>4</v>
      </c>
      <c r="C629">
        <v>3345.4630000000002</v>
      </c>
      <c r="D629">
        <v>0</v>
      </c>
      <c r="E629">
        <f t="shared" si="54"/>
        <v>3345.4630000000002</v>
      </c>
      <c r="F629">
        <v>1195.385</v>
      </c>
      <c r="G629">
        <f t="shared" si="55"/>
        <v>2150.0780000000004</v>
      </c>
      <c r="H629">
        <f t="shared" si="59"/>
        <v>10841.317999999999</v>
      </c>
      <c r="I629">
        <f t="shared" si="56"/>
        <v>12991.396000000001</v>
      </c>
      <c r="J629">
        <f t="shared" si="57"/>
        <v>0</v>
      </c>
      <c r="K629">
        <f t="shared" si="58"/>
        <v>12991.396000000001</v>
      </c>
    </row>
    <row r="630" spans="1:11" x14ac:dyDescent="0.25">
      <c r="A630" s="1">
        <v>45409</v>
      </c>
      <c r="B630">
        <v>5</v>
      </c>
      <c r="C630">
        <v>3113.6750000000002</v>
      </c>
      <c r="D630">
        <v>0</v>
      </c>
      <c r="E630">
        <f t="shared" si="54"/>
        <v>3113.6750000000002</v>
      </c>
      <c r="F630">
        <v>1792.049</v>
      </c>
      <c r="G630">
        <f t="shared" si="55"/>
        <v>1321.6260000000002</v>
      </c>
      <c r="H630">
        <f t="shared" si="59"/>
        <v>12991.396000000001</v>
      </c>
      <c r="I630">
        <f t="shared" si="56"/>
        <v>14313.022000000001</v>
      </c>
      <c r="J630">
        <f t="shared" si="57"/>
        <v>0</v>
      </c>
      <c r="K630">
        <f t="shared" si="58"/>
        <v>14313.022000000001</v>
      </c>
    </row>
    <row r="631" spans="1:11" x14ac:dyDescent="0.25">
      <c r="A631" s="1">
        <v>45409</v>
      </c>
      <c r="B631">
        <v>6</v>
      </c>
      <c r="C631">
        <v>2879.9879999999998</v>
      </c>
      <c r="D631">
        <v>119.71299999999999</v>
      </c>
      <c r="E631">
        <f t="shared" si="54"/>
        <v>2999.701</v>
      </c>
      <c r="F631">
        <v>2967.692</v>
      </c>
      <c r="G631">
        <f t="shared" si="55"/>
        <v>32.009000000000015</v>
      </c>
      <c r="H631">
        <f t="shared" si="59"/>
        <v>14313.022000000001</v>
      </c>
      <c r="I631">
        <f t="shared" si="56"/>
        <v>14345.031000000001</v>
      </c>
      <c r="J631">
        <f t="shared" si="57"/>
        <v>0</v>
      </c>
      <c r="K631">
        <f t="shared" si="58"/>
        <v>14345.031000000001</v>
      </c>
    </row>
    <row r="632" spans="1:11" x14ac:dyDescent="0.25">
      <c r="A632" s="1">
        <v>45409</v>
      </c>
      <c r="B632">
        <v>7</v>
      </c>
      <c r="C632">
        <v>2648.2750000000001</v>
      </c>
      <c r="D632">
        <v>805.07500000000005</v>
      </c>
      <c r="E632">
        <f t="shared" si="54"/>
        <v>3453.3500000000004</v>
      </c>
      <c r="F632">
        <v>4042.6950000000002</v>
      </c>
      <c r="G632">
        <f t="shared" si="55"/>
        <v>-589.3449999999998</v>
      </c>
      <c r="H632">
        <f t="shared" si="59"/>
        <v>14345.031000000001</v>
      </c>
      <c r="I632">
        <f t="shared" si="56"/>
        <v>13755.686000000002</v>
      </c>
      <c r="J632">
        <f t="shared" si="57"/>
        <v>0</v>
      </c>
      <c r="K632">
        <f t="shared" si="58"/>
        <v>13755.686000000002</v>
      </c>
    </row>
    <row r="633" spans="1:11" x14ac:dyDescent="0.25">
      <c r="A633" s="1">
        <v>45409</v>
      </c>
      <c r="B633">
        <v>8</v>
      </c>
      <c r="C633">
        <v>1875.2</v>
      </c>
      <c r="D633">
        <v>2531.3629999999998</v>
      </c>
      <c r="E633">
        <f t="shared" si="54"/>
        <v>4406.5630000000001</v>
      </c>
      <c r="F633">
        <v>5979.7489999999998</v>
      </c>
      <c r="G633">
        <f t="shared" si="55"/>
        <v>-1573.1859999999997</v>
      </c>
      <c r="H633">
        <f t="shared" si="59"/>
        <v>13755.686000000002</v>
      </c>
      <c r="I633">
        <f t="shared" si="56"/>
        <v>12182.500000000002</v>
      </c>
      <c r="J633">
        <f t="shared" si="57"/>
        <v>0</v>
      </c>
      <c r="K633">
        <f t="shared" si="58"/>
        <v>12182.500000000002</v>
      </c>
    </row>
    <row r="634" spans="1:11" x14ac:dyDescent="0.25">
      <c r="A634" s="1">
        <v>45409</v>
      </c>
      <c r="B634">
        <v>9</v>
      </c>
      <c r="C634">
        <v>988.23800000000006</v>
      </c>
      <c r="D634">
        <v>5034.7749999999996</v>
      </c>
      <c r="E634">
        <f t="shared" si="54"/>
        <v>6023.0129999999999</v>
      </c>
      <c r="F634">
        <v>6697.3140000000003</v>
      </c>
      <c r="G634">
        <f t="shared" si="55"/>
        <v>-674.30100000000039</v>
      </c>
      <c r="H634">
        <f t="shared" si="59"/>
        <v>12182.500000000002</v>
      </c>
      <c r="I634">
        <f t="shared" si="56"/>
        <v>11508.199000000001</v>
      </c>
      <c r="J634">
        <f t="shared" si="57"/>
        <v>0</v>
      </c>
      <c r="K634">
        <f t="shared" si="58"/>
        <v>11508.199000000001</v>
      </c>
    </row>
    <row r="635" spans="1:11" x14ac:dyDescent="0.25">
      <c r="A635" s="1">
        <v>45409</v>
      </c>
      <c r="B635">
        <v>10</v>
      </c>
      <c r="C635">
        <v>623.72500000000002</v>
      </c>
      <c r="D635">
        <v>7472.6</v>
      </c>
      <c r="E635">
        <f t="shared" si="54"/>
        <v>8096.3250000000007</v>
      </c>
      <c r="F635">
        <v>7475.0020000000004</v>
      </c>
      <c r="G635">
        <f t="shared" si="55"/>
        <v>621.32300000000032</v>
      </c>
      <c r="H635">
        <f t="shared" si="59"/>
        <v>11508.199000000001</v>
      </c>
      <c r="I635">
        <f t="shared" si="56"/>
        <v>12129.522000000001</v>
      </c>
      <c r="J635">
        <f t="shared" si="57"/>
        <v>0</v>
      </c>
      <c r="K635">
        <f t="shared" si="58"/>
        <v>12129.522000000001</v>
      </c>
    </row>
    <row r="636" spans="1:11" x14ac:dyDescent="0.25">
      <c r="A636" s="1">
        <v>45409</v>
      </c>
      <c r="B636">
        <v>11</v>
      </c>
      <c r="C636">
        <v>789.15</v>
      </c>
      <c r="D636">
        <v>9395.8880000000008</v>
      </c>
      <c r="E636">
        <f t="shared" si="54"/>
        <v>10185.038</v>
      </c>
      <c r="F636">
        <v>7454</v>
      </c>
      <c r="G636">
        <f t="shared" si="55"/>
        <v>2731.0380000000005</v>
      </c>
      <c r="H636">
        <f t="shared" si="59"/>
        <v>12129.522000000001</v>
      </c>
      <c r="I636">
        <f t="shared" si="56"/>
        <v>14860.560000000001</v>
      </c>
      <c r="J636">
        <f t="shared" si="57"/>
        <v>0</v>
      </c>
      <c r="K636">
        <f t="shared" si="58"/>
        <v>14860.560000000001</v>
      </c>
    </row>
    <row r="637" spans="1:11" x14ac:dyDescent="0.25">
      <c r="A637" s="1">
        <v>45409</v>
      </c>
      <c r="B637">
        <v>12</v>
      </c>
      <c r="C637">
        <v>1219.3130000000001</v>
      </c>
      <c r="D637">
        <v>9911.1129999999994</v>
      </c>
      <c r="E637">
        <f t="shared" si="54"/>
        <v>11130.425999999999</v>
      </c>
      <c r="F637">
        <v>7577.8720000000003</v>
      </c>
      <c r="G637">
        <f t="shared" si="55"/>
        <v>3552.5539999999992</v>
      </c>
      <c r="H637">
        <f t="shared" si="59"/>
        <v>14860.560000000001</v>
      </c>
      <c r="I637">
        <f t="shared" si="56"/>
        <v>18413.114000000001</v>
      </c>
      <c r="J637">
        <f t="shared" si="57"/>
        <v>0</v>
      </c>
      <c r="K637">
        <f t="shared" si="58"/>
        <v>18413.114000000001</v>
      </c>
    </row>
    <row r="638" spans="1:11" x14ac:dyDescent="0.25">
      <c r="A638" s="1">
        <v>45409</v>
      </c>
      <c r="B638">
        <v>13</v>
      </c>
      <c r="C638">
        <v>1398.75</v>
      </c>
      <c r="D638">
        <v>8829.7749999999996</v>
      </c>
      <c r="E638">
        <f t="shared" si="54"/>
        <v>10228.525</v>
      </c>
      <c r="F638">
        <v>7894.5789999999997</v>
      </c>
      <c r="G638">
        <f t="shared" si="55"/>
        <v>2333.9459999999999</v>
      </c>
      <c r="H638">
        <f t="shared" si="59"/>
        <v>18413.114000000001</v>
      </c>
      <c r="I638">
        <f t="shared" si="56"/>
        <v>20747.060000000001</v>
      </c>
      <c r="J638">
        <f t="shared" si="57"/>
        <v>0</v>
      </c>
      <c r="K638">
        <f t="shared" si="58"/>
        <v>20747.060000000001</v>
      </c>
    </row>
    <row r="639" spans="1:11" x14ac:dyDescent="0.25">
      <c r="A639" s="1">
        <v>45409</v>
      </c>
      <c r="B639">
        <v>14</v>
      </c>
      <c r="C639">
        <v>1283.0630000000001</v>
      </c>
      <c r="D639">
        <v>7911.3</v>
      </c>
      <c r="E639">
        <f t="shared" si="54"/>
        <v>9194.3630000000012</v>
      </c>
      <c r="F639">
        <v>7458.3180000000002</v>
      </c>
      <c r="G639">
        <f t="shared" si="55"/>
        <v>1736.045000000001</v>
      </c>
      <c r="H639">
        <f t="shared" si="59"/>
        <v>20747.060000000001</v>
      </c>
      <c r="I639">
        <f t="shared" si="56"/>
        <v>22483.105000000003</v>
      </c>
      <c r="J639">
        <f t="shared" si="57"/>
        <v>0</v>
      </c>
      <c r="K639">
        <f t="shared" si="58"/>
        <v>22483.105000000003</v>
      </c>
    </row>
    <row r="640" spans="1:11" x14ac:dyDescent="0.25">
      <c r="A640" s="1">
        <v>45409</v>
      </c>
      <c r="B640">
        <v>15</v>
      </c>
      <c r="C640">
        <v>1164.413</v>
      </c>
      <c r="D640">
        <v>7714.4</v>
      </c>
      <c r="E640">
        <f t="shared" si="54"/>
        <v>8878.8130000000001</v>
      </c>
      <c r="F640">
        <v>7688.7889999999998</v>
      </c>
      <c r="G640">
        <f t="shared" si="55"/>
        <v>1190.0240000000003</v>
      </c>
      <c r="H640">
        <f t="shared" si="59"/>
        <v>22483.105000000003</v>
      </c>
      <c r="I640">
        <f t="shared" si="56"/>
        <v>23673.129000000004</v>
      </c>
      <c r="J640">
        <f t="shared" si="57"/>
        <v>0</v>
      </c>
      <c r="K640">
        <f t="shared" si="58"/>
        <v>23673.129000000004</v>
      </c>
    </row>
    <row r="641" spans="1:11" x14ac:dyDescent="0.25">
      <c r="A641" s="1">
        <v>45409</v>
      </c>
      <c r="B641">
        <v>16</v>
      </c>
      <c r="C641">
        <v>1047.3630000000001</v>
      </c>
      <c r="D641">
        <v>7125.4129999999996</v>
      </c>
      <c r="E641">
        <f t="shared" si="54"/>
        <v>8172.7759999999998</v>
      </c>
      <c r="F641">
        <v>7743.5569999999998</v>
      </c>
      <c r="G641">
        <f t="shared" si="55"/>
        <v>429.21900000000005</v>
      </c>
      <c r="H641">
        <f t="shared" si="59"/>
        <v>23673.129000000004</v>
      </c>
      <c r="I641">
        <f t="shared" si="56"/>
        <v>24102.348000000005</v>
      </c>
      <c r="J641">
        <f t="shared" si="57"/>
        <v>0</v>
      </c>
      <c r="K641">
        <f t="shared" si="58"/>
        <v>24102.348000000005</v>
      </c>
    </row>
    <row r="642" spans="1:11" x14ac:dyDescent="0.25">
      <c r="A642" s="1">
        <v>45409</v>
      </c>
      <c r="B642">
        <v>17</v>
      </c>
      <c r="C642">
        <v>1025.1500000000001</v>
      </c>
      <c r="D642">
        <v>5647.45</v>
      </c>
      <c r="E642">
        <f t="shared" si="54"/>
        <v>6672.6</v>
      </c>
      <c r="F642">
        <v>7472.143</v>
      </c>
      <c r="G642">
        <f t="shared" si="55"/>
        <v>-799.54299999999967</v>
      </c>
      <c r="H642">
        <f t="shared" si="59"/>
        <v>24102.348000000005</v>
      </c>
      <c r="I642">
        <f t="shared" si="56"/>
        <v>23302.805000000008</v>
      </c>
      <c r="J642">
        <f t="shared" si="57"/>
        <v>0</v>
      </c>
      <c r="K642">
        <f t="shared" si="58"/>
        <v>23302.805000000008</v>
      </c>
    </row>
    <row r="643" spans="1:11" x14ac:dyDescent="0.25">
      <c r="A643" s="1">
        <v>45409</v>
      </c>
      <c r="B643">
        <v>18</v>
      </c>
      <c r="C643">
        <v>1086.4880000000001</v>
      </c>
      <c r="D643">
        <v>4101.1379999999999</v>
      </c>
      <c r="E643">
        <f t="shared" ref="E643:E706" si="60">C643+D643</f>
        <v>5187.6260000000002</v>
      </c>
      <c r="F643">
        <v>6860.7169999999996</v>
      </c>
      <c r="G643">
        <f t="shared" ref="G643:G706" si="61">E643-F643</f>
        <v>-1673.0909999999994</v>
      </c>
      <c r="H643">
        <f t="shared" si="59"/>
        <v>23302.805000000008</v>
      </c>
      <c r="I643">
        <f t="shared" ref="I643:I706" si="62">IF(H643+G643&gt;200000,200000,H643+G643)</f>
        <v>21629.714000000007</v>
      </c>
      <c r="J643">
        <f t="shared" ref="J643:J706" si="63">IF(I643&lt;0,1,0)</f>
        <v>0</v>
      </c>
      <c r="K643">
        <f t="shared" ref="K643:K706" si="64">IF(J643=1,0,I643)</f>
        <v>21629.714000000007</v>
      </c>
    </row>
    <row r="644" spans="1:11" x14ac:dyDescent="0.25">
      <c r="A644" s="1">
        <v>45409</v>
      </c>
      <c r="B644">
        <v>19</v>
      </c>
      <c r="C644">
        <v>1000.438</v>
      </c>
      <c r="D644">
        <v>1819</v>
      </c>
      <c r="E644">
        <f t="shared" si="60"/>
        <v>2819.4380000000001</v>
      </c>
      <c r="F644">
        <v>6131.0010000000002</v>
      </c>
      <c r="G644">
        <f t="shared" si="61"/>
        <v>-3311.5630000000001</v>
      </c>
      <c r="H644">
        <f t="shared" ref="H644:H707" si="65">K643</f>
        <v>21629.714000000007</v>
      </c>
      <c r="I644">
        <f t="shared" si="62"/>
        <v>18318.151000000005</v>
      </c>
      <c r="J644">
        <f t="shared" si="63"/>
        <v>0</v>
      </c>
      <c r="K644">
        <f t="shared" si="64"/>
        <v>18318.151000000005</v>
      </c>
    </row>
    <row r="645" spans="1:11" x14ac:dyDescent="0.25">
      <c r="A645" s="1">
        <v>45409</v>
      </c>
      <c r="B645">
        <v>20</v>
      </c>
      <c r="C645">
        <v>1175.338</v>
      </c>
      <c r="D645">
        <v>490.83800000000002</v>
      </c>
      <c r="E645">
        <f t="shared" si="60"/>
        <v>1666.1759999999999</v>
      </c>
      <c r="F645">
        <v>5965.0169999999998</v>
      </c>
      <c r="G645">
        <f t="shared" si="61"/>
        <v>-4298.8410000000003</v>
      </c>
      <c r="H645">
        <f t="shared" si="65"/>
        <v>18318.151000000005</v>
      </c>
      <c r="I645">
        <f t="shared" si="62"/>
        <v>14019.310000000005</v>
      </c>
      <c r="J645">
        <f t="shared" si="63"/>
        <v>0</v>
      </c>
      <c r="K645">
        <f t="shared" si="64"/>
        <v>14019.310000000005</v>
      </c>
    </row>
    <row r="646" spans="1:11" x14ac:dyDescent="0.25">
      <c r="A646" s="1">
        <v>45409</v>
      </c>
      <c r="B646">
        <v>21</v>
      </c>
      <c r="C646">
        <v>1868.4380000000001</v>
      </c>
      <c r="D646">
        <v>29.363</v>
      </c>
      <c r="E646">
        <f t="shared" si="60"/>
        <v>1897.8010000000002</v>
      </c>
      <c r="F646">
        <v>4634.9390000000003</v>
      </c>
      <c r="G646">
        <f t="shared" si="61"/>
        <v>-2737.1379999999999</v>
      </c>
      <c r="H646">
        <f t="shared" si="65"/>
        <v>14019.310000000005</v>
      </c>
      <c r="I646">
        <f t="shared" si="62"/>
        <v>11282.172000000006</v>
      </c>
      <c r="J646">
        <f t="shared" si="63"/>
        <v>0</v>
      </c>
      <c r="K646">
        <f t="shared" si="64"/>
        <v>11282.172000000006</v>
      </c>
    </row>
    <row r="647" spans="1:11" x14ac:dyDescent="0.25">
      <c r="A647" s="1">
        <v>45409</v>
      </c>
      <c r="B647">
        <v>22</v>
      </c>
      <c r="C647">
        <v>3060.3</v>
      </c>
      <c r="D647">
        <v>0</v>
      </c>
      <c r="E647">
        <f t="shared" si="60"/>
        <v>3060.3</v>
      </c>
      <c r="F647">
        <v>4473.7759999999998</v>
      </c>
      <c r="G647">
        <f t="shared" si="61"/>
        <v>-1413.4759999999997</v>
      </c>
      <c r="H647">
        <f t="shared" si="65"/>
        <v>11282.172000000006</v>
      </c>
      <c r="I647">
        <f t="shared" si="62"/>
        <v>9868.6960000000072</v>
      </c>
      <c r="J647">
        <f t="shared" si="63"/>
        <v>0</v>
      </c>
      <c r="K647">
        <f t="shared" si="64"/>
        <v>9868.6960000000072</v>
      </c>
    </row>
    <row r="648" spans="1:11" x14ac:dyDescent="0.25">
      <c r="A648" s="1">
        <v>45409</v>
      </c>
      <c r="B648">
        <v>23</v>
      </c>
      <c r="C648">
        <v>4255.8999999999996</v>
      </c>
      <c r="D648">
        <v>0</v>
      </c>
      <c r="E648">
        <f t="shared" si="60"/>
        <v>4255.8999999999996</v>
      </c>
      <c r="F648">
        <v>2771.5639999999999</v>
      </c>
      <c r="G648">
        <f t="shared" si="61"/>
        <v>1484.3359999999998</v>
      </c>
      <c r="H648">
        <f t="shared" si="65"/>
        <v>9868.6960000000072</v>
      </c>
      <c r="I648">
        <f t="shared" si="62"/>
        <v>11353.032000000007</v>
      </c>
      <c r="J648">
        <f t="shared" si="63"/>
        <v>0</v>
      </c>
      <c r="K648">
        <f t="shared" si="64"/>
        <v>11353.032000000007</v>
      </c>
    </row>
    <row r="649" spans="1:11" x14ac:dyDescent="0.25">
      <c r="A649" s="1">
        <v>45409</v>
      </c>
      <c r="B649">
        <v>24</v>
      </c>
      <c r="C649">
        <v>5003.4250000000002</v>
      </c>
      <c r="D649">
        <v>0</v>
      </c>
      <c r="E649">
        <f t="shared" si="60"/>
        <v>5003.4250000000002</v>
      </c>
      <c r="F649">
        <v>1627.2670000000001</v>
      </c>
      <c r="G649">
        <f t="shared" si="61"/>
        <v>3376.1580000000004</v>
      </c>
      <c r="H649">
        <f t="shared" si="65"/>
        <v>11353.032000000007</v>
      </c>
      <c r="I649">
        <f t="shared" si="62"/>
        <v>14729.190000000006</v>
      </c>
      <c r="J649">
        <f t="shared" si="63"/>
        <v>0</v>
      </c>
      <c r="K649">
        <f t="shared" si="64"/>
        <v>14729.190000000006</v>
      </c>
    </row>
    <row r="650" spans="1:11" x14ac:dyDescent="0.25">
      <c r="A650" s="1">
        <v>45410</v>
      </c>
      <c r="B650">
        <v>1</v>
      </c>
      <c r="C650">
        <v>4937.6379999999999</v>
      </c>
      <c r="D650">
        <v>0</v>
      </c>
      <c r="E650">
        <f t="shared" si="60"/>
        <v>4937.6379999999999</v>
      </c>
      <c r="F650">
        <v>1576.039</v>
      </c>
      <c r="G650">
        <f t="shared" si="61"/>
        <v>3361.5990000000002</v>
      </c>
      <c r="H650">
        <f t="shared" si="65"/>
        <v>14729.190000000006</v>
      </c>
      <c r="I650">
        <f t="shared" si="62"/>
        <v>18090.789000000004</v>
      </c>
      <c r="J650">
        <f t="shared" si="63"/>
        <v>0</v>
      </c>
      <c r="K650">
        <f t="shared" si="64"/>
        <v>18090.789000000004</v>
      </c>
    </row>
    <row r="651" spans="1:11" x14ac:dyDescent="0.25">
      <c r="A651" s="1">
        <v>45410</v>
      </c>
      <c r="B651">
        <v>2</v>
      </c>
      <c r="C651">
        <v>4861.2129999999997</v>
      </c>
      <c r="D651">
        <v>0</v>
      </c>
      <c r="E651">
        <f t="shared" si="60"/>
        <v>4861.2129999999997</v>
      </c>
      <c r="F651">
        <v>1351.2260000000001</v>
      </c>
      <c r="G651">
        <f t="shared" si="61"/>
        <v>3509.9869999999996</v>
      </c>
      <c r="H651">
        <f t="shared" si="65"/>
        <v>18090.789000000004</v>
      </c>
      <c r="I651">
        <f t="shared" si="62"/>
        <v>21600.776000000005</v>
      </c>
      <c r="J651">
        <f t="shared" si="63"/>
        <v>0</v>
      </c>
      <c r="K651">
        <f t="shared" si="64"/>
        <v>21600.776000000005</v>
      </c>
    </row>
    <row r="652" spans="1:11" x14ac:dyDescent="0.25">
      <c r="A652" s="1">
        <v>45410</v>
      </c>
      <c r="B652">
        <v>3</v>
      </c>
      <c r="C652">
        <v>4697.5630000000001</v>
      </c>
      <c r="D652">
        <v>0</v>
      </c>
      <c r="E652">
        <f t="shared" si="60"/>
        <v>4697.5630000000001</v>
      </c>
      <c r="F652">
        <v>1263.7829999999999</v>
      </c>
      <c r="G652">
        <f t="shared" si="61"/>
        <v>3433.78</v>
      </c>
      <c r="H652">
        <f t="shared" si="65"/>
        <v>21600.776000000005</v>
      </c>
      <c r="I652">
        <f t="shared" si="62"/>
        <v>25034.556000000004</v>
      </c>
      <c r="J652">
        <f t="shared" si="63"/>
        <v>0</v>
      </c>
      <c r="K652">
        <f t="shared" si="64"/>
        <v>25034.556000000004</v>
      </c>
    </row>
    <row r="653" spans="1:11" x14ac:dyDescent="0.25">
      <c r="A653" s="1">
        <v>45410</v>
      </c>
      <c r="B653">
        <v>4</v>
      </c>
      <c r="C653">
        <v>4528.9129999999996</v>
      </c>
      <c r="D653">
        <v>0</v>
      </c>
      <c r="E653">
        <f t="shared" si="60"/>
        <v>4528.9129999999996</v>
      </c>
      <c r="F653">
        <v>1266.373</v>
      </c>
      <c r="G653">
        <f t="shared" si="61"/>
        <v>3262.5399999999995</v>
      </c>
      <c r="H653">
        <f t="shared" si="65"/>
        <v>25034.556000000004</v>
      </c>
      <c r="I653">
        <f t="shared" si="62"/>
        <v>28297.096000000005</v>
      </c>
      <c r="J653">
        <f t="shared" si="63"/>
        <v>0</v>
      </c>
      <c r="K653">
        <f t="shared" si="64"/>
        <v>28297.096000000005</v>
      </c>
    </row>
    <row r="654" spans="1:11" x14ac:dyDescent="0.25">
      <c r="A654" s="1">
        <v>45410</v>
      </c>
      <c r="B654">
        <v>5</v>
      </c>
      <c r="C654">
        <v>4417.8379999999997</v>
      </c>
      <c r="D654">
        <v>0</v>
      </c>
      <c r="E654">
        <f t="shared" si="60"/>
        <v>4417.8379999999997</v>
      </c>
      <c r="F654">
        <v>1898.4690000000001</v>
      </c>
      <c r="G654">
        <f t="shared" si="61"/>
        <v>2519.3689999999997</v>
      </c>
      <c r="H654">
        <f t="shared" si="65"/>
        <v>28297.096000000005</v>
      </c>
      <c r="I654">
        <f t="shared" si="62"/>
        <v>30816.465000000004</v>
      </c>
      <c r="J654">
        <f t="shared" si="63"/>
        <v>0</v>
      </c>
      <c r="K654">
        <f t="shared" si="64"/>
        <v>30816.465000000004</v>
      </c>
    </row>
    <row r="655" spans="1:11" x14ac:dyDescent="0.25">
      <c r="A655" s="1">
        <v>45410</v>
      </c>
      <c r="B655">
        <v>6</v>
      </c>
      <c r="C655">
        <v>4356.125</v>
      </c>
      <c r="D655">
        <v>168.47499999999999</v>
      </c>
      <c r="E655">
        <f t="shared" si="60"/>
        <v>4524.6000000000004</v>
      </c>
      <c r="F655">
        <v>3143.9290000000001</v>
      </c>
      <c r="G655">
        <f t="shared" si="61"/>
        <v>1380.6710000000003</v>
      </c>
      <c r="H655">
        <f t="shared" si="65"/>
        <v>30816.465000000004</v>
      </c>
      <c r="I655">
        <f t="shared" si="62"/>
        <v>32197.136000000006</v>
      </c>
      <c r="J655">
        <f t="shared" si="63"/>
        <v>0</v>
      </c>
      <c r="K655">
        <f t="shared" si="64"/>
        <v>32197.136000000006</v>
      </c>
    </row>
    <row r="656" spans="1:11" x14ac:dyDescent="0.25">
      <c r="A656" s="1">
        <v>45410</v>
      </c>
      <c r="B656">
        <v>7</v>
      </c>
      <c r="C656">
        <v>4266.1629999999996</v>
      </c>
      <c r="D656">
        <v>1088.675</v>
      </c>
      <c r="E656">
        <f t="shared" si="60"/>
        <v>5354.8379999999997</v>
      </c>
      <c r="F656">
        <v>4282.7700000000004</v>
      </c>
      <c r="G656">
        <f t="shared" si="61"/>
        <v>1072.0679999999993</v>
      </c>
      <c r="H656">
        <f t="shared" si="65"/>
        <v>32197.136000000006</v>
      </c>
      <c r="I656">
        <f t="shared" si="62"/>
        <v>33269.204000000005</v>
      </c>
      <c r="J656">
        <f t="shared" si="63"/>
        <v>0</v>
      </c>
      <c r="K656">
        <f t="shared" si="64"/>
        <v>33269.204000000005</v>
      </c>
    </row>
    <row r="657" spans="1:11" x14ac:dyDescent="0.25">
      <c r="A657" s="1">
        <v>45410</v>
      </c>
      <c r="B657">
        <v>8</v>
      </c>
      <c r="C657">
        <v>3305.3130000000001</v>
      </c>
      <c r="D657">
        <v>2829.788</v>
      </c>
      <c r="E657">
        <f t="shared" si="60"/>
        <v>6135.1010000000006</v>
      </c>
      <c r="F657">
        <v>6673.8559999999998</v>
      </c>
      <c r="G657">
        <f t="shared" si="61"/>
        <v>-538.7549999999992</v>
      </c>
      <c r="H657">
        <f t="shared" si="65"/>
        <v>33269.204000000005</v>
      </c>
      <c r="I657">
        <f t="shared" si="62"/>
        <v>32730.449000000008</v>
      </c>
      <c r="J657">
        <f t="shared" si="63"/>
        <v>0</v>
      </c>
      <c r="K657">
        <f t="shared" si="64"/>
        <v>32730.449000000008</v>
      </c>
    </row>
    <row r="658" spans="1:11" x14ac:dyDescent="0.25">
      <c r="A658" s="1">
        <v>45410</v>
      </c>
      <c r="B658">
        <v>9</v>
      </c>
      <c r="C658">
        <v>2211.1129999999998</v>
      </c>
      <c r="D658">
        <v>4604.8379999999997</v>
      </c>
      <c r="E658">
        <f t="shared" si="60"/>
        <v>6815.9509999999991</v>
      </c>
      <c r="F658">
        <v>7095.0339999999997</v>
      </c>
      <c r="G658">
        <f t="shared" si="61"/>
        <v>-279.08300000000054</v>
      </c>
      <c r="H658">
        <f t="shared" si="65"/>
        <v>32730.449000000008</v>
      </c>
      <c r="I658">
        <f t="shared" si="62"/>
        <v>32451.366000000009</v>
      </c>
      <c r="J658">
        <f t="shared" si="63"/>
        <v>0</v>
      </c>
      <c r="K658">
        <f t="shared" si="64"/>
        <v>32451.366000000009</v>
      </c>
    </row>
    <row r="659" spans="1:11" x14ac:dyDescent="0.25">
      <c r="A659" s="1">
        <v>45410</v>
      </c>
      <c r="B659">
        <v>10</v>
      </c>
      <c r="C659">
        <v>2445.8130000000001</v>
      </c>
      <c r="D659">
        <v>5843.4380000000001</v>
      </c>
      <c r="E659">
        <f t="shared" si="60"/>
        <v>8289.2510000000002</v>
      </c>
      <c r="F659">
        <v>7918.9040000000005</v>
      </c>
      <c r="G659">
        <f t="shared" si="61"/>
        <v>370.34699999999975</v>
      </c>
      <c r="H659">
        <f t="shared" si="65"/>
        <v>32451.366000000009</v>
      </c>
      <c r="I659">
        <f t="shared" si="62"/>
        <v>32821.713000000011</v>
      </c>
      <c r="J659">
        <f t="shared" si="63"/>
        <v>0</v>
      </c>
      <c r="K659">
        <f t="shared" si="64"/>
        <v>32821.713000000011</v>
      </c>
    </row>
    <row r="660" spans="1:11" x14ac:dyDescent="0.25">
      <c r="A660" s="1">
        <v>45410</v>
      </c>
      <c r="B660">
        <v>11</v>
      </c>
      <c r="C660">
        <v>3334.0250000000001</v>
      </c>
      <c r="D660">
        <v>6848.5879999999997</v>
      </c>
      <c r="E660">
        <f t="shared" si="60"/>
        <v>10182.612999999999</v>
      </c>
      <c r="F660">
        <v>7896.6549999999997</v>
      </c>
      <c r="G660">
        <f t="shared" si="61"/>
        <v>2285.9579999999996</v>
      </c>
      <c r="H660">
        <f t="shared" si="65"/>
        <v>32821.713000000011</v>
      </c>
      <c r="I660">
        <f t="shared" si="62"/>
        <v>35107.671000000009</v>
      </c>
      <c r="J660">
        <f t="shared" si="63"/>
        <v>0</v>
      </c>
      <c r="K660">
        <f t="shared" si="64"/>
        <v>35107.671000000009</v>
      </c>
    </row>
    <row r="661" spans="1:11" x14ac:dyDescent="0.25">
      <c r="A661" s="1">
        <v>45410</v>
      </c>
      <c r="B661">
        <v>12</v>
      </c>
      <c r="C661">
        <v>3987.3</v>
      </c>
      <c r="D661">
        <v>7276.5</v>
      </c>
      <c r="E661">
        <f t="shared" si="60"/>
        <v>11263.8</v>
      </c>
      <c r="F661">
        <v>8027.8829999999998</v>
      </c>
      <c r="G661">
        <f t="shared" si="61"/>
        <v>3235.9169999999995</v>
      </c>
      <c r="H661">
        <f t="shared" si="65"/>
        <v>35107.671000000009</v>
      </c>
      <c r="I661">
        <f t="shared" si="62"/>
        <v>38343.588000000011</v>
      </c>
      <c r="J661">
        <f t="shared" si="63"/>
        <v>0</v>
      </c>
      <c r="K661">
        <f t="shared" si="64"/>
        <v>38343.588000000011</v>
      </c>
    </row>
    <row r="662" spans="1:11" x14ac:dyDescent="0.25">
      <c r="A662" s="1">
        <v>45410</v>
      </c>
      <c r="B662">
        <v>13</v>
      </c>
      <c r="C662">
        <v>4037.15</v>
      </c>
      <c r="D662">
        <v>7053.0379999999996</v>
      </c>
      <c r="E662">
        <f t="shared" si="60"/>
        <v>11090.188</v>
      </c>
      <c r="F662">
        <v>8363.3979999999992</v>
      </c>
      <c r="G662">
        <f t="shared" si="61"/>
        <v>2726.7900000000009</v>
      </c>
      <c r="H662">
        <f t="shared" si="65"/>
        <v>38343.588000000011</v>
      </c>
      <c r="I662">
        <f t="shared" si="62"/>
        <v>41070.378000000012</v>
      </c>
      <c r="J662">
        <f t="shared" si="63"/>
        <v>0</v>
      </c>
      <c r="K662">
        <f t="shared" si="64"/>
        <v>41070.378000000012</v>
      </c>
    </row>
    <row r="663" spans="1:11" x14ac:dyDescent="0.25">
      <c r="A663" s="1">
        <v>45410</v>
      </c>
      <c r="B663">
        <v>14</v>
      </c>
      <c r="C663">
        <v>3850.6129999999998</v>
      </c>
      <c r="D663">
        <v>5970.6</v>
      </c>
      <c r="E663">
        <f t="shared" si="60"/>
        <v>9821.2129999999997</v>
      </c>
      <c r="F663">
        <v>7901.23</v>
      </c>
      <c r="G663">
        <f t="shared" si="61"/>
        <v>1919.9830000000002</v>
      </c>
      <c r="H663">
        <f t="shared" si="65"/>
        <v>41070.378000000012</v>
      </c>
      <c r="I663">
        <f t="shared" si="62"/>
        <v>42990.361000000012</v>
      </c>
      <c r="J663">
        <f t="shared" si="63"/>
        <v>0</v>
      </c>
      <c r="K663">
        <f t="shared" si="64"/>
        <v>42990.361000000012</v>
      </c>
    </row>
    <row r="664" spans="1:11" x14ac:dyDescent="0.25">
      <c r="A664" s="1">
        <v>45410</v>
      </c>
      <c r="B664">
        <v>15</v>
      </c>
      <c r="C664">
        <v>3850.9380000000001</v>
      </c>
      <c r="D664">
        <v>5464.1</v>
      </c>
      <c r="E664">
        <f t="shared" si="60"/>
        <v>9315.0380000000005</v>
      </c>
      <c r="F664">
        <v>8145.3869999999997</v>
      </c>
      <c r="G664">
        <f t="shared" si="61"/>
        <v>1169.6510000000007</v>
      </c>
      <c r="H664">
        <f t="shared" si="65"/>
        <v>42990.361000000012</v>
      </c>
      <c r="I664">
        <f t="shared" si="62"/>
        <v>44160.01200000001</v>
      </c>
      <c r="J664">
        <f t="shared" si="63"/>
        <v>0</v>
      </c>
      <c r="K664">
        <f t="shared" si="64"/>
        <v>44160.01200000001</v>
      </c>
    </row>
    <row r="665" spans="1:11" x14ac:dyDescent="0.25">
      <c r="A665" s="1">
        <v>45410</v>
      </c>
      <c r="B665">
        <v>16</v>
      </c>
      <c r="C665">
        <v>3784.788</v>
      </c>
      <c r="D665">
        <v>4990.8</v>
      </c>
      <c r="E665">
        <f t="shared" si="60"/>
        <v>8775.5879999999997</v>
      </c>
      <c r="F665">
        <v>8203.4079999999994</v>
      </c>
      <c r="G665">
        <f t="shared" si="61"/>
        <v>572.18000000000029</v>
      </c>
      <c r="H665">
        <f t="shared" si="65"/>
        <v>44160.01200000001</v>
      </c>
      <c r="I665">
        <f t="shared" si="62"/>
        <v>44732.19200000001</v>
      </c>
      <c r="J665">
        <f t="shared" si="63"/>
        <v>0</v>
      </c>
      <c r="K665">
        <f t="shared" si="64"/>
        <v>44732.19200000001</v>
      </c>
    </row>
    <row r="666" spans="1:11" x14ac:dyDescent="0.25">
      <c r="A666" s="1">
        <v>45410</v>
      </c>
      <c r="B666">
        <v>17</v>
      </c>
      <c r="C666">
        <v>3922.8</v>
      </c>
      <c r="D666">
        <v>4352.375</v>
      </c>
      <c r="E666">
        <f t="shared" si="60"/>
        <v>8275.1749999999993</v>
      </c>
      <c r="F666">
        <v>7915.8760000000002</v>
      </c>
      <c r="G666">
        <f t="shared" si="61"/>
        <v>359.29899999999907</v>
      </c>
      <c r="H666">
        <f t="shared" si="65"/>
        <v>44732.19200000001</v>
      </c>
      <c r="I666">
        <f t="shared" si="62"/>
        <v>45091.491000000009</v>
      </c>
      <c r="J666">
        <f t="shared" si="63"/>
        <v>0</v>
      </c>
      <c r="K666">
        <f t="shared" si="64"/>
        <v>45091.491000000009</v>
      </c>
    </row>
    <row r="667" spans="1:11" x14ac:dyDescent="0.25">
      <c r="A667" s="1">
        <v>45410</v>
      </c>
      <c r="B667">
        <v>18</v>
      </c>
      <c r="C667">
        <v>3755.6750000000002</v>
      </c>
      <c r="D667">
        <v>3567.15</v>
      </c>
      <c r="E667">
        <f t="shared" si="60"/>
        <v>7322.8250000000007</v>
      </c>
      <c r="F667">
        <v>7268.14</v>
      </c>
      <c r="G667">
        <f t="shared" si="61"/>
        <v>54.6850000000004</v>
      </c>
      <c r="H667">
        <f t="shared" si="65"/>
        <v>45091.491000000009</v>
      </c>
      <c r="I667">
        <f t="shared" si="62"/>
        <v>45146.176000000007</v>
      </c>
      <c r="J667">
        <f t="shared" si="63"/>
        <v>0</v>
      </c>
      <c r="K667">
        <f t="shared" si="64"/>
        <v>45146.176000000007</v>
      </c>
    </row>
    <row r="668" spans="1:11" x14ac:dyDescent="0.25">
      <c r="A668" s="1">
        <v>45410</v>
      </c>
      <c r="B668">
        <v>19</v>
      </c>
      <c r="C668">
        <v>3201.7379999999998</v>
      </c>
      <c r="D668">
        <v>2078.913</v>
      </c>
      <c r="E668">
        <f t="shared" si="60"/>
        <v>5280.6509999999998</v>
      </c>
      <c r="F668">
        <v>6495.09</v>
      </c>
      <c r="G668">
        <f t="shared" si="61"/>
        <v>-1214.4390000000003</v>
      </c>
      <c r="H668">
        <f t="shared" si="65"/>
        <v>45146.176000000007</v>
      </c>
      <c r="I668">
        <f t="shared" si="62"/>
        <v>43931.737000000008</v>
      </c>
      <c r="J668">
        <f t="shared" si="63"/>
        <v>0</v>
      </c>
      <c r="K668">
        <f t="shared" si="64"/>
        <v>43931.737000000008</v>
      </c>
    </row>
    <row r="669" spans="1:11" x14ac:dyDescent="0.25">
      <c r="A669" s="1">
        <v>45410</v>
      </c>
      <c r="B669">
        <v>20</v>
      </c>
      <c r="C669">
        <v>2948.0749999999998</v>
      </c>
      <c r="D669">
        <v>692.42499999999995</v>
      </c>
      <c r="E669">
        <f t="shared" si="60"/>
        <v>3640.5</v>
      </c>
      <c r="F669">
        <v>6319.2489999999998</v>
      </c>
      <c r="G669">
        <f t="shared" si="61"/>
        <v>-2678.7489999999998</v>
      </c>
      <c r="H669">
        <f t="shared" si="65"/>
        <v>43931.737000000008</v>
      </c>
      <c r="I669">
        <f t="shared" si="62"/>
        <v>41252.988000000012</v>
      </c>
      <c r="J669">
        <f t="shared" si="63"/>
        <v>0</v>
      </c>
      <c r="K669">
        <f t="shared" si="64"/>
        <v>41252.988000000012</v>
      </c>
    </row>
    <row r="670" spans="1:11" x14ac:dyDescent="0.25">
      <c r="A670" s="1">
        <v>45410</v>
      </c>
      <c r="B670">
        <v>21</v>
      </c>
      <c r="C670">
        <v>3687.0880000000002</v>
      </c>
      <c r="D670">
        <v>36.174999999999997</v>
      </c>
      <c r="E670">
        <f t="shared" si="60"/>
        <v>3723.2630000000004</v>
      </c>
      <c r="F670">
        <v>4910.1850000000004</v>
      </c>
      <c r="G670">
        <f t="shared" si="61"/>
        <v>-1186.922</v>
      </c>
      <c r="H670">
        <f t="shared" si="65"/>
        <v>41252.988000000012</v>
      </c>
      <c r="I670">
        <f t="shared" si="62"/>
        <v>40066.066000000013</v>
      </c>
      <c r="J670">
        <f t="shared" si="63"/>
        <v>0</v>
      </c>
      <c r="K670">
        <f t="shared" si="64"/>
        <v>40066.066000000013</v>
      </c>
    </row>
    <row r="671" spans="1:11" x14ac:dyDescent="0.25">
      <c r="A671" s="1">
        <v>45410</v>
      </c>
      <c r="B671">
        <v>22</v>
      </c>
      <c r="C671">
        <v>4782.7129999999997</v>
      </c>
      <c r="D671">
        <v>0</v>
      </c>
      <c r="E671">
        <f t="shared" si="60"/>
        <v>4782.7129999999997</v>
      </c>
      <c r="F671">
        <v>4739.451</v>
      </c>
      <c r="G671">
        <f t="shared" si="61"/>
        <v>43.261999999999716</v>
      </c>
      <c r="H671">
        <f t="shared" si="65"/>
        <v>40066.066000000013</v>
      </c>
      <c r="I671">
        <f t="shared" si="62"/>
        <v>40109.328000000016</v>
      </c>
      <c r="J671">
        <f t="shared" si="63"/>
        <v>0</v>
      </c>
      <c r="K671">
        <f t="shared" si="64"/>
        <v>40109.328000000016</v>
      </c>
    </row>
    <row r="672" spans="1:11" x14ac:dyDescent="0.25">
      <c r="A672" s="1">
        <v>45410</v>
      </c>
      <c r="B672">
        <v>23</v>
      </c>
      <c r="C672">
        <v>5291.0630000000001</v>
      </c>
      <c r="D672">
        <v>0</v>
      </c>
      <c r="E672">
        <f t="shared" si="60"/>
        <v>5291.0630000000001</v>
      </c>
      <c r="F672">
        <v>2936.1529999999998</v>
      </c>
      <c r="G672">
        <f t="shared" si="61"/>
        <v>2354.9100000000003</v>
      </c>
      <c r="H672">
        <f t="shared" si="65"/>
        <v>40109.328000000016</v>
      </c>
      <c r="I672">
        <f t="shared" si="62"/>
        <v>42464.238000000019</v>
      </c>
      <c r="J672">
        <f t="shared" si="63"/>
        <v>0</v>
      </c>
      <c r="K672">
        <f t="shared" si="64"/>
        <v>42464.238000000019</v>
      </c>
    </row>
    <row r="673" spans="1:11" x14ac:dyDescent="0.25">
      <c r="A673" s="1">
        <v>45410</v>
      </c>
      <c r="B673">
        <v>24</v>
      </c>
      <c r="C673">
        <v>5382.25</v>
      </c>
      <c r="D673">
        <v>0</v>
      </c>
      <c r="E673">
        <f t="shared" si="60"/>
        <v>5382.25</v>
      </c>
      <c r="F673">
        <v>1723.903</v>
      </c>
      <c r="G673">
        <f t="shared" si="61"/>
        <v>3658.3469999999998</v>
      </c>
      <c r="H673">
        <f t="shared" si="65"/>
        <v>42464.238000000019</v>
      </c>
      <c r="I673">
        <f t="shared" si="62"/>
        <v>46122.585000000021</v>
      </c>
      <c r="J673">
        <f t="shared" si="63"/>
        <v>0</v>
      </c>
      <c r="K673">
        <f t="shared" si="64"/>
        <v>46122.585000000021</v>
      </c>
    </row>
    <row r="674" spans="1:11" x14ac:dyDescent="0.25">
      <c r="A674" s="1">
        <v>45411</v>
      </c>
      <c r="B674">
        <v>1</v>
      </c>
      <c r="C674">
        <v>5231.8130000000001</v>
      </c>
      <c r="D674">
        <v>0</v>
      </c>
      <c r="E674">
        <f t="shared" si="60"/>
        <v>5231.8130000000001</v>
      </c>
      <c r="F674">
        <v>1722.7570000000001</v>
      </c>
      <c r="G674">
        <f t="shared" si="61"/>
        <v>3509.056</v>
      </c>
      <c r="H674">
        <f t="shared" si="65"/>
        <v>46122.585000000021</v>
      </c>
      <c r="I674">
        <f t="shared" si="62"/>
        <v>49631.641000000018</v>
      </c>
      <c r="J674">
        <f t="shared" si="63"/>
        <v>0</v>
      </c>
      <c r="K674">
        <f t="shared" si="64"/>
        <v>49631.641000000018</v>
      </c>
    </row>
    <row r="675" spans="1:11" x14ac:dyDescent="0.25">
      <c r="A675" s="1">
        <v>45411</v>
      </c>
      <c r="B675">
        <v>2</v>
      </c>
      <c r="C675">
        <v>5017.125</v>
      </c>
      <c r="D675">
        <v>0</v>
      </c>
      <c r="E675">
        <f t="shared" si="60"/>
        <v>5017.125</v>
      </c>
      <c r="F675">
        <v>1477.0160000000001</v>
      </c>
      <c r="G675">
        <f t="shared" si="61"/>
        <v>3540.1089999999999</v>
      </c>
      <c r="H675">
        <f t="shared" si="65"/>
        <v>49631.641000000018</v>
      </c>
      <c r="I675">
        <f t="shared" si="62"/>
        <v>53171.750000000015</v>
      </c>
      <c r="J675">
        <f t="shared" si="63"/>
        <v>0</v>
      </c>
      <c r="K675">
        <f t="shared" si="64"/>
        <v>53171.750000000015</v>
      </c>
    </row>
    <row r="676" spans="1:11" x14ac:dyDescent="0.25">
      <c r="A676" s="1">
        <v>45411</v>
      </c>
      <c r="B676">
        <v>3</v>
      </c>
      <c r="C676">
        <v>4546.3999999999996</v>
      </c>
      <c r="D676">
        <v>0</v>
      </c>
      <c r="E676">
        <f t="shared" si="60"/>
        <v>4546.3999999999996</v>
      </c>
      <c r="F676">
        <v>1381.432</v>
      </c>
      <c r="G676">
        <f t="shared" si="61"/>
        <v>3164.9679999999998</v>
      </c>
      <c r="H676">
        <f t="shared" si="65"/>
        <v>53171.750000000015</v>
      </c>
      <c r="I676">
        <f t="shared" si="62"/>
        <v>56336.718000000015</v>
      </c>
      <c r="J676">
        <f t="shared" si="63"/>
        <v>0</v>
      </c>
      <c r="K676">
        <f t="shared" si="64"/>
        <v>56336.718000000015</v>
      </c>
    </row>
    <row r="677" spans="1:11" x14ac:dyDescent="0.25">
      <c r="A677" s="1">
        <v>45411</v>
      </c>
      <c r="B677">
        <v>4</v>
      </c>
      <c r="C677">
        <v>4131.4629999999997</v>
      </c>
      <c r="D677">
        <v>0</v>
      </c>
      <c r="E677">
        <f t="shared" si="60"/>
        <v>4131.4629999999997</v>
      </c>
      <c r="F677">
        <v>1384.2639999999999</v>
      </c>
      <c r="G677">
        <f t="shared" si="61"/>
        <v>2747.1989999999996</v>
      </c>
      <c r="H677">
        <f t="shared" si="65"/>
        <v>56336.718000000015</v>
      </c>
      <c r="I677">
        <f t="shared" si="62"/>
        <v>59083.917000000016</v>
      </c>
      <c r="J677">
        <f t="shared" si="63"/>
        <v>0</v>
      </c>
      <c r="K677">
        <f t="shared" si="64"/>
        <v>59083.917000000016</v>
      </c>
    </row>
    <row r="678" spans="1:11" x14ac:dyDescent="0.25">
      <c r="A678" s="1">
        <v>45411</v>
      </c>
      <c r="B678">
        <v>5</v>
      </c>
      <c r="C678">
        <v>3843.0749999999998</v>
      </c>
      <c r="D678">
        <v>0.35</v>
      </c>
      <c r="E678">
        <f t="shared" si="60"/>
        <v>3843.4249999999997</v>
      </c>
      <c r="F678">
        <v>1736.204</v>
      </c>
      <c r="G678">
        <f t="shared" si="61"/>
        <v>2107.2209999999995</v>
      </c>
      <c r="H678">
        <f t="shared" si="65"/>
        <v>59083.917000000016</v>
      </c>
      <c r="I678">
        <f t="shared" si="62"/>
        <v>61191.138000000014</v>
      </c>
      <c r="J678">
        <f t="shared" si="63"/>
        <v>0</v>
      </c>
      <c r="K678">
        <f t="shared" si="64"/>
        <v>61191.138000000014</v>
      </c>
    </row>
    <row r="679" spans="1:11" x14ac:dyDescent="0.25">
      <c r="A679" s="1">
        <v>45411</v>
      </c>
      <c r="B679">
        <v>6</v>
      </c>
      <c r="C679">
        <v>3584.4</v>
      </c>
      <c r="D679">
        <v>118.938</v>
      </c>
      <c r="E679">
        <f t="shared" si="60"/>
        <v>3703.3380000000002</v>
      </c>
      <c r="F679">
        <v>3436.607</v>
      </c>
      <c r="G679">
        <f t="shared" si="61"/>
        <v>266.73100000000022</v>
      </c>
      <c r="H679">
        <f t="shared" si="65"/>
        <v>61191.138000000014</v>
      </c>
      <c r="I679">
        <f t="shared" si="62"/>
        <v>61457.869000000013</v>
      </c>
      <c r="J679">
        <f t="shared" si="63"/>
        <v>0</v>
      </c>
      <c r="K679">
        <f t="shared" si="64"/>
        <v>61457.869000000013</v>
      </c>
    </row>
    <row r="680" spans="1:11" x14ac:dyDescent="0.25">
      <c r="A680" s="1">
        <v>45411</v>
      </c>
      <c r="B680">
        <v>7</v>
      </c>
      <c r="C680">
        <v>3275.375</v>
      </c>
      <c r="D680">
        <v>937.13800000000003</v>
      </c>
      <c r="E680">
        <f t="shared" si="60"/>
        <v>4212.5129999999999</v>
      </c>
      <c r="F680">
        <v>4681.4660000000003</v>
      </c>
      <c r="G680">
        <f t="shared" si="61"/>
        <v>-468.95300000000043</v>
      </c>
      <c r="H680">
        <f t="shared" si="65"/>
        <v>61457.869000000013</v>
      </c>
      <c r="I680">
        <f t="shared" si="62"/>
        <v>60988.916000000012</v>
      </c>
      <c r="J680">
        <f t="shared" si="63"/>
        <v>0</v>
      </c>
      <c r="K680">
        <f t="shared" si="64"/>
        <v>60988.916000000012</v>
      </c>
    </row>
    <row r="681" spans="1:11" x14ac:dyDescent="0.25">
      <c r="A681" s="1">
        <v>45411</v>
      </c>
      <c r="B681">
        <v>8</v>
      </c>
      <c r="C681">
        <v>2384.5880000000002</v>
      </c>
      <c r="D681">
        <v>2822.6379999999999</v>
      </c>
      <c r="E681">
        <f t="shared" si="60"/>
        <v>5207.2260000000006</v>
      </c>
      <c r="F681">
        <v>6924.5870000000004</v>
      </c>
      <c r="G681">
        <f t="shared" si="61"/>
        <v>-1717.3609999999999</v>
      </c>
      <c r="H681">
        <f t="shared" si="65"/>
        <v>60988.916000000012</v>
      </c>
      <c r="I681">
        <f t="shared" si="62"/>
        <v>59271.555000000015</v>
      </c>
      <c r="J681">
        <f t="shared" si="63"/>
        <v>0</v>
      </c>
      <c r="K681">
        <f t="shared" si="64"/>
        <v>59271.555000000015</v>
      </c>
    </row>
    <row r="682" spans="1:11" x14ac:dyDescent="0.25">
      <c r="A682" s="1">
        <v>45411</v>
      </c>
      <c r="B682">
        <v>9</v>
      </c>
      <c r="C682">
        <v>1347.375</v>
      </c>
      <c r="D682">
        <v>5446.0379999999996</v>
      </c>
      <c r="E682">
        <f t="shared" si="60"/>
        <v>6793.4129999999996</v>
      </c>
      <c r="F682">
        <v>7755.5320000000002</v>
      </c>
      <c r="G682">
        <f t="shared" si="61"/>
        <v>-962.1190000000006</v>
      </c>
      <c r="H682">
        <f t="shared" si="65"/>
        <v>59271.555000000015</v>
      </c>
      <c r="I682">
        <f t="shared" si="62"/>
        <v>58309.436000000016</v>
      </c>
      <c r="J682">
        <f t="shared" si="63"/>
        <v>0</v>
      </c>
      <c r="K682">
        <f t="shared" si="64"/>
        <v>58309.436000000016</v>
      </c>
    </row>
    <row r="683" spans="1:11" x14ac:dyDescent="0.25">
      <c r="A683" s="1">
        <v>45411</v>
      </c>
      <c r="B683">
        <v>10</v>
      </c>
      <c r="C683">
        <v>1094.95</v>
      </c>
      <c r="D683">
        <v>7641.9750000000004</v>
      </c>
      <c r="E683">
        <f t="shared" si="60"/>
        <v>8736.9250000000011</v>
      </c>
      <c r="F683">
        <v>8656.0990000000002</v>
      </c>
      <c r="G683">
        <f t="shared" si="61"/>
        <v>80.826000000000931</v>
      </c>
      <c r="H683">
        <f t="shared" si="65"/>
        <v>58309.436000000016</v>
      </c>
      <c r="I683">
        <f t="shared" si="62"/>
        <v>58390.262000000017</v>
      </c>
      <c r="J683">
        <f t="shared" si="63"/>
        <v>0</v>
      </c>
      <c r="K683">
        <f t="shared" si="64"/>
        <v>58390.262000000017</v>
      </c>
    </row>
    <row r="684" spans="1:11" x14ac:dyDescent="0.25">
      <c r="A684" s="1">
        <v>45411</v>
      </c>
      <c r="B684">
        <v>11</v>
      </c>
      <c r="C684">
        <v>1180.338</v>
      </c>
      <c r="D684">
        <v>9545.7630000000008</v>
      </c>
      <c r="E684">
        <f t="shared" si="60"/>
        <v>10726.101000000001</v>
      </c>
      <c r="F684">
        <v>8631.7790000000005</v>
      </c>
      <c r="G684">
        <f t="shared" si="61"/>
        <v>2094.3220000000001</v>
      </c>
      <c r="H684">
        <f t="shared" si="65"/>
        <v>58390.262000000017</v>
      </c>
      <c r="I684">
        <f t="shared" si="62"/>
        <v>60484.584000000017</v>
      </c>
      <c r="J684">
        <f t="shared" si="63"/>
        <v>0</v>
      </c>
      <c r="K684">
        <f t="shared" si="64"/>
        <v>60484.584000000017</v>
      </c>
    </row>
    <row r="685" spans="1:11" x14ac:dyDescent="0.25">
      <c r="A685" s="1">
        <v>45411</v>
      </c>
      <c r="B685">
        <v>12</v>
      </c>
      <c r="C685">
        <v>1330.15</v>
      </c>
      <c r="D685">
        <v>9180.5380000000005</v>
      </c>
      <c r="E685">
        <f t="shared" si="60"/>
        <v>10510.688</v>
      </c>
      <c r="F685">
        <v>8775.2240000000002</v>
      </c>
      <c r="G685">
        <f t="shared" si="61"/>
        <v>1735.4639999999999</v>
      </c>
      <c r="H685">
        <f t="shared" si="65"/>
        <v>60484.584000000017</v>
      </c>
      <c r="I685">
        <f t="shared" si="62"/>
        <v>62220.048000000017</v>
      </c>
      <c r="J685">
        <f t="shared" si="63"/>
        <v>0</v>
      </c>
      <c r="K685">
        <f t="shared" si="64"/>
        <v>62220.048000000017</v>
      </c>
    </row>
    <row r="686" spans="1:11" x14ac:dyDescent="0.25">
      <c r="A686" s="1">
        <v>45411</v>
      </c>
      <c r="B686">
        <v>13</v>
      </c>
      <c r="C686">
        <v>1515.0250000000001</v>
      </c>
      <c r="D686">
        <v>8799.4500000000007</v>
      </c>
      <c r="E686">
        <f t="shared" si="60"/>
        <v>10314.475</v>
      </c>
      <c r="F686">
        <v>9141.973</v>
      </c>
      <c r="G686">
        <f t="shared" si="61"/>
        <v>1172.5020000000004</v>
      </c>
      <c r="H686">
        <f t="shared" si="65"/>
        <v>62220.048000000017</v>
      </c>
      <c r="I686">
        <f t="shared" si="62"/>
        <v>63392.550000000017</v>
      </c>
      <c r="J686">
        <f t="shared" si="63"/>
        <v>0</v>
      </c>
      <c r="K686">
        <f t="shared" si="64"/>
        <v>63392.550000000017</v>
      </c>
    </row>
    <row r="687" spans="1:11" x14ac:dyDescent="0.25">
      <c r="A687" s="1">
        <v>45411</v>
      </c>
      <c r="B687">
        <v>14</v>
      </c>
      <c r="C687">
        <v>1608.875</v>
      </c>
      <c r="D687">
        <v>8568.4750000000004</v>
      </c>
      <c r="E687">
        <f t="shared" si="60"/>
        <v>10177.35</v>
      </c>
      <c r="F687">
        <v>8636.7800000000007</v>
      </c>
      <c r="G687">
        <f t="shared" si="61"/>
        <v>1540.5699999999997</v>
      </c>
      <c r="H687">
        <f t="shared" si="65"/>
        <v>63392.550000000017</v>
      </c>
      <c r="I687">
        <f t="shared" si="62"/>
        <v>64933.120000000017</v>
      </c>
      <c r="J687">
        <f t="shared" si="63"/>
        <v>0</v>
      </c>
      <c r="K687">
        <f t="shared" si="64"/>
        <v>64933.120000000017</v>
      </c>
    </row>
    <row r="688" spans="1:11" x14ac:dyDescent="0.25">
      <c r="A688" s="1">
        <v>45411</v>
      </c>
      <c r="B688">
        <v>15</v>
      </c>
      <c r="C688">
        <v>1706.5</v>
      </c>
      <c r="D688">
        <v>7865.4380000000001</v>
      </c>
      <c r="E688">
        <f t="shared" si="60"/>
        <v>9571.9380000000001</v>
      </c>
      <c r="F688">
        <v>8903.6669999999995</v>
      </c>
      <c r="G688">
        <f t="shared" si="61"/>
        <v>668.27100000000064</v>
      </c>
      <c r="H688">
        <f t="shared" si="65"/>
        <v>64933.120000000017</v>
      </c>
      <c r="I688">
        <f t="shared" si="62"/>
        <v>65601.391000000018</v>
      </c>
      <c r="J688">
        <f t="shared" si="63"/>
        <v>0</v>
      </c>
      <c r="K688">
        <f t="shared" si="64"/>
        <v>65601.391000000018</v>
      </c>
    </row>
    <row r="689" spans="1:11" x14ac:dyDescent="0.25">
      <c r="A689" s="1">
        <v>45411</v>
      </c>
      <c r="B689">
        <v>16</v>
      </c>
      <c r="C689">
        <v>1699.413</v>
      </c>
      <c r="D689">
        <v>7673.0379999999996</v>
      </c>
      <c r="E689">
        <f t="shared" si="60"/>
        <v>9372.4509999999991</v>
      </c>
      <c r="F689">
        <v>8967.0879999999997</v>
      </c>
      <c r="G689">
        <f t="shared" si="61"/>
        <v>405.36299999999937</v>
      </c>
      <c r="H689">
        <f t="shared" si="65"/>
        <v>65601.391000000018</v>
      </c>
      <c r="I689">
        <f t="shared" si="62"/>
        <v>66006.754000000015</v>
      </c>
      <c r="J689">
        <f t="shared" si="63"/>
        <v>0</v>
      </c>
      <c r="K689">
        <f t="shared" si="64"/>
        <v>66006.754000000015</v>
      </c>
    </row>
    <row r="690" spans="1:11" x14ac:dyDescent="0.25">
      <c r="A690" s="1">
        <v>45411</v>
      </c>
      <c r="B690">
        <v>17</v>
      </c>
      <c r="C690">
        <v>1678.7629999999999</v>
      </c>
      <c r="D690">
        <v>6558.375</v>
      </c>
      <c r="E690">
        <f t="shared" si="60"/>
        <v>8237.137999999999</v>
      </c>
      <c r="F690">
        <v>8652.7890000000007</v>
      </c>
      <c r="G690">
        <f t="shared" si="61"/>
        <v>-415.65100000000166</v>
      </c>
      <c r="H690">
        <f t="shared" si="65"/>
        <v>66006.754000000015</v>
      </c>
      <c r="I690">
        <f t="shared" si="62"/>
        <v>65591.103000000017</v>
      </c>
      <c r="J690">
        <f t="shared" si="63"/>
        <v>0</v>
      </c>
      <c r="K690">
        <f t="shared" si="64"/>
        <v>65591.103000000017</v>
      </c>
    </row>
    <row r="691" spans="1:11" x14ac:dyDescent="0.25">
      <c r="A691" s="1">
        <v>45411</v>
      </c>
      <c r="B691">
        <v>18</v>
      </c>
      <c r="C691">
        <v>1672.45</v>
      </c>
      <c r="D691">
        <v>4528.4629999999997</v>
      </c>
      <c r="E691">
        <f t="shared" si="60"/>
        <v>6200.9129999999996</v>
      </c>
      <c r="F691">
        <v>7944.7539999999999</v>
      </c>
      <c r="G691">
        <f t="shared" si="61"/>
        <v>-1743.8410000000003</v>
      </c>
      <c r="H691">
        <f t="shared" si="65"/>
        <v>65591.103000000017</v>
      </c>
      <c r="I691">
        <f t="shared" si="62"/>
        <v>63847.262000000017</v>
      </c>
      <c r="J691">
        <f t="shared" si="63"/>
        <v>0</v>
      </c>
      <c r="K691">
        <f t="shared" si="64"/>
        <v>63847.262000000017</v>
      </c>
    </row>
    <row r="692" spans="1:11" x14ac:dyDescent="0.25">
      <c r="A692" s="1">
        <v>45411</v>
      </c>
      <c r="B692">
        <v>19</v>
      </c>
      <c r="C692">
        <v>1669.963</v>
      </c>
      <c r="D692">
        <v>2260.35</v>
      </c>
      <c r="E692">
        <f t="shared" si="60"/>
        <v>3930.3130000000001</v>
      </c>
      <c r="F692">
        <v>7099.7380000000003</v>
      </c>
      <c r="G692">
        <f t="shared" si="61"/>
        <v>-3169.4250000000002</v>
      </c>
      <c r="H692">
        <f t="shared" si="65"/>
        <v>63847.262000000017</v>
      </c>
      <c r="I692">
        <f t="shared" si="62"/>
        <v>60677.837000000014</v>
      </c>
      <c r="J692">
        <f t="shared" si="63"/>
        <v>0</v>
      </c>
      <c r="K692">
        <f t="shared" si="64"/>
        <v>60677.837000000014</v>
      </c>
    </row>
    <row r="693" spans="1:11" x14ac:dyDescent="0.25">
      <c r="A693" s="1">
        <v>45411</v>
      </c>
      <c r="B693">
        <v>20</v>
      </c>
      <c r="C693">
        <v>1912.2</v>
      </c>
      <c r="D693">
        <v>688.36300000000006</v>
      </c>
      <c r="E693">
        <f t="shared" si="60"/>
        <v>2600.5630000000001</v>
      </c>
      <c r="F693">
        <v>6907.5280000000002</v>
      </c>
      <c r="G693">
        <f t="shared" si="61"/>
        <v>-4306.9650000000001</v>
      </c>
      <c r="H693">
        <f t="shared" si="65"/>
        <v>60677.837000000014</v>
      </c>
      <c r="I693">
        <f t="shared" si="62"/>
        <v>56370.872000000018</v>
      </c>
      <c r="J693">
        <f t="shared" si="63"/>
        <v>0</v>
      </c>
      <c r="K693">
        <f t="shared" si="64"/>
        <v>56370.872000000018</v>
      </c>
    </row>
    <row r="694" spans="1:11" x14ac:dyDescent="0.25">
      <c r="A694" s="1">
        <v>45411</v>
      </c>
      <c r="B694">
        <v>21</v>
      </c>
      <c r="C694">
        <v>2709.538</v>
      </c>
      <c r="D694">
        <v>64.45</v>
      </c>
      <c r="E694">
        <f t="shared" si="60"/>
        <v>2773.9879999999998</v>
      </c>
      <c r="F694">
        <v>5367.2889999999998</v>
      </c>
      <c r="G694">
        <f t="shared" si="61"/>
        <v>-2593.3009999999999</v>
      </c>
      <c r="H694">
        <f t="shared" si="65"/>
        <v>56370.872000000018</v>
      </c>
      <c r="I694">
        <f t="shared" si="62"/>
        <v>53777.571000000018</v>
      </c>
      <c r="J694">
        <f t="shared" si="63"/>
        <v>0</v>
      </c>
      <c r="K694">
        <f t="shared" si="64"/>
        <v>53777.571000000018</v>
      </c>
    </row>
    <row r="695" spans="1:11" x14ac:dyDescent="0.25">
      <c r="A695" s="1">
        <v>45411</v>
      </c>
      <c r="B695">
        <v>22</v>
      </c>
      <c r="C695">
        <v>3575.3130000000001</v>
      </c>
      <c r="D695">
        <v>0</v>
      </c>
      <c r="E695">
        <f t="shared" si="60"/>
        <v>3575.3130000000001</v>
      </c>
      <c r="F695">
        <v>5180.6610000000001</v>
      </c>
      <c r="G695">
        <f t="shared" si="61"/>
        <v>-1605.348</v>
      </c>
      <c r="H695">
        <f t="shared" si="65"/>
        <v>53777.571000000018</v>
      </c>
      <c r="I695">
        <f t="shared" si="62"/>
        <v>52172.22300000002</v>
      </c>
      <c r="J695">
        <f t="shared" si="63"/>
        <v>0</v>
      </c>
      <c r="K695">
        <f t="shared" si="64"/>
        <v>52172.22300000002</v>
      </c>
    </row>
    <row r="696" spans="1:11" x14ac:dyDescent="0.25">
      <c r="A696" s="1">
        <v>45411</v>
      </c>
      <c r="B696">
        <v>23</v>
      </c>
      <c r="C696">
        <v>4097.6750000000002</v>
      </c>
      <c r="D696">
        <v>0</v>
      </c>
      <c r="E696">
        <f t="shared" si="60"/>
        <v>4097.6750000000002</v>
      </c>
      <c r="F696">
        <v>3209.4879999999998</v>
      </c>
      <c r="G696">
        <f t="shared" si="61"/>
        <v>888.18700000000035</v>
      </c>
      <c r="H696">
        <f t="shared" si="65"/>
        <v>52172.22300000002</v>
      </c>
      <c r="I696">
        <f t="shared" si="62"/>
        <v>53060.410000000018</v>
      </c>
      <c r="J696">
        <f t="shared" si="63"/>
        <v>0</v>
      </c>
      <c r="K696">
        <f t="shared" si="64"/>
        <v>53060.410000000018</v>
      </c>
    </row>
    <row r="697" spans="1:11" x14ac:dyDescent="0.25">
      <c r="A697" s="1">
        <v>45411</v>
      </c>
      <c r="B697">
        <v>24</v>
      </c>
      <c r="C697">
        <v>4326.8379999999997</v>
      </c>
      <c r="D697">
        <v>0</v>
      </c>
      <c r="E697">
        <f t="shared" si="60"/>
        <v>4326.8379999999997</v>
      </c>
      <c r="F697">
        <v>1884.386</v>
      </c>
      <c r="G697">
        <f t="shared" si="61"/>
        <v>2442.4519999999998</v>
      </c>
      <c r="H697">
        <f t="shared" si="65"/>
        <v>53060.410000000018</v>
      </c>
      <c r="I697">
        <f t="shared" si="62"/>
        <v>55502.862000000016</v>
      </c>
      <c r="J697">
        <f t="shared" si="63"/>
        <v>0</v>
      </c>
      <c r="K697">
        <f t="shared" si="64"/>
        <v>55502.862000000016</v>
      </c>
    </row>
    <row r="698" spans="1:11" x14ac:dyDescent="0.25">
      <c r="A698" s="1">
        <v>45412</v>
      </c>
      <c r="B698">
        <v>1</v>
      </c>
      <c r="C698">
        <v>4272.6629999999996</v>
      </c>
      <c r="D698">
        <v>0</v>
      </c>
      <c r="E698">
        <f t="shared" si="60"/>
        <v>4272.6629999999996</v>
      </c>
      <c r="F698">
        <v>1721.0340000000001</v>
      </c>
      <c r="G698">
        <f t="shared" si="61"/>
        <v>2551.6289999999995</v>
      </c>
      <c r="H698">
        <f t="shared" si="65"/>
        <v>55502.862000000016</v>
      </c>
      <c r="I698">
        <f t="shared" si="62"/>
        <v>58054.491000000016</v>
      </c>
      <c r="J698">
        <f t="shared" si="63"/>
        <v>0</v>
      </c>
      <c r="K698">
        <f t="shared" si="64"/>
        <v>58054.491000000016</v>
      </c>
    </row>
    <row r="699" spans="1:11" x14ac:dyDescent="0.25">
      <c r="A699" s="1">
        <v>45412</v>
      </c>
      <c r="B699">
        <v>2</v>
      </c>
      <c r="C699">
        <v>4037</v>
      </c>
      <c r="D699">
        <v>0</v>
      </c>
      <c r="E699">
        <f t="shared" si="60"/>
        <v>4037</v>
      </c>
      <c r="F699">
        <v>1475.539</v>
      </c>
      <c r="G699">
        <f t="shared" si="61"/>
        <v>2561.4610000000002</v>
      </c>
      <c r="H699">
        <f t="shared" si="65"/>
        <v>58054.491000000016</v>
      </c>
      <c r="I699">
        <f t="shared" si="62"/>
        <v>60615.952000000019</v>
      </c>
      <c r="J699">
        <f t="shared" si="63"/>
        <v>0</v>
      </c>
      <c r="K699">
        <f t="shared" si="64"/>
        <v>60615.952000000019</v>
      </c>
    </row>
    <row r="700" spans="1:11" x14ac:dyDescent="0.25">
      <c r="A700" s="1">
        <v>45412</v>
      </c>
      <c r="B700">
        <v>3</v>
      </c>
      <c r="C700">
        <v>3760.9380000000001</v>
      </c>
      <c r="D700">
        <v>0</v>
      </c>
      <c r="E700">
        <f t="shared" si="60"/>
        <v>3760.9380000000001</v>
      </c>
      <c r="F700">
        <v>1380.0509999999999</v>
      </c>
      <c r="G700">
        <f t="shared" si="61"/>
        <v>2380.8870000000002</v>
      </c>
      <c r="H700">
        <f t="shared" si="65"/>
        <v>60615.952000000019</v>
      </c>
      <c r="I700">
        <f t="shared" si="62"/>
        <v>62996.839000000022</v>
      </c>
      <c r="J700">
        <f t="shared" si="63"/>
        <v>0</v>
      </c>
      <c r="K700">
        <f t="shared" si="64"/>
        <v>62996.839000000022</v>
      </c>
    </row>
    <row r="701" spans="1:11" x14ac:dyDescent="0.25">
      <c r="A701" s="1">
        <v>45412</v>
      </c>
      <c r="B701">
        <v>4</v>
      </c>
      <c r="C701">
        <v>3717.3130000000001</v>
      </c>
      <c r="D701">
        <v>0</v>
      </c>
      <c r="E701">
        <f t="shared" si="60"/>
        <v>3717.3130000000001</v>
      </c>
      <c r="F701">
        <v>1382.8789999999999</v>
      </c>
      <c r="G701">
        <f t="shared" si="61"/>
        <v>2334.4340000000002</v>
      </c>
      <c r="H701">
        <f t="shared" si="65"/>
        <v>62996.839000000022</v>
      </c>
      <c r="I701">
        <f t="shared" si="62"/>
        <v>65331.273000000023</v>
      </c>
      <c r="J701">
        <f t="shared" si="63"/>
        <v>0</v>
      </c>
      <c r="K701">
        <f t="shared" si="64"/>
        <v>65331.273000000023</v>
      </c>
    </row>
    <row r="702" spans="1:11" x14ac:dyDescent="0.25">
      <c r="A702" s="1">
        <v>45412</v>
      </c>
      <c r="B702">
        <v>5</v>
      </c>
      <c r="C702">
        <v>3945.7379999999998</v>
      </c>
      <c r="D702">
        <v>0.48799999999999999</v>
      </c>
      <c r="E702">
        <f t="shared" si="60"/>
        <v>3946.2259999999997</v>
      </c>
      <c r="F702">
        <v>2073.1280000000002</v>
      </c>
      <c r="G702">
        <f t="shared" si="61"/>
        <v>1873.0979999999995</v>
      </c>
      <c r="H702">
        <f t="shared" si="65"/>
        <v>65331.273000000023</v>
      </c>
      <c r="I702">
        <f t="shared" si="62"/>
        <v>67204.371000000028</v>
      </c>
      <c r="J702">
        <f t="shared" si="63"/>
        <v>0</v>
      </c>
      <c r="K702">
        <f t="shared" si="64"/>
        <v>67204.371000000028</v>
      </c>
    </row>
    <row r="703" spans="1:11" x14ac:dyDescent="0.25">
      <c r="A703" s="1">
        <v>45412</v>
      </c>
      <c r="B703">
        <v>6</v>
      </c>
      <c r="C703">
        <v>4228.6000000000004</v>
      </c>
      <c r="D703">
        <v>126.438</v>
      </c>
      <c r="E703">
        <f t="shared" si="60"/>
        <v>4355.0380000000005</v>
      </c>
      <c r="F703">
        <v>3433.17</v>
      </c>
      <c r="G703">
        <f t="shared" si="61"/>
        <v>921.86800000000039</v>
      </c>
      <c r="H703">
        <f t="shared" si="65"/>
        <v>67204.371000000028</v>
      </c>
      <c r="I703">
        <f t="shared" si="62"/>
        <v>68126.239000000031</v>
      </c>
      <c r="J703">
        <f t="shared" si="63"/>
        <v>0</v>
      </c>
      <c r="K703">
        <f t="shared" si="64"/>
        <v>68126.239000000031</v>
      </c>
    </row>
    <row r="704" spans="1:11" x14ac:dyDescent="0.25">
      <c r="A704" s="1">
        <v>45412</v>
      </c>
      <c r="B704">
        <v>7</v>
      </c>
      <c r="C704">
        <v>4063.1129999999998</v>
      </c>
      <c r="D704">
        <v>1112.8499999999999</v>
      </c>
      <c r="E704">
        <f t="shared" si="60"/>
        <v>5175.9629999999997</v>
      </c>
      <c r="F704">
        <v>4676.7849999999999</v>
      </c>
      <c r="G704">
        <f t="shared" si="61"/>
        <v>499.17799999999988</v>
      </c>
      <c r="H704">
        <f t="shared" si="65"/>
        <v>68126.239000000031</v>
      </c>
      <c r="I704">
        <f t="shared" si="62"/>
        <v>68625.41700000003</v>
      </c>
      <c r="J704">
        <f t="shared" si="63"/>
        <v>0</v>
      </c>
      <c r="K704">
        <f t="shared" si="64"/>
        <v>68625.41700000003</v>
      </c>
    </row>
    <row r="705" spans="1:11" x14ac:dyDescent="0.25">
      <c r="A705" s="1">
        <v>45412</v>
      </c>
      <c r="B705">
        <v>8</v>
      </c>
      <c r="C705">
        <v>3116.538</v>
      </c>
      <c r="D705">
        <v>3288.9</v>
      </c>
      <c r="E705">
        <f t="shared" si="60"/>
        <v>6405.4380000000001</v>
      </c>
      <c r="F705">
        <v>7287.8509999999997</v>
      </c>
      <c r="G705">
        <f t="shared" si="61"/>
        <v>-882.41299999999956</v>
      </c>
      <c r="H705">
        <f t="shared" si="65"/>
        <v>68625.41700000003</v>
      </c>
      <c r="I705">
        <f t="shared" si="62"/>
        <v>67743.00400000003</v>
      </c>
      <c r="J705">
        <f t="shared" si="63"/>
        <v>0</v>
      </c>
      <c r="K705">
        <f t="shared" si="64"/>
        <v>67743.00400000003</v>
      </c>
    </row>
    <row r="706" spans="1:11" x14ac:dyDescent="0.25">
      <c r="A706" s="1">
        <v>45412</v>
      </c>
      <c r="B706">
        <v>9</v>
      </c>
      <c r="C706">
        <v>1871.9</v>
      </c>
      <c r="D706">
        <v>6150.0630000000001</v>
      </c>
      <c r="E706">
        <f t="shared" si="60"/>
        <v>8021.9629999999997</v>
      </c>
      <c r="F706">
        <v>7747.777</v>
      </c>
      <c r="G706">
        <f t="shared" si="61"/>
        <v>274.18599999999969</v>
      </c>
      <c r="H706">
        <f t="shared" si="65"/>
        <v>67743.00400000003</v>
      </c>
      <c r="I706">
        <f t="shared" si="62"/>
        <v>68017.190000000031</v>
      </c>
      <c r="J706">
        <f t="shared" si="63"/>
        <v>0</v>
      </c>
      <c r="K706">
        <f t="shared" si="64"/>
        <v>68017.190000000031</v>
      </c>
    </row>
    <row r="707" spans="1:11" x14ac:dyDescent="0.25">
      <c r="A707" s="1">
        <v>45412</v>
      </c>
      <c r="B707">
        <v>10</v>
      </c>
      <c r="C707">
        <v>1349.9380000000001</v>
      </c>
      <c r="D707">
        <v>8576.3130000000001</v>
      </c>
      <c r="E707">
        <f t="shared" ref="E707:E721" si="66">C707+D707</f>
        <v>9926.2510000000002</v>
      </c>
      <c r="F707">
        <v>8647.4429999999993</v>
      </c>
      <c r="G707">
        <f t="shared" ref="G707:G721" si="67">E707-F707</f>
        <v>1278.8080000000009</v>
      </c>
      <c r="H707">
        <f t="shared" si="65"/>
        <v>68017.190000000031</v>
      </c>
      <c r="I707">
        <f t="shared" ref="I707:I721" si="68">IF(H707+G707&gt;200000,200000,H707+G707)</f>
        <v>69295.998000000036</v>
      </c>
      <c r="J707">
        <f t="shared" ref="J707:J721" si="69">IF(I707&lt;0,1,0)</f>
        <v>0</v>
      </c>
      <c r="K707">
        <f t="shared" ref="K707:K721" si="70">IF(J707=1,0,I707)</f>
        <v>69295.998000000036</v>
      </c>
    </row>
    <row r="708" spans="1:11" x14ac:dyDescent="0.25">
      <c r="A708" s="1">
        <v>45412</v>
      </c>
      <c r="B708">
        <v>11</v>
      </c>
      <c r="C708">
        <v>1425.5</v>
      </c>
      <c r="D708">
        <v>9089.5130000000008</v>
      </c>
      <c r="E708">
        <f t="shared" si="66"/>
        <v>10515.013000000001</v>
      </c>
      <c r="F708">
        <v>8623.1470000000008</v>
      </c>
      <c r="G708">
        <f t="shared" si="67"/>
        <v>1891.866</v>
      </c>
      <c r="H708">
        <f t="shared" ref="H708:H721" si="71">K707</f>
        <v>69295.998000000036</v>
      </c>
      <c r="I708">
        <f t="shared" si="68"/>
        <v>71187.864000000031</v>
      </c>
      <c r="J708">
        <f t="shared" si="69"/>
        <v>0</v>
      </c>
      <c r="K708">
        <f t="shared" si="70"/>
        <v>71187.864000000031</v>
      </c>
    </row>
    <row r="709" spans="1:11" x14ac:dyDescent="0.25">
      <c r="A709" s="1">
        <v>45412</v>
      </c>
      <c r="B709">
        <v>12</v>
      </c>
      <c r="C709">
        <v>1697.8630000000001</v>
      </c>
      <c r="D709">
        <v>8942.65</v>
      </c>
      <c r="E709">
        <f t="shared" si="66"/>
        <v>10640.512999999999</v>
      </c>
      <c r="F709">
        <v>8766.4490000000005</v>
      </c>
      <c r="G709">
        <f t="shared" si="67"/>
        <v>1874.0639999999985</v>
      </c>
      <c r="H709">
        <f t="shared" si="71"/>
        <v>71187.864000000031</v>
      </c>
      <c r="I709">
        <f t="shared" si="68"/>
        <v>73061.928000000029</v>
      </c>
      <c r="J709">
        <f t="shared" si="69"/>
        <v>0</v>
      </c>
      <c r="K709">
        <f t="shared" si="70"/>
        <v>73061.928000000029</v>
      </c>
    </row>
    <row r="710" spans="1:11" x14ac:dyDescent="0.25">
      <c r="A710" s="1">
        <v>45412</v>
      </c>
      <c r="B710">
        <v>13</v>
      </c>
      <c r="C710">
        <v>1998.0630000000001</v>
      </c>
      <c r="D710">
        <v>9074.2630000000008</v>
      </c>
      <c r="E710">
        <f t="shared" si="66"/>
        <v>11072.326000000001</v>
      </c>
      <c r="F710">
        <v>9132.8310000000001</v>
      </c>
      <c r="G710">
        <f t="shared" si="67"/>
        <v>1939.4950000000008</v>
      </c>
      <c r="H710">
        <f t="shared" si="71"/>
        <v>73061.928000000029</v>
      </c>
      <c r="I710">
        <f t="shared" si="68"/>
        <v>75001.423000000024</v>
      </c>
      <c r="J710">
        <f t="shared" si="69"/>
        <v>0</v>
      </c>
      <c r="K710">
        <f t="shared" si="70"/>
        <v>75001.423000000024</v>
      </c>
    </row>
    <row r="711" spans="1:11" x14ac:dyDescent="0.25">
      <c r="A711" s="1">
        <v>45412</v>
      </c>
      <c r="B711">
        <v>14</v>
      </c>
      <c r="C711">
        <v>2532.5500000000002</v>
      </c>
      <c r="D711">
        <v>9028.4380000000001</v>
      </c>
      <c r="E711">
        <f t="shared" si="66"/>
        <v>11560.988000000001</v>
      </c>
      <c r="F711">
        <v>8628.143</v>
      </c>
      <c r="G711">
        <f t="shared" si="67"/>
        <v>2932.8450000000012</v>
      </c>
      <c r="H711">
        <f t="shared" si="71"/>
        <v>75001.423000000024</v>
      </c>
      <c r="I711">
        <f t="shared" si="68"/>
        <v>77934.268000000025</v>
      </c>
      <c r="J711">
        <f t="shared" si="69"/>
        <v>0</v>
      </c>
      <c r="K711">
        <f t="shared" si="70"/>
        <v>77934.268000000025</v>
      </c>
    </row>
    <row r="712" spans="1:11" x14ac:dyDescent="0.25">
      <c r="A712" s="1">
        <v>45412</v>
      </c>
      <c r="B712">
        <v>15</v>
      </c>
      <c r="C712">
        <v>2994.6750000000002</v>
      </c>
      <c r="D712">
        <v>8596.2630000000008</v>
      </c>
      <c r="E712">
        <f t="shared" si="66"/>
        <v>11590.938000000002</v>
      </c>
      <c r="F712">
        <v>8894.7630000000008</v>
      </c>
      <c r="G712">
        <f t="shared" si="67"/>
        <v>2696.1750000000011</v>
      </c>
      <c r="H712">
        <f t="shared" si="71"/>
        <v>77934.268000000025</v>
      </c>
      <c r="I712">
        <f t="shared" si="68"/>
        <v>80630.443000000028</v>
      </c>
      <c r="J712">
        <f t="shared" si="69"/>
        <v>0</v>
      </c>
      <c r="K712">
        <f t="shared" si="70"/>
        <v>80630.443000000028</v>
      </c>
    </row>
    <row r="713" spans="1:11" x14ac:dyDescent="0.25">
      <c r="A713" s="1">
        <v>45412</v>
      </c>
      <c r="B713">
        <v>16</v>
      </c>
      <c r="C713">
        <v>3244.65</v>
      </c>
      <c r="D713">
        <v>7601.8379999999997</v>
      </c>
      <c r="E713">
        <f t="shared" si="66"/>
        <v>10846.487999999999</v>
      </c>
      <c r="F713">
        <v>8958.1209999999992</v>
      </c>
      <c r="G713">
        <f t="shared" si="67"/>
        <v>1888.3670000000002</v>
      </c>
      <c r="H713">
        <f t="shared" si="71"/>
        <v>80630.443000000028</v>
      </c>
      <c r="I713">
        <f t="shared" si="68"/>
        <v>82518.810000000027</v>
      </c>
      <c r="J713">
        <f t="shared" si="69"/>
        <v>0</v>
      </c>
      <c r="K713">
        <f t="shared" si="70"/>
        <v>82518.810000000027</v>
      </c>
    </row>
    <row r="714" spans="1:11" x14ac:dyDescent="0.25">
      <c r="A714" s="1">
        <v>45412</v>
      </c>
      <c r="B714">
        <v>17</v>
      </c>
      <c r="C714">
        <v>3232.6129999999998</v>
      </c>
      <c r="D714">
        <v>7113.8630000000003</v>
      </c>
      <c r="E714">
        <f t="shared" si="66"/>
        <v>10346.476000000001</v>
      </c>
      <c r="F714">
        <v>8644.1370000000006</v>
      </c>
      <c r="G714">
        <f t="shared" si="67"/>
        <v>1702.3389999999999</v>
      </c>
      <c r="H714">
        <f t="shared" si="71"/>
        <v>82518.810000000027</v>
      </c>
      <c r="I714">
        <f t="shared" si="68"/>
        <v>84221.149000000034</v>
      </c>
      <c r="J714">
        <f t="shared" si="69"/>
        <v>0</v>
      </c>
      <c r="K714">
        <f t="shared" si="70"/>
        <v>84221.149000000034</v>
      </c>
    </row>
    <row r="715" spans="1:11" x14ac:dyDescent="0.25">
      <c r="A715" s="1">
        <v>45412</v>
      </c>
      <c r="B715">
        <v>18</v>
      </c>
      <c r="C715">
        <v>3254.4749999999999</v>
      </c>
      <c r="D715">
        <v>5229.6379999999999</v>
      </c>
      <c r="E715">
        <f t="shared" si="66"/>
        <v>8484.1129999999994</v>
      </c>
      <c r="F715">
        <v>7936.8090000000002</v>
      </c>
      <c r="G715">
        <f t="shared" si="67"/>
        <v>547.30399999999918</v>
      </c>
      <c r="H715">
        <f t="shared" si="71"/>
        <v>84221.149000000034</v>
      </c>
      <c r="I715">
        <f t="shared" si="68"/>
        <v>84768.453000000038</v>
      </c>
      <c r="J715">
        <f t="shared" si="69"/>
        <v>0</v>
      </c>
      <c r="K715">
        <f t="shared" si="70"/>
        <v>84768.453000000038</v>
      </c>
    </row>
    <row r="716" spans="1:11" x14ac:dyDescent="0.25">
      <c r="A716" s="1">
        <v>45412</v>
      </c>
      <c r="B716">
        <v>19</v>
      </c>
      <c r="C716">
        <v>3098.8</v>
      </c>
      <c r="D716">
        <v>2741.8</v>
      </c>
      <c r="E716">
        <f t="shared" si="66"/>
        <v>5840.6</v>
      </c>
      <c r="F716">
        <v>7092.6379999999999</v>
      </c>
      <c r="G716">
        <f t="shared" si="67"/>
        <v>-1252.0379999999996</v>
      </c>
      <c r="H716">
        <f t="shared" si="71"/>
        <v>84768.453000000038</v>
      </c>
      <c r="I716">
        <f t="shared" si="68"/>
        <v>83516.415000000037</v>
      </c>
      <c r="J716">
        <f t="shared" si="69"/>
        <v>0</v>
      </c>
      <c r="K716">
        <f t="shared" si="70"/>
        <v>83516.415000000037</v>
      </c>
    </row>
    <row r="717" spans="1:11" x14ac:dyDescent="0.25">
      <c r="A717" s="1">
        <v>45412</v>
      </c>
      <c r="B717">
        <v>20</v>
      </c>
      <c r="C717">
        <v>3200.6129999999998</v>
      </c>
      <c r="D717">
        <v>806.36300000000006</v>
      </c>
      <c r="E717">
        <f t="shared" si="66"/>
        <v>4006.9759999999997</v>
      </c>
      <c r="F717">
        <v>6900.62</v>
      </c>
      <c r="G717">
        <f t="shared" si="67"/>
        <v>-2893.6440000000002</v>
      </c>
      <c r="H717">
        <f t="shared" si="71"/>
        <v>83516.415000000037</v>
      </c>
      <c r="I717">
        <f t="shared" si="68"/>
        <v>80622.771000000037</v>
      </c>
      <c r="J717">
        <f t="shared" si="69"/>
        <v>0</v>
      </c>
      <c r="K717">
        <f t="shared" si="70"/>
        <v>80622.771000000037</v>
      </c>
    </row>
    <row r="718" spans="1:11" x14ac:dyDescent="0.25">
      <c r="A718" s="1">
        <v>45412</v>
      </c>
      <c r="B718">
        <v>21</v>
      </c>
      <c r="C718">
        <v>4075.2629999999999</v>
      </c>
      <c r="D718">
        <v>65.525000000000006</v>
      </c>
      <c r="E718">
        <f t="shared" si="66"/>
        <v>4140.7879999999996</v>
      </c>
      <c r="F718">
        <v>5361.9219999999996</v>
      </c>
      <c r="G718">
        <f t="shared" si="67"/>
        <v>-1221.134</v>
      </c>
      <c r="H718">
        <f t="shared" si="71"/>
        <v>80622.771000000037</v>
      </c>
      <c r="I718">
        <f t="shared" si="68"/>
        <v>79401.637000000032</v>
      </c>
      <c r="J718">
        <f t="shared" si="69"/>
        <v>0</v>
      </c>
      <c r="K718">
        <f t="shared" si="70"/>
        <v>79401.637000000032</v>
      </c>
    </row>
    <row r="719" spans="1:11" x14ac:dyDescent="0.25">
      <c r="A719" s="1">
        <v>45412</v>
      </c>
      <c r="B719">
        <v>22</v>
      </c>
      <c r="C719">
        <v>5190.4250000000002</v>
      </c>
      <c r="D719">
        <v>0</v>
      </c>
      <c r="E719">
        <f t="shared" si="66"/>
        <v>5190.4250000000002</v>
      </c>
      <c r="F719">
        <v>5175.4799999999996</v>
      </c>
      <c r="G719">
        <f t="shared" si="67"/>
        <v>14.945000000000618</v>
      </c>
      <c r="H719">
        <f t="shared" si="71"/>
        <v>79401.637000000032</v>
      </c>
      <c r="I719">
        <f t="shared" si="68"/>
        <v>79416.582000000039</v>
      </c>
      <c r="J719">
        <f t="shared" si="69"/>
        <v>0</v>
      </c>
      <c r="K719">
        <f t="shared" si="70"/>
        <v>79416.582000000039</v>
      </c>
    </row>
    <row r="720" spans="1:11" x14ac:dyDescent="0.25">
      <c r="A720" s="1">
        <v>45412</v>
      </c>
      <c r="B720">
        <v>23</v>
      </c>
      <c r="C720">
        <v>5414.4750000000004</v>
      </c>
      <c r="D720">
        <v>0</v>
      </c>
      <c r="E720">
        <f t="shared" si="66"/>
        <v>5414.4750000000004</v>
      </c>
      <c r="F720">
        <v>3206.279</v>
      </c>
      <c r="G720">
        <f t="shared" si="67"/>
        <v>2208.1960000000004</v>
      </c>
      <c r="H720">
        <f t="shared" si="71"/>
        <v>79416.582000000039</v>
      </c>
      <c r="I720">
        <f t="shared" si="68"/>
        <v>81624.778000000035</v>
      </c>
      <c r="J720">
        <f t="shared" si="69"/>
        <v>0</v>
      </c>
      <c r="K720">
        <f t="shared" si="70"/>
        <v>81624.778000000035</v>
      </c>
    </row>
    <row r="721" spans="1:11" x14ac:dyDescent="0.25">
      <c r="A721" s="1">
        <v>45412</v>
      </c>
      <c r="B721">
        <v>24</v>
      </c>
      <c r="C721">
        <v>5379.9129999999996</v>
      </c>
      <c r="D721">
        <v>0</v>
      </c>
      <c r="E721">
        <f t="shared" si="66"/>
        <v>5379.9129999999996</v>
      </c>
      <c r="F721">
        <v>1882.502</v>
      </c>
      <c r="G721">
        <f t="shared" si="67"/>
        <v>3497.4109999999996</v>
      </c>
      <c r="H721">
        <f t="shared" si="71"/>
        <v>81624.778000000035</v>
      </c>
      <c r="I721">
        <f t="shared" si="68"/>
        <v>85122.189000000028</v>
      </c>
      <c r="J721">
        <f t="shared" si="69"/>
        <v>0</v>
      </c>
      <c r="K721">
        <f t="shared" si="70"/>
        <v>85122.189000000028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6</vt:i4>
      </vt:variant>
    </vt:vector>
  </HeadingPairs>
  <TitlesOfParts>
    <vt:vector size="11" baseType="lpstr">
      <vt:lpstr>dane</vt:lpstr>
      <vt:lpstr>7.1</vt:lpstr>
      <vt:lpstr>7.2</vt:lpstr>
      <vt:lpstr>7.3</vt:lpstr>
      <vt:lpstr>7.4</vt:lpstr>
      <vt:lpstr>'7.1'!energia</vt:lpstr>
      <vt:lpstr>'7.2'!energia</vt:lpstr>
      <vt:lpstr>'7.3'!energia</vt:lpstr>
      <vt:lpstr>dane!energia</vt:lpstr>
      <vt:lpstr>'7.4'!energia_1</vt:lpstr>
      <vt:lpstr>'7.4'!zapotrzebowanie_1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2026-05-12T18:25:57Z</dcterms:created>
  <dcterms:modified xsi:type="dcterms:W3CDTF">2026-05-12T18:58:07Z</dcterms:modified>
</cp:coreProperties>
</file>