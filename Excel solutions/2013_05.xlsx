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ocuments\Excel zadania matura\"/>
    </mc:Choice>
  </mc:AlternateContent>
  <xr:revisionPtr revIDLastSave="0" documentId="8_{52E815C9-D5AE-45EB-B0A7-9B6696F77857}" xr6:coauthVersionLast="47" xr6:coauthVersionMax="47" xr10:uidLastSave="{00000000-0000-0000-0000-000000000000}"/>
  <bookViews>
    <workbookView xWindow="-120" yWindow="-120" windowWidth="38640" windowHeight="21120" xr2:uid="{A47351E5-C586-4306-9E9D-CFFA0DB707A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H2" i="1" s="1"/>
  <c r="D3" i="1" s="1"/>
  <c r="E2" i="1"/>
  <c r="G2" i="1" s="1"/>
  <c r="K2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P3" i="1" s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P2" i="1" s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J2" i="1"/>
  <c r="I2" i="1"/>
  <c r="C3" i="1" l="1"/>
  <c r="F3" i="1" s="1"/>
  <c r="L3" i="1"/>
  <c r="H3" i="1" l="1"/>
  <c r="E3" i="1"/>
  <c r="G3" i="1" s="1"/>
  <c r="C4" i="1" s="1"/>
  <c r="E4" i="1" s="1"/>
  <c r="G4" i="1" s="1"/>
  <c r="C5" i="1" s="1"/>
  <c r="E5" i="1" s="1"/>
  <c r="G5" i="1" s="1"/>
  <c r="C6" i="1" s="1"/>
  <c r="K3" i="1"/>
  <c r="L4" i="1" l="1"/>
  <c r="K4" i="1"/>
  <c r="D4" i="1"/>
  <c r="F4" i="1" s="1"/>
  <c r="E6" i="1"/>
  <c r="G6" i="1" s="1"/>
  <c r="C7" i="1" s="1"/>
  <c r="K5" i="1"/>
  <c r="L5" i="1"/>
  <c r="H4" i="1" l="1"/>
  <c r="D5" i="1" s="1"/>
  <c r="F5" i="1" s="1"/>
  <c r="E7" i="1"/>
  <c r="G7" i="1" s="1"/>
  <c r="C8" i="1" s="1"/>
  <c r="K6" i="1"/>
  <c r="L6" i="1"/>
  <c r="H5" i="1" l="1"/>
  <c r="D6" i="1" s="1"/>
  <c r="F6" i="1" s="1"/>
  <c r="E8" i="1"/>
  <c r="G8" i="1" s="1"/>
  <c r="C9" i="1" s="1"/>
  <c r="K7" i="1"/>
  <c r="L7" i="1"/>
  <c r="H6" i="1" l="1"/>
  <c r="D7" i="1" s="1"/>
  <c r="E9" i="1"/>
  <c r="G9" i="1" s="1"/>
  <c r="C10" i="1" s="1"/>
  <c r="K8" i="1"/>
  <c r="L8" i="1"/>
  <c r="F7" i="1" l="1"/>
  <c r="H7" i="1" s="1"/>
  <c r="D8" i="1" s="1"/>
  <c r="E10" i="1"/>
  <c r="G10" i="1" s="1"/>
  <c r="C11" i="1" s="1"/>
  <c r="K9" i="1"/>
  <c r="L9" i="1"/>
  <c r="F8" i="1" l="1"/>
  <c r="H8" i="1" s="1"/>
  <c r="D9" i="1" s="1"/>
  <c r="E11" i="1"/>
  <c r="G11" i="1" s="1"/>
  <c r="C12" i="1" s="1"/>
  <c r="K10" i="1"/>
  <c r="L10" i="1"/>
  <c r="F9" i="1" l="1"/>
  <c r="H9" i="1" s="1"/>
  <c r="D10" i="1" s="1"/>
  <c r="F10" i="1" s="1"/>
  <c r="E12" i="1"/>
  <c r="G12" i="1" s="1"/>
  <c r="C13" i="1" s="1"/>
  <c r="K11" i="1"/>
  <c r="L11" i="1"/>
  <c r="E13" i="1" l="1"/>
  <c r="G13" i="1" s="1"/>
  <c r="C14" i="1" s="1"/>
  <c r="K12" i="1"/>
  <c r="L12" i="1"/>
  <c r="H10" i="1" l="1"/>
  <c r="E14" i="1"/>
  <c r="G14" i="1" s="1"/>
  <c r="C15" i="1" s="1"/>
  <c r="K13" i="1"/>
  <c r="L13" i="1"/>
  <c r="D11" i="1" l="1"/>
  <c r="E15" i="1"/>
  <c r="G15" i="1" s="1"/>
  <c r="C16" i="1" s="1"/>
  <c r="K14" i="1"/>
  <c r="L14" i="1"/>
  <c r="F11" i="1" l="1"/>
  <c r="H11" i="1" s="1"/>
  <c r="D12" i="1" s="1"/>
  <c r="E16" i="1"/>
  <c r="G16" i="1" s="1"/>
  <c r="C17" i="1" s="1"/>
  <c r="K15" i="1"/>
  <c r="L15" i="1"/>
  <c r="F12" i="1" l="1"/>
  <c r="H12" i="1" s="1"/>
  <c r="D13" i="1" s="1"/>
  <c r="F13" i="1" s="1"/>
  <c r="H13" i="1" s="1"/>
  <c r="E17" i="1"/>
  <c r="G17" i="1" s="1"/>
  <c r="C18" i="1" s="1"/>
  <c r="K16" i="1"/>
  <c r="L16" i="1"/>
  <c r="D14" i="1" l="1"/>
  <c r="E18" i="1"/>
  <c r="G18" i="1" s="1"/>
  <c r="C19" i="1" s="1"/>
  <c r="K17" i="1"/>
  <c r="L17" i="1"/>
  <c r="F14" i="1" l="1"/>
  <c r="H14" i="1" s="1"/>
  <c r="D15" i="1" s="1"/>
  <c r="F15" i="1" s="1"/>
  <c r="H15" i="1" s="1"/>
  <c r="E19" i="1"/>
  <c r="G19" i="1" s="1"/>
  <c r="C20" i="1" s="1"/>
  <c r="K18" i="1"/>
  <c r="L18" i="1"/>
  <c r="D16" i="1" l="1"/>
  <c r="E20" i="1"/>
  <c r="G20" i="1" s="1"/>
  <c r="C21" i="1" s="1"/>
  <c r="K19" i="1"/>
  <c r="L19" i="1"/>
  <c r="F16" i="1" l="1"/>
  <c r="H16" i="1" s="1"/>
  <c r="D17" i="1" s="1"/>
  <c r="E21" i="1"/>
  <c r="G21" i="1" s="1"/>
  <c r="C22" i="1" s="1"/>
  <c r="K20" i="1"/>
  <c r="L20" i="1"/>
  <c r="F17" i="1" l="1"/>
  <c r="H17" i="1" s="1"/>
  <c r="D18" i="1" s="1"/>
  <c r="E22" i="1"/>
  <c r="G22" i="1" s="1"/>
  <c r="C23" i="1" s="1"/>
  <c r="K21" i="1"/>
  <c r="L21" i="1"/>
  <c r="F18" i="1" l="1"/>
  <c r="H18" i="1" s="1"/>
  <c r="D19" i="1" s="1"/>
  <c r="F19" i="1" s="1"/>
  <c r="H19" i="1" s="1"/>
  <c r="E23" i="1"/>
  <c r="G23" i="1" s="1"/>
  <c r="C24" i="1" s="1"/>
  <c r="K22" i="1"/>
  <c r="L22" i="1"/>
  <c r="D20" i="1" l="1"/>
  <c r="E24" i="1"/>
  <c r="G24" i="1" s="1"/>
  <c r="C25" i="1" s="1"/>
  <c r="K23" i="1"/>
  <c r="L23" i="1"/>
  <c r="F20" i="1" l="1"/>
  <c r="H20" i="1" s="1"/>
  <c r="D21" i="1" s="1"/>
  <c r="F21" i="1" s="1"/>
  <c r="H21" i="1" s="1"/>
  <c r="E25" i="1"/>
  <c r="G25" i="1" s="1"/>
  <c r="C26" i="1" s="1"/>
  <c r="K24" i="1"/>
  <c r="L24" i="1"/>
  <c r="D22" i="1" l="1"/>
  <c r="E26" i="1"/>
  <c r="G26" i="1" s="1"/>
  <c r="C27" i="1" s="1"/>
  <c r="K25" i="1"/>
  <c r="L25" i="1"/>
  <c r="F22" i="1" l="1"/>
  <c r="H22" i="1" s="1"/>
  <c r="D23" i="1" s="1"/>
  <c r="E27" i="1"/>
  <c r="G27" i="1" s="1"/>
  <c r="C28" i="1" s="1"/>
  <c r="K26" i="1"/>
  <c r="L26" i="1"/>
  <c r="F23" i="1" l="1"/>
  <c r="H23" i="1" s="1"/>
  <c r="D24" i="1" s="1"/>
  <c r="F24" i="1" s="1"/>
  <c r="H24" i="1" s="1"/>
  <c r="E28" i="1"/>
  <c r="G28" i="1" s="1"/>
  <c r="C29" i="1" s="1"/>
  <c r="K27" i="1"/>
  <c r="L27" i="1"/>
  <c r="D25" i="1" l="1"/>
  <c r="E29" i="1"/>
  <c r="G29" i="1" s="1"/>
  <c r="C30" i="1" s="1"/>
  <c r="K28" i="1"/>
  <c r="L28" i="1"/>
  <c r="F25" i="1" l="1"/>
  <c r="H25" i="1" s="1"/>
  <c r="D26" i="1" s="1"/>
  <c r="E30" i="1"/>
  <c r="G30" i="1" s="1"/>
  <c r="C31" i="1" s="1"/>
  <c r="K29" i="1"/>
  <c r="L29" i="1"/>
  <c r="F26" i="1" l="1"/>
  <c r="H26" i="1" s="1"/>
  <c r="D27" i="1" s="1"/>
  <c r="E31" i="1"/>
  <c r="G31" i="1" s="1"/>
  <c r="C32" i="1" s="1"/>
  <c r="K30" i="1"/>
  <c r="L30" i="1"/>
  <c r="F27" i="1" l="1"/>
  <c r="H27" i="1" s="1"/>
  <c r="D28" i="1" s="1"/>
  <c r="E32" i="1"/>
  <c r="G32" i="1" s="1"/>
  <c r="C33" i="1" s="1"/>
  <c r="K31" i="1"/>
  <c r="L31" i="1"/>
  <c r="F28" i="1" l="1"/>
  <c r="H28" i="1" s="1"/>
  <c r="D29" i="1" s="1"/>
  <c r="E33" i="1"/>
  <c r="G33" i="1" s="1"/>
  <c r="C34" i="1" s="1"/>
  <c r="K32" i="1"/>
  <c r="L32" i="1"/>
  <c r="F29" i="1" l="1"/>
  <c r="H29" i="1" s="1"/>
  <c r="D30" i="1" s="1"/>
  <c r="F30" i="1" s="1"/>
  <c r="H30" i="1" s="1"/>
  <c r="E34" i="1"/>
  <c r="G34" i="1" s="1"/>
  <c r="C35" i="1" s="1"/>
  <c r="K33" i="1"/>
  <c r="L33" i="1"/>
  <c r="D31" i="1" l="1"/>
  <c r="E35" i="1"/>
  <c r="G35" i="1" s="1"/>
  <c r="C36" i="1" s="1"/>
  <c r="K34" i="1"/>
  <c r="L34" i="1"/>
  <c r="F31" i="1" l="1"/>
  <c r="H31" i="1" s="1"/>
  <c r="D32" i="1" s="1"/>
  <c r="F32" i="1" s="1"/>
  <c r="H32" i="1" s="1"/>
  <c r="E36" i="1"/>
  <c r="G36" i="1" s="1"/>
  <c r="C37" i="1" s="1"/>
  <c r="K35" i="1"/>
  <c r="L35" i="1"/>
  <c r="D33" i="1" l="1"/>
  <c r="E37" i="1"/>
  <c r="G37" i="1" s="1"/>
  <c r="C38" i="1" s="1"/>
  <c r="K36" i="1"/>
  <c r="L36" i="1"/>
  <c r="F33" i="1" l="1"/>
  <c r="H33" i="1" s="1"/>
  <c r="D34" i="1" s="1"/>
  <c r="F34" i="1" s="1"/>
  <c r="H34" i="1" s="1"/>
  <c r="E38" i="1"/>
  <c r="G38" i="1" s="1"/>
  <c r="C39" i="1" s="1"/>
  <c r="K37" i="1"/>
  <c r="L37" i="1"/>
  <c r="D35" i="1" l="1"/>
  <c r="E39" i="1"/>
  <c r="G39" i="1" s="1"/>
  <c r="C40" i="1" s="1"/>
  <c r="K38" i="1"/>
  <c r="L38" i="1"/>
  <c r="F35" i="1" l="1"/>
  <c r="H35" i="1" s="1"/>
  <c r="D36" i="1" s="1"/>
  <c r="F36" i="1" s="1"/>
  <c r="H36" i="1" s="1"/>
  <c r="E40" i="1"/>
  <c r="G40" i="1" s="1"/>
  <c r="C41" i="1" s="1"/>
  <c r="K39" i="1"/>
  <c r="L39" i="1"/>
  <c r="D37" i="1" l="1"/>
  <c r="E41" i="1"/>
  <c r="G41" i="1" s="1"/>
  <c r="C42" i="1" s="1"/>
  <c r="K40" i="1"/>
  <c r="L40" i="1"/>
  <c r="F37" i="1" l="1"/>
  <c r="H37" i="1" s="1"/>
  <c r="D38" i="1" s="1"/>
  <c r="E42" i="1"/>
  <c r="G42" i="1" s="1"/>
  <c r="C43" i="1" s="1"/>
  <c r="K41" i="1"/>
  <c r="L41" i="1"/>
  <c r="F38" i="1" l="1"/>
  <c r="H38" i="1" s="1"/>
  <c r="D39" i="1" s="1"/>
  <c r="E43" i="1"/>
  <c r="G43" i="1" s="1"/>
  <c r="C44" i="1" s="1"/>
  <c r="K42" i="1"/>
  <c r="L42" i="1"/>
  <c r="F39" i="1" l="1"/>
  <c r="H39" i="1" s="1"/>
  <c r="D40" i="1" s="1"/>
  <c r="F40" i="1" s="1"/>
  <c r="H40" i="1" s="1"/>
  <c r="E44" i="1"/>
  <c r="G44" i="1" s="1"/>
  <c r="C45" i="1" s="1"/>
  <c r="K43" i="1"/>
  <c r="L43" i="1"/>
  <c r="D41" i="1" l="1"/>
  <c r="E45" i="1"/>
  <c r="G45" i="1" s="1"/>
  <c r="C46" i="1" s="1"/>
  <c r="K44" i="1"/>
  <c r="L44" i="1"/>
  <c r="F41" i="1" l="1"/>
  <c r="H41" i="1" s="1"/>
  <c r="D42" i="1" s="1"/>
  <c r="E46" i="1"/>
  <c r="G46" i="1" s="1"/>
  <c r="C47" i="1" s="1"/>
  <c r="K45" i="1"/>
  <c r="L45" i="1"/>
  <c r="F42" i="1" l="1"/>
  <c r="H42" i="1" s="1"/>
  <c r="D43" i="1" s="1"/>
  <c r="E47" i="1"/>
  <c r="G47" i="1" s="1"/>
  <c r="C48" i="1" s="1"/>
  <c r="K46" i="1"/>
  <c r="L46" i="1"/>
  <c r="F43" i="1" l="1"/>
  <c r="H43" i="1" s="1"/>
  <c r="D44" i="1" s="1"/>
  <c r="F44" i="1" s="1"/>
  <c r="H44" i="1" s="1"/>
  <c r="E48" i="1"/>
  <c r="G48" i="1" s="1"/>
  <c r="C49" i="1" s="1"/>
  <c r="K47" i="1"/>
  <c r="L47" i="1"/>
  <c r="D45" i="1" l="1"/>
  <c r="E49" i="1"/>
  <c r="G49" i="1" s="1"/>
  <c r="C50" i="1" s="1"/>
  <c r="K48" i="1"/>
  <c r="L48" i="1"/>
  <c r="F45" i="1" l="1"/>
  <c r="H45" i="1" s="1"/>
  <c r="D46" i="1" s="1"/>
  <c r="F46" i="1" s="1"/>
  <c r="H46" i="1" s="1"/>
  <c r="E50" i="1"/>
  <c r="G50" i="1" s="1"/>
  <c r="C51" i="1" s="1"/>
  <c r="K49" i="1"/>
  <c r="L49" i="1"/>
  <c r="D47" i="1" l="1"/>
  <c r="E51" i="1"/>
  <c r="G51" i="1" s="1"/>
  <c r="C52" i="1" s="1"/>
  <c r="K50" i="1"/>
  <c r="L50" i="1"/>
  <c r="F47" i="1" l="1"/>
  <c r="H47" i="1" s="1"/>
  <c r="D48" i="1" s="1"/>
  <c r="E52" i="1"/>
  <c r="G52" i="1" s="1"/>
  <c r="C53" i="1" s="1"/>
  <c r="K51" i="1"/>
  <c r="L51" i="1"/>
  <c r="F48" i="1" l="1"/>
  <c r="H48" i="1" s="1"/>
  <c r="D49" i="1" s="1"/>
  <c r="F49" i="1" s="1"/>
  <c r="H49" i="1" s="1"/>
  <c r="E53" i="1"/>
  <c r="G53" i="1" s="1"/>
  <c r="C54" i="1" s="1"/>
  <c r="K52" i="1"/>
  <c r="L52" i="1"/>
  <c r="D50" i="1" l="1"/>
  <c r="E54" i="1"/>
  <c r="G54" i="1" s="1"/>
  <c r="C55" i="1" s="1"/>
  <c r="K53" i="1"/>
  <c r="L53" i="1"/>
  <c r="F50" i="1" l="1"/>
  <c r="H50" i="1" s="1"/>
  <c r="D51" i="1" s="1"/>
  <c r="E55" i="1"/>
  <c r="G55" i="1" s="1"/>
  <c r="C56" i="1" s="1"/>
  <c r="K54" i="1"/>
  <c r="L54" i="1"/>
  <c r="F51" i="1" l="1"/>
  <c r="H51" i="1" s="1"/>
  <c r="D52" i="1" s="1"/>
  <c r="E56" i="1"/>
  <c r="G56" i="1" s="1"/>
  <c r="C57" i="1" s="1"/>
  <c r="K55" i="1"/>
  <c r="L55" i="1"/>
  <c r="F52" i="1" l="1"/>
  <c r="H52" i="1" s="1"/>
  <c r="D53" i="1" s="1"/>
  <c r="E57" i="1"/>
  <c r="G57" i="1" s="1"/>
  <c r="C58" i="1" s="1"/>
  <c r="K56" i="1"/>
  <c r="L56" i="1"/>
  <c r="F53" i="1" l="1"/>
  <c r="H53" i="1" s="1"/>
  <c r="D54" i="1" s="1"/>
  <c r="F54" i="1" s="1"/>
  <c r="H54" i="1" s="1"/>
  <c r="E58" i="1"/>
  <c r="G58" i="1" s="1"/>
  <c r="C59" i="1" s="1"/>
  <c r="K57" i="1"/>
  <c r="L57" i="1"/>
  <c r="D55" i="1" l="1"/>
  <c r="E59" i="1"/>
  <c r="G59" i="1" s="1"/>
  <c r="C60" i="1" s="1"/>
  <c r="K58" i="1"/>
  <c r="L58" i="1"/>
  <c r="F55" i="1" l="1"/>
  <c r="H55" i="1" s="1"/>
  <c r="D56" i="1" s="1"/>
  <c r="E60" i="1"/>
  <c r="G60" i="1" s="1"/>
  <c r="C61" i="1" s="1"/>
  <c r="K59" i="1"/>
  <c r="L59" i="1"/>
  <c r="F56" i="1" l="1"/>
  <c r="H56" i="1" s="1"/>
  <c r="D57" i="1" s="1"/>
  <c r="E61" i="1"/>
  <c r="G61" i="1" s="1"/>
  <c r="C62" i="1" s="1"/>
  <c r="K60" i="1"/>
  <c r="L60" i="1"/>
  <c r="F57" i="1" l="1"/>
  <c r="H57" i="1" s="1"/>
  <c r="D58" i="1" s="1"/>
  <c r="F58" i="1" s="1"/>
  <c r="H58" i="1" s="1"/>
  <c r="E62" i="1"/>
  <c r="G62" i="1" s="1"/>
  <c r="C63" i="1" s="1"/>
  <c r="K61" i="1"/>
  <c r="L61" i="1"/>
  <c r="D59" i="1" l="1"/>
  <c r="E63" i="1"/>
  <c r="G63" i="1" s="1"/>
  <c r="C64" i="1" s="1"/>
  <c r="K62" i="1"/>
  <c r="L62" i="1"/>
  <c r="F59" i="1" l="1"/>
  <c r="H59" i="1" s="1"/>
  <c r="D60" i="1" s="1"/>
  <c r="E64" i="1"/>
  <c r="G64" i="1" s="1"/>
  <c r="C65" i="1" s="1"/>
  <c r="K63" i="1"/>
  <c r="L63" i="1"/>
  <c r="F60" i="1" l="1"/>
  <c r="H60" i="1" s="1"/>
  <c r="D61" i="1" s="1"/>
  <c r="E65" i="1"/>
  <c r="G65" i="1" s="1"/>
  <c r="C66" i="1" s="1"/>
  <c r="K64" i="1"/>
  <c r="L64" i="1"/>
  <c r="F61" i="1" l="1"/>
  <c r="H61" i="1" s="1"/>
  <c r="D62" i="1" s="1"/>
  <c r="F62" i="1" s="1"/>
  <c r="H62" i="1" s="1"/>
  <c r="E66" i="1"/>
  <c r="G66" i="1" s="1"/>
  <c r="C67" i="1" s="1"/>
  <c r="K65" i="1"/>
  <c r="L65" i="1"/>
  <c r="D63" i="1" l="1"/>
  <c r="E67" i="1"/>
  <c r="G67" i="1" s="1"/>
  <c r="C68" i="1" s="1"/>
  <c r="K66" i="1"/>
  <c r="L66" i="1"/>
  <c r="F63" i="1" l="1"/>
  <c r="H63" i="1" s="1"/>
  <c r="D64" i="1" s="1"/>
  <c r="F64" i="1" s="1"/>
  <c r="H64" i="1" s="1"/>
  <c r="E68" i="1"/>
  <c r="G68" i="1" s="1"/>
  <c r="C69" i="1" s="1"/>
  <c r="K67" i="1"/>
  <c r="L67" i="1"/>
  <c r="D65" i="1" l="1"/>
  <c r="E69" i="1"/>
  <c r="G69" i="1" s="1"/>
  <c r="C70" i="1" s="1"/>
  <c r="K68" i="1"/>
  <c r="L68" i="1"/>
  <c r="F65" i="1" l="1"/>
  <c r="H65" i="1" s="1"/>
  <c r="D66" i="1" s="1"/>
  <c r="E70" i="1"/>
  <c r="G70" i="1" s="1"/>
  <c r="C71" i="1" s="1"/>
  <c r="K69" i="1"/>
  <c r="L69" i="1"/>
  <c r="F66" i="1" l="1"/>
  <c r="H66" i="1" s="1"/>
  <c r="D67" i="1" s="1"/>
  <c r="E71" i="1"/>
  <c r="G71" i="1" s="1"/>
  <c r="C72" i="1" s="1"/>
  <c r="K70" i="1"/>
  <c r="L70" i="1"/>
  <c r="F67" i="1" l="1"/>
  <c r="H67" i="1" s="1"/>
  <c r="D68" i="1" s="1"/>
  <c r="F68" i="1" s="1"/>
  <c r="H68" i="1" s="1"/>
  <c r="E72" i="1"/>
  <c r="G72" i="1" s="1"/>
  <c r="C73" i="1" s="1"/>
  <c r="K71" i="1"/>
  <c r="L71" i="1"/>
  <c r="D69" i="1" l="1"/>
  <c r="E73" i="1"/>
  <c r="G73" i="1" s="1"/>
  <c r="C74" i="1" s="1"/>
  <c r="K72" i="1"/>
  <c r="L72" i="1"/>
  <c r="F69" i="1" l="1"/>
  <c r="H69" i="1" s="1"/>
  <c r="D70" i="1" s="1"/>
  <c r="E74" i="1"/>
  <c r="G74" i="1" s="1"/>
  <c r="C75" i="1" s="1"/>
  <c r="K73" i="1"/>
  <c r="L73" i="1"/>
  <c r="F70" i="1" l="1"/>
  <c r="H70" i="1" s="1"/>
  <c r="D71" i="1" s="1"/>
  <c r="F71" i="1" s="1"/>
  <c r="H71" i="1" s="1"/>
  <c r="E75" i="1"/>
  <c r="G75" i="1" s="1"/>
  <c r="C76" i="1" s="1"/>
  <c r="K74" i="1"/>
  <c r="L74" i="1"/>
  <c r="D72" i="1" l="1"/>
  <c r="E76" i="1"/>
  <c r="K75" i="1"/>
  <c r="L75" i="1"/>
  <c r="G76" i="1" l="1"/>
  <c r="C77" i="1" s="1"/>
  <c r="E77" i="1" s="1"/>
  <c r="G77" i="1" s="1"/>
  <c r="C78" i="1" s="1"/>
  <c r="F72" i="1"/>
  <c r="H72" i="1" s="1"/>
  <c r="D73" i="1" s="1"/>
  <c r="K76" i="1"/>
  <c r="L76" i="1"/>
  <c r="F73" i="1" l="1"/>
  <c r="H73" i="1" s="1"/>
  <c r="D74" i="1" s="1"/>
  <c r="F74" i="1" s="1"/>
  <c r="H74" i="1" s="1"/>
  <c r="E78" i="1"/>
  <c r="G78" i="1" s="1"/>
  <c r="C79" i="1" s="1"/>
  <c r="K77" i="1"/>
  <c r="L77" i="1"/>
  <c r="D75" i="1" l="1"/>
  <c r="E79" i="1"/>
  <c r="G79" i="1" s="1"/>
  <c r="C80" i="1" s="1"/>
  <c r="K78" i="1"/>
  <c r="L78" i="1"/>
  <c r="F75" i="1" l="1"/>
  <c r="H75" i="1" s="1"/>
  <c r="D76" i="1" s="1"/>
  <c r="F76" i="1" s="1"/>
  <c r="H76" i="1" s="1"/>
  <c r="E80" i="1"/>
  <c r="G80" i="1" s="1"/>
  <c r="C81" i="1" s="1"/>
  <c r="K79" i="1"/>
  <c r="L79" i="1"/>
  <c r="D77" i="1" l="1"/>
  <c r="E81" i="1"/>
  <c r="G81" i="1" s="1"/>
  <c r="C82" i="1" s="1"/>
  <c r="K80" i="1"/>
  <c r="L80" i="1"/>
  <c r="F77" i="1" l="1"/>
  <c r="H77" i="1" s="1"/>
  <c r="D78" i="1" s="1"/>
  <c r="E82" i="1"/>
  <c r="G82" i="1" s="1"/>
  <c r="C83" i="1" s="1"/>
  <c r="K81" i="1"/>
  <c r="L81" i="1"/>
  <c r="F78" i="1" l="1"/>
  <c r="H78" i="1" s="1"/>
  <c r="D79" i="1" s="1"/>
  <c r="E83" i="1"/>
  <c r="G83" i="1" s="1"/>
  <c r="C84" i="1" s="1"/>
  <c r="K82" i="1"/>
  <c r="L82" i="1"/>
  <c r="F79" i="1" l="1"/>
  <c r="H79" i="1" s="1"/>
  <c r="D80" i="1" s="1"/>
  <c r="F80" i="1" s="1"/>
  <c r="H80" i="1" s="1"/>
  <c r="E84" i="1"/>
  <c r="G84" i="1" s="1"/>
  <c r="C85" i="1" s="1"/>
  <c r="K83" i="1"/>
  <c r="L83" i="1"/>
  <c r="D81" i="1" l="1"/>
  <c r="E85" i="1"/>
  <c r="G85" i="1" s="1"/>
  <c r="C86" i="1" s="1"/>
  <c r="K84" i="1"/>
  <c r="L84" i="1"/>
  <c r="F81" i="1" l="1"/>
  <c r="H81" i="1" s="1"/>
  <c r="D82" i="1" s="1"/>
  <c r="E86" i="1"/>
  <c r="G86" i="1" s="1"/>
  <c r="C87" i="1" s="1"/>
  <c r="K85" i="1"/>
  <c r="L85" i="1"/>
  <c r="F82" i="1" l="1"/>
  <c r="H82" i="1" s="1"/>
  <c r="D83" i="1" s="1"/>
  <c r="E87" i="1"/>
  <c r="G87" i="1" s="1"/>
  <c r="C88" i="1" s="1"/>
  <c r="K86" i="1"/>
  <c r="L86" i="1"/>
  <c r="F83" i="1" l="1"/>
  <c r="H83" i="1" s="1"/>
  <c r="D84" i="1" s="1"/>
  <c r="E88" i="1"/>
  <c r="G88" i="1" s="1"/>
  <c r="C89" i="1" s="1"/>
  <c r="K87" i="1"/>
  <c r="L87" i="1"/>
  <c r="F84" i="1" l="1"/>
  <c r="H84" i="1" s="1"/>
  <c r="D85" i="1" s="1"/>
  <c r="F85" i="1" s="1"/>
  <c r="E89" i="1"/>
  <c r="G89" i="1" s="1"/>
  <c r="C90" i="1" s="1"/>
  <c r="K88" i="1"/>
  <c r="L88" i="1"/>
  <c r="H85" i="1" l="1"/>
  <c r="D86" i="1" s="1"/>
  <c r="F86" i="1" s="1"/>
  <c r="E90" i="1"/>
  <c r="G90" i="1" s="1"/>
  <c r="C91" i="1" s="1"/>
  <c r="K89" i="1"/>
  <c r="L89" i="1"/>
  <c r="H86" i="1" l="1"/>
  <c r="D87" i="1" s="1"/>
  <c r="E91" i="1"/>
  <c r="G91" i="1" s="1"/>
  <c r="K90" i="1"/>
  <c r="L90" i="1"/>
  <c r="F87" i="1" l="1"/>
  <c r="H87" i="1" s="1"/>
  <c r="D88" i="1" s="1"/>
  <c r="F88" i="1" s="1"/>
  <c r="K91" i="1"/>
  <c r="P7" i="1" s="1"/>
  <c r="L91" i="1"/>
  <c r="P8" i="1" s="1"/>
  <c r="H88" i="1" l="1"/>
  <c r="D89" i="1" s="1"/>
  <c r="F89" i="1" l="1"/>
  <c r="H89" i="1" s="1"/>
  <c r="D90" i="1" s="1"/>
  <c r="F90" i="1" l="1"/>
  <c r="H90" i="1" s="1"/>
  <c r="D91" i="1" s="1"/>
  <c r="F91" i="1" l="1"/>
  <c r="H91" i="1" s="1"/>
</calcChain>
</file>

<file path=xl/sharedStrings.xml><?xml version="1.0" encoding="utf-8"?>
<sst xmlns="http://schemas.openxmlformats.org/spreadsheetml/2006/main" count="113" uniqueCount="29">
  <si>
    <t xml:space="preserve">data </t>
  </si>
  <si>
    <t>sobota</t>
  </si>
  <si>
    <t>niedziela</t>
  </si>
  <si>
    <t>poniedziałek</t>
  </si>
  <si>
    <t>wtorek</t>
  </si>
  <si>
    <t>środa</t>
  </si>
  <si>
    <t>czwartek</t>
  </si>
  <si>
    <t>piątek</t>
  </si>
  <si>
    <t>dzień tygodnia</t>
  </si>
  <si>
    <t>posiłek żołędzie stan</t>
  </si>
  <si>
    <t>posiłek siano stan</t>
  </si>
  <si>
    <t>siano stan końcowy</t>
  </si>
  <si>
    <t>żołądzie stan końcowy</t>
  </si>
  <si>
    <t>ilosc dostaw piątek</t>
  </si>
  <si>
    <t>ilosc dostaw wtorek</t>
  </si>
  <si>
    <t>a)</t>
  </si>
  <si>
    <t>liczba dostaw siana</t>
  </si>
  <si>
    <t>liczba dostaw żołędzi</t>
  </si>
  <si>
    <t>b)</t>
  </si>
  <si>
    <t>dokarmianie sianem</t>
  </si>
  <si>
    <t>dokarmianie żołędźmi</t>
  </si>
  <si>
    <t>c)</t>
  </si>
  <si>
    <t>siano</t>
  </si>
  <si>
    <t>żołędzie</t>
  </si>
  <si>
    <t>data</t>
  </si>
  <si>
    <t>żołądzie</t>
  </si>
  <si>
    <t>ilość żubrów</t>
  </si>
  <si>
    <t>stan siana rano[kg]</t>
  </si>
  <si>
    <t>stan żołędzi rano [kg]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</si>
</sst>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Zestawienie</a:t>
            </a:r>
            <a:r>
              <a:rPr lang="pl-PL" baseline="0"/>
              <a:t> porannych stanów zapasów pożywienia dla żubrów w tonach w poszczególnych dniach</a:t>
            </a:r>
          </a:p>
        </c:rich>
      </c:tx>
      <c:layout>
        <c:manualLayout>
          <c:xMode val="edge"/>
          <c:yMode val="edge"/>
          <c:x val="0.19160180981247465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7.2015181777150952E-2"/>
          <c:y val="0.32995370370370369"/>
          <c:w val="0.90302685699350238"/>
          <c:h val="0.45674358413531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Arkusz1!$P$19</c:f>
              <c:strCache>
                <c:ptCount val="1"/>
                <c:pt idx="0">
                  <c:v>siano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Arkusz1!$O$20:$O$22</c:f>
              <c:numCache>
                <c:formatCode>m/d/yyyy</c:formatCode>
                <c:ptCount val="3"/>
                <c:pt idx="0">
                  <c:v>41274</c:v>
                </c:pt>
                <c:pt idx="1">
                  <c:v>41305</c:v>
                </c:pt>
                <c:pt idx="2">
                  <c:v>41333</c:v>
                </c:pt>
              </c:numCache>
            </c:numRef>
          </c:cat>
          <c:val>
            <c:numRef>
              <c:f>Arkusz1!$P$20:$P$22</c:f>
              <c:numCache>
                <c:formatCode>General</c:formatCode>
                <c:ptCount val="3"/>
                <c:pt idx="0">
                  <c:v>55.6</c:v>
                </c:pt>
                <c:pt idx="1">
                  <c:v>47.2</c:v>
                </c:pt>
                <c:pt idx="2">
                  <c:v>49.6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D-4CF4-8003-3BA6035E7454}"/>
            </c:ext>
          </c:extLst>
        </c:ser>
        <c:ser>
          <c:idx val="1"/>
          <c:order val="1"/>
          <c:tx>
            <c:strRef>
              <c:f>Arkusz1!$Q$19</c:f>
              <c:strCache>
                <c:ptCount val="1"/>
                <c:pt idx="0">
                  <c:v>żołądzie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Arkusz1!$O$20:$O$22</c:f>
              <c:numCache>
                <c:formatCode>m/d/yyyy</c:formatCode>
                <c:ptCount val="3"/>
                <c:pt idx="0">
                  <c:v>41274</c:v>
                </c:pt>
                <c:pt idx="1">
                  <c:v>41305</c:v>
                </c:pt>
                <c:pt idx="2">
                  <c:v>41333</c:v>
                </c:pt>
              </c:numCache>
            </c:numRef>
          </c:cat>
          <c:val>
            <c:numRef>
              <c:f>Arkusz1!$Q$20:$Q$22</c:f>
              <c:numCache>
                <c:formatCode>General</c:formatCode>
                <c:ptCount val="3"/>
                <c:pt idx="0">
                  <c:v>19.2</c:v>
                </c:pt>
                <c:pt idx="1">
                  <c:v>17.600000000000001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D-4CF4-8003-3BA6035E7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329088"/>
        <c:axId val="900319968"/>
      </c:barChart>
      <c:dateAx>
        <c:axId val="900329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0319968"/>
        <c:crosses val="autoZero"/>
        <c:auto val="1"/>
        <c:lblOffset val="100"/>
        <c:baseTimeUnit val="months"/>
      </c:dateAx>
      <c:valAx>
        <c:axId val="90031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032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228802</xdr:colOff>
      <xdr:row>3</xdr:row>
      <xdr:rowOff>113894</xdr:rowOff>
    </xdr:from>
    <xdr:to>
      <xdr:col>24</xdr:col>
      <xdr:colOff>541303</xdr:colOff>
      <xdr:row>17</xdr:row>
      <xdr:rowOff>190094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C7CFEEB-8D67-9651-5E10-51A76E246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6306F-F041-4F26-BB2B-F5E75F42A218}">
  <dimension ref="A1:Q91"/>
  <sheetViews>
    <sheetView tabSelected="1" zoomScale="160" zoomScaleNormal="160" workbookViewId="0">
      <selection activeCell="P26" sqref="P26"/>
    </sheetView>
  </sheetViews>
  <sheetFormatPr defaultRowHeight="15" x14ac:dyDescent="0.25"/>
  <cols>
    <col min="1" max="1" width="10.85546875" bestFit="1" customWidth="1"/>
    <col min="2" max="2" width="14.140625" bestFit="1" customWidth="1"/>
    <col min="3" max="3" width="17.85546875" bestFit="1" customWidth="1"/>
    <col min="4" max="4" width="19.85546875" bestFit="1" customWidth="1"/>
    <col min="5" max="5" width="16.85546875" bestFit="1" customWidth="1"/>
    <col min="6" max="6" width="19.5703125" bestFit="1" customWidth="1"/>
    <col min="7" max="7" width="18.42578125" bestFit="1" customWidth="1"/>
    <col min="8" max="8" width="21" bestFit="1" customWidth="1"/>
    <col min="9" max="9" width="18.140625" bestFit="1" customWidth="1"/>
    <col min="10" max="10" width="18.85546875" bestFit="1" customWidth="1"/>
    <col min="11" max="11" width="19.28515625" bestFit="1" customWidth="1"/>
    <col min="12" max="12" width="20.7109375" bestFit="1" customWidth="1"/>
    <col min="15" max="15" width="19.7109375" bestFit="1" customWidth="1"/>
    <col min="16" max="16" width="10.85546875" bestFit="1" customWidth="1"/>
  </cols>
  <sheetData>
    <row r="1" spans="1:16" x14ac:dyDescent="0.25">
      <c r="A1" t="s">
        <v>0</v>
      </c>
      <c r="B1" t="s">
        <v>8</v>
      </c>
      <c r="C1" t="s">
        <v>27</v>
      </c>
      <c r="D1" t="s">
        <v>28</v>
      </c>
      <c r="E1" t="s">
        <v>10</v>
      </c>
      <c r="F1" t="s">
        <v>9</v>
      </c>
      <c r="G1" t="s">
        <v>11</v>
      </c>
      <c r="H1" t="s">
        <v>12</v>
      </c>
      <c r="I1" t="s">
        <v>13</v>
      </c>
      <c r="J1" t="s">
        <v>14</v>
      </c>
      <c r="K1" t="s">
        <v>19</v>
      </c>
      <c r="L1" t="s">
        <v>20</v>
      </c>
      <c r="O1" t="s">
        <v>15</v>
      </c>
    </row>
    <row r="2" spans="1:16" x14ac:dyDescent="0.25">
      <c r="A2" s="1">
        <v>41244</v>
      </c>
      <c r="B2" t="s">
        <v>1</v>
      </c>
      <c r="C2">
        <v>100000</v>
      </c>
      <c r="D2">
        <v>5000</v>
      </c>
      <c r="E2">
        <f>IF(C2&gt;=50000,C2-40*$P$25,C2)</f>
        <v>96200</v>
      </c>
      <c r="F2">
        <f>IF(C2&lt;50000,D2-$P$25*20,D2)</f>
        <v>5000</v>
      </c>
      <c r="G2">
        <f>IF(B2="piątek",E2+15000,E2)</f>
        <v>96200</v>
      </c>
      <c r="H2">
        <f>IF(B2="wtorek",F2+4000,F2)</f>
        <v>5000</v>
      </c>
      <c r="I2">
        <f>IF(B2="piątek",1,0)</f>
        <v>0</v>
      </c>
      <c r="J2">
        <f>IF(B2="wtorek",1,0)</f>
        <v>0</v>
      </c>
      <c r="K2">
        <f>IF(C2&gt;=50000,1,0)</f>
        <v>1</v>
      </c>
      <c r="L2">
        <f>IF(C2&lt;=50000,1,0)</f>
        <v>0</v>
      </c>
      <c r="O2" t="s">
        <v>16</v>
      </c>
      <c r="P2">
        <f>SUM(I2:I91)</f>
        <v>12</v>
      </c>
    </row>
    <row r="3" spans="1:16" x14ac:dyDescent="0.25">
      <c r="A3" s="1">
        <v>41245</v>
      </c>
      <c r="B3" t="s">
        <v>2</v>
      </c>
      <c r="C3">
        <f>G2</f>
        <v>96200</v>
      </c>
      <c r="D3">
        <f>H2</f>
        <v>5000</v>
      </c>
      <c r="E3">
        <f t="shared" ref="E3:E66" si="0">IF(C3&gt;=50000,C3-40*$P$25,C3)</f>
        <v>92400</v>
      </c>
      <c r="F3">
        <f t="shared" ref="F3:F66" si="1">IF(C3&lt;50000,D3-$P$25*20,D3)</f>
        <v>5000</v>
      </c>
      <c r="G3">
        <f t="shared" ref="G3:G66" si="2">IF(B3="piątek",E3+15000,E3)</f>
        <v>92400</v>
      </c>
      <c r="H3">
        <f>IF(B3="wtorek",F3+4000,F3)</f>
        <v>5000</v>
      </c>
      <c r="I3">
        <f t="shared" ref="I3:I66" si="3">IF(B3="piątek",1,0)</f>
        <v>0</v>
      </c>
      <c r="J3">
        <f t="shared" ref="J3:J66" si="4">IF(B3="wtorek",1,0)</f>
        <v>0</v>
      </c>
      <c r="K3">
        <f t="shared" ref="K3:K66" si="5">IF(C3&gt;=50000,1,0)</f>
        <v>1</v>
      </c>
      <c r="L3">
        <f t="shared" ref="L3:L66" si="6">IF(C3&lt;=50000,1,0)</f>
        <v>0</v>
      </c>
      <c r="O3" t="s">
        <v>17</v>
      </c>
      <c r="P3">
        <f>SUM(J2:J91)</f>
        <v>13</v>
      </c>
    </row>
    <row r="4" spans="1:16" x14ac:dyDescent="0.25">
      <c r="A4" s="1">
        <v>41246</v>
      </c>
      <c r="B4" t="s">
        <v>3</v>
      </c>
      <c r="C4">
        <f t="shared" ref="C4:C67" si="7">G3</f>
        <v>92400</v>
      </c>
      <c r="D4">
        <f t="shared" ref="D4:D67" si="8">H3</f>
        <v>5000</v>
      </c>
      <c r="E4">
        <f t="shared" si="0"/>
        <v>88600</v>
      </c>
      <c r="F4">
        <f t="shared" si="1"/>
        <v>5000</v>
      </c>
      <c r="G4">
        <f t="shared" si="2"/>
        <v>88600</v>
      </c>
      <c r="H4">
        <f>IF(B4="wtorek",F4+4000,F4)</f>
        <v>5000</v>
      </c>
      <c r="I4">
        <f t="shared" si="3"/>
        <v>0</v>
      </c>
      <c r="J4">
        <f t="shared" si="4"/>
        <v>0</v>
      </c>
      <c r="K4">
        <f t="shared" si="5"/>
        <v>1</v>
      </c>
      <c r="L4">
        <f t="shared" si="6"/>
        <v>0</v>
      </c>
    </row>
    <row r="5" spans="1:16" x14ac:dyDescent="0.25">
      <c r="A5" s="1">
        <v>41247</v>
      </c>
      <c r="B5" t="s">
        <v>4</v>
      </c>
      <c r="C5">
        <f t="shared" si="7"/>
        <v>88600</v>
      </c>
      <c r="D5">
        <f t="shared" si="8"/>
        <v>5000</v>
      </c>
      <c r="E5">
        <f t="shared" si="0"/>
        <v>84800</v>
      </c>
      <c r="F5">
        <f t="shared" si="1"/>
        <v>5000</v>
      </c>
      <c r="G5">
        <f t="shared" si="2"/>
        <v>84800</v>
      </c>
      <c r="H5">
        <f>IF(B5="wtorek",F5+4000,F5)</f>
        <v>9000</v>
      </c>
      <c r="I5">
        <f t="shared" si="3"/>
        <v>0</v>
      </c>
      <c r="J5">
        <f t="shared" si="4"/>
        <v>1</v>
      </c>
      <c r="K5">
        <f t="shared" si="5"/>
        <v>1</v>
      </c>
      <c r="L5">
        <f t="shared" si="6"/>
        <v>0</v>
      </c>
      <c r="O5" t="s">
        <v>18</v>
      </c>
      <c r="P5" s="1">
        <v>41271</v>
      </c>
    </row>
    <row r="6" spans="1:16" x14ac:dyDescent="0.25">
      <c r="A6" s="1">
        <v>41248</v>
      </c>
      <c r="B6" t="s">
        <v>5</v>
      </c>
      <c r="C6">
        <f t="shared" si="7"/>
        <v>84800</v>
      </c>
      <c r="D6">
        <f t="shared" si="8"/>
        <v>9000</v>
      </c>
      <c r="E6">
        <f t="shared" si="0"/>
        <v>81000</v>
      </c>
      <c r="F6">
        <f t="shared" si="1"/>
        <v>9000</v>
      </c>
      <c r="G6">
        <f t="shared" si="2"/>
        <v>81000</v>
      </c>
      <c r="H6">
        <f>IF(B6="wtorek",F6+4000,F6)</f>
        <v>9000</v>
      </c>
      <c r="I6">
        <f t="shared" si="3"/>
        <v>0</v>
      </c>
      <c r="J6">
        <f t="shared" si="4"/>
        <v>0</v>
      </c>
      <c r="K6">
        <f t="shared" si="5"/>
        <v>1</v>
      </c>
      <c r="L6">
        <f t="shared" si="6"/>
        <v>0</v>
      </c>
      <c r="O6" t="s">
        <v>21</v>
      </c>
    </row>
    <row r="7" spans="1:16" x14ac:dyDescent="0.25">
      <c r="A7" s="1">
        <v>41249</v>
      </c>
      <c r="B7" t="s">
        <v>6</v>
      </c>
      <c r="C7">
        <f t="shared" si="7"/>
        <v>81000</v>
      </c>
      <c r="D7">
        <f t="shared" si="8"/>
        <v>9000</v>
      </c>
      <c r="E7">
        <f t="shared" si="0"/>
        <v>77200</v>
      </c>
      <c r="F7">
        <f t="shared" si="1"/>
        <v>9000</v>
      </c>
      <c r="G7">
        <f t="shared" si="2"/>
        <v>77200</v>
      </c>
      <c r="H7">
        <f t="shared" ref="H3:H66" si="9">IF(B7="wtorek",F7+4000,F7)</f>
        <v>9000</v>
      </c>
      <c r="I7">
        <f t="shared" si="3"/>
        <v>0</v>
      </c>
      <c r="J7">
        <f t="shared" si="4"/>
        <v>0</v>
      </c>
      <c r="K7">
        <f t="shared" si="5"/>
        <v>1</v>
      </c>
      <c r="L7">
        <f t="shared" si="6"/>
        <v>0</v>
      </c>
      <c r="O7" t="s">
        <v>22</v>
      </c>
      <c r="P7">
        <f>SUM(K2:K91)</f>
        <v>61</v>
      </c>
    </row>
    <row r="8" spans="1:16" x14ac:dyDescent="0.25">
      <c r="A8" s="1">
        <v>41250</v>
      </c>
      <c r="B8" t="s">
        <v>7</v>
      </c>
      <c r="C8">
        <f t="shared" si="7"/>
        <v>77200</v>
      </c>
      <c r="D8">
        <f t="shared" si="8"/>
        <v>9000</v>
      </c>
      <c r="E8">
        <f t="shared" si="0"/>
        <v>73400</v>
      </c>
      <c r="F8">
        <f t="shared" si="1"/>
        <v>9000</v>
      </c>
      <c r="G8">
        <f t="shared" si="2"/>
        <v>88400</v>
      </c>
      <c r="H8">
        <f t="shared" si="9"/>
        <v>9000</v>
      </c>
      <c r="I8">
        <f t="shared" si="3"/>
        <v>1</v>
      </c>
      <c r="J8">
        <f t="shared" si="4"/>
        <v>0</v>
      </c>
      <c r="K8">
        <f t="shared" si="5"/>
        <v>1</v>
      </c>
      <c r="L8">
        <f t="shared" si="6"/>
        <v>0</v>
      </c>
      <c r="O8" t="s">
        <v>23</v>
      </c>
      <c r="P8">
        <f>SUM(L2:L91)</f>
        <v>30</v>
      </c>
    </row>
    <row r="9" spans="1:16" x14ac:dyDescent="0.25">
      <c r="A9" s="1">
        <v>41251</v>
      </c>
      <c r="B9" t="s">
        <v>1</v>
      </c>
      <c r="C9">
        <f t="shared" si="7"/>
        <v>88400</v>
      </c>
      <c r="D9">
        <f t="shared" si="8"/>
        <v>9000</v>
      </c>
      <c r="E9">
        <f t="shared" si="0"/>
        <v>84600</v>
      </c>
      <c r="F9">
        <f t="shared" si="1"/>
        <v>9000</v>
      </c>
      <c r="G9">
        <f t="shared" si="2"/>
        <v>84600</v>
      </c>
      <c r="H9">
        <f t="shared" si="9"/>
        <v>9000</v>
      </c>
      <c r="I9">
        <f t="shared" si="3"/>
        <v>0</v>
      </c>
      <c r="J9">
        <f t="shared" si="4"/>
        <v>0</v>
      </c>
      <c r="K9">
        <f t="shared" si="5"/>
        <v>1</v>
      </c>
      <c r="L9">
        <f t="shared" si="6"/>
        <v>0</v>
      </c>
    </row>
    <row r="10" spans="1:16" x14ac:dyDescent="0.25">
      <c r="A10" s="1">
        <v>41252</v>
      </c>
      <c r="B10" t="s">
        <v>2</v>
      </c>
      <c r="C10">
        <f t="shared" si="7"/>
        <v>84600</v>
      </c>
      <c r="D10">
        <f t="shared" si="8"/>
        <v>9000</v>
      </c>
      <c r="E10">
        <f t="shared" si="0"/>
        <v>80800</v>
      </c>
      <c r="F10">
        <f t="shared" si="1"/>
        <v>9000</v>
      </c>
      <c r="G10">
        <f t="shared" si="2"/>
        <v>80800</v>
      </c>
      <c r="H10">
        <f t="shared" si="9"/>
        <v>9000</v>
      </c>
      <c r="I10">
        <f t="shared" si="3"/>
        <v>0</v>
      </c>
      <c r="J10">
        <f t="shared" si="4"/>
        <v>0</v>
      </c>
      <c r="K10">
        <f t="shared" si="5"/>
        <v>1</v>
      </c>
      <c r="L10">
        <f t="shared" si="6"/>
        <v>0</v>
      </c>
    </row>
    <row r="11" spans="1:16" x14ac:dyDescent="0.25">
      <c r="A11" s="1">
        <v>41253</v>
      </c>
      <c r="B11" t="s">
        <v>3</v>
      </c>
      <c r="C11">
        <f t="shared" si="7"/>
        <v>80800</v>
      </c>
      <c r="D11">
        <f t="shared" si="8"/>
        <v>9000</v>
      </c>
      <c r="E11">
        <f t="shared" si="0"/>
        <v>77000</v>
      </c>
      <c r="F11">
        <f t="shared" si="1"/>
        <v>9000</v>
      </c>
      <c r="G11">
        <f t="shared" si="2"/>
        <v>77000</v>
      </c>
      <c r="H11">
        <f t="shared" si="9"/>
        <v>9000</v>
      </c>
      <c r="I11">
        <f t="shared" si="3"/>
        <v>0</v>
      </c>
      <c r="J11">
        <f t="shared" si="4"/>
        <v>0</v>
      </c>
      <c r="K11">
        <f t="shared" si="5"/>
        <v>1</v>
      </c>
      <c r="L11">
        <f t="shared" si="6"/>
        <v>0</v>
      </c>
    </row>
    <row r="12" spans="1:16" x14ac:dyDescent="0.25">
      <c r="A12" s="1">
        <v>41254</v>
      </c>
      <c r="B12" t="s">
        <v>4</v>
      </c>
      <c r="C12">
        <f t="shared" si="7"/>
        <v>77000</v>
      </c>
      <c r="D12">
        <f t="shared" si="8"/>
        <v>9000</v>
      </c>
      <c r="E12">
        <f t="shared" si="0"/>
        <v>73200</v>
      </c>
      <c r="F12">
        <f t="shared" si="1"/>
        <v>9000</v>
      </c>
      <c r="G12">
        <f t="shared" si="2"/>
        <v>73200</v>
      </c>
      <c r="H12">
        <f t="shared" si="9"/>
        <v>13000</v>
      </c>
      <c r="I12">
        <f t="shared" si="3"/>
        <v>0</v>
      </c>
      <c r="J12">
        <f t="shared" si="4"/>
        <v>1</v>
      </c>
      <c r="K12">
        <f t="shared" si="5"/>
        <v>1</v>
      </c>
      <c r="L12">
        <f t="shared" si="6"/>
        <v>0</v>
      </c>
    </row>
    <row r="13" spans="1:16" x14ac:dyDescent="0.25">
      <c r="A13" s="1">
        <v>41255</v>
      </c>
      <c r="B13" t="s">
        <v>5</v>
      </c>
      <c r="C13">
        <f t="shared" si="7"/>
        <v>73200</v>
      </c>
      <c r="D13">
        <f t="shared" si="8"/>
        <v>13000</v>
      </c>
      <c r="E13">
        <f t="shared" si="0"/>
        <v>69400</v>
      </c>
      <c r="F13">
        <f t="shared" si="1"/>
        <v>13000</v>
      </c>
      <c r="G13">
        <f t="shared" si="2"/>
        <v>69400</v>
      </c>
      <c r="H13">
        <f t="shared" si="9"/>
        <v>13000</v>
      </c>
      <c r="I13">
        <f t="shared" si="3"/>
        <v>0</v>
      </c>
      <c r="J13">
        <f t="shared" si="4"/>
        <v>0</v>
      </c>
      <c r="K13">
        <f t="shared" si="5"/>
        <v>1</v>
      </c>
      <c r="L13">
        <f t="shared" si="6"/>
        <v>0</v>
      </c>
    </row>
    <row r="14" spans="1:16" x14ac:dyDescent="0.25">
      <c r="A14" s="1">
        <v>41256</v>
      </c>
      <c r="B14" t="s">
        <v>6</v>
      </c>
      <c r="C14">
        <f t="shared" si="7"/>
        <v>69400</v>
      </c>
      <c r="D14">
        <f t="shared" si="8"/>
        <v>13000</v>
      </c>
      <c r="E14">
        <f t="shared" si="0"/>
        <v>65600</v>
      </c>
      <c r="F14">
        <f t="shared" si="1"/>
        <v>13000</v>
      </c>
      <c r="G14">
        <f t="shared" si="2"/>
        <v>65600</v>
      </c>
      <c r="H14">
        <f t="shared" si="9"/>
        <v>13000</v>
      </c>
      <c r="I14">
        <f t="shared" si="3"/>
        <v>0</v>
      </c>
      <c r="J14">
        <f t="shared" si="4"/>
        <v>0</v>
      </c>
      <c r="K14">
        <f t="shared" si="5"/>
        <v>1</v>
      </c>
      <c r="L14">
        <f t="shared" si="6"/>
        <v>0</v>
      </c>
    </row>
    <row r="15" spans="1:16" x14ac:dyDescent="0.25">
      <c r="A15" s="1">
        <v>41257</v>
      </c>
      <c r="B15" t="s">
        <v>7</v>
      </c>
      <c r="C15">
        <f t="shared" si="7"/>
        <v>65600</v>
      </c>
      <c r="D15">
        <f t="shared" si="8"/>
        <v>13000</v>
      </c>
      <c r="E15">
        <f t="shared" si="0"/>
        <v>61800</v>
      </c>
      <c r="F15">
        <f t="shared" si="1"/>
        <v>13000</v>
      </c>
      <c r="G15">
        <f t="shared" si="2"/>
        <v>76800</v>
      </c>
      <c r="H15">
        <f t="shared" si="9"/>
        <v>13000</v>
      </c>
      <c r="I15">
        <f t="shared" si="3"/>
        <v>1</v>
      </c>
      <c r="J15">
        <f t="shared" si="4"/>
        <v>0</v>
      </c>
      <c r="K15">
        <f t="shared" si="5"/>
        <v>1</v>
      </c>
      <c r="L15">
        <f t="shared" si="6"/>
        <v>0</v>
      </c>
    </row>
    <row r="16" spans="1:16" x14ac:dyDescent="0.25">
      <c r="A16" s="1">
        <v>41258</v>
      </c>
      <c r="B16" t="s">
        <v>1</v>
      </c>
      <c r="C16">
        <f t="shared" si="7"/>
        <v>76800</v>
      </c>
      <c r="D16">
        <f t="shared" si="8"/>
        <v>13000</v>
      </c>
      <c r="E16">
        <f t="shared" si="0"/>
        <v>73000</v>
      </c>
      <c r="F16">
        <f t="shared" si="1"/>
        <v>13000</v>
      </c>
      <c r="G16">
        <f t="shared" si="2"/>
        <v>73000</v>
      </c>
      <c r="H16">
        <f t="shared" si="9"/>
        <v>13000</v>
      </c>
      <c r="I16">
        <f t="shared" si="3"/>
        <v>0</v>
      </c>
      <c r="J16">
        <f t="shared" si="4"/>
        <v>0</v>
      </c>
      <c r="K16">
        <f t="shared" si="5"/>
        <v>1</v>
      </c>
      <c r="L16">
        <f t="shared" si="6"/>
        <v>0</v>
      </c>
    </row>
    <row r="17" spans="1:17" x14ac:dyDescent="0.25">
      <c r="A17" s="1">
        <v>41259</v>
      </c>
      <c r="B17" t="s">
        <v>2</v>
      </c>
      <c r="C17">
        <f t="shared" si="7"/>
        <v>73000</v>
      </c>
      <c r="D17">
        <f t="shared" si="8"/>
        <v>13000</v>
      </c>
      <c r="E17">
        <f t="shared" si="0"/>
        <v>69200</v>
      </c>
      <c r="F17">
        <f t="shared" si="1"/>
        <v>13000</v>
      </c>
      <c r="G17">
        <f t="shared" si="2"/>
        <v>69200</v>
      </c>
      <c r="H17">
        <f t="shared" si="9"/>
        <v>13000</v>
      </c>
      <c r="I17">
        <f t="shared" si="3"/>
        <v>0</v>
      </c>
      <c r="J17">
        <f t="shared" si="4"/>
        <v>0</v>
      </c>
      <c r="K17">
        <f t="shared" si="5"/>
        <v>1</v>
      </c>
      <c r="L17">
        <f t="shared" si="6"/>
        <v>0</v>
      </c>
    </row>
    <row r="18" spans="1:17" x14ac:dyDescent="0.25">
      <c r="A18" s="1">
        <v>41260</v>
      </c>
      <c r="B18" t="s">
        <v>3</v>
      </c>
      <c r="C18">
        <f t="shared" si="7"/>
        <v>69200</v>
      </c>
      <c r="D18">
        <f t="shared" si="8"/>
        <v>13000</v>
      </c>
      <c r="E18">
        <f t="shared" si="0"/>
        <v>65400</v>
      </c>
      <c r="F18">
        <f t="shared" si="1"/>
        <v>13000</v>
      </c>
      <c r="G18">
        <f t="shared" si="2"/>
        <v>65400</v>
      </c>
      <c r="H18">
        <f t="shared" si="9"/>
        <v>13000</v>
      </c>
      <c r="I18">
        <f t="shared" si="3"/>
        <v>0</v>
      </c>
      <c r="J18">
        <f t="shared" si="4"/>
        <v>0</v>
      </c>
      <c r="K18">
        <f t="shared" si="5"/>
        <v>1</v>
      </c>
      <c r="L18">
        <f t="shared" si="6"/>
        <v>0</v>
      </c>
    </row>
    <row r="19" spans="1:17" x14ac:dyDescent="0.25">
      <c r="A19" s="1">
        <v>41261</v>
      </c>
      <c r="B19" t="s">
        <v>4</v>
      </c>
      <c r="C19">
        <f t="shared" si="7"/>
        <v>65400</v>
      </c>
      <c r="D19">
        <f t="shared" si="8"/>
        <v>13000</v>
      </c>
      <c r="E19">
        <f t="shared" si="0"/>
        <v>61600</v>
      </c>
      <c r="F19">
        <f t="shared" si="1"/>
        <v>13000</v>
      </c>
      <c r="G19">
        <f t="shared" si="2"/>
        <v>61600</v>
      </c>
      <c r="H19">
        <f t="shared" si="9"/>
        <v>17000</v>
      </c>
      <c r="I19">
        <f t="shared" si="3"/>
        <v>0</v>
      </c>
      <c r="J19">
        <f t="shared" si="4"/>
        <v>1</v>
      </c>
      <c r="K19">
        <f t="shared" si="5"/>
        <v>1</v>
      </c>
      <c r="L19">
        <f t="shared" si="6"/>
        <v>0</v>
      </c>
      <c r="O19" t="s">
        <v>24</v>
      </c>
      <c r="P19" t="s">
        <v>22</v>
      </c>
      <c r="Q19" t="s">
        <v>25</v>
      </c>
    </row>
    <row r="20" spans="1:17" x14ac:dyDescent="0.25">
      <c r="A20" s="1">
        <v>41262</v>
      </c>
      <c r="B20" t="s">
        <v>5</v>
      </c>
      <c r="C20">
        <f t="shared" si="7"/>
        <v>61600</v>
      </c>
      <c r="D20">
        <f t="shared" si="8"/>
        <v>17000</v>
      </c>
      <c r="E20">
        <f t="shared" si="0"/>
        <v>57800</v>
      </c>
      <c r="F20">
        <f t="shared" si="1"/>
        <v>17000</v>
      </c>
      <c r="G20">
        <f t="shared" si="2"/>
        <v>57800</v>
      </c>
      <c r="H20">
        <f t="shared" si="9"/>
        <v>17000</v>
      </c>
      <c r="I20">
        <f t="shared" si="3"/>
        <v>0</v>
      </c>
      <c r="J20">
        <f t="shared" si="4"/>
        <v>0</v>
      </c>
      <c r="K20">
        <f t="shared" si="5"/>
        <v>1</v>
      </c>
      <c r="L20">
        <f t="shared" si="6"/>
        <v>0</v>
      </c>
      <c r="O20" s="1">
        <v>41274</v>
      </c>
      <c r="P20" s="2">
        <v>55.6</v>
      </c>
      <c r="Q20" s="2">
        <v>19.2</v>
      </c>
    </row>
    <row r="21" spans="1:17" x14ac:dyDescent="0.25">
      <c r="A21" s="1">
        <v>41263</v>
      </c>
      <c r="B21" t="s">
        <v>6</v>
      </c>
      <c r="C21">
        <f t="shared" si="7"/>
        <v>57800</v>
      </c>
      <c r="D21">
        <f t="shared" si="8"/>
        <v>17000</v>
      </c>
      <c r="E21">
        <f t="shared" si="0"/>
        <v>54000</v>
      </c>
      <c r="F21">
        <f t="shared" si="1"/>
        <v>17000</v>
      </c>
      <c r="G21">
        <f t="shared" si="2"/>
        <v>54000</v>
      </c>
      <c r="H21">
        <f t="shared" si="9"/>
        <v>17000</v>
      </c>
      <c r="I21">
        <f t="shared" si="3"/>
        <v>0</v>
      </c>
      <c r="J21">
        <f t="shared" si="4"/>
        <v>0</v>
      </c>
      <c r="K21">
        <f t="shared" si="5"/>
        <v>1</v>
      </c>
      <c r="L21">
        <f t="shared" si="6"/>
        <v>0</v>
      </c>
      <c r="O21" s="1">
        <v>41305</v>
      </c>
      <c r="P21" s="2">
        <v>47.2</v>
      </c>
      <c r="Q21" s="2">
        <v>17.600000000000001</v>
      </c>
    </row>
    <row r="22" spans="1:17" x14ac:dyDescent="0.25">
      <c r="A22" s="1">
        <v>41264</v>
      </c>
      <c r="B22" t="s">
        <v>7</v>
      </c>
      <c r="C22">
        <f t="shared" si="7"/>
        <v>54000</v>
      </c>
      <c r="D22">
        <f t="shared" si="8"/>
        <v>17000</v>
      </c>
      <c r="E22">
        <f t="shared" si="0"/>
        <v>50200</v>
      </c>
      <c r="F22">
        <f t="shared" si="1"/>
        <v>17000</v>
      </c>
      <c r="G22">
        <f t="shared" si="2"/>
        <v>65200</v>
      </c>
      <c r="H22">
        <f t="shared" si="9"/>
        <v>17000</v>
      </c>
      <c r="I22">
        <f t="shared" si="3"/>
        <v>1</v>
      </c>
      <c r="J22">
        <f t="shared" si="4"/>
        <v>0</v>
      </c>
      <c r="K22">
        <f t="shared" si="5"/>
        <v>1</v>
      </c>
      <c r="L22">
        <f t="shared" si="6"/>
        <v>0</v>
      </c>
      <c r="O22" s="1">
        <v>41333</v>
      </c>
      <c r="P22" s="2">
        <v>49.6</v>
      </c>
      <c r="Q22" s="2">
        <v>12</v>
      </c>
    </row>
    <row r="23" spans="1:17" x14ac:dyDescent="0.25">
      <c r="A23" s="1">
        <v>41265</v>
      </c>
      <c r="B23" t="s">
        <v>1</v>
      </c>
      <c r="C23">
        <f t="shared" si="7"/>
        <v>65200</v>
      </c>
      <c r="D23">
        <f t="shared" si="8"/>
        <v>17000</v>
      </c>
      <c r="E23">
        <f t="shared" si="0"/>
        <v>61400</v>
      </c>
      <c r="F23">
        <f t="shared" si="1"/>
        <v>17000</v>
      </c>
      <c r="G23">
        <f t="shared" si="2"/>
        <v>61400</v>
      </c>
      <c r="H23">
        <f t="shared" si="9"/>
        <v>17000</v>
      </c>
      <c r="I23">
        <f t="shared" si="3"/>
        <v>0</v>
      </c>
      <c r="J23">
        <f t="shared" si="4"/>
        <v>0</v>
      </c>
      <c r="K23">
        <f t="shared" si="5"/>
        <v>1</v>
      </c>
      <c r="L23">
        <f t="shared" si="6"/>
        <v>0</v>
      </c>
    </row>
    <row r="24" spans="1:17" x14ac:dyDescent="0.25">
      <c r="A24" s="1">
        <v>41266</v>
      </c>
      <c r="B24" t="s">
        <v>2</v>
      </c>
      <c r="C24">
        <f t="shared" si="7"/>
        <v>61400</v>
      </c>
      <c r="D24">
        <f t="shared" si="8"/>
        <v>17000</v>
      </c>
      <c r="E24">
        <f t="shared" si="0"/>
        <v>57600</v>
      </c>
      <c r="F24">
        <f t="shared" si="1"/>
        <v>17000</v>
      </c>
      <c r="G24">
        <f t="shared" si="2"/>
        <v>57600</v>
      </c>
      <c r="H24">
        <f t="shared" si="9"/>
        <v>17000</v>
      </c>
      <c r="I24">
        <f t="shared" si="3"/>
        <v>0</v>
      </c>
      <c r="J24">
        <f t="shared" si="4"/>
        <v>0</v>
      </c>
      <c r="K24">
        <f t="shared" si="5"/>
        <v>1</v>
      </c>
      <c r="L24">
        <f t="shared" si="6"/>
        <v>0</v>
      </c>
    </row>
    <row r="25" spans="1:17" x14ac:dyDescent="0.25">
      <c r="A25" s="1">
        <v>41267</v>
      </c>
      <c r="B25" t="s">
        <v>3</v>
      </c>
      <c r="C25">
        <f t="shared" si="7"/>
        <v>57600</v>
      </c>
      <c r="D25">
        <f t="shared" si="8"/>
        <v>17000</v>
      </c>
      <c r="E25">
        <f t="shared" si="0"/>
        <v>53800</v>
      </c>
      <c r="F25">
        <f t="shared" si="1"/>
        <v>17000</v>
      </c>
      <c r="G25">
        <f t="shared" si="2"/>
        <v>53800</v>
      </c>
      <c r="H25">
        <f t="shared" si="9"/>
        <v>17000</v>
      </c>
      <c r="I25">
        <f t="shared" si="3"/>
        <v>0</v>
      </c>
      <c r="J25">
        <f t="shared" si="4"/>
        <v>0</v>
      </c>
      <c r="K25">
        <f t="shared" si="5"/>
        <v>1</v>
      </c>
      <c r="L25">
        <f t="shared" si="6"/>
        <v>0</v>
      </c>
      <c r="O25" t="s">
        <v>26</v>
      </c>
      <c r="P25">
        <v>95</v>
      </c>
    </row>
    <row r="26" spans="1:17" x14ac:dyDescent="0.25">
      <c r="A26" s="1">
        <v>41268</v>
      </c>
      <c r="B26" t="s">
        <v>4</v>
      </c>
      <c r="C26">
        <f t="shared" si="7"/>
        <v>53800</v>
      </c>
      <c r="D26">
        <f t="shared" si="8"/>
        <v>17000</v>
      </c>
      <c r="E26">
        <f t="shared" si="0"/>
        <v>50000</v>
      </c>
      <c r="F26">
        <f t="shared" si="1"/>
        <v>17000</v>
      </c>
      <c r="G26">
        <f t="shared" si="2"/>
        <v>50000</v>
      </c>
      <c r="H26">
        <f t="shared" si="9"/>
        <v>21000</v>
      </c>
      <c r="I26">
        <f t="shared" si="3"/>
        <v>0</v>
      </c>
      <c r="J26">
        <f t="shared" si="4"/>
        <v>1</v>
      </c>
      <c r="K26">
        <f t="shared" si="5"/>
        <v>1</v>
      </c>
      <c r="L26">
        <f t="shared" si="6"/>
        <v>0</v>
      </c>
    </row>
    <row r="27" spans="1:17" x14ac:dyDescent="0.25">
      <c r="A27" s="1">
        <v>41269</v>
      </c>
      <c r="B27" t="s">
        <v>5</v>
      </c>
      <c r="C27">
        <f t="shared" si="7"/>
        <v>50000</v>
      </c>
      <c r="D27">
        <f t="shared" si="8"/>
        <v>21000</v>
      </c>
      <c r="E27">
        <f t="shared" si="0"/>
        <v>46200</v>
      </c>
      <c r="F27">
        <f t="shared" si="1"/>
        <v>21000</v>
      </c>
      <c r="G27">
        <f t="shared" si="2"/>
        <v>46200</v>
      </c>
      <c r="H27">
        <f t="shared" si="9"/>
        <v>21000</v>
      </c>
      <c r="I27">
        <f t="shared" si="3"/>
        <v>0</v>
      </c>
      <c r="J27">
        <f t="shared" si="4"/>
        <v>0</v>
      </c>
      <c r="K27">
        <f t="shared" si="5"/>
        <v>1</v>
      </c>
      <c r="L27">
        <f t="shared" si="6"/>
        <v>1</v>
      </c>
    </row>
    <row r="28" spans="1:17" x14ac:dyDescent="0.25">
      <c r="A28" s="1">
        <v>41270</v>
      </c>
      <c r="B28" t="s">
        <v>6</v>
      </c>
      <c r="C28">
        <f t="shared" si="7"/>
        <v>46200</v>
      </c>
      <c r="D28">
        <f t="shared" si="8"/>
        <v>21000</v>
      </c>
      <c r="E28">
        <f t="shared" si="0"/>
        <v>46200</v>
      </c>
      <c r="F28">
        <f t="shared" si="1"/>
        <v>19100</v>
      </c>
      <c r="G28">
        <f t="shared" si="2"/>
        <v>46200</v>
      </c>
      <c r="H28">
        <f t="shared" si="9"/>
        <v>19100</v>
      </c>
      <c r="I28">
        <f t="shared" si="3"/>
        <v>0</v>
      </c>
      <c r="J28">
        <f t="shared" si="4"/>
        <v>0</v>
      </c>
      <c r="K28">
        <f t="shared" si="5"/>
        <v>0</v>
      </c>
      <c r="L28">
        <f t="shared" si="6"/>
        <v>1</v>
      </c>
    </row>
    <row r="29" spans="1:17" x14ac:dyDescent="0.25">
      <c r="A29" s="1">
        <v>41271</v>
      </c>
      <c r="B29" t="s">
        <v>7</v>
      </c>
      <c r="C29">
        <f t="shared" si="7"/>
        <v>46200</v>
      </c>
      <c r="D29">
        <f t="shared" si="8"/>
        <v>19100</v>
      </c>
      <c r="E29">
        <f t="shared" si="0"/>
        <v>46200</v>
      </c>
      <c r="F29">
        <f t="shared" si="1"/>
        <v>17200</v>
      </c>
      <c r="G29">
        <f t="shared" si="2"/>
        <v>61200</v>
      </c>
      <c r="H29">
        <f t="shared" si="9"/>
        <v>17200</v>
      </c>
      <c r="I29">
        <f t="shared" si="3"/>
        <v>1</v>
      </c>
      <c r="J29">
        <f t="shared" si="4"/>
        <v>0</v>
      </c>
      <c r="K29">
        <f t="shared" si="5"/>
        <v>0</v>
      </c>
      <c r="L29">
        <f t="shared" si="6"/>
        <v>1</v>
      </c>
    </row>
    <row r="30" spans="1:17" x14ac:dyDescent="0.25">
      <c r="A30" s="1">
        <v>41272</v>
      </c>
      <c r="B30" t="s">
        <v>1</v>
      </c>
      <c r="C30">
        <f t="shared" si="7"/>
        <v>61200</v>
      </c>
      <c r="D30">
        <f t="shared" si="8"/>
        <v>17200</v>
      </c>
      <c r="E30">
        <f t="shared" si="0"/>
        <v>57400</v>
      </c>
      <c r="F30">
        <f t="shared" si="1"/>
        <v>17200</v>
      </c>
      <c r="G30">
        <f t="shared" si="2"/>
        <v>57400</v>
      </c>
      <c r="H30">
        <f t="shared" si="9"/>
        <v>17200</v>
      </c>
      <c r="I30">
        <f t="shared" si="3"/>
        <v>0</v>
      </c>
      <c r="J30">
        <f t="shared" si="4"/>
        <v>0</v>
      </c>
      <c r="K30">
        <f t="shared" si="5"/>
        <v>1</v>
      </c>
      <c r="L30">
        <f t="shared" si="6"/>
        <v>0</v>
      </c>
    </row>
    <row r="31" spans="1:17" x14ac:dyDescent="0.25">
      <c r="A31" s="1">
        <v>41273</v>
      </c>
      <c r="B31" t="s">
        <v>2</v>
      </c>
      <c r="C31">
        <f t="shared" si="7"/>
        <v>57400</v>
      </c>
      <c r="D31">
        <f t="shared" si="8"/>
        <v>17200</v>
      </c>
      <c r="E31">
        <f t="shared" si="0"/>
        <v>53600</v>
      </c>
      <c r="F31">
        <f t="shared" si="1"/>
        <v>17200</v>
      </c>
      <c r="G31">
        <f t="shared" si="2"/>
        <v>53600</v>
      </c>
      <c r="H31">
        <f t="shared" si="9"/>
        <v>17200</v>
      </c>
      <c r="I31">
        <f t="shared" si="3"/>
        <v>0</v>
      </c>
      <c r="J31">
        <f t="shared" si="4"/>
        <v>0</v>
      </c>
      <c r="K31">
        <f t="shared" si="5"/>
        <v>1</v>
      </c>
      <c r="L31">
        <f t="shared" si="6"/>
        <v>0</v>
      </c>
    </row>
    <row r="32" spans="1:17" x14ac:dyDescent="0.25">
      <c r="A32" s="1">
        <v>41274</v>
      </c>
      <c r="B32" t="s">
        <v>3</v>
      </c>
      <c r="C32">
        <f t="shared" si="7"/>
        <v>53600</v>
      </c>
      <c r="D32">
        <f t="shared" si="8"/>
        <v>17200</v>
      </c>
      <c r="E32">
        <f t="shared" si="0"/>
        <v>49800</v>
      </c>
      <c r="F32">
        <f t="shared" si="1"/>
        <v>17200</v>
      </c>
      <c r="G32">
        <f t="shared" si="2"/>
        <v>49800</v>
      </c>
      <c r="H32">
        <f t="shared" si="9"/>
        <v>17200</v>
      </c>
      <c r="I32">
        <f t="shared" si="3"/>
        <v>0</v>
      </c>
      <c r="J32">
        <f t="shared" si="4"/>
        <v>0</v>
      </c>
      <c r="K32">
        <f t="shared" si="5"/>
        <v>1</v>
      </c>
      <c r="L32">
        <f t="shared" si="6"/>
        <v>0</v>
      </c>
    </row>
    <row r="33" spans="1:12" x14ac:dyDescent="0.25">
      <c r="A33" s="1">
        <v>41275</v>
      </c>
      <c r="B33" t="s">
        <v>4</v>
      </c>
      <c r="C33">
        <f t="shared" si="7"/>
        <v>49800</v>
      </c>
      <c r="D33">
        <f t="shared" si="8"/>
        <v>17200</v>
      </c>
      <c r="E33">
        <f t="shared" si="0"/>
        <v>49800</v>
      </c>
      <c r="F33">
        <f t="shared" si="1"/>
        <v>15300</v>
      </c>
      <c r="G33">
        <f t="shared" si="2"/>
        <v>49800</v>
      </c>
      <c r="H33">
        <f t="shared" si="9"/>
        <v>19300</v>
      </c>
      <c r="I33">
        <f t="shared" si="3"/>
        <v>0</v>
      </c>
      <c r="J33">
        <f t="shared" si="4"/>
        <v>1</v>
      </c>
      <c r="K33">
        <f t="shared" si="5"/>
        <v>0</v>
      </c>
      <c r="L33">
        <f t="shared" si="6"/>
        <v>1</v>
      </c>
    </row>
    <row r="34" spans="1:12" x14ac:dyDescent="0.25">
      <c r="A34" s="1">
        <v>41276</v>
      </c>
      <c r="B34" t="s">
        <v>5</v>
      </c>
      <c r="C34">
        <f t="shared" si="7"/>
        <v>49800</v>
      </c>
      <c r="D34">
        <f t="shared" si="8"/>
        <v>19300</v>
      </c>
      <c r="E34">
        <f t="shared" si="0"/>
        <v>49800</v>
      </c>
      <c r="F34">
        <f t="shared" si="1"/>
        <v>17400</v>
      </c>
      <c r="G34">
        <f t="shared" si="2"/>
        <v>49800</v>
      </c>
      <c r="H34">
        <f t="shared" si="9"/>
        <v>17400</v>
      </c>
      <c r="I34">
        <f t="shared" si="3"/>
        <v>0</v>
      </c>
      <c r="J34">
        <f t="shared" si="4"/>
        <v>0</v>
      </c>
      <c r="K34">
        <f t="shared" si="5"/>
        <v>0</v>
      </c>
      <c r="L34">
        <f t="shared" si="6"/>
        <v>1</v>
      </c>
    </row>
    <row r="35" spans="1:12" x14ac:dyDescent="0.25">
      <c r="A35" s="1">
        <v>41277</v>
      </c>
      <c r="B35" t="s">
        <v>6</v>
      </c>
      <c r="C35">
        <f t="shared" si="7"/>
        <v>49800</v>
      </c>
      <c r="D35">
        <f t="shared" si="8"/>
        <v>17400</v>
      </c>
      <c r="E35">
        <f t="shared" si="0"/>
        <v>49800</v>
      </c>
      <c r="F35">
        <f t="shared" si="1"/>
        <v>15500</v>
      </c>
      <c r="G35">
        <f t="shared" si="2"/>
        <v>49800</v>
      </c>
      <c r="H35">
        <f t="shared" si="9"/>
        <v>15500</v>
      </c>
      <c r="I35">
        <f t="shared" si="3"/>
        <v>0</v>
      </c>
      <c r="J35">
        <f t="shared" si="4"/>
        <v>0</v>
      </c>
      <c r="K35">
        <f t="shared" si="5"/>
        <v>0</v>
      </c>
      <c r="L35">
        <f t="shared" si="6"/>
        <v>1</v>
      </c>
    </row>
    <row r="36" spans="1:12" x14ac:dyDescent="0.25">
      <c r="A36" s="1">
        <v>41278</v>
      </c>
      <c r="B36" t="s">
        <v>7</v>
      </c>
      <c r="C36">
        <f t="shared" si="7"/>
        <v>49800</v>
      </c>
      <c r="D36">
        <f t="shared" si="8"/>
        <v>15500</v>
      </c>
      <c r="E36">
        <f t="shared" si="0"/>
        <v>49800</v>
      </c>
      <c r="F36">
        <f t="shared" si="1"/>
        <v>13600</v>
      </c>
      <c r="G36">
        <f t="shared" si="2"/>
        <v>64800</v>
      </c>
      <c r="H36">
        <f t="shared" si="9"/>
        <v>13600</v>
      </c>
      <c r="I36">
        <f t="shared" si="3"/>
        <v>1</v>
      </c>
      <c r="J36">
        <f t="shared" si="4"/>
        <v>0</v>
      </c>
      <c r="K36">
        <f t="shared" si="5"/>
        <v>0</v>
      </c>
      <c r="L36">
        <f t="shared" si="6"/>
        <v>1</v>
      </c>
    </row>
    <row r="37" spans="1:12" x14ac:dyDescent="0.25">
      <c r="A37" s="1">
        <v>41279</v>
      </c>
      <c r="B37" t="s">
        <v>1</v>
      </c>
      <c r="C37">
        <f t="shared" si="7"/>
        <v>64800</v>
      </c>
      <c r="D37">
        <f t="shared" si="8"/>
        <v>13600</v>
      </c>
      <c r="E37">
        <f t="shared" si="0"/>
        <v>61000</v>
      </c>
      <c r="F37">
        <f t="shared" si="1"/>
        <v>13600</v>
      </c>
      <c r="G37">
        <f t="shared" si="2"/>
        <v>61000</v>
      </c>
      <c r="H37">
        <f t="shared" si="9"/>
        <v>13600</v>
      </c>
      <c r="I37">
        <f t="shared" si="3"/>
        <v>0</v>
      </c>
      <c r="J37">
        <f t="shared" si="4"/>
        <v>0</v>
      </c>
      <c r="K37">
        <f t="shared" si="5"/>
        <v>1</v>
      </c>
      <c r="L37">
        <f t="shared" si="6"/>
        <v>0</v>
      </c>
    </row>
    <row r="38" spans="1:12" x14ac:dyDescent="0.25">
      <c r="A38" s="1">
        <v>41280</v>
      </c>
      <c r="B38" t="s">
        <v>2</v>
      </c>
      <c r="C38">
        <f t="shared" si="7"/>
        <v>61000</v>
      </c>
      <c r="D38">
        <f t="shared" si="8"/>
        <v>13600</v>
      </c>
      <c r="E38">
        <f t="shared" si="0"/>
        <v>57200</v>
      </c>
      <c r="F38">
        <f t="shared" si="1"/>
        <v>13600</v>
      </c>
      <c r="G38">
        <f t="shared" si="2"/>
        <v>57200</v>
      </c>
      <c r="H38">
        <f t="shared" si="9"/>
        <v>13600</v>
      </c>
      <c r="I38">
        <f t="shared" si="3"/>
        <v>0</v>
      </c>
      <c r="J38">
        <f t="shared" si="4"/>
        <v>0</v>
      </c>
      <c r="K38">
        <f t="shared" si="5"/>
        <v>1</v>
      </c>
      <c r="L38">
        <f t="shared" si="6"/>
        <v>0</v>
      </c>
    </row>
    <row r="39" spans="1:12" x14ac:dyDescent="0.25">
      <c r="A39" s="1">
        <v>41281</v>
      </c>
      <c r="B39" t="s">
        <v>3</v>
      </c>
      <c r="C39">
        <f t="shared" si="7"/>
        <v>57200</v>
      </c>
      <c r="D39">
        <f t="shared" si="8"/>
        <v>13600</v>
      </c>
      <c r="E39">
        <f t="shared" si="0"/>
        <v>53400</v>
      </c>
      <c r="F39">
        <f t="shared" si="1"/>
        <v>13600</v>
      </c>
      <c r="G39">
        <f t="shared" si="2"/>
        <v>53400</v>
      </c>
      <c r="H39">
        <f t="shared" si="9"/>
        <v>13600</v>
      </c>
      <c r="I39">
        <f t="shared" si="3"/>
        <v>0</v>
      </c>
      <c r="J39">
        <f t="shared" si="4"/>
        <v>0</v>
      </c>
      <c r="K39">
        <f t="shared" si="5"/>
        <v>1</v>
      </c>
      <c r="L39">
        <f t="shared" si="6"/>
        <v>0</v>
      </c>
    </row>
    <row r="40" spans="1:12" x14ac:dyDescent="0.25">
      <c r="A40" s="1">
        <v>41282</v>
      </c>
      <c r="B40" t="s">
        <v>4</v>
      </c>
      <c r="C40">
        <f t="shared" si="7"/>
        <v>53400</v>
      </c>
      <c r="D40">
        <f t="shared" si="8"/>
        <v>13600</v>
      </c>
      <c r="E40">
        <f t="shared" si="0"/>
        <v>49600</v>
      </c>
      <c r="F40">
        <f t="shared" si="1"/>
        <v>13600</v>
      </c>
      <c r="G40">
        <f t="shared" si="2"/>
        <v>49600</v>
      </c>
      <c r="H40">
        <f t="shared" si="9"/>
        <v>17600</v>
      </c>
      <c r="I40">
        <f t="shared" si="3"/>
        <v>0</v>
      </c>
      <c r="J40">
        <f t="shared" si="4"/>
        <v>1</v>
      </c>
      <c r="K40">
        <f t="shared" si="5"/>
        <v>1</v>
      </c>
      <c r="L40">
        <f t="shared" si="6"/>
        <v>0</v>
      </c>
    </row>
    <row r="41" spans="1:12" x14ac:dyDescent="0.25">
      <c r="A41" s="1">
        <v>41283</v>
      </c>
      <c r="B41" t="s">
        <v>5</v>
      </c>
      <c r="C41">
        <f t="shared" si="7"/>
        <v>49600</v>
      </c>
      <c r="D41">
        <f t="shared" si="8"/>
        <v>17600</v>
      </c>
      <c r="E41">
        <f t="shared" si="0"/>
        <v>49600</v>
      </c>
      <c r="F41">
        <f t="shared" si="1"/>
        <v>15700</v>
      </c>
      <c r="G41">
        <f t="shared" si="2"/>
        <v>49600</v>
      </c>
      <c r="H41">
        <f t="shared" si="9"/>
        <v>15700</v>
      </c>
      <c r="I41">
        <f t="shared" si="3"/>
        <v>0</v>
      </c>
      <c r="J41">
        <f t="shared" si="4"/>
        <v>0</v>
      </c>
      <c r="K41">
        <f t="shared" si="5"/>
        <v>0</v>
      </c>
      <c r="L41">
        <f t="shared" si="6"/>
        <v>1</v>
      </c>
    </row>
    <row r="42" spans="1:12" x14ac:dyDescent="0.25">
      <c r="A42" s="1">
        <v>41284</v>
      </c>
      <c r="B42" t="s">
        <v>6</v>
      </c>
      <c r="C42">
        <f t="shared" si="7"/>
        <v>49600</v>
      </c>
      <c r="D42">
        <f t="shared" si="8"/>
        <v>15700</v>
      </c>
      <c r="E42">
        <f t="shared" si="0"/>
        <v>49600</v>
      </c>
      <c r="F42">
        <f t="shared" si="1"/>
        <v>13800</v>
      </c>
      <c r="G42">
        <f t="shared" si="2"/>
        <v>49600</v>
      </c>
      <c r="H42">
        <f t="shared" si="9"/>
        <v>13800</v>
      </c>
      <c r="I42">
        <f t="shared" si="3"/>
        <v>0</v>
      </c>
      <c r="J42">
        <f t="shared" si="4"/>
        <v>0</v>
      </c>
      <c r="K42">
        <f t="shared" si="5"/>
        <v>0</v>
      </c>
      <c r="L42">
        <f t="shared" si="6"/>
        <v>1</v>
      </c>
    </row>
    <row r="43" spans="1:12" x14ac:dyDescent="0.25">
      <c r="A43" s="1">
        <v>41285</v>
      </c>
      <c r="B43" t="s">
        <v>7</v>
      </c>
      <c r="C43">
        <f t="shared" si="7"/>
        <v>49600</v>
      </c>
      <c r="D43">
        <f t="shared" si="8"/>
        <v>13800</v>
      </c>
      <c r="E43">
        <f t="shared" si="0"/>
        <v>49600</v>
      </c>
      <c r="F43">
        <f t="shared" si="1"/>
        <v>11900</v>
      </c>
      <c r="G43">
        <f t="shared" si="2"/>
        <v>64600</v>
      </c>
      <c r="H43">
        <f t="shared" si="9"/>
        <v>11900</v>
      </c>
      <c r="I43">
        <f t="shared" si="3"/>
        <v>1</v>
      </c>
      <c r="J43">
        <f t="shared" si="4"/>
        <v>0</v>
      </c>
      <c r="K43">
        <f t="shared" si="5"/>
        <v>0</v>
      </c>
      <c r="L43">
        <f t="shared" si="6"/>
        <v>1</v>
      </c>
    </row>
    <row r="44" spans="1:12" x14ac:dyDescent="0.25">
      <c r="A44" s="1">
        <v>41286</v>
      </c>
      <c r="B44" t="s">
        <v>1</v>
      </c>
      <c r="C44">
        <f t="shared" si="7"/>
        <v>64600</v>
      </c>
      <c r="D44">
        <f t="shared" si="8"/>
        <v>11900</v>
      </c>
      <c r="E44">
        <f t="shared" si="0"/>
        <v>60800</v>
      </c>
      <c r="F44">
        <f t="shared" si="1"/>
        <v>11900</v>
      </c>
      <c r="G44">
        <f t="shared" si="2"/>
        <v>60800</v>
      </c>
      <c r="H44">
        <f t="shared" si="9"/>
        <v>11900</v>
      </c>
      <c r="I44">
        <f t="shared" si="3"/>
        <v>0</v>
      </c>
      <c r="J44">
        <f t="shared" si="4"/>
        <v>0</v>
      </c>
      <c r="K44">
        <f t="shared" si="5"/>
        <v>1</v>
      </c>
      <c r="L44">
        <f t="shared" si="6"/>
        <v>0</v>
      </c>
    </row>
    <row r="45" spans="1:12" x14ac:dyDescent="0.25">
      <c r="A45" s="1">
        <v>41287</v>
      </c>
      <c r="B45" t="s">
        <v>2</v>
      </c>
      <c r="C45">
        <f t="shared" si="7"/>
        <v>60800</v>
      </c>
      <c r="D45">
        <f t="shared" si="8"/>
        <v>11900</v>
      </c>
      <c r="E45">
        <f t="shared" si="0"/>
        <v>57000</v>
      </c>
      <c r="F45">
        <f t="shared" si="1"/>
        <v>11900</v>
      </c>
      <c r="G45">
        <f t="shared" si="2"/>
        <v>57000</v>
      </c>
      <c r="H45">
        <f t="shared" si="9"/>
        <v>11900</v>
      </c>
      <c r="I45">
        <f t="shared" si="3"/>
        <v>0</v>
      </c>
      <c r="J45">
        <f t="shared" si="4"/>
        <v>0</v>
      </c>
      <c r="K45">
        <f t="shared" si="5"/>
        <v>1</v>
      </c>
      <c r="L45">
        <f t="shared" si="6"/>
        <v>0</v>
      </c>
    </row>
    <row r="46" spans="1:12" x14ac:dyDescent="0.25">
      <c r="A46" s="1">
        <v>41288</v>
      </c>
      <c r="B46" t="s">
        <v>3</v>
      </c>
      <c r="C46">
        <f t="shared" si="7"/>
        <v>57000</v>
      </c>
      <c r="D46">
        <f t="shared" si="8"/>
        <v>11900</v>
      </c>
      <c r="E46">
        <f t="shared" si="0"/>
        <v>53200</v>
      </c>
      <c r="F46">
        <f t="shared" si="1"/>
        <v>11900</v>
      </c>
      <c r="G46">
        <f t="shared" si="2"/>
        <v>53200</v>
      </c>
      <c r="H46">
        <f t="shared" si="9"/>
        <v>11900</v>
      </c>
      <c r="I46">
        <f t="shared" si="3"/>
        <v>0</v>
      </c>
      <c r="J46">
        <f t="shared" si="4"/>
        <v>0</v>
      </c>
      <c r="K46">
        <f t="shared" si="5"/>
        <v>1</v>
      </c>
      <c r="L46">
        <f t="shared" si="6"/>
        <v>0</v>
      </c>
    </row>
    <row r="47" spans="1:12" x14ac:dyDescent="0.25">
      <c r="A47" s="1">
        <v>41289</v>
      </c>
      <c r="B47" t="s">
        <v>4</v>
      </c>
      <c r="C47">
        <f t="shared" si="7"/>
        <v>53200</v>
      </c>
      <c r="D47">
        <f t="shared" si="8"/>
        <v>11900</v>
      </c>
      <c r="E47">
        <f t="shared" si="0"/>
        <v>49400</v>
      </c>
      <c r="F47">
        <f t="shared" si="1"/>
        <v>11900</v>
      </c>
      <c r="G47">
        <f t="shared" si="2"/>
        <v>49400</v>
      </c>
      <c r="H47">
        <f t="shared" si="9"/>
        <v>15900</v>
      </c>
      <c r="I47">
        <f t="shared" si="3"/>
        <v>0</v>
      </c>
      <c r="J47">
        <f t="shared" si="4"/>
        <v>1</v>
      </c>
      <c r="K47">
        <f t="shared" si="5"/>
        <v>1</v>
      </c>
      <c r="L47">
        <f t="shared" si="6"/>
        <v>0</v>
      </c>
    </row>
    <row r="48" spans="1:12" x14ac:dyDescent="0.25">
      <c r="A48" s="1">
        <v>41290</v>
      </c>
      <c r="B48" t="s">
        <v>5</v>
      </c>
      <c r="C48">
        <f t="shared" si="7"/>
        <v>49400</v>
      </c>
      <c r="D48">
        <f t="shared" si="8"/>
        <v>15900</v>
      </c>
      <c r="E48">
        <f t="shared" si="0"/>
        <v>49400</v>
      </c>
      <c r="F48">
        <f t="shared" si="1"/>
        <v>14000</v>
      </c>
      <c r="G48">
        <f t="shared" si="2"/>
        <v>49400</v>
      </c>
      <c r="H48">
        <f t="shared" si="9"/>
        <v>14000</v>
      </c>
      <c r="I48">
        <f t="shared" si="3"/>
        <v>0</v>
      </c>
      <c r="J48">
        <f t="shared" si="4"/>
        <v>0</v>
      </c>
      <c r="K48">
        <f t="shared" si="5"/>
        <v>0</v>
      </c>
      <c r="L48">
        <f t="shared" si="6"/>
        <v>1</v>
      </c>
    </row>
    <row r="49" spans="1:12" x14ac:dyDescent="0.25">
      <c r="A49" s="1">
        <v>41291</v>
      </c>
      <c r="B49" t="s">
        <v>6</v>
      </c>
      <c r="C49">
        <f t="shared" si="7"/>
        <v>49400</v>
      </c>
      <c r="D49">
        <f t="shared" si="8"/>
        <v>14000</v>
      </c>
      <c r="E49">
        <f t="shared" si="0"/>
        <v>49400</v>
      </c>
      <c r="F49">
        <f t="shared" si="1"/>
        <v>12100</v>
      </c>
      <c r="G49">
        <f t="shared" si="2"/>
        <v>49400</v>
      </c>
      <c r="H49">
        <f t="shared" si="9"/>
        <v>12100</v>
      </c>
      <c r="I49">
        <f t="shared" si="3"/>
        <v>0</v>
      </c>
      <c r="J49">
        <f t="shared" si="4"/>
        <v>0</v>
      </c>
      <c r="K49">
        <f t="shared" si="5"/>
        <v>0</v>
      </c>
      <c r="L49">
        <f t="shared" si="6"/>
        <v>1</v>
      </c>
    </row>
    <row r="50" spans="1:12" x14ac:dyDescent="0.25">
      <c r="A50" s="1">
        <v>41292</v>
      </c>
      <c r="B50" t="s">
        <v>7</v>
      </c>
      <c r="C50">
        <f t="shared" si="7"/>
        <v>49400</v>
      </c>
      <c r="D50">
        <f t="shared" si="8"/>
        <v>12100</v>
      </c>
      <c r="E50">
        <f t="shared" si="0"/>
        <v>49400</v>
      </c>
      <c r="F50">
        <f t="shared" si="1"/>
        <v>10200</v>
      </c>
      <c r="G50">
        <f t="shared" si="2"/>
        <v>64400</v>
      </c>
      <c r="H50">
        <f t="shared" si="9"/>
        <v>10200</v>
      </c>
      <c r="I50">
        <f t="shared" si="3"/>
        <v>1</v>
      </c>
      <c r="J50">
        <f t="shared" si="4"/>
        <v>0</v>
      </c>
      <c r="K50">
        <f t="shared" si="5"/>
        <v>0</v>
      </c>
      <c r="L50">
        <f t="shared" si="6"/>
        <v>1</v>
      </c>
    </row>
    <row r="51" spans="1:12" x14ac:dyDescent="0.25">
      <c r="A51" s="1">
        <v>41293</v>
      </c>
      <c r="B51" t="s">
        <v>1</v>
      </c>
      <c r="C51">
        <f t="shared" si="7"/>
        <v>64400</v>
      </c>
      <c r="D51">
        <f t="shared" si="8"/>
        <v>10200</v>
      </c>
      <c r="E51">
        <f t="shared" si="0"/>
        <v>60600</v>
      </c>
      <c r="F51">
        <f t="shared" si="1"/>
        <v>10200</v>
      </c>
      <c r="G51">
        <f t="shared" si="2"/>
        <v>60600</v>
      </c>
      <c r="H51">
        <f t="shared" si="9"/>
        <v>10200</v>
      </c>
      <c r="I51">
        <f t="shared" si="3"/>
        <v>0</v>
      </c>
      <c r="J51">
        <f t="shared" si="4"/>
        <v>0</v>
      </c>
      <c r="K51">
        <f t="shared" si="5"/>
        <v>1</v>
      </c>
      <c r="L51">
        <f t="shared" si="6"/>
        <v>0</v>
      </c>
    </row>
    <row r="52" spans="1:12" x14ac:dyDescent="0.25">
      <c r="A52" s="1">
        <v>41294</v>
      </c>
      <c r="B52" t="s">
        <v>2</v>
      </c>
      <c r="C52">
        <f t="shared" si="7"/>
        <v>60600</v>
      </c>
      <c r="D52">
        <f t="shared" si="8"/>
        <v>10200</v>
      </c>
      <c r="E52">
        <f t="shared" si="0"/>
        <v>56800</v>
      </c>
      <c r="F52">
        <f t="shared" si="1"/>
        <v>10200</v>
      </c>
      <c r="G52">
        <f t="shared" si="2"/>
        <v>56800</v>
      </c>
      <c r="H52">
        <f t="shared" si="9"/>
        <v>10200</v>
      </c>
      <c r="I52">
        <f t="shared" si="3"/>
        <v>0</v>
      </c>
      <c r="J52">
        <f t="shared" si="4"/>
        <v>0</v>
      </c>
      <c r="K52">
        <f t="shared" si="5"/>
        <v>1</v>
      </c>
      <c r="L52">
        <f t="shared" si="6"/>
        <v>0</v>
      </c>
    </row>
    <row r="53" spans="1:12" x14ac:dyDescent="0.25">
      <c r="A53" s="1">
        <v>41295</v>
      </c>
      <c r="B53" t="s">
        <v>3</v>
      </c>
      <c r="C53">
        <f t="shared" si="7"/>
        <v>56800</v>
      </c>
      <c r="D53">
        <f t="shared" si="8"/>
        <v>10200</v>
      </c>
      <c r="E53">
        <f t="shared" si="0"/>
        <v>53000</v>
      </c>
      <c r="F53">
        <f t="shared" si="1"/>
        <v>10200</v>
      </c>
      <c r="G53">
        <f t="shared" si="2"/>
        <v>53000</v>
      </c>
      <c r="H53">
        <f t="shared" si="9"/>
        <v>10200</v>
      </c>
      <c r="I53">
        <f t="shared" si="3"/>
        <v>0</v>
      </c>
      <c r="J53">
        <f t="shared" si="4"/>
        <v>0</v>
      </c>
      <c r="K53">
        <f t="shared" si="5"/>
        <v>1</v>
      </c>
      <c r="L53">
        <f t="shared" si="6"/>
        <v>0</v>
      </c>
    </row>
    <row r="54" spans="1:12" x14ac:dyDescent="0.25">
      <c r="A54" s="1">
        <v>41296</v>
      </c>
      <c r="B54" t="s">
        <v>4</v>
      </c>
      <c r="C54">
        <f t="shared" si="7"/>
        <v>53000</v>
      </c>
      <c r="D54">
        <f t="shared" si="8"/>
        <v>10200</v>
      </c>
      <c r="E54">
        <f t="shared" si="0"/>
        <v>49200</v>
      </c>
      <c r="F54">
        <f t="shared" si="1"/>
        <v>10200</v>
      </c>
      <c r="G54">
        <f t="shared" si="2"/>
        <v>49200</v>
      </c>
      <c r="H54">
        <f t="shared" si="9"/>
        <v>14200</v>
      </c>
      <c r="I54">
        <f t="shared" si="3"/>
        <v>0</v>
      </c>
      <c r="J54">
        <f t="shared" si="4"/>
        <v>1</v>
      </c>
      <c r="K54">
        <f t="shared" si="5"/>
        <v>1</v>
      </c>
      <c r="L54">
        <f t="shared" si="6"/>
        <v>0</v>
      </c>
    </row>
    <row r="55" spans="1:12" x14ac:dyDescent="0.25">
      <c r="A55" s="1">
        <v>41297</v>
      </c>
      <c r="B55" t="s">
        <v>5</v>
      </c>
      <c r="C55">
        <f t="shared" si="7"/>
        <v>49200</v>
      </c>
      <c r="D55">
        <f t="shared" si="8"/>
        <v>14200</v>
      </c>
      <c r="E55">
        <f t="shared" si="0"/>
        <v>49200</v>
      </c>
      <c r="F55">
        <f t="shared" si="1"/>
        <v>12300</v>
      </c>
      <c r="G55">
        <f t="shared" si="2"/>
        <v>49200</v>
      </c>
      <c r="H55">
        <f t="shared" si="9"/>
        <v>12300</v>
      </c>
      <c r="I55">
        <f t="shared" si="3"/>
        <v>0</v>
      </c>
      <c r="J55">
        <f t="shared" si="4"/>
        <v>0</v>
      </c>
      <c r="K55">
        <f t="shared" si="5"/>
        <v>0</v>
      </c>
      <c r="L55">
        <f t="shared" si="6"/>
        <v>1</v>
      </c>
    </row>
    <row r="56" spans="1:12" x14ac:dyDescent="0.25">
      <c r="A56" s="1">
        <v>41298</v>
      </c>
      <c r="B56" t="s">
        <v>6</v>
      </c>
      <c r="C56">
        <f t="shared" si="7"/>
        <v>49200</v>
      </c>
      <c r="D56">
        <f t="shared" si="8"/>
        <v>12300</v>
      </c>
      <c r="E56">
        <f t="shared" si="0"/>
        <v>49200</v>
      </c>
      <c r="F56">
        <f t="shared" si="1"/>
        <v>10400</v>
      </c>
      <c r="G56">
        <f t="shared" si="2"/>
        <v>49200</v>
      </c>
      <c r="H56">
        <f t="shared" si="9"/>
        <v>10400</v>
      </c>
      <c r="I56">
        <f t="shared" si="3"/>
        <v>0</v>
      </c>
      <c r="J56">
        <f t="shared" si="4"/>
        <v>0</v>
      </c>
      <c r="K56">
        <f t="shared" si="5"/>
        <v>0</v>
      </c>
      <c r="L56">
        <f t="shared" si="6"/>
        <v>1</v>
      </c>
    </row>
    <row r="57" spans="1:12" x14ac:dyDescent="0.25">
      <c r="A57" s="1">
        <v>41299</v>
      </c>
      <c r="B57" t="s">
        <v>7</v>
      </c>
      <c r="C57">
        <f t="shared" si="7"/>
        <v>49200</v>
      </c>
      <c r="D57">
        <f t="shared" si="8"/>
        <v>10400</v>
      </c>
      <c r="E57">
        <f t="shared" si="0"/>
        <v>49200</v>
      </c>
      <c r="F57">
        <f t="shared" si="1"/>
        <v>8500</v>
      </c>
      <c r="G57">
        <f t="shared" si="2"/>
        <v>64200</v>
      </c>
      <c r="H57">
        <f t="shared" si="9"/>
        <v>8500</v>
      </c>
      <c r="I57">
        <f t="shared" si="3"/>
        <v>1</v>
      </c>
      <c r="J57">
        <f t="shared" si="4"/>
        <v>0</v>
      </c>
      <c r="K57">
        <f t="shared" si="5"/>
        <v>0</v>
      </c>
      <c r="L57">
        <f t="shared" si="6"/>
        <v>1</v>
      </c>
    </row>
    <row r="58" spans="1:12" x14ac:dyDescent="0.25">
      <c r="A58" s="1">
        <v>41300</v>
      </c>
      <c r="B58" t="s">
        <v>1</v>
      </c>
      <c r="C58">
        <f t="shared" si="7"/>
        <v>64200</v>
      </c>
      <c r="D58">
        <f t="shared" si="8"/>
        <v>8500</v>
      </c>
      <c r="E58">
        <f t="shared" si="0"/>
        <v>60400</v>
      </c>
      <c r="F58">
        <f t="shared" si="1"/>
        <v>8500</v>
      </c>
      <c r="G58">
        <f t="shared" si="2"/>
        <v>60400</v>
      </c>
      <c r="H58">
        <f t="shared" si="9"/>
        <v>8500</v>
      </c>
      <c r="I58">
        <f t="shared" si="3"/>
        <v>0</v>
      </c>
      <c r="J58">
        <f t="shared" si="4"/>
        <v>0</v>
      </c>
      <c r="K58">
        <f t="shared" si="5"/>
        <v>1</v>
      </c>
      <c r="L58">
        <f t="shared" si="6"/>
        <v>0</v>
      </c>
    </row>
    <row r="59" spans="1:12" x14ac:dyDescent="0.25">
      <c r="A59" s="1">
        <v>41301</v>
      </c>
      <c r="B59" t="s">
        <v>2</v>
      </c>
      <c r="C59">
        <f t="shared" si="7"/>
        <v>60400</v>
      </c>
      <c r="D59">
        <f t="shared" si="8"/>
        <v>8500</v>
      </c>
      <c r="E59">
        <f t="shared" si="0"/>
        <v>56600</v>
      </c>
      <c r="F59">
        <f t="shared" si="1"/>
        <v>8500</v>
      </c>
      <c r="G59">
        <f t="shared" si="2"/>
        <v>56600</v>
      </c>
      <c r="H59">
        <f t="shared" si="9"/>
        <v>8500</v>
      </c>
      <c r="I59">
        <f t="shared" si="3"/>
        <v>0</v>
      </c>
      <c r="J59">
        <f t="shared" si="4"/>
        <v>0</v>
      </c>
      <c r="K59">
        <f t="shared" si="5"/>
        <v>1</v>
      </c>
      <c r="L59">
        <f t="shared" si="6"/>
        <v>0</v>
      </c>
    </row>
    <row r="60" spans="1:12" x14ac:dyDescent="0.25">
      <c r="A60" s="1">
        <v>41302</v>
      </c>
      <c r="B60" t="s">
        <v>3</v>
      </c>
      <c r="C60">
        <f t="shared" si="7"/>
        <v>56600</v>
      </c>
      <c r="D60">
        <f t="shared" si="8"/>
        <v>8500</v>
      </c>
      <c r="E60">
        <f t="shared" si="0"/>
        <v>52800</v>
      </c>
      <c r="F60">
        <f t="shared" si="1"/>
        <v>8500</v>
      </c>
      <c r="G60">
        <f t="shared" si="2"/>
        <v>52800</v>
      </c>
      <c r="H60">
        <f t="shared" si="9"/>
        <v>8500</v>
      </c>
      <c r="I60">
        <f t="shared" si="3"/>
        <v>0</v>
      </c>
      <c r="J60">
        <f t="shared" si="4"/>
        <v>0</v>
      </c>
      <c r="K60">
        <f t="shared" si="5"/>
        <v>1</v>
      </c>
      <c r="L60">
        <f t="shared" si="6"/>
        <v>0</v>
      </c>
    </row>
    <row r="61" spans="1:12" x14ac:dyDescent="0.25">
      <c r="A61" s="1">
        <v>41303</v>
      </c>
      <c r="B61" t="s">
        <v>4</v>
      </c>
      <c r="C61">
        <f t="shared" si="7"/>
        <v>52800</v>
      </c>
      <c r="D61">
        <f t="shared" si="8"/>
        <v>8500</v>
      </c>
      <c r="E61">
        <f t="shared" si="0"/>
        <v>49000</v>
      </c>
      <c r="F61">
        <f t="shared" si="1"/>
        <v>8500</v>
      </c>
      <c r="G61">
        <f t="shared" si="2"/>
        <v>49000</v>
      </c>
      <c r="H61">
        <f t="shared" si="9"/>
        <v>12500</v>
      </c>
      <c r="I61">
        <f t="shared" si="3"/>
        <v>0</v>
      </c>
      <c r="J61">
        <f t="shared" si="4"/>
        <v>1</v>
      </c>
      <c r="K61">
        <f t="shared" si="5"/>
        <v>1</v>
      </c>
      <c r="L61">
        <f t="shared" si="6"/>
        <v>0</v>
      </c>
    </row>
    <row r="62" spans="1:12" x14ac:dyDescent="0.25">
      <c r="A62" s="1">
        <v>41304</v>
      </c>
      <c r="B62" t="s">
        <v>5</v>
      </c>
      <c r="C62">
        <f t="shared" si="7"/>
        <v>49000</v>
      </c>
      <c r="D62">
        <f t="shared" si="8"/>
        <v>12500</v>
      </c>
      <c r="E62">
        <f t="shared" si="0"/>
        <v>49000</v>
      </c>
      <c r="F62">
        <f t="shared" si="1"/>
        <v>10600</v>
      </c>
      <c r="G62">
        <f t="shared" si="2"/>
        <v>49000</v>
      </c>
      <c r="H62">
        <f t="shared" si="9"/>
        <v>10600</v>
      </c>
      <c r="I62">
        <f t="shared" si="3"/>
        <v>0</v>
      </c>
      <c r="J62">
        <f t="shared" si="4"/>
        <v>0</v>
      </c>
      <c r="K62">
        <f t="shared" si="5"/>
        <v>0</v>
      </c>
      <c r="L62">
        <f t="shared" si="6"/>
        <v>1</v>
      </c>
    </row>
    <row r="63" spans="1:12" x14ac:dyDescent="0.25">
      <c r="A63" s="1">
        <v>41305</v>
      </c>
      <c r="B63" t="s">
        <v>6</v>
      </c>
      <c r="C63">
        <f t="shared" si="7"/>
        <v>49000</v>
      </c>
      <c r="D63">
        <f t="shared" si="8"/>
        <v>10600</v>
      </c>
      <c r="E63">
        <f t="shared" si="0"/>
        <v>49000</v>
      </c>
      <c r="F63">
        <f t="shared" si="1"/>
        <v>8700</v>
      </c>
      <c r="G63">
        <f t="shared" si="2"/>
        <v>49000</v>
      </c>
      <c r="H63">
        <f t="shared" si="9"/>
        <v>8700</v>
      </c>
      <c r="I63">
        <f t="shared" si="3"/>
        <v>0</v>
      </c>
      <c r="J63">
        <f t="shared" si="4"/>
        <v>0</v>
      </c>
      <c r="K63">
        <f t="shared" si="5"/>
        <v>0</v>
      </c>
      <c r="L63">
        <f t="shared" si="6"/>
        <v>1</v>
      </c>
    </row>
    <row r="64" spans="1:12" x14ac:dyDescent="0.25">
      <c r="A64" s="1">
        <v>41306</v>
      </c>
      <c r="B64" t="s">
        <v>7</v>
      </c>
      <c r="C64">
        <f t="shared" si="7"/>
        <v>49000</v>
      </c>
      <c r="D64">
        <f t="shared" si="8"/>
        <v>8700</v>
      </c>
      <c r="E64">
        <f t="shared" si="0"/>
        <v>49000</v>
      </c>
      <c r="F64">
        <f t="shared" si="1"/>
        <v>6800</v>
      </c>
      <c r="G64">
        <f t="shared" si="2"/>
        <v>64000</v>
      </c>
      <c r="H64">
        <f t="shared" si="9"/>
        <v>6800</v>
      </c>
      <c r="I64">
        <f t="shared" si="3"/>
        <v>1</v>
      </c>
      <c r="J64">
        <f t="shared" si="4"/>
        <v>0</v>
      </c>
      <c r="K64">
        <f t="shared" si="5"/>
        <v>0</v>
      </c>
      <c r="L64">
        <f t="shared" si="6"/>
        <v>1</v>
      </c>
    </row>
    <row r="65" spans="1:12" x14ac:dyDescent="0.25">
      <c r="A65" s="1">
        <v>41307</v>
      </c>
      <c r="B65" t="s">
        <v>1</v>
      </c>
      <c r="C65">
        <f t="shared" si="7"/>
        <v>64000</v>
      </c>
      <c r="D65">
        <f t="shared" si="8"/>
        <v>6800</v>
      </c>
      <c r="E65">
        <f t="shared" si="0"/>
        <v>60200</v>
      </c>
      <c r="F65">
        <f t="shared" si="1"/>
        <v>6800</v>
      </c>
      <c r="G65">
        <f t="shared" si="2"/>
        <v>60200</v>
      </c>
      <c r="H65">
        <f t="shared" si="9"/>
        <v>6800</v>
      </c>
      <c r="I65">
        <f t="shared" si="3"/>
        <v>0</v>
      </c>
      <c r="J65">
        <f t="shared" si="4"/>
        <v>0</v>
      </c>
      <c r="K65">
        <f t="shared" si="5"/>
        <v>1</v>
      </c>
      <c r="L65">
        <f t="shared" si="6"/>
        <v>0</v>
      </c>
    </row>
    <row r="66" spans="1:12" x14ac:dyDescent="0.25">
      <c r="A66" s="1">
        <v>41308</v>
      </c>
      <c r="B66" t="s">
        <v>2</v>
      </c>
      <c r="C66">
        <f t="shared" si="7"/>
        <v>60200</v>
      </c>
      <c r="D66">
        <f t="shared" si="8"/>
        <v>6800</v>
      </c>
      <c r="E66">
        <f t="shared" si="0"/>
        <v>56400</v>
      </c>
      <c r="F66">
        <f t="shared" si="1"/>
        <v>6800</v>
      </c>
      <c r="G66">
        <f t="shared" si="2"/>
        <v>56400</v>
      </c>
      <c r="H66">
        <f t="shared" si="9"/>
        <v>6800</v>
      </c>
      <c r="I66">
        <f t="shared" si="3"/>
        <v>0</v>
      </c>
      <c r="J66">
        <f t="shared" si="4"/>
        <v>0</v>
      </c>
      <c r="K66">
        <f t="shared" si="5"/>
        <v>1</v>
      </c>
      <c r="L66">
        <f t="shared" si="6"/>
        <v>0</v>
      </c>
    </row>
    <row r="67" spans="1:12" x14ac:dyDescent="0.25">
      <c r="A67" s="1">
        <v>41309</v>
      </c>
      <c r="B67" t="s">
        <v>3</v>
      </c>
      <c r="C67">
        <f t="shared" si="7"/>
        <v>56400</v>
      </c>
      <c r="D67">
        <f t="shared" si="8"/>
        <v>6800</v>
      </c>
      <c r="E67">
        <f t="shared" ref="E67:E91" si="10">IF(C67&gt;=50000,C67-40*$P$25,C67)</f>
        <v>52600</v>
      </c>
      <c r="F67">
        <f t="shared" ref="F67:F91" si="11">IF(C67&lt;50000,D67-$P$25*20,D67)</f>
        <v>6800</v>
      </c>
      <c r="G67">
        <f t="shared" ref="G67:G91" si="12">IF(B67="piątek",E67+15000,E67)</f>
        <v>52600</v>
      </c>
      <c r="H67">
        <f t="shared" ref="H67:H91" si="13">IF(B67="wtorek",F67+4000,F67)</f>
        <v>6800</v>
      </c>
      <c r="I67">
        <f t="shared" ref="I67:I91" si="14">IF(B67="piątek",1,0)</f>
        <v>0</v>
      </c>
      <c r="J67">
        <f t="shared" ref="J67:J91" si="15">IF(B67="wtorek",1,0)</f>
        <v>0</v>
      </c>
      <c r="K67">
        <f t="shared" ref="K67:K91" si="16">IF(C67&gt;=50000,1,0)</f>
        <v>1</v>
      </c>
      <c r="L67">
        <f t="shared" ref="L67:L91" si="17">IF(C67&lt;=50000,1,0)</f>
        <v>0</v>
      </c>
    </row>
    <row r="68" spans="1:12" x14ac:dyDescent="0.25">
      <c r="A68" s="1">
        <v>41310</v>
      </c>
      <c r="B68" t="s">
        <v>4</v>
      </c>
      <c r="C68">
        <f t="shared" ref="C68:C91" si="18">G67</f>
        <v>52600</v>
      </c>
      <c r="D68">
        <f t="shared" ref="D68:D91" si="19">H67</f>
        <v>6800</v>
      </c>
      <c r="E68">
        <f t="shared" si="10"/>
        <v>48800</v>
      </c>
      <c r="F68">
        <f t="shared" si="11"/>
        <v>6800</v>
      </c>
      <c r="G68">
        <f t="shared" si="12"/>
        <v>48800</v>
      </c>
      <c r="H68">
        <f t="shared" si="13"/>
        <v>10800</v>
      </c>
      <c r="I68">
        <f t="shared" si="14"/>
        <v>0</v>
      </c>
      <c r="J68">
        <f t="shared" si="15"/>
        <v>1</v>
      </c>
      <c r="K68">
        <f t="shared" si="16"/>
        <v>1</v>
      </c>
      <c r="L68">
        <f t="shared" si="17"/>
        <v>0</v>
      </c>
    </row>
    <row r="69" spans="1:12" x14ac:dyDescent="0.25">
      <c r="A69" s="1">
        <v>41311</v>
      </c>
      <c r="B69" t="s">
        <v>5</v>
      </c>
      <c r="C69">
        <f t="shared" si="18"/>
        <v>48800</v>
      </c>
      <c r="D69">
        <f t="shared" si="19"/>
        <v>10800</v>
      </c>
      <c r="E69">
        <f t="shared" si="10"/>
        <v>48800</v>
      </c>
      <c r="F69">
        <f t="shared" si="11"/>
        <v>8900</v>
      </c>
      <c r="G69">
        <f t="shared" si="12"/>
        <v>48800</v>
      </c>
      <c r="H69">
        <f t="shared" si="13"/>
        <v>8900</v>
      </c>
      <c r="I69">
        <f t="shared" si="14"/>
        <v>0</v>
      </c>
      <c r="J69">
        <f t="shared" si="15"/>
        <v>0</v>
      </c>
      <c r="K69">
        <f t="shared" si="16"/>
        <v>0</v>
      </c>
      <c r="L69">
        <f t="shared" si="17"/>
        <v>1</v>
      </c>
    </row>
    <row r="70" spans="1:12" x14ac:dyDescent="0.25">
      <c r="A70" s="1">
        <v>41312</v>
      </c>
      <c r="B70" t="s">
        <v>6</v>
      </c>
      <c r="C70">
        <f t="shared" si="18"/>
        <v>48800</v>
      </c>
      <c r="D70">
        <f t="shared" si="19"/>
        <v>8900</v>
      </c>
      <c r="E70">
        <f t="shared" si="10"/>
        <v>48800</v>
      </c>
      <c r="F70">
        <f t="shared" si="11"/>
        <v>7000</v>
      </c>
      <c r="G70">
        <f t="shared" si="12"/>
        <v>48800</v>
      </c>
      <c r="H70">
        <f t="shared" si="13"/>
        <v>7000</v>
      </c>
      <c r="I70">
        <f t="shared" si="14"/>
        <v>0</v>
      </c>
      <c r="J70">
        <f t="shared" si="15"/>
        <v>0</v>
      </c>
      <c r="K70">
        <f t="shared" si="16"/>
        <v>0</v>
      </c>
      <c r="L70">
        <f t="shared" si="17"/>
        <v>1</v>
      </c>
    </row>
    <row r="71" spans="1:12" x14ac:dyDescent="0.25">
      <c r="A71" s="1">
        <v>41313</v>
      </c>
      <c r="B71" t="s">
        <v>7</v>
      </c>
      <c r="C71">
        <f t="shared" si="18"/>
        <v>48800</v>
      </c>
      <c r="D71">
        <f t="shared" si="19"/>
        <v>7000</v>
      </c>
      <c r="E71">
        <f t="shared" si="10"/>
        <v>48800</v>
      </c>
      <c r="F71">
        <f t="shared" si="11"/>
        <v>5100</v>
      </c>
      <c r="G71">
        <f t="shared" si="12"/>
        <v>63800</v>
      </c>
      <c r="H71">
        <f t="shared" si="13"/>
        <v>5100</v>
      </c>
      <c r="I71">
        <f t="shared" si="14"/>
        <v>1</v>
      </c>
      <c r="J71">
        <f t="shared" si="15"/>
        <v>0</v>
      </c>
      <c r="K71">
        <f t="shared" si="16"/>
        <v>0</v>
      </c>
      <c r="L71">
        <f t="shared" si="17"/>
        <v>1</v>
      </c>
    </row>
    <row r="72" spans="1:12" x14ac:dyDescent="0.25">
      <c r="A72" s="1">
        <v>41314</v>
      </c>
      <c r="B72" t="s">
        <v>1</v>
      </c>
      <c r="C72">
        <f t="shared" si="18"/>
        <v>63800</v>
      </c>
      <c r="D72">
        <f t="shared" si="19"/>
        <v>5100</v>
      </c>
      <c r="E72">
        <f t="shared" si="10"/>
        <v>60000</v>
      </c>
      <c r="F72">
        <f t="shared" si="11"/>
        <v>5100</v>
      </c>
      <c r="G72">
        <f t="shared" si="12"/>
        <v>60000</v>
      </c>
      <c r="H72">
        <f t="shared" si="13"/>
        <v>5100</v>
      </c>
      <c r="I72">
        <f t="shared" si="14"/>
        <v>0</v>
      </c>
      <c r="J72">
        <f t="shared" si="15"/>
        <v>0</v>
      </c>
      <c r="K72">
        <f t="shared" si="16"/>
        <v>1</v>
      </c>
      <c r="L72">
        <f t="shared" si="17"/>
        <v>0</v>
      </c>
    </row>
    <row r="73" spans="1:12" x14ac:dyDescent="0.25">
      <c r="A73" s="1">
        <v>41315</v>
      </c>
      <c r="B73" t="s">
        <v>2</v>
      </c>
      <c r="C73">
        <f t="shared" si="18"/>
        <v>60000</v>
      </c>
      <c r="D73">
        <f t="shared" si="19"/>
        <v>5100</v>
      </c>
      <c r="E73">
        <f t="shared" si="10"/>
        <v>56200</v>
      </c>
      <c r="F73">
        <f t="shared" si="11"/>
        <v>5100</v>
      </c>
      <c r="G73">
        <f t="shared" si="12"/>
        <v>56200</v>
      </c>
      <c r="H73">
        <f t="shared" si="13"/>
        <v>5100</v>
      </c>
      <c r="I73">
        <f t="shared" si="14"/>
        <v>0</v>
      </c>
      <c r="J73">
        <f t="shared" si="15"/>
        <v>0</v>
      </c>
      <c r="K73">
        <f t="shared" si="16"/>
        <v>1</v>
      </c>
      <c r="L73">
        <f t="shared" si="17"/>
        <v>0</v>
      </c>
    </row>
    <row r="74" spans="1:12" x14ac:dyDescent="0.25">
      <c r="A74" s="1">
        <v>41316</v>
      </c>
      <c r="B74" t="s">
        <v>3</v>
      </c>
      <c r="C74">
        <f t="shared" si="18"/>
        <v>56200</v>
      </c>
      <c r="D74">
        <f t="shared" si="19"/>
        <v>5100</v>
      </c>
      <c r="E74">
        <f t="shared" si="10"/>
        <v>52400</v>
      </c>
      <c r="F74">
        <f t="shared" si="11"/>
        <v>5100</v>
      </c>
      <c r="G74">
        <f t="shared" si="12"/>
        <v>52400</v>
      </c>
      <c r="H74">
        <f t="shared" si="13"/>
        <v>5100</v>
      </c>
      <c r="I74">
        <f t="shared" si="14"/>
        <v>0</v>
      </c>
      <c r="J74">
        <f t="shared" si="15"/>
        <v>0</v>
      </c>
      <c r="K74">
        <f t="shared" si="16"/>
        <v>1</v>
      </c>
      <c r="L74">
        <f t="shared" si="17"/>
        <v>0</v>
      </c>
    </row>
    <row r="75" spans="1:12" x14ac:dyDescent="0.25">
      <c r="A75" s="1">
        <v>41317</v>
      </c>
      <c r="B75" t="s">
        <v>4</v>
      </c>
      <c r="C75">
        <f t="shared" si="18"/>
        <v>52400</v>
      </c>
      <c r="D75">
        <f t="shared" si="19"/>
        <v>5100</v>
      </c>
      <c r="E75">
        <f t="shared" si="10"/>
        <v>48600</v>
      </c>
      <c r="F75">
        <f t="shared" si="11"/>
        <v>5100</v>
      </c>
      <c r="G75">
        <f t="shared" si="12"/>
        <v>48600</v>
      </c>
      <c r="H75">
        <f t="shared" si="13"/>
        <v>9100</v>
      </c>
      <c r="I75">
        <f t="shared" si="14"/>
        <v>0</v>
      </c>
      <c r="J75">
        <f t="shared" si="15"/>
        <v>1</v>
      </c>
      <c r="K75">
        <f t="shared" si="16"/>
        <v>1</v>
      </c>
      <c r="L75">
        <f t="shared" si="17"/>
        <v>0</v>
      </c>
    </row>
    <row r="76" spans="1:12" x14ac:dyDescent="0.25">
      <c r="A76" s="1">
        <v>41318</v>
      </c>
      <c r="B76" t="s">
        <v>5</v>
      </c>
      <c r="C76">
        <f t="shared" si="18"/>
        <v>48600</v>
      </c>
      <c r="D76">
        <f t="shared" si="19"/>
        <v>9100</v>
      </c>
      <c r="E76">
        <f t="shared" si="10"/>
        <v>48600</v>
      </c>
      <c r="F76">
        <f t="shared" si="11"/>
        <v>7200</v>
      </c>
      <c r="G76">
        <f>IF(B76="piątek",E76+15000,E76)</f>
        <v>48600</v>
      </c>
      <c r="H76">
        <f t="shared" si="13"/>
        <v>7200</v>
      </c>
      <c r="I76">
        <f t="shared" si="14"/>
        <v>0</v>
      </c>
      <c r="J76">
        <f t="shared" si="15"/>
        <v>0</v>
      </c>
      <c r="K76">
        <f t="shared" si="16"/>
        <v>0</v>
      </c>
      <c r="L76">
        <f t="shared" si="17"/>
        <v>1</v>
      </c>
    </row>
    <row r="77" spans="1:12" x14ac:dyDescent="0.25">
      <c r="A77" s="1">
        <v>41319</v>
      </c>
      <c r="B77" t="s">
        <v>6</v>
      </c>
      <c r="C77">
        <f t="shared" si="18"/>
        <v>48600</v>
      </c>
      <c r="D77">
        <f t="shared" si="19"/>
        <v>7200</v>
      </c>
      <c r="E77">
        <f t="shared" si="10"/>
        <v>48600</v>
      </c>
      <c r="F77">
        <f t="shared" si="11"/>
        <v>5300</v>
      </c>
      <c r="G77">
        <f t="shared" si="12"/>
        <v>48600</v>
      </c>
      <c r="H77">
        <f t="shared" si="13"/>
        <v>5300</v>
      </c>
      <c r="I77">
        <f t="shared" si="14"/>
        <v>0</v>
      </c>
      <c r="J77">
        <f t="shared" si="15"/>
        <v>0</v>
      </c>
      <c r="K77">
        <f t="shared" si="16"/>
        <v>0</v>
      </c>
      <c r="L77">
        <f t="shared" si="17"/>
        <v>1</v>
      </c>
    </row>
    <row r="78" spans="1:12" x14ac:dyDescent="0.25">
      <c r="A78" s="1">
        <v>41320</v>
      </c>
      <c r="B78" t="s">
        <v>7</v>
      </c>
      <c r="C78">
        <f t="shared" si="18"/>
        <v>48600</v>
      </c>
      <c r="D78">
        <f t="shared" si="19"/>
        <v>5300</v>
      </c>
      <c r="E78">
        <f t="shared" si="10"/>
        <v>48600</v>
      </c>
      <c r="F78">
        <f t="shared" si="11"/>
        <v>3400</v>
      </c>
      <c r="G78">
        <f t="shared" si="12"/>
        <v>63600</v>
      </c>
      <c r="H78">
        <f t="shared" si="13"/>
        <v>3400</v>
      </c>
      <c r="I78">
        <f t="shared" si="14"/>
        <v>1</v>
      </c>
      <c r="J78">
        <f t="shared" si="15"/>
        <v>0</v>
      </c>
      <c r="K78">
        <f t="shared" si="16"/>
        <v>0</v>
      </c>
      <c r="L78">
        <f t="shared" si="17"/>
        <v>1</v>
      </c>
    </row>
    <row r="79" spans="1:12" x14ac:dyDescent="0.25">
      <c r="A79" s="1">
        <v>41321</v>
      </c>
      <c r="B79" t="s">
        <v>1</v>
      </c>
      <c r="C79">
        <f t="shared" si="18"/>
        <v>63600</v>
      </c>
      <c r="D79">
        <f t="shared" si="19"/>
        <v>3400</v>
      </c>
      <c r="E79">
        <f t="shared" si="10"/>
        <v>59800</v>
      </c>
      <c r="F79">
        <f t="shared" si="11"/>
        <v>3400</v>
      </c>
      <c r="G79">
        <f t="shared" si="12"/>
        <v>59800</v>
      </c>
      <c r="H79">
        <f t="shared" si="13"/>
        <v>3400</v>
      </c>
      <c r="I79">
        <f t="shared" si="14"/>
        <v>0</v>
      </c>
      <c r="J79">
        <f t="shared" si="15"/>
        <v>0</v>
      </c>
      <c r="K79">
        <f t="shared" si="16"/>
        <v>1</v>
      </c>
      <c r="L79">
        <f t="shared" si="17"/>
        <v>0</v>
      </c>
    </row>
    <row r="80" spans="1:12" x14ac:dyDescent="0.25">
      <c r="A80" s="1">
        <v>41322</v>
      </c>
      <c r="B80" t="s">
        <v>2</v>
      </c>
      <c r="C80">
        <f t="shared" si="18"/>
        <v>59800</v>
      </c>
      <c r="D80">
        <f t="shared" si="19"/>
        <v>3400</v>
      </c>
      <c r="E80">
        <f t="shared" si="10"/>
        <v>56000</v>
      </c>
      <c r="F80">
        <f t="shared" si="11"/>
        <v>3400</v>
      </c>
      <c r="G80">
        <f t="shared" si="12"/>
        <v>56000</v>
      </c>
      <c r="H80">
        <f t="shared" si="13"/>
        <v>3400</v>
      </c>
      <c r="I80">
        <f t="shared" si="14"/>
        <v>0</v>
      </c>
      <c r="J80">
        <f t="shared" si="15"/>
        <v>0</v>
      </c>
      <c r="K80">
        <f t="shared" si="16"/>
        <v>1</v>
      </c>
      <c r="L80">
        <f t="shared" si="17"/>
        <v>0</v>
      </c>
    </row>
    <row r="81" spans="1:12" x14ac:dyDescent="0.25">
      <c r="A81" s="1">
        <v>41323</v>
      </c>
      <c r="B81" t="s">
        <v>3</v>
      </c>
      <c r="C81">
        <f t="shared" si="18"/>
        <v>56000</v>
      </c>
      <c r="D81">
        <f t="shared" si="19"/>
        <v>3400</v>
      </c>
      <c r="E81">
        <f t="shared" si="10"/>
        <v>52200</v>
      </c>
      <c r="F81">
        <f t="shared" si="11"/>
        <v>3400</v>
      </c>
      <c r="G81">
        <f t="shared" si="12"/>
        <v>52200</v>
      </c>
      <c r="H81">
        <f t="shared" si="13"/>
        <v>3400</v>
      </c>
      <c r="I81">
        <f t="shared" si="14"/>
        <v>0</v>
      </c>
      <c r="J81">
        <f t="shared" si="15"/>
        <v>0</v>
      </c>
      <c r="K81">
        <f t="shared" si="16"/>
        <v>1</v>
      </c>
      <c r="L81">
        <f t="shared" si="17"/>
        <v>0</v>
      </c>
    </row>
    <row r="82" spans="1:12" x14ac:dyDescent="0.25">
      <c r="A82" s="1">
        <v>41324</v>
      </c>
      <c r="B82" t="s">
        <v>4</v>
      </c>
      <c r="C82">
        <f t="shared" si="18"/>
        <v>52200</v>
      </c>
      <c r="D82">
        <f t="shared" si="19"/>
        <v>3400</v>
      </c>
      <c r="E82">
        <f t="shared" si="10"/>
        <v>48400</v>
      </c>
      <c r="F82">
        <f t="shared" si="11"/>
        <v>3400</v>
      </c>
      <c r="G82">
        <f t="shared" si="12"/>
        <v>48400</v>
      </c>
      <c r="H82">
        <f t="shared" si="13"/>
        <v>7400</v>
      </c>
      <c r="I82">
        <f t="shared" si="14"/>
        <v>0</v>
      </c>
      <c r="J82">
        <f t="shared" si="15"/>
        <v>1</v>
      </c>
      <c r="K82">
        <f t="shared" si="16"/>
        <v>1</v>
      </c>
      <c r="L82">
        <f t="shared" si="17"/>
        <v>0</v>
      </c>
    </row>
    <row r="83" spans="1:12" x14ac:dyDescent="0.25">
      <c r="A83" s="1">
        <v>41325</v>
      </c>
      <c r="B83" t="s">
        <v>5</v>
      </c>
      <c r="C83">
        <f t="shared" si="18"/>
        <v>48400</v>
      </c>
      <c r="D83">
        <f t="shared" si="19"/>
        <v>7400</v>
      </c>
      <c r="E83">
        <f t="shared" si="10"/>
        <v>48400</v>
      </c>
      <c r="F83">
        <f t="shared" si="11"/>
        <v>5500</v>
      </c>
      <c r="G83">
        <f t="shared" si="12"/>
        <v>48400</v>
      </c>
      <c r="H83">
        <f t="shared" si="13"/>
        <v>5500</v>
      </c>
      <c r="I83">
        <f t="shared" si="14"/>
        <v>0</v>
      </c>
      <c r="J83">
        <f t="shared" si="15"/>
        <v>0</v>
      </c>
      <c r="K83">
        <f t="shared" si="16"/>
        <v>0</v>
      </c>
      <c r="L83">
        <f t="shared" si="17"/>
        <v>1</v>
      </c>
    </row>
    <row r="84" spans="1:12" x14ac:dyDescent="0.25">
      <c r="A84" s="1">
        <v>41326</v>
      </c>
      <c r="B84" t="s">
        <v>6</v>
      </c>
      <c r="C84">
        <f t="shared" si="18"/>
        <v>48400</v>
      </c>
      <c r="D84">
        <f t="shared" si="19"/>
        <v>5500</v>
      </c>
      <c r="E84">
        <f t="shared" si="10"/>
        <v>48400</v>
      </c>
      <c r="F84">
        <f t="shared" si="11"/>
        <v>3600</v>
      </c>
      <c r="G84">
        <f t="shared" si="12"/>
        <v>48400</v>
      </c>
      <c r="H84">
        <f t="shared" si="13"/>
        <v>3600</v>
      </c>
      <c r="I84">
        <f t="shared" si="14"/>
        <v>0</v>
      </c>
      <c r="J84">
        <f t="shared" si="15"/>
        <v>0</v>
      </c>
      <c r="K84">
        <f t="shared" si="16"/>
        <v>0</v>
      </c>
      <c r="L84">
        <f t="shared" si="17"/>
        <v>1</v>
      </c>
    </row>
    <row r="85" spans="1:12" x14ac:dyDescent="0.25">
      <c r="A85" s="1">
        <v>41327</v>
      </c>
      <c r="B85" t="s">
        <v>7</v>
      </c>
      <c r="C85">
        <f t="shared" si="18"/>
        <v>48400</v>
      </c>
      <c r="D85">
        <f t="shared" si="19"/>
        <v>3600</v>
      </c>
      <c r="E85">
        <f t="shared" si="10"/>
        <v>48400</v>
      </c>
      <c r="F85">
        <f t="shared" si="11"/>
        <v>1700</v>
      </c>
      <c r="G85">
        <f t="shared" si="12"/>
        <v>63400</v>
      </c>
      <c r="H85">
        <f>IF(B85="wtorek",F85+4000,F85)</f>
        <v>1700</v>
      </c>
      <c r="I85">
        <f t="shared" si="14"/>
        <v>1</v>
      </c>
      <c r="J85">
        <f t="shared" si="15"/>
        <v>0</v>
      </c>
      <c r="K85">
        <f t="shared" si="16"/>
        <v>0</v>
      </c>
      <c r="L85">
        <f t="shared" si="17"/>
        <v>1</v>
      </c>
    </row>
    <row r="86" spans="1:12" x14ac:dyDescent="0.25">
      <c r="A86" s="1">
        <v>41328</v>
      </c>
      <c r="B86" t="s">
        <v>1</v>
      </c>
      <c r="C86">
        <f t="shared" si="18"/>
        <v>63400</v>
      </c>
      <c r="D86">
        <f t="shared" si="19"/>
        <v>1700</v>
      </c>
      <c r="E86">
        <f t="shared" si="10"/>
        <v>59600</v>
      </c>
      <c r="F86">
        <f t="shared" si="11"/>
        <v>1700</v>
      </c>
      <c r="G86">
        <f t="shared" si="12"/>
        <v>59600</v>
      </c>
      <c r="H86">
        <f t="shared" si="13"/>
        <v>1700</v>
      </c>
      <c r="I86">
        <f t="shared" si="14"/>
        <v>0</v>
      </c>
      <c r="J86">
        <f t="shared" si="15"/>
        <v>0</v>
      </c>
      <c r="K86">
        <f t="shared" si="16"/>
        <v>1</v>
      </c>
      <c r="L86">
        <f t="shared" si="17"/>
        <v>0</v>
      </c>
    </row>
    <row r="87" spans="1:12" x14ac:dyDescent="0.25">
      <c r="A87" s="1">
        <v>41329</v>
      </c>
      <c r="B87" t="s">
        <v>2</v>
      </c>
      <c r="C87">
        <f t="shared" si="18"/>
        <v>59600</v>
      </c>
      <c r="D87">
        <f t="shared" si="19"/>
        <v>1700</v>
      </c>
      <c r="E87">
        <f t="shared" si="10"/>
        <v>55800</v>
      </c>
      <c r="F87">
        <f t="shared" si="11"/>
        <v>1700</v>
      </c>
      <c r="G87">
        <f t="shared" si="12"/>
        <v>55800</v>
      </c>
      <c r="H87">
        <f t="shared" si="13"/>
        <v>1700</v>
      </c>
      <c r="I87">
        <f t="shared" si="14"/>
        <v>0</v>
      </c>
      <c r="J87">
        <f t="shared" si="15"/>
        <v>0</v>
      </c>
      <c r="K87">
        <f t="shared" si="16"/>
        <v>1</v>
      </c>
      <c r="L87">
        <f t="shared" si="17"/>
        <v>0</v>
      </c>
    </row>
    <row r="88" spans="1:12" x14ac:dyDescent="0.25">
      <c r="A88" s="1">
        <v>41330</v>
      </c>
      <c r="B88" t="s">
        <v>3</v>
      </c>
      <c r="C88">
        <f t="shared" si="18"/>
        <v>55800</v>
      </c>
      <c r="D88">
        <f t="shared" si="19"/>
        <v>1700</v>
      </c>
      <c r="E88">
        <f t="shared" si="10"/>
        <v>52000</v>
      </c>
      <c r="F88">
        <f t="shared" si="11"/>
        <v>1700</v>
      </c>
      <c r="G88">
        <f t="shared" si="12"/>
        <v>52000</v>
      </c>
      <c r="H88">
        <f t="shared" si="13"/>
        <v>1700</v>
      </c>
      <c r="I88">
        <f t="shared" si="14"/>
        <v>0</v>
      </c>
      <c r="J88">
        <f t="shared" si="15"/>
        <v>0</v>
      </c>
      <c r="K88">
        <f t="shared" si="16"/>
        <v>1</v>
      </c>
      <c r="L88">
        <f t="shared" si="17"/>
        <v>0</v>
      </c>
    </row>
    <row r="89" spans="1:12" x14ac:dyDescent="0.25">
      <c r="A89" s="1">
        <v>41331</v>
      </c>
      <c r="B89" t="s">
        <v>4</v>
      </c>
      <c r="C89">
        <f t="shared" si="18"/>
        <v>52000</v>
      </c>
      <c r="D89">
        <f t="shared" si="19"/>
        <v>1700</v>
      </c>
      <c r="E89">
        <f t="shared" si="10"/>
        <v>48200</v>
      </c>
      <c r="F89">
        <f t="shared" si="11"/>
        <v>1700</v>
      </c>
      <c r="G89">
        <f t="shared" si="12"/>
        <v>48200</v>
      </c>
      <c r="H89">
        <f t="shared" si="13"/>
        <v>5700</v>
      </c>
      <c r="I89">
        <f t="shared" si="14"/>
        <v>0</v>
      </c>
      <c r="J89">
        <f t="shared" si="15"/>
        <v>1</v>
      </c>
      <c r="K89">
        <f t="shared" si="16"/>
        <v>1</v>
      </c>
      <c r="L89">
        <f t="shared" si="17"/>
        <v>0</v>
      </c>
    </row>
    <row r="90" spans="1:12" x14ac:dyDescent="0.25">
      <c r="A90" s="1">
        <v>41332</v>
      </c>
      <c r="B90" t="s">
        <v>5</v>
      </c>
      <c r="C90">
        <f t="shared" si="18"/>
        <v>48200</v>
      </c>
      <c r="D90">
        <f t="shared" si="19"/>
        <v>5700</v>
      </c>
      <c r="E90">
        <f t="shared" si="10"/>
        <v>48200</v>
      </c>
      <c r="F90">
        <f t="shared" si="11"/>
        <v>3800</v>
      </c>
      <c r="G90">
        <f t="shared" si="12"/>
        <v>48200</v>
      </c>
      <c r="H90">
        <f t="shared" si="13"/>
        <v>3800</v>
      </c>
      <c r="I90">
        <f t="shared" si="14"/>
        <v>0</v>
      </c>
      <c r="J90">
        <f t="shared" si="15"/>
        <v>0</v>
      </c>
      <c r="K90">
        <f t="shared" si="16"/>
        <v>0</v>
      </c>
      <c r="L90">
        <f t="shared" si="17"/>
        <v>1</v>
      </c>
    </row>
    <row r="91" spans="1:12" x14ac:dyDescent="0.25">
      <c r="A91" s="1">
        <v>41333</v>
      </c>
      <c r="B91" t="s">
        <v>6</v>
      </c>
      <c r="C91">
        <f t="shared" si="18"/>
        <v>48200</v>
      </c>
      <c r="D91">
        <f t="shared" si="19"/>
        <v>3800</v>
      </c>
      <c r="E91">
        <f t="shared" si="10"/>
        <v>48200</v>
      </c>
      <c r="F91">
        <f t="shared" si="11"/>
        <v>1900</v>
      </c>
      <c r="G91">
        <f t="shared" si="12"/>
        <v>48200</v>
      </c>
      <c r="H91">
        <f t="shared" si="13"/>
        <v>1900</v>
      </c>
      <c r="I91">
        <f t="shared" si="14"/>
        <v>0</v>
      </c>
      <c r="J91">
        <f t="shared" si="15"/>
        <v>0</v>
      </c>
      <c r="K91">
        <f t="shared" si="16"/>
        <v>0</v>
      </c>
      <c r="L91">
        <f t="shared" si="17"/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2026-01-18T22:18:17Z</dcterms:created>
  <dcterms:modified xsi:type="dcterms:W3CDTF">2026-01-18T23:27:54Z</dcterms:modified>
</cp:coreProperties>
</file>