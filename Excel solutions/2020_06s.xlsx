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ocuments\Excel zadania matura\"/>
    </mc:Choice>
  </mc:AlternateContent>
  <xr:revisionPtr revIDLastSave="0" documentId="8_{B78527FE-D96D-40A7-A9B4-5943550F4897}" xr6:coauthVersionLast="47" xr6:coauthVersionMax="47" xr10:uidLastSave="{00000000-0000-0000-0000-000000000000}"/>
  <bookViews>
    <workbookView xWindow="-120" yWindow="-120" windowWidth="38640" windowHeight="21120" activeTab="2" xr2:uid="{A4F7B47B-18D1-4AFA-910D-E9AD71841C4B}"/>
  </bookViews>
  <sheets>
    <sheet name="Szczegóły1" sheetId="2" r:id="rId1"/>
    <sheet name="6.1" sheetId="1" r:id="rId2"/>
    <sheet name="6.5" sheetId="8" r:id="rId3"/>
    <sheet name="6.2" sheetId="4" r:id="rId4"/>
    <sheet name="6.3" sheetId="5" r:id="rId5"/>
    <sheet name="6.4cz1" sheetId="6" r:id="rId6"/>
    <sheet name="6.4" sheetId="7" r:id="rId7"/>
  </sheets>
  <definedNames>
    <definedName name="_xlnm._FilterDatabase" localSheetId="5" hidden="1">'6.4cz1'!$I$1:$K$80</definedName>
    <definedName name="statek" localSheetId="1">'6.1'!$A$1:$F$203</definedName>
    <definedName name="statek" localSheetId="4">'6.3'!$A$1:$F$203</definedName>
    <definedName name="statek" localSheetId="5">'6.4cz1'!$A$1:$F$203</definedName>
    <definedName name="statek" localSheetId="2">'6.5'!$A$1:$F$204</definedName>
  </definedNames>
  <calcPr calcId="191029"/>
  <pivotCaches>
    <pivotCache cacheId="3" r:id="rId8"/>
    <pivotCache cacheId="1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8" l="1"/>
  <c r="H3" i="8"/>
  <c r="H4" i="8" s="1"/>
  <c r="H5" i="8" s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K17" i="8"/>
  <c r="K18" i="8"/>
  <c r="K53" i="8"/>
  <c r="K54" i="8"/>
  <c r="K55" i="8"/>
  <c r="K65" i="8"/>
  <c r="K102" i="8"/>
  <c r="K103" i="8"/>
  <c r="K149" i="8"/>
  <c r="K150" i="8"/>
  <c r="K161" i="8"/>
  <c r="K197" i="8"/>
  <c r="K198" i="8"/>
  <c r="K3" i="8"/>
  <c r="K2" i="8"/>
  <c r="I5" i="8"/>
  <c r="K5" i="8" s="1"/>
  <c r="I6" i="8"/>
  <c r="K6" i="8" s="1"/>
  <c r="I7" i="8"/>
  <c r="K7" i="8" s="1"/>
  <c r="I8" i="8"/>
  <c r="K8" i="8" s="1"/>
  <c r="I9" i="8"/>
  <c r="I10" i="8"/>
  <c r="K10" i="8" s="1"/>
  <c r="I11" i="8"/>
  <c r="K11" i="8" s="1"/>
  <c r="I12" i="8"/>
  <c r="I13" i="8"/>
  <c r="K13" i="8" s="1"/>
  <c r="I14" i="8"/>
  <c r="K14" i="8" s="1"/>
  <c r="I15" i="8"/>
  <c r="K15" i="8" s="1"/>
  <c r="I16" i="8"/>
  <c r="I17" i="8"/>
  <c r="I18" i="8"/>
  <c r="I19" i="8"/>
  <c r="K19" i="8" s="1"/>
  <c r="I20" i="8"/>
  <c r="I21" i="8"/>
  <c r="K21" i="8" s="1"/>
  <c r="I22" i="8"/>
  <c r="K22" i="8" s="1"/>
  <c r="I23" i="8"/>
  <c r="I24" i="8"/>
  <c r="K24" i="8" s="1"/>
  <c r="I25" i="8"/>
  <c r="K25" i="8" s="1"/>
  <c r="I26" i="8"/>
  <c r="I27" i="8"/>
  <c r="K27" i="8" s="1"/>
  <c r="I28" i="8"/>
  <c r="I29" i="8"/>
  <c r="K29" i="8" s="1"/>
  <c r="I30" i="8"/>
  <c r="K30" i="8" s="1"/>
  <c r="I31" i="8"/>
  <c r="K31" i="8" s="1"/>
  <c r="I32" i="8"/>
  <c r="I33" i="8"/>
  <c r="K33" i="8" s="1"/>
  <c r="I34" i="8"/>
  <c r="K34" i="8" s="1"/>
  <c r="I35" i="8"/>
  <c r="K35" i="8" s="1"/>
  <c r="I36" i="8"/>
  <c r="K36" i="8" s="1"/>
  <c r="I37" i="8"/>
  <c r="I38" i="8"/>
  <c r="K38" i="8" s="1"/>
  <c r="I39" i="8"/>
  <c r="K39" i="8" s="1"/>
  <c r="I40" i="8"/>
  <c r="K40" i="8" s="1"/>
  <c r="I41" i="8"/>
  <c r="I42" i="8"/>
  <c r="K42" i="8" s="1"/>
  <c r="I43" i="8"/>
  <c r="K43" i="8" s="1"/>
  <c r="I44" i="8"/>
  <c r="K44" i="8" s="1"/>
  <c r="I45" i="8"/>
  <c r="K45" i="8" s="1"/>
  <c r="I46" i="8"/>
  <c r="I47" i="8"/>
  <c r="K47" i="8" s="1"/>
  <c r="I48" i="8"/>
  <c r="K48" i="8" s="1"/>
  <c r="I49" i="8"/>
  <c r="K49" i="8" s="1"/>
  <c r="I50" i="8"/>
  <c r="K50" i="8" s="1"/>
  <c r="I51" i="8"/>
  <c r="I52" i="8"/>
  <c r="K52" i="8" s="1"/>
  <c r="I53" i="8"/>
  <c r="I54" i="8"/>
  <c r="I55" i="8"/>
  <c r="I56" i="8"/>
  <c r="I57" i="8"/>
  <c r="K57" i="8" s="1"/>
  <c r="I58" i="8"/>
  <c r="K58" i="8" s="1"/>
  <c r="I59" i="8"/>
  <c r="I60" i="8"/>
  <c r="K60" i="8" s="1"/>
  <c r="I61" i="8"/>
  <c r="K61" i="8" s="1"/>
  <c r="I62" i="8"/>
  <c r="I63" i="8"/>
  <c r="K63" i="8" s="1"/>
  <c r="I64" i="8"/>
  <c r="K64" i="8" s="1"/>
  <c r="I65" i="8"/>
  <c r="I66" i="8"/>
  <c r="I67" i="8"/>
  <c r="K67" i="8" s="1"/>
  <c r="I68" i="8"/>
  <c r="K68" i="8" s="1"/>
  <c r="I69" i="8"/>
  <c r="I70" i="8"/>
  <c r="K70" i="8" s="1"/>
  <c r="I71" i="8"/>
  <c r="K71" i="8" s="1"/>
  <c r="I72" i="8"/>
  <c r="K72" i="8" s="1"/>
  <c r="I73" i="8"/>
  <c r="K73" i="8" s="1"/>
  <c r="I74" i="8"/>
  <c r="I75" i="8"/>
  <c r="K75" i="8" s="1"/>
  <c r="I76" i="8"/>
  <c r="K76" i="8" s="1"/>
  <c r="I77" i="8"/>
  <c r="I78" i="8"/>
  <c r="K78" i="8" s="1"/>
  <c r="I79" i="8"/>
  <c r="I80" i="8"/>
  <c r="K80" i="8" s="1"/>
  <c r="I81" i="8"/>
  <c r="K81" i="8" s="1"/>
  <c r="I82" i="8"/>
  <c r="K82" i="8" s="1"/>
  <c r="I83" i="8"/>
  <c r="I84" i="8"/>
  <c r="K84" i="8" s="1"/>
  <c r="I85" i="8"/>
  <c r="K85" i="8" s="1"/>
  <c r="I86" i="8"/>
  <c r="I87" i="8"/>
  <c r="K87" i="8" s="1"/>
  <c r="I88" i="8"/>
  <c r="K88" i="8" s="1"/>
  <c r="I89" i="8"/>
  <c r="K89" i="8" s="1"/>
  <c r="I90" i="8"/>
  <c r="K90" i="8" s="1"/>
  <c r="I91" i="8"/>
  <c r="I92" i="8"/>
  <c r="K92" i="8" s="1"/>
  <c r="I93" i="8"/>
  <c r="K93" i="8" s="1"/>
  <c r="I94" i="8"/>
  <c r="K94" i="8" s="1"/>
  <c r="I95" i="8"/>
  <c r="K95" i="8" s="1"/>
  <c r="I96" i="8"/>
  <c r="I97" i="8"/>
  <c r="K97" i="8" s="1"/>
  <c r="I98" i="8"/>
  <c r="K98" i="8" s="1"/>
  <c r="I99" i="8"/>
  <c r="K99" i="8" s="1"/>
  <c r="I100" i="8"/>
  <c r="K100" i="8" s="1"/>
  <c r="I101" i="8"/>
  <c r="I102" i="8"/>
  <c r="I103" i="8"/>
  <c r="I104" i="8"/>
  <c r="K104" i="8" s="1"/>
  <c r="I105" i="8"/>
  <c r="K105" i="8" s="1"/>
  <c r="I106" i="8"/>
  <c r="I107" i="8"/>
  <c r="K107" i="8" s="1"/>
  <c r="I108" i="8"/>
  <c r="I109" i="8"/>
  <c r="K109" i="8" s="1"/>
  <c r="I110" i="8"/>
  <c r="K110" i="8" s="1"/>
  <c r="I111" i="8"/>
  <c r="K111" i="8" s="1"/>
  <c r="I112" i="8"/>
  <c r="K112" i="8" s="1"/>
  <c r="I113" i="8"/>
  <c r="I114" i="8"/>
  <c r="K114" i="8" s="1"/>
  <c r="I115" i="8"/>
  <c r="K115" i="8" s="1"/>
  <c r="I116" i="8"/>
  <c r="K116" i="8" s="1"/>
  <c r="I117" i="8"/>
  <c r="I118" i="8"/>
  <c r="K118" i="8" s="1"/>
  <c r="I119" i="8"/>
  <c r="K119" i="8" s="1"/>
  <c r="I120" i="8"/>
  <c r="K120" i="8" s="1"/>
  <c r="I121" i="8"/>
  <c r="I122" i="8"/>
  <c r="K122" i="8" s="1"/>
  <c r="I123" i="8"/>
  <c r="I124" i="8"/>
  <c r="K124" i="8" s="1"/>
  <c r="I125" i="8"/>
  <c r="I126" i="8"/>
  <c r="K126" i="8" s="1"/>
  <c r="I127" i="8"/>
  <c r="K127" i="8" s="1"/>
  <c r="I128" i="8"/>
  <c r="K128" i="8" s="1"/>
  <c r="I129" i="8"/>
  <c r="K129" i="8" s="1"/>
  <c r="I130" i="8"/>
  <c r="I131" i="8"/>
  <c r="K131" i="8" s="1"/>
  <c r="I132" i="8"/>
  <c r="I133" i="8"/>
  <c r="K133" i="8" s="1"/>
  <c r="I134" i="8"/>
  <c r="K134" i="8" s="1"/>
  <c r="I135" i="8"/>
  <c r="I136" i="8"/>
  <c r="K136" i="8" s="1"/>
  <c r="I137" i="8"/>
  <c r="K137" i="8" s="1"/>
  <c r="I138" i="8"/>
  <c r="K138" i="8" s="1"/>
  <c r="I139" i="8"/>
  <c r="I140" i="8"/>
  <c r="K140" i="8" s="1"/>
  <c r="I141" i="8"/>
  <c r="K141" i="8" s="1"/>
  <c r="I142" i="8"/>
  <c r="K142" i="8" s="1"/>
  <c r="I143" i="8"/>
  <c r="K143" i="8" s="1"/>
  <c r="I144" i="8"/>
  <c r="I145" i="8"/>
  <c r="K145" i="8" s="1"/>
  <c r="I146" i="8"/>
  <c r="I147" i="8"/>
  <c r="K147" i="8" s="1"/>
  <c r="I148" i="8"/>
  <c r="K148" i="8" s="1"/>
  <c r="I149" i="8"/>
  <c r="I150" i="8"/>
  <c r="I151" i="8"/>
  <c r="I152" i="8"/>
  <c r="K152" i="8" s="1"/>
  <c r="I153" i="8"/>
  <c r="I154" i="8"/>
  <c r="K154" i="8" s="1"/>
  <c r="I155" i="8"/>
  <c r="K155" i="8" s="1"/>
  <c r="I156" i="8"/>
  <c r="I157" i="8"/>
  <c r="K157" i="8" s="1"/>
  <c r="I158" i="8"/>
  <c r="K158" i="8" s="1"/>
  <c r="I159" i="8"/>
  <c r="K159" i="8" s="1"/>
  <c r="I160" i="8"/>
  <c r="I161" i="8"/>
  <c r="I162" i="8"/>
  <c r="K162" i="8" s="1"/>
  <c r="I163" i="8"/>
  <c r="I164" i="8"/>
  <c r="K164" i="8" s="1"/>
  <c r="I165" i="8"/>
  <c r="K165" i="8" s="1"/>
  <c r="I166" i="8"/>
  <c r="I167" i="8"/>
  <c r="K167" i="8" s="1"/>
  <c r="I168" i="8"/>
  <c r="K168" i="8" s="1"/>
  <c r="I169" i="8"/>
  <c r="I170" i="8"/>
  <c r="K170" i="8" s="1"/>
  <c r="I171" i="8"/>
  <c r="K171" i="8" s="1"/>
  <c r="I172" i="8"/>
  <c r="K172" i="8" s="1"/>
  <c r="I173" i="8"/>
  <c r="K173" i="8" s="1"/>
  <c r="I174" i="8"/>
  <c r="I175" i="8"/>
  <c r="K175" i="8" s="1"/>
  <c r="I176" i="8"/>
  <c r="K176" i="8" s="1"/>
  <c r="I177" i="8"/>
  <c r="K177" i="8" s="1"/>
  <c r="I178" i="8"/>
  <c r="I179" i="8"/>
  <c r="K179" i="8" s="1"/>
  <c r="I180" i="8"/>
  <c r="K180" i="8" s="1"/>
  <c r="I181" i="8"/>
  <c r="K181" i="8" s="1"/>
  <c r="I182" i="8"/>
  <c r="I183" i="8"/>
  <c r="K183" i="8" s="1"/>
  <c r="I184" i="8"/>
  <c r="K184" i="8" s="1"/>
  <c r="I185" i="8"/>
  <c r="K185" i="8" s="1"/>
  <c r="I186" i="8"/>
  <c r="I187" i="8"/>
  <c r="K187" i="8" s="1"/>
  <c r="I188" i="8"/>
  <c r="K188" i="8" s="1"/>
  <c r="I189" i="8"/>
  <c r="K189" i="8" s="1"/>
  <c r="I190" i="8"/>
  <c r="K190" i="8" s="1"/>
  <c r="I191" i="8"/>
  <c r="I192" i="8"/>
  <c r="K192" i="8" s="1"/>
  <c r="I193" i="8"/>
  <c r="K193" i="8" s="1"/>
  <c r="I194" i="8"/>
  <c r="I195" i="8"/>
  <c r="K195" i="8" s="1"/>
  <c r="I196" i="8"/>
  <c r="I197" i="8"/>
  <c r="I198" i="8"/>
  <c r="I199" i="8"/>
  <c r="I200" i="8"/>
  <c r="K200" i="8" s="1"/>
  <c r="I201" i="8"/>
  <c r="K201" i="8" s="1"/>
  <c r="I202" i="8"/>
  <c r="K202" i="8" s="1"/>
  <c r="I203" i="8"/>
  <c r="K203" i="8" s="1"/>
  <c r="I204" i="8"/>
  <c r="I4" i="8"/>
  <c r="K4" i="8" s="1"/>
  <c r="F114" i="7"/>
  <c r="F115" i="7"/>
  <c r="F116" i="7"/>
  <c r="F113" i="7"/>
  <c r="G116" i="7"/>
  <c r="H11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6" i="7"/>
  <c r="H113" i="7"/>
  <c r="G113" i="7"/>
  <c r="H109" i="7"/>
  <c r="G109" i="7"/>
  <c r="H106" i="7"/>
  <c r="G106" i="7"/>
  <c r="H103" i="7"/>
  <c r="G103" i="7"/>
  <c r="H99" i="7"/>
  <c r="G99" i="7"/>
  <c r="H96" i="7"/>
  <c r="G96" i="7"/>
  <c r="H92" i="7"/>
  <c r="G92" i="7"/>
  <c r="H90" i="7"/>
  <c r="G90" i="7"/>
  <c r="H87" i="7"/>
  <c r="G87" i="7"/>
  <c r="H84" i="7"/>
  <c r="G84" i="7"/>
  <c r="H81" i="7"/>
  <c r="G81" i="7"/>
  <c r="H77" i="7"/>
  <c r="G77" i="7"/>
  <c r="H75" i="7"/>
  <c r="G75" i="7"/>
  <c r="H71" i="7"/>
  <c r="G71" i="7"/>
  <c r="H68" i="7"/>
  <c r="G68" i="7"/>
  <c r="H66" i="7"/>
  <c r="G66" i="7"/>
  <c r="H62" i="7"/>
  <c r="G62" i="7"/>
  <c r="H59" i="7"/>
  <c r="G59" i="7"/>
  <c r="H56" i="7"/>
  <c r="G56" i="7"/>
  <c r="H52" i="7"/>
  <c r="G52" i="7"/>
  <c r="H49" i="7"/>
  <c r="G49" i="7"/>
  <c r="H46" i="7"/>
  <c r="G46" i="7"/>
  <c r="H43" i="7"/>
  <c r="G43" i="7"/>
  <c r="H39" i="7"/>
  <c r="G39" i="7"/>
  <c r="H37" i="7"/>
  <c r="G37" i="7"/>
  <c r="H34" i="7"/>
  <c r="G34" i="7"/>
  <c r="H32" i="7"/>
  <c r="G32" i="7"/>
  <c r="H28" i="7"/>
  <c r="G28" i="7"/>
  <c r="H25" i="7"/>
  <c r="G25" i="7"/>
  <c r="H21" i="7"/>
  <c r="G21" i="7"/>
  <c r="H18" i="7"/>
  <c r="G18" i="7"/>
  <c r="H16" i="7"/>
  <c r="G16" i="7"/>
  <c r="H12" i="7"/>
  <c r="G12" i="7"/>
  <c r="H9" i="7"/>
  <c r="G9" i="7"/>
  <c r="H6" i="7"/>
  <c r="G6" i="7"/>
  <c r="C116" i="7"/>
  <c r="B116" i="7"/>
  <c r="C113" i="7"/>
  <c r="B113" i="7"/>
  <c r="C109" i="7"/>
  <c r="B109" i="7"/>
  <c r="C106" i="7"/>
  <c r="B106" i="7"/>
  <c r="C103" i="7"/>
  <c r="B103" i="7"/>
  <c r="C99" i="7"/>
  <c r="B99" i="7"/>
  <c r="C96" i="7"/>
  <c r="B96" i="7"/>
  <c r="C92" i="7"/>
  <c r="B92" i="7"/>
  <c r="C90" i="7"/>
  <c r="B90" i="7"/>
  <c r="C87" i="7"/>
  <c r="B87" i="7"/>
  <c r="C84" i="7"/>
  <c r="B84" i="7"/>
  <c r="C81" i="7"/>
  <c r="B81" i="7"/>
  <c r="C77" i="7"/>
  <c r="B77" i="7"/>
  <c r="C75" i="7"/>
  <c r="B75" i="7"/>
  <c r="C71" i="7"/>
  <c r="B71" i="7"/>
  <c r="C68" i="7"/>
  <c r="B68" i="7"/>
  <c r="C66" i="7"/>
  <c r="B66" i="7"/>
  <c r="C62" i="7"/>
  <c r="B62" i="7"/>
  <c r="C59" i="7"/>
  <c r="B59" i="7"/>
  <c r="C56" i="7"/>
  <c r="B56" i="7"/>
  <c r="C52" i="7"/>
  <c r="B52" i="7"/>
  <c r="C49" i="7"/>
  <c r="B49" i="7"/>
  <c r="C46" i="7"/>
  <c r="B46" i="7"/>
  <c r="C43" i="7"/>
  <c r="B43" i="7"/>
  <c r="C39" i="7"/>
  <c r="B39" i="7"/>
  <c r="C37" i="7"/>
  <c r="B37" i="7"/>
  <c r="C34" i="7"/>
  <c r="B34" i="7"/>
  <c r="C32" i="7"/>
  <c r="B32" i="7"/>
  <c r="C28" i="7"/>
  <c r="B28" i="7"/>
  <c r="C25" i="7"/>
  <c r="B25" i="7"/>
  <c r="C21" i="7"/>
  <c r="B21" i="7"/>
  <c r="C18" i="7"/>
  <c r="B18" i="7"/>
  <c r="C16" i="7"/>
  <c r="B16" i="7"/>
  <c r="C12" i="7"/>
  <c r="B12" i="7"/>
  <c r="C9" i="7"/>
  <c r="B9" i="7"/>
  <c r="C6" i="7"/>
  <c r="B6" i="7"/>
  <c r="K8" i="5"/>
  <c r="K9" i="5"/>
  <c r="K10" i="5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J8" i="5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J33" i="5" s="1"/>
  <c r="J34" i="5" s="1"/>
  <c r="J35" i="5" s="1"/>
  <c r="J36" i="5" s="1"/>
  <c r="J37" i="5" s="1"/>
  <c r="J38" i="5" s="1"/>
  <c r="J39" i="5" s="1"/>
  <c r="J40" i="5" s="1"/>
  <c r="J41" i="5" s="1"/>
  <c r="J42" i="5" s="1"/>
  <c r="J43" i="5" s="1"/>
  <c r="J44" i="5" s="1"/>
  <c r="J45" i="5" s="1"/>
  <c r="J46" i="5" s="1"/>
  <c r="J47" i="5" s="1"/>
  <c r="J48" i="5" s="1"/>
  <c r="J49" i="5" s="1"/>
  <c r="J50" i="5" s="1"/>
  <c r="J51" i="5" s="1"/>
  <c r="J52" i="5" s="1"/>
  <c r="J53" i="5" s="1"/>
  <c r="J54" i="5" s="1"/>
  <c r="J55" i="5" s="1"/>
  <c r="J56" i="5" s="1"/>
  <c r="J57" i="5" s="1"/>
  <c r="J58" i="5" s="1"/>
  <c r="J59" i="5" s="1"/>
  <c r="J60" i="5" s="1"/>
  <c r="J61" i="5" s="1"/>
  <c r="J62" i="5" s="1"/>
  <c r="J63" i="5" s="1"/>
  <c r="J64" i="5" s="1"/>
  <c r="J65" i="5" s="1"/>
  <c r="J66" i="5" s="1"/>
  <c r="J67" i="5" s="1"/>
  <c r="J68" i="5" s="1"/>
  <c r="J69" i="5" s="1"/>
  <c r="J70" i="5" s="1"/>
  <c r="J71" i="5" s="1"/>
  <c r="J72" i="5" s="1"/>
  <c r="J73" i="5" s="1"/>
  <c r="J74" i="5" s="1"/>
  <c r="J75" i="5" s="1"/>
  <c r="J76" i="5" s="1"/>
  <c r="J77" i="5" s="1"/>
  <c r="J78" i="5" s="1"/>
  <c r="J79" i="5" s="1"/>
  <c r="J80" i="5" s="1"/>
  <c r="J81" i="5" s="1"/>
  <c r="J82" i="5" s="1"/>
  <c r="J83" i="5" s="1"/>
  <c r="J84" i="5" s="1"/>
  <c r="J85" i="5" s="1"/>
  <c r="J86" i="5" s="1"/>
  <c r="J87" i="5" s="1"/>
  <c r="J88" i="5" s="1"/>
  <c r="J89" i="5" s="1"/>
  <c r="J90" i="5" s="1"/>
  <c r="J91" i="5" s="1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111" i="5" s="1"/>
  <c r="J112" i="5" s="1"/>
  <c r="J113" i="5" s="1"/>
  <c r="J114" i="5" s="1"/>
  <c r="J115" i="5" s="1"/>
  <c r="J116" i="5" s="1"/>
  <c r="J117" i="5" s="1"/>
  <c r="J118" i="5" s="1"/>
  <c r="J119" i="5" s="1"/>
  <c r="J120" i="5" s="1"/>
  <c r="J121" i="5" s="1"/>
  <c r="J122" i="5" s="1"/>
  <c r="J123" i="5" s="1"/>
  <c r="J124" i="5" s="1"/>
  <c r="J125" i="5" s="1"/>
  <c r="J126" i="5" s="1"/>
  <c r="J127" i="5" s="1"/>
  <c r="J128" i="5" s="1"/>
  <c r="J129" i="5" s="1"/>
  <c r="J130" i="5" s="1"/>
  <c r="J131" i="5" s="1"/>
  <c r="J132" i="5" s="1"/>
  <c r="J133" i="5" s="1"/>
  <c r="J134" i="5" s="1"/>
  <c r="J135" i="5" s="1"/>
  <c r="J136" i="5" s="1"/>
  <c r="J137" i="5" s="1"/>
  <c r="J138" i="5" s="1"/>
  <c r="J139" i="5" s="1"/>
  <c r="J140" i="5" s="1"/>
  <c r="J141" i="5" s="1"/>
  <c r="J142" i="5" s="1"/>
  <c r="J143" i="5" s="1"/>
  <c r="J144" i="5" s="1"/>
  <c r="J145" i="5" s="1"/>
  <c r="J146" i="5" s="1"/>
  <c r="J147" i="5" s="1"/>
  <c r="J148" i="5" s="1"/>
  <c r="J149" i="5" s="1"/>
  <c r="J150" i="5" s="1"/>
  <c r="J151" i="5" s="1"/>
  <c r="J152" i="5" s="1"/>
  <c r="J153" i="5" s="1"/>
  <c r="J154" i="5" s="1"/>
  <c r="J155" i="5" s="1"/>
  <c r="J156" i="5" s="1"/>
  <c r="J157" i="5" s="1"/>
  <c r="J158" i="5" s="1"/>
  <c r="J159" i="5" s="1"/>
  <c r="J160" i="5" s="1"/>
  <c r="J161" i="5" s="1"/>
  <c r="J162" i="5" s="1"/>
  <c r="J163" i="5" s="1"/>
  <c r="J164" i="5" s="1"/>
  <c r="J165" i="5" s="1"/>
  <c r="J166" i="5" s="1"/>
  <c r="J167" i="5" s="1"/>
  <c r="J168" i="5" s="1"/>
  <c r="J169" i="5" s="1"/>
  <c r="J170" i="5" s="1"/>
  <c r="J171" i="5" s="1"/>
  <c r="J172" i="5" s="1"/>
  <c r="J173" i="5" s="1"/>
  <c r="J174" i="5" s="1"/>
  <c r="J175" i="5" s="1"/>
  <c r="J176" i="5" s="1"/>
  <c r="J177" i="5" s="1"/>
  <c r="J178" i="5" s="1"/>
  <c r="J179" i="5" s="1"/>
  <c r="J180" i="5" s="1"/>
  <c r="J181" i="5" s="1"/>
  <c r="J182" i="5" s="1"/>
  <c r="J183" i="5" s="1"/>
  <c r="J184" i="5" s="1"/>
  <c r="J185" i="5" s="1"/>
  <c r="J186" i="5" s="1"/>
  <c r="J187" i="5" s="1"/>
  <c r="J188" i="5" s="1"/>
  <c r="J189" i="5" s="1"/>
  <c r="J190" i="5" s="1"/>
  <c r="J191" i="5" s="1"/>
  <c r="J192" i="5" s="1"/>
  <c r="J193" i="5" s="1"/>
  <c r="J194" i="5" s="1"/>
  <c r="J195" i="5" s="1"/>
  <c r="J196" i="5" s="1"/>
  <c r="J197" i="5" s="1"/>
  <c r="J198" i="5" s="1"/>
  <c r="J199" i="5" s="1"/>
  <c r="J200" i="5" s="1"/>
  <c r="J201" i="5" s="1"/>
  <c r="J202" i="5" s="1"/>
  <c r="J203" i="5" s="1"/>
  <c r="I8" i="5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136" i="5" s="1"/>
  <c r="I137" i="5" s="1"/>
  <c r="I138" i="5" s="1"/>
  <c r="I139" i="5" s="1"/>
  <c r="I140" i="5" s="1"/>
  <c r="I141" i="5" s="1"/>
  <c r="I142" i="5" s="1"/>
  <c r="I143" i="5" s="1"/>
  <c r="I144" i="5" s="1"/>
  <c r="I145" i="5" s="1"/>
  <c r="I146" i="5" s="1"/>
  <c r="I147" i="5" s="1"/>
  <c r="I148" i="5" s="1"/>
  <c r="I149" i="5" s="1"/>
  <c r="I150" i="5" s="1"/>
  <c r="I151" i="5" s="1"/>
  <c r="I152" i="5" s="1"/>
  <c r="I153" i="5" s="1"/>
  <c r="I154" i="5" s="1"/>
  <c r="I155" i="5" s="1"/>
  <c r="I156" i="5" s="1"/>
  <c r="I157" i="5" s="1"/>
  <c r="I158" i="5" s="1"/>
  <c r="I159" i="5" s="1"/>
  <c r="I160" i="5" s="1"/>
  <c r="I161" i="5" s="1"/>
  <c r="I162" i="5" s="1"/>
  <c r="I163" i="5" s="1"/>
  <c r="I164" i="5" s="1"/>
  <c r="I165" i="5" s="1"/>
  <c r="I166" i="5" s="1"/>
  <c r="I167" i="5" s="1"/>
  <c r="I168" i="5" s="1"/>
  <c r="I169" i="5" s="1"/>
  <c r="I170" i="5" s="1"/>
  <c r="I171" i="5" s="1"/>
  <c r="I172" i="5" s="1"/>
  <c r="I173" i="5" s="1"/>
  <c r="I174" i="5" s="1"/>
  <c r="I175" i="5" s="1"/>
  <c r="I176" i="5" s="1"/>
  <c r="I177" i="5" s="1"/>
  <c r="I178" i="5" s="1"/>
  <c r="I179" i="5" s="1"/>
  <c r="I180" i="5" s="1"/>
  <c r="I181" i="5" s="1"/>
  <c r="I182" i="5" s="1"/>
  <c r="I183" i="5" s="1"/>
  <c r="I184" i="5" s="1"/>
  <c r="I185" i="5" s="1"/>
  <c r="I186" i="5" s="1"/>
  <c r="I187" i="5" s="1"/>
  <c r="I188" i="5" s="1"/>
  <c r="I189" i="5" s="1"/>
  <c r="I190" i="5" s="1"/>
  <c r="I191" i="5" s="1"/>
  <c r="I192" i="5" s="1"/>
  <c r="I193" i="5" s="1"/>
  <c r="I194" i="5" s="1"/>
  <c r="I195" i="5" s="1"/>
  <c r="I196" i="5" s="1"/>
  <c r="I197" i="5" s="1"/>
  <c r="I198" i="5" s="1"/>
  <c r="I199" i="5" s="1"/>
  <c r="I200" i="5" s="1"/>
  <c r="I201" i="5" s="1"/>
  <c r="I202" i="5" s="1"/>
  <c r="I203" i="5" s="1"/>
  <c r="H8" i="5"/>
  <c r="H9" i="5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7" i="5"/>
  <c r="I7" i="5"/>
  <c r="J7" i="5"/>
  <c r="K7" i="5"/>
  <c r="G8" i="5"/>
  <c r="G9" i="5"/>
  <c r="G10" i="5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G48" i="5" s="1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G59" i="5" s="1"/>
  <c r="G60" i="5" s="1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G71" i="5" s="1"/>
  <c r="G72" i="5" s="1"/>
  <c r="G73" i="5" s="1"/>
  <c r="G74" i="5" s="1"/>
  <c r="G75" i="5" s="1"/>
  <c r="G76" i="5" s="1"/>
  <c r="G77" i="5" s="1"/>
  <c r="G78" i="5" s="1"/>
  <c r="G79" i="5" s="1"/>
  <c r="G80" i="5" s="1"/>
  <c r="G81" i="5" s="1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7" i="5" s="1"/>
  <c r="G98" i="5" s="1"/>
  <c r="G99" i="5" s="1"/>
  <c r="G100" i="5" s="1"/>
  <c r="G101" i="5" s="1"/>
  <c r="G102" i="5" s="1"/>
  <c r="G103" i="5" s="1"/>
  <c r="G104" i="5" s="1"/>
  <c r="G105" i="5" s="1"/>
  <c r="G106" i="5" s="1"/>
  <c r="G107" i="5" s="1"/>
  <c r="G108" i="5" s="1"/>
  <c r="G109" i="5" s="1"/>
  <c r="G110" i="5" s="1"/>
  <c r="G111" i="5" s="1"/>
  <c r="G112" i="5" s="1"/>
  <c r="G113" i="5" s="1"/>
  <c r="G114" i="5" s="1"/>
  <c r="G115" i="5" s="1"/>
  <c r="G116" i="5" s="1"/>
  <c r="G117" i="5" s="1"/>
  <c r="G118" i="5" s="1"/>
  <c r="G119" i="5" s="1"/>
  <c r="G120" i="5" s="1"/>
  <c r="G121" i="5" s="1"/>
  <c r="G122" i="5" s="1"/>
  <c r="G123" i="5" s="1"/>
  <c r="G124" i="5" s="1"/>
  <c r="G125" i="5" s="1"/>
  <c r="G126" i="5" s="1"/>
  <c r="G127" i="5" s="1"/>
  <c r="G128" i="5" s="1"/>
  <c r="G129" i="5" s="1"/>
  <c r="G130" i="5" s="1"/>
  <c r="G131" i="5" s="1"/>
  <c r="G132" i="5" s="1"/>
  <c r="G133" i="5" s="1"/>
  <c r="G134" i="5" s="1"/>
  <c r="G135" i="5" s="1"/>
  <c r="G136" i="5" s="1"/>
  <c r="G137" i="5" s="1"/>
  <c r="G138" i="5" s="1"/>
  <c r="G139" i="5" s="1"/>
  <c r="G140" i="5" s="1"/>
  <c r="G141" i="5" s="1"/>
  <c r="G142" i="5" s="1"/>
  <c r="G143" i="5" s="1"/>
  <c r="G144" i="5" s="1"/>
  <c r="G145" i="5" s="1"/>
  <c r="G146" i="5" s="1"/>
  <c r="G147" i="5" s="1"/>
  <c r="G148" i="5" s="1"/>
  <c r="G149" i="5" s="1"/>
  <c r="G150" i="5" s="1"/>
  <c r="G151" i="5" s="1"/>
  <c r="G152" i="5" s="1"/>
  <c r="G153" i="5" s="1"/>
  <c r="G154" i="5" s="1"/>
  <c r="G155" i="5" s="1"/>
  <c r="G156" i="5" s="1"/>
  <c r="G157" i="5" s="1"/>
  <c r="G158" i="5" s="1"/>
  <c r="G159" i="5" s="1"/>
  <c r="G160" i="5" s="1"/>
  <c r="G161" i="5" s="1"/>
  <c r="G162" i="5" s="1"/>
  <c r="G163" i="5" s="1"/>
  <c r="G164" i="5" s="1"/>
  <c r="G165" i="5" s="1"/>
  <c r="G166" i="5" s="1"/>
  <c r="G167" i="5" s="1"/>
  <c r="G168" i="5" s="1"/>
  <c r="G169" i="5" s="1"/>
  <c r="G170" i="5" s="1"/>
  <c r="G171" i="5" s="1"/>
  <c r="G172" i="5" s="1"/>
  <c r="G173" i="5" s="1"/>
  <c r="G174" i="5" s="1"/>
  <c r="G175" i="5" s="1"/>
  <c r="G176" i="5" s="1"/>
  <c r="G177" i="5" s="1"/>
  <c r="G178" i="5" s="1"/>
  <c r="G179" i="5" s="1"/>
  <c r="G180" i="5" s="1"/>
  <c r="G181" i="5" s="1"/>
  <c r="G182" i="5" s="1"/>
  <c r="G183" i="5" s="1"/>
  <c r="G184" i="5" s="1"/>
  <c r="G185" i="5" s="1"/>
  <c r="G186" i="5" s="1"/>
  <c r="G187" i="5" s="1"/>
  <c r="G188" i="5" s="1"/>
  <c r="G189" i="5" s="1"/>
  <c r="G190" i="5" s="1"/>
  <c r="G191" i="5" s="1"/>
  <c r="G192" i="5" s="1"/>
  <c r="G193" i="5" s="1"/>
  <c r="G194" i="5" s="1"/>
  <c r="G195" i="5" s="1"/>
  <c r="G196" i="5" s="1"/>
  <c r="G197" i="5" s="1"/>
  <c r="G198" i="5" s="1"/>
  <c r="G199" i="5" s="1"/>
  <c r="G200" i="5" s="1"/>
  <c r="G201" i="5" s="1"/>
  <c r="G202" i="5" s="1"/>
  <c r="G203" i="5" s="1"/>
  <c r="G7" i="5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3" i="4"/>
  <c r="I2" i="4"/>
  <c r="K41" i="8" l="1"/>
  <c r="H67" i="8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K66" i="8"/>
  <c r="K59" i="8"/>
  <c r="K23" i="8"/>
  <c r="K9" i="8"/>
  <c r="K46" i="8"/>
  <c r="K28" i="8"/>
  <c r="K16" i="8"/>
  <c r="K51" i="8"/>
  <c r="K32" i="8"/>
  <c r="K62" i="8"/>
  <c r="K26" i="8"/>
  <c r="K56" i="8"/>
  <c r="K37" i="8"/>
  <c r="K20" i="8"/>
  <c r="K12" i="8"/>
  <c r="K101" i="8" l="1"/>
  <c r="H102" i="8"/>
  <c r="H103" i="8" s="1"/>
  <c r="H104" i="8" s="1"/>
  <c r="H105" i="8" s="1"/>
  <c r="H106" i="8" s="1"/>
  <c r="K74" i="8"/>
  <c r="K77" i="8"/>
  <c r="K79" i="8"/>
  <c r="K69" i="8"/>
  <c r="K83" i="8"/>
  <c r="K86" i="8"/>
  <c r="K96" i="8"/>
  <c r="K91" i="8"/>
  <c r="H107" i="8" l="1"/>
  <c r="H108" i="8" s="1"/>
  <c r="K106" i="8"/>
  <c r="H109" i="8" l="1"/>
  <c r="K108" i="8"/>
  <c r="H110" i="8" l="1"/>
  <c r="H111" i="8" s="1"/>
  <c r="H112" i="8" s="1"/>
  <c r="H113" i="8" s="1"/>
  <c r="H114" i="8" s="1"/>
  <c r="H115" i="8" s="1"/>
  <c r="H116" i="8" s="1"/>
  <c r="H117" i="8" s="1"/>
  <c r="K113" i="8" l="1"/>
  <c r="H118" i="8"/>
  <c r="H119" i="8" s="1"/>
  <c r="H120" i="8" s="1"/>
  <c r="H121" i="8" s="1"/>
  <c r="K117" i="8"/>
  <c r="H122" i="8" l="1"/>
  <c r="H123" i="8" s="1"/>
  <c r="K121" i="8"/>
  <c r="H124" i="8" l="1"/>
  <c r="H125" i="8" s="1"/>
  <c r="K123" i="8"/>
  <c r="H126" i="8" l="1"/>
  <c r="H127" i="8" s="1"/>
  <c r="H128" i="8" s="1"/>
  <c r="H129" i="8" s="1"/>
  <c r="H130" i="8" s="1"/>
  <c r="K125" i="8"/>
  <c r="H131" i="8" l="1"/>
  <c r="H132" i="8" s="1"/>
  <c r="K130" i="8"/>
  <c r="H133" i="8" l="1"/>
  <c r="H134" i="8" s="1"/>
  <c r="H135" i="8" s="1"/>
  <c r="K132" i="8"/>
  <c r="H136" i="8" l="1"/>
  <c r="H137" i="8" s="1"/>
  <c r="H138" i="8" s="1"/>
  <c r="H139" i="8" s="1"/>
  <c r="K135" i="8"/>
  <c r="H140" i="8" l="1"/>
  <c r="H141" i="8" s="1"/>
  <c r="H142" i="8" s="1"/>
  <c r="H143" i="8" s="1"/>
  <c r="H144" i="8" s="1"/>
  <c r="K139" i="8"/>
  <c r="H145" i="8" l="1"/>
  <c r="H146" i="8" s="1"/>
  <c r="K144" i="8"/>
  <c r="H147" i="8" l="1"/>
  <c r="H148" i="8" s="1"/>
  <c r="H149" i="8" s="1"/>
  <c r="H150" i="8" s="1"/>
  <c r="H151" i="8" s="1"/>
  <c r="K146" i="8"/>
  <c r="H152" i="8" l="1"/>
  <c r="H153" i="8" s="1"/>
  <c r="K151" i="8"/>
  <c r="H154" i="8" l="1"/>
  <c r="H155" i="8" s="1"/>
  <c r="H156" i="8" s="1"/>
  <c r="K153" i="8"/>
  <c r="H157" i="8" l="1"/>
  <c r="H158" i="8" s="1"/>
  <c r="H159" i="8" s="1"/>
  <c r="H160" i="8" s="1"/>
  <c r="K156" i="8"/>
  <c r="H161" i="8" l="1"/>
  <c r="H162" i="8" s="1"/>
  <c r="H163" i="8" s="1"/>
  <c r="K160" i="8"/>
  <c r="H164" i="8" l="1"/>
  <c r="H165" i="8" s="1"/>
  <c r="H166" i="8" s="1"/>
  <c r="K163" i="8"/>
  <c r="H167" i="8" l="1"/>
  <c r="H168" i="8" s="1"/>
  <c r="H169" i="8" s="1"/>
  <c r="K166" i="8"/>
  <c r="H170" i="8" l="1"/>
  <c r="H171" i="8" s="1"/>
  <c r="H172" i="8" s="1"/>
  <c r="H173" i="8" s="1"/>
  <c r="H174" i="8" s="1"/>
  <c r="K169" i="8"/>
  <c r="H175" i="8" l="1"/>
  <c r="H176" i="8" s="1"/>
  <c r="H177" i="8" s="1"/>
  <c r="H178" i="8" s="1"/>
  <c r="K174" i="8"/>
  <c r="H179" i="8" l="1"/>
  <c r="H180" i="8" s="1"/>
  <c r="H181" i="8" s="1"/>
  <c r="H182" i="8" s="1"/>
  <c r="K178" i="8"/>
  <c r="H183" i="8" l="1"/>
  <c r="H184" i="8" s="1"/>
  <c r="H185" i="8" s="1"/>
  <c r="H186" i="8" s="1"/>
  <c r="K182" i="8"/>
  <c r="H187" i="8" l="1"/>
  <c r="H188" i="8" s="1"/>
  <c r="H189" i="8" s="1"/>
  <c r="H190" i="8" s="1"/>
  <c r="H191" i="8" s="1"/>
  <c r="K186" i="8"/>
  <c r="H192" i="8" l="1"/>
  <c r="H193" i="8" s="1"/>
  <c r="H194" i="8" s="1"/>
  <c r="K191" i="8"/>
  <c r="H195" i="8" l="1"/>
  <c r="H196" i="8" s="1"/>
  <c r="K194" i="8"/>
  <c r="H197" i="8" l="1"/>
  <c r="H198" i="8" s="1"/>
  <c r="H199" i="8" s="1"/>
  <c r="K196" i="8"/>
  <c r="K199" i="8" l="1"/>
  <c r="H200" i="8"/>
  <c r="H201" i="8" s="1"/>
  <c r="H202" i="8" s="1"/>
  <c r="H203" i="8" s="1"/>
  <c r="H204" i="8" s="1"/>
  <c r="K204" i="8" l="1"/>
  <c r="M6" i="8" s="1"/>
  <c r="M8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A9A411-DD36-4AA5-93CE-604A2B65314F}" name="statek" type="6" refreshedVersion="8" background="1" saveData="1">
    <textPr codePage="852" sourceFile="C:\Users\oskar\Documents\Dane_PR2\statek.txt" decimal="," thousands=" ">
      <textFields count="6">
        <textField type="YMD"/>
        <textField type="text"/>
        <textField/>
        <textField/>
        <textField/>
        <textField/>
      </textFields>
    </textPr>
  </connection>
  <connection id="2" xr16:uid="{C7ED5E89-B27C-46DF-989F-BC90BF32E9FA}" name="statek1" type="6" refreshedVersion="8" background="1" saveData="1">
    <textPr codePage="852" sourceFile="C:\Users\oskar\Documents\Dane_PR2\statek.txt" decimal="," thousands=" ">
      <textFields count="6">
        <textField type="YMD"/>
        <textField type="text"/>
        <textField/>
        <textField/>
        <textField/>
        <textField/>
      </textFields>
    </textPr>
  </connection>
  <connection id="3" xr16:uid="{A4C2DA4E-237B-4A44-B79B-485A9423C4DC}" name="statek2" type="6" refreshedVersion="8" background="1" saveData="1">
    <textPr codePage="852" sourceFile="C:\Users\oskar\Documents\Dane_PR2\statek.txt" decimal="," thousands=" ">
      <textFields count="6">
        <textField type="YMD"/>
        <textField type="text"/>
        <textField/>
        <textField/>
        <textField/>
        <textField/>
      </textFields>
    </textPr>
  </connection>
  <connection id="4" xr16:uid="{FF63087F-B51F-4D18-BAFC-6D7D79E8EADA}" name="statek3" type="6" refreshedVersion="8" background="1" saveData="1">
    <textPr codePage="852" sourceFile="C:\Users\oskar\Documents\Dane_PR2\statek.txt" decimal="," thousands=" ">
      <textFields count="6">
        <textField type="YMD"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<sst xmlns="http://schemas.openxmlformats.org/spreadsheetml/2006/main" count="3969" uniqueCount="83">
  <si>
    <t>data</t>
  </si>
  <si>
    <t>port</t>
  </si>
  <si>
    <t>towar</t>
  </si>
  <si>
    <t>Z/W</t>
  </si>
  <si>
    <t>ile ton</t>
  </si>
  <si>
    <t>cena za tone w talarach</t>
  </si>
  <si>
    <t>Algier</t>
  </si>
  <si>
    <t>T4</t>
  </si>
  <si>
    <t>Z</t>
  </si>
  <si>
    <t>T5</t>
  </si>
  <si>
    <t>T1</t>
  </si>
  <si>
    <t>T2</t>
  </si>
  <si>
    <t>T3</t>
  </si>
  <si>
    <t>Tunis</t>
  </si>
  <si>
    <t>W</t>
  </si>
  <si>
    <t>Benghazi</t>
  </si>
  <si>
    <t>Aleksandria</t>
  </si>
  <si>
    <t>Bejrut</t>
  </si>
  <si>
    <t>Palermo</t>
  </si>
  <si>
    <t>Neapol</t>
  </si>
  <si>
    <t>Monako</t>
  </si>
  <si>
    <t>Barcelona</t>
  </si>
  <si>
    <t>Walencja</t>
  </si>
  <si>
    <t>Liczba z towar</t>
  </si>
  <si>
    <t>Etykiety wierszy</t>
  </si>
  <si>
    <t>Suma końcowa</t>
  </si>
  <si>
    <t>Suma z ile ton</t>
  </si>
  <si>
    <t>Szczegóły Liczba z towar — Z/W: Z</t>
  </si>
  <si>
    <t>Data</t>
  </si>
  <si>
    <t>miejsce</t>
  </si>
  <si>
    <t>zaladunek</t>
  </si>
  <si>
    <t>masa</t>
  </si>
  <si>
    <t>cena</t>
  </si>
  <si>
    <t>Suma z masa</t>
  </si>
  <si>
    <t>a</t>
  </si>
  <si>
    <t>dni na morzu</t>
  </si>
  <si>
    <t>b</t>
  </si>
  <si>
    <t>min T4 24</t>
  </si>
  <si>
    <t>max T2 48</t>
  </si>
  <si>
    <t>min T1 3</t>
  </si>
  <si>
    <t>max T5 125</t>
  </si>
  <si>
    <t>c</t>
  </si>
  <si>
    <t>2016-01 Suma</t>
  </si>
  <si>
    <t>2016-02 Suma</t>
  </si>
  <si>
    <t>2016-03 Suma</t>
  </si>
  <si>
    <t>2016-04 Suma</t>
  </si>
  <si>
    <t>2016-06 Suma</t>
  </si>
  <si>
    <t>2016-07 Suma</t>
  </si>
  <si>
    <t>2016-08 Suma</t>
  </si>
  <si>
    <t>2016-09 Suma</t>
  </si>
  <si>
    <t>2016-11 Suma</t>
  </si>
  <si>
    <t>2017-01 Suma</t>
  </si>
  <si>
    <t>2017-02 Suma</t>
  </si>
  <si>
    <t>2017-03 Suma</t>
  </si>
  <si>
    <t>2017-04 Suma</t>
  </si>
  <si>
    <t>2017-05 Suma</t>
  </si>
  <si>
    <t>2017-06 Suma</t>
  </si>
  <si>
    <t>2017-07 Suma</t>
  </si>
  <si>
    <t>2017-08 Suma</t>
  </si>
  <si>
    <t>2017-10 Suma</t>
  </si>
  <si>
    <t>2017-11 Suma</t>
  </si>
  <si>
    <t>2018-01 Suma</t>
  </si>
  <si>
    <t>2018-02 Suma</t>
  </si>
  <si>
    <t>2018-03 Suma</t>
  </si>
  <si>
    <t>2018-04 Suma</t>
  </si>
  <si>
    <t>2018-06 Suma</t>
  </si>
  <si>
    <t>2018-07 Suma</t>
  </si>
  <si>
    <t>2018-08 Suma</t>
  </si>
  <si>
    <t>2018-09 Suma</t>
  </si>
  <si>
    <t>2018-10 Suma</t>
  </si>
  <si>
    <t>2018-11 Suma</t>
  </si>
  <si>
    <t>2018-12 Suma</t>
  </si>
  <si>
    <t>2016-05 Suma</t>
  </si>
  <si>
    <t>2016-10 Suma</t>
  </si>
  <si>
    <t>2016-12 Suma</t>
  </si>
  <si>
    <t>2017-09 Suma</t>
  </si>
  <si>
    <t>2017-12 Suma</t>
  </si>
  <si>
    <t>2018-05 Suma</t>
  </si>
  <si>
    <t>Załadunek</t>
  </si>
  <si>
    <t>Wyładunek</t>
  </si>
  <si>
    <t>talary</t>
  </si>
  <si>
    <t>wypłynięcie z portu</t>
  </si>
  <si>
    <t>min ilość talarów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</si>
</sst>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"/>
  </numFmts>
  <fonts count="4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2" xfId="0" applyFont="1" applyFill="1" applyBorder="1"/>
    <xf numFmtId="0" fontId="0" fillId="2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2" fillId="0" borderId="0" xfId="0" applyFont="1"/>
    <xf numFmtId="14" fontId="0" fillId="2" borderId="1" xfId="0" applyNumberFormat="1" applyFont="1" applyFill="1" applyBorder="1"/>
    <xf numFmtId="14" fontId="0" fillId="0" borderId="1" xfId="0" applyNumberFormat="1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14" fontId="1" fillId="0" borderId="0" xfId="0" applyNumberFormat="1" applyFont="1"/>
    <xf numFmtId="49" fontId="1" fillId="0" borderId="0" xfId="0" applyNumberFormat="1" applyFont="1"/>
    <xf numFmtId="0" fontId="1" fillId="3" borderId="0" xfId="0" applyFont="1" applyFill="1"/>
    <xf numFmtId="167" fontId="0" fillId="0" borderId="0" xfId="0" applyNumberFormat="1"/>
    <xf numFmtId="167" fontId="2" fillId="0" borderId="0" xfId="0" applyNumberFormat="1" applyFont="1"/>
    <xf numFmtId="0" fontId="0" fillId="0" borderId="0" xfId="0" applyFont="1"/>
  </cellXfs>
  <cellStyles count="1">
    <cellStyle name="Normalny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wyładunek</a:t>
            </a:r>
            <a:r>
              <a:rPr lang="pl-PL" baseline="0"/>
              <a:t> i załudunek T5 w poszczególnych miesiącach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'6.4'!$G$1</c:f>
              <c:strCache>
                <c:ptCount val="1"/>
                <c:pt idx="0">
                  <c:v>Załadunek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'6.4'!$F$2:$F$116</c:f>
              <c:strCache>
                <c:ptCount val="36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  <c:pt idx="12">
                  <c:v>2017-01</c:v>
                </c:pt>
                <c:pt idx="13">
                  <c:v>2017-02</c:v>
                </c:pt>
                <c:pt idx="14">
                  <c:v>2017-03</c:v>
                </c:pt>
                <c:pt idx="15">
                  <c:v>2017-04</c:v>
                </c:pt>
                <c:pt idx="16">
                  <c:v>2017-05</c:v>
                </c:pt>
                <c:pt idx="17">
                  <c:v>2017-06</c:v>
                </c:pt>
                <c:pt idx="18">
                  <c:v>2017-07</c:v>
                </c:pt>
                <c:pt idx="19">
                  <c:v>2017-08</c:v>
                </c:pt>
                <c:pt idx="20">
                  <c:v>2017-09</c:v>
                </c:pt>
                <c:pt idx="21">
                  <c:v>2017-10</c:v>
                </c:pt>
                <c:pt idx="22">
                  <c:v>2017-11</c:v>
                </c:pt>
                <c:pt idx="23">
                  <c:v>2017-12</c:v>
                </c:pt>
                <c:pt idx="24">
                  <c:v>2018-01</c:v>
                </c:pt>
                <c:pt idx="25">
                  <c:v>2018-02</c:v>
                </c:pt>
                <c:pt idx="26">
                  <c:v>2018-03</c:v>
                </c:pt>
                <c:pt idx="27">
                  <c:v>2018-04</c:v>
                </c:pt>
                <c:pt idx="28">
                  <c:v>2018-05</c:v>
                </c:pt>
                <c:pt idx="29">
                  <c:v>2018-06</c:v>
                </c:pt>
                <c:pt idx="30">
                  <c:v>2018-07</c:v>
                </c:pt>
                <c:pt idx="31">
                  <c:v>2018-08</c:v>
                </c:pt>
                <c:pt idx="32">
                  <c:v>2018-09</c:v>
                </c:pt>
                <c:pt idx="33">
                  <c:v>2018-10</c:v>
                </c:pt>
                <c:pt idx="34">
                  <c:v>2018-11</c:v>
                </c:pt>
                <c:pt idx="35">
                  <c:v>2018-12</c:v>
                </c:pt>
              </c:strCache>
            </c:strRef>
          </c:cat>
          <c:val>
            <c:numRef>
              <c:f>'6.4'!$G$2:$G$116</c:f>
              <c:numCache>
                <c:formatCode>General</c:formatCode>
                <c:ptCount val="36"/>
                <c:pt idx="0">
                  <c:v>76</c:v>
                </c:pt>
                <c:pt idx="1">
                  <c:v>8</c:v>
                </c:pt>
                <c:pt idx="2">
                  <c:v>0</c:v>
                </c:pt>
                <c:pt idx="3">
                  <c:v>68</c:v>
                </c:pt>
                <c:pt idx="4">
                  <c:v>0</c:v>
                </c:pt>
                <c:pt idx="5">
                  <c:v>42</c:v>
                </c:pt>
                <c:pt idx="6">
                  <c:v>83</c:v>
                </c:pt>
                <c:pt idx="7">
                  <c:v>0</c:v>
                </c:pt>
                <c:pt idx="8">
                  <c:v>44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39</c:v>
                </c:pt>
                <c:pt idx="13">
                  <c:v>0</c:v>
                </c:pt>
                <c:pt idx="14">
                  <c:v>35</c:v>
                </c:pt>
                <c:pt idx="15">
                  <c:v>1</c:v>
                </c:pt>
                <c:pt idx="16">
                  <c:v>33</c:v>
                </c:pt>
                <c:pt idx="17">
                  <c:v>8</c:v>
                </c:pt>
                <c:pt idx="18">
                  <c:v>42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0</c:v>
                </c:pt>
                <c:pt idx="24">
                  <c:v>10</c:v>
                </c:pt>
                <c:pt idx="25">
                  <c:v>34</c:v>
                </c:pt>
                <c:pt idx="26">
                  <c:v>0</c:v>
                </c:pt>
                <c:pt idx="27">
                  <c:v>5</c:v>
                </c:pt>
                <c:pt idx="28">
                  <c:v>0</c:v>
                </c:pt>
                <c:pt idx="29">
                  <c:v>95</c:v>
                </c:pt>
                <c:pt idx="30">
                  <c:v>25</c:v>
                </c:pt>
                <c:pt idx="31">
                  <c:v>22</c:v>
                </c:pt>
                <c:pt idx="32">
                  <c:v>0</c:v>
                </c:pt>
                <c:pt idx="33">
                  <c:v>20</c:v>
                </c:pt>
                <c:pt idx="34">
                  <c:v>48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6-4870-BE0A-E05C4311FAED}"/>
            </c:ext>
          </c:extLst>
        </c:ser>
        <c:ser>
          <c:idx val="1"/>
          <c:order val="1"/>
          <c:tx>
            <c:strRef>
              <c:f>'6.4'!$H$1</c:f>
              <c:strCache>
                <c:ptCount val="1"/>
                <c:pt idx="0">
                  <c:v>Wyładunek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'6.4'!$F$2:$F$116</c:f>
              <c:strCache>
                <c:ptCount val="36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  <c:pt idx="12">
                  <c:v>2017-01</c:v>
                </c:pt>
                <c:pt idx="13">
                  <c:v>2017-02</c:v>
                </c:pt>
                <c:pt idx="14">
                  <c:v>2017-03</c:v>
                </c:pt>
                <c:pt idx="15">
                  <c:v>2017-04</c:v>
                </c:pt>
                <c:pt idx="16">
                  <c:v>2017-05</c:v>
                </c:pt>
                <c:pt idx="17">
                  <c:v>2017-06</c:v>
                </c:pt>
                <c:pt idx="18">
                  <c:v>2017-07</c:v>
                </c:pt>
                <c:pt idx="19">
                  <c:v>2017-08</c:v>
                </c:pt>
                <c:pt idx="20">
                  <c:v>2017-09</c:v>
                </c:pt>
                <c:pt idx="21">
                  <c:v>2017-10</c:v>
                </c:pt>
                <c:pt idx="22">
                  <c:v>2017-11</c:v>
                </c:pt>
                <c:pt idx="23">
                  <c:v>2017-12</c:v>
                </c:pt>
                <c:pt idx="24">
                  <c:v>2018-01</c:v>
                </c:pt>
                <c:pt idx="25">
                  <c:v>2018-02</c:v>
                </c:pt>
                <c:pt idx="26">
                  <c:v>2018-03</c:v>
                </c:pt>
                <c:pt idx="27">
                  <c:v>2018-04</c:v>
                </c:pt>
                <c:pt idx="28">
                  <c:v>2018-05</c:v>
                </c:pt>
                <c:pt idx="29">
                  <c:v>2018-06</c:v>
                </c:pt>
                <c:pt idx="30">
                  <c:v>2018-07</c:v>
                </c:pt>
                <c:pt idx="31">
                  <c:v>2018-08</c:v>
                </c:pt>
                <c:pt idx="32">
                  <c:v>2018-09</c:v>
                </c:pt>
                <c:pt idx="33">
                  <c:v>2018-10</c:v>
                </c:pt>
                <c:pt idx="34">
                  <c:v>2018-11</c:v>
                </c:pt>
                <c:pt idx="35">
                  <c:v>2018-12</c:v>
                </c:pt>
              </c:strCache>
            </c:strRef>
          </c:cat>
          <c:val>
            <c:numRef>
              <c:f>'6.4'!$H$2:$H$116</c:f>
              <c:numCache>
                <c:formatCode>General</c:formatCode>
                <c:ptCount val="36"/>
                <c:pt idx="0">
                  <c:v>32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191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68</c:v>
                </c:pt>
                <c:pt idx="17">
                  <c:v>0</c:v>
                </c:pt>
                <c:pt idx="18">
                  <c:v>0</c:v>
                </c:pt>
                <c:pt idx="19">
                  <c:v>48</c:v>
                </c:pt>
                <c:pt idx="20">
                  <c:v>0</c:v>
                </c:pt>
                <c:pt idx="21">
                  <c:v>6</c:v>
                </c:pt>
                <c:pt idx="22">
                  <c:v>1</c:v>
                </c:pt>
                <c:pt idx="23">
                  <c:v>0</c:v>
                </c:pt>
                <c:pt idx="24">
                  <c:v>22</c:v>
                </c:pt>
                <c:pt idx="25">
                  <c:v>0</c:v>
                </c:pt>
                <c:pt idx="26">
                  <c:v>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121</c:v>
                </c:pt>
                <c:pt idx="32">
                  <c:v>26</c:v>
                </c:pt>
                <c:pt idx="33">
                  <c:v>0</c:v>
                </c:pt>
                <c:pt idx="34">
                  <c:v>64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6-4870-BE0A-E05C4311F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58301967"/>
        <c:axId val="958300527"/>
      </c:barChart>
      <c:catAx>
        <c:axId val="958301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8300527"/>
        <c:crosses val="autoZero"/>
        <c:auto val="1"/>
        <c:lblAlgn val="ctr"/>
        <c:lblOffset val="100"/>
        <c:noMultiLvlLbl val="0"/>
      </c:catAx>
      <c:valAx>
        <c:axId val="95830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tony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830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580428</xdr:colOff>
      <xdr:row>15</xdr:row>
      <xdr:rowOff>119658</xdr:rowOff>
    </xdr:from>
    <xdr:to>
      <xdr:col>20</xdr:col>
      <xdr:colOff>130969</xdr:colOff>
      <xdr:row>80</xdr:row>
      <xdr:rowOff>101204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B2DBAC7-43DC-7611-3604-C284F3CAD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075.928243055554" createdVersion="8" refreshedVersion="8" minRefreshableVersion="3" recordCount="202" xr:uid="{5739B427-9C85-4724-ADC6-9377F7C55DD7}">
  <cacheSource type="worksheet">
    <worksheetSource ref="A1:F203" sheet="6.1"/>
  </cacheSource>
  <cacheFields count="6">
    <cacheField name="data" numFmtId="14">
      <sharedItems containsSemiMixedTypes="0" containsNonDate="0" containsDate="1" containsString="0" minDate="2016-01-01T00:00:00" maxDate="2018-12-19T00:00:00"/>
    </cacheField>
    <cacheField name="port" numFmtId="49">
      <sharedItems/>
    </cacheField>
    <cacheField name="towar" numFmtId="0">
      <sharedItems/>
    </cacheField>
    <cacheField name="Z/W" numFmtId="0">
      <sharedItems count="2">
        <s v="Z"/>
        <s v="W"/>
      </sharedItems>
    </cacheField>
    <cacheField name="ile ton" numFmtId="0">
      <sharedItems containsSemiMixedTypes="0" containsString="0" containsNumber="1" containsInteger="1" minValue="1" maxValue="192"/>
    </cacheField>
    <cacheField name="cena za tone w talarach" numFmtId="0">
      <sharedItems containsSemiMixedTypes="0" containsString="0" containsNumber="1" containsInteger="1" minValue="7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075.930069444446" createdVersion="8" refreshedVersion="8" minRefreshableVersion="3" recordCount="136" xr:uid="{3C04F350-E6D9-47F9-ADE1-571B40CAAE73}">
  <cacheSource type="worksheet">
    <worksheetSource ref="Q1:V137" sheet="6.1"/>
  </cacheSource>
  <cacheFields count="6">
    <cacheField name="Data" numFmtId="14">
      <sharedItems containsSemiMixedTypes="0" containsNonDate="0" containsDate="1" containsString="0" minDate="2016-01-01T00:00:00" maxDate="2018-12-19T00:00:00"/>
    </cacheField>
    <cacheField name="miejsce" numFmtId="0">
      <sharedItems/>
    </cacheField>
    <cacheField name="towar" numFmtId="0">
      <sharedItems count="5">
        <s v="T5"/>
        <s v="T4"/>
        <s v="T3"/>
        <s v="T2"/>
        <s v="T1"/>
      </sharedItems>
    </cacheField>
    <cacheField name="zaladunek" numFmtId="0">
      <sharedItems/>
    </cacheField>
    <cacheField name="masa" numFmtId="0">
      <sharedItems containsSemiMixedTypes="0" containsString="0" containsNumber="1" containsInteger="1" minValue="1" maxValue="49"/>
    </cacheField>
    <cacheField name="cena" numFmtId="0">
      <sharedItems containsSemiMixedTypes="0" containsString="0" containsNumber="1" containsInteger="1" minValue="7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d v="2016-01-01T00:00:00"/>
    <s v="Algier"/>
    <s v="T4"/>
    <x v="0"/>
    <n v="3"/>
    <n v="80"/>
  </r>
  <r>
    <d v="2016-01-01T00:00:00"/>
    <s v="Algier"/>
    <s v="T5"/>
    <x v="0"/>
    <n v="32"/>
    <n v="50"/>
  </r>
  <r>
    <d v="2016-01-01T00:00:00"/>
    <s v="Algier"/>
    <s v="T1"/>
    <x v="0"/>
    <n v="38"/>
    <n v="10"/>
  </r>
  <r>
    <d v="2016-01-01T00:00:00"/>
    <s v="Algier"/>
    <s v="T2"/>
    <x v="0"/>
    <n v="33"/>
    <n v="30"/>
  </r>
  <r>
    <d v="2016-01-01T00:00:00"/>
    <s v="Algier"/>
    <s v="T3"/>
    <x v="0"/>
    <n v="43"/>
    <n v="25"/>
  </r>
  <r>
    <d v="2016-01-16T00:00:00"/>
    <s v="Tunis"/>
    <s v="T5"/>
    <x v="1"/>
    <n v="32"/>
    <n v="58"/>
  </r>
  <r>
    <d v="2016-01-16T00:00:00"/>
    <s v="Tunis"/>
    <s v="T2"/>
    <x v="0"/>
    <n v="14"/>
    <n v="26"/>
  </r>
  <r>
    <d v="2016-01-24T00:00:00"/>
    <s v="Benghazi"/>
    <s v="T5"/>
    <x v="0"/>
    <n v="44"/>
    <n v="46"/>
  </r>
  <r>
    <d v="2016-01-24T00:00:00"/>
    <s v="Benghazi"/>
    <s v="T2"/>
    <x v="0"/>
    <n v="1"/>
    <n v="28"/>
  </r>
  <r>
    <d v="2016-01-24T00:00:00"/>
    <s v="Benghazi"/>
    <s v="T4"/>
    <x v="0"/>
    <n v="21"/>
    <n v="74"/>
  </r>
  <r>
    <d v="2016-02-19T00:00:00"/>
    <s v="Aleksandria"/>
    <s v="T3"/>
    <x v="1"/>
    <n v="43"/>
    <n v="32"/>
  </r>
  <r>
    <d v="2016-02-19T00:00:00"/>
    <s v="Aleksandria"/>
    <s v="T1"/>
    <x v="1"/>
    <n v="38"/>
    <n v="13"/>
  </r>
  <r>
    <d v="2016-02-19T00:00:00"/>
    <s v="Aleksandria"/>
    <s v="T4"/>
    <x v="0"/>
    <n v="9"/>
    <n v="59"/>
  </r>
  <r>
    <d v="2016-02-19T00:00:00"/>
    <s v="Aleksandria"/>
    <s v="T5"/>
    <x v="0"/>
    <n v="8"/>
    <n v="37"/>
  </r>
  <r>
    <d v="2016-03-11T00:00:00"/>
    <s v="Bejrut"/>
    <s v="T5"/>
    <x v="1"/>
    <n v="50"/>
    <n v="61"/>
  </r>
  <r>
    <d v="2016-03-11T00:00:00"/>
    <s v="Bejrut"/>
    <s v="T3"/>
    <x v="0"/>
    <n v="32"/>
    <n v="20"/>
  </r>
  <r>
    <d v="2016-03-11T00:00:00"/>
    <s v="Bejrut"/>
    <s v="T1"/>
    <x v="0"/>
    <n v="7"/>
    <n v="8"/>
  </r>
  <r>
    <d v="2016-03-11T00:00:00"/>
    <s v="Bejrut"/>
    <s v="T2"/>
    <x v="0"/>
    <n v="10"/>
    <n v="24"/>
  </r>
  <r>
    <d v="2016-04-04T00:00:00"/>
    <s v="Palermo"/>
    <s v="T1"/>
    <x v="1"/>
    <n v="7"/>
    <n v="12"/>
  </r>
  <r>
    <d v="2016-04-04T00:00:00"/>
    <s v="Palermo"/>
    <s v="T3"/>
    <x v="0"/>
    <n v="25"/>
    <n v="19"/>
  </r>
  <r>
    <d v="2016-04-04T00:00:00"/>
    <s v="Palermo"/>
    <s v="T5"/>
    <x v="0"/>
    <n v="33"/>
    <n v="38"/>
  </r>
  <r>
    <d v="2016-04-22T00:00:00"/>
    <s v="Neapol"/>
    <s v="T2"/>
    <x v="1"/>
    <n v="36"/>
    <n v="35"/>
  </r>
  <r>
    <d v="2016-04-22T00:00:00"/>
    <s v="Neapol"/>
    <s v="T4"/>
    <x v="0"/>
    <n v="5"/>
    <n v="66"/>
  </r>
  <r>
    <d v="2016-04-22T00:00:00"/>
    <s v="Neapol"/>
    <s v="T5"/>
    <x v="0"/>
    <n v="35"/>
    <n v="41"/>
  </r>
  <r>
    <d v="2016-05-14T00:00:00"/>
    <s v="Monako"/>
    <s v="T4"/>
    <x v="1"/>
    <n v="38"/>
    <n v="98"/>
  </r>
  <r>
    <d v="2016-05-14T00:00:00"/>
    <s v="Monako"/>
    <s v="T2"/>
    <x v="0"/>
    <n v="10"/>
    <n v="23"/>
  </r>
  <r>
    <d v="2016-06-08T00:00:00"/>
    <s v="Barcelona"/>
    <s v="T2"/>
    <x v="1"/>
    <n v="4"/>
    <n v="38"/>
  </r>
  <r>
    <d v="2016-06-08T00:00:00"/>
    <s v="Barcelona"/>
    <s v="T4"/>
    <x v="0"/>
    <n v="42"/>
    <n v="60"/>
  </r>
  <r>
    <d v="2016-06-08T00:00:00"/>
    <s v="Barcelona"/>
    <s v="T1"/>
    <x v="0"/>
    <n v="28"/>
    <n v="8"/>
  </r>
  <r>
    <d v="2016-06-08T00:00:00"/>
    <s v="Barcelona"/>
    <s v="T3"/>
    <x v="0"/>
    <n v="19"/>
    <n v="19"/>
  </r>
  <r>
    <d v="2016-06-21T00:00:00"/>
    <s v="Walencja"/>
    <s v="T3"/>
    <x v="1"/>
    <n v="72"/>
    <n v="28"/>
  </r>
  <r>
    <d v="2016-06-21T00:00:00"/>
    <s v="Walencja"/>
    <s v="T4"/>
    <x v="1"/>
    <n v="42"/>
    <n v="90"/>
  </r>
  <r>
    <d v="2016-06-21T00:00:00"/>
    <s v="Walencja"/>
    <s v="T5"/>
    <x v="0"/>
    <n v="42"/>
    <n v="44"/>
  </r>
  <r>
    <d v="2016-06-21T00:00:00"/>
    <s v="Walencja"/>
    <s v="T2"/>
    <x v="0"/>
    <n v="33"/>
    <n v="26"/>
  </r>
  <r>
    <d v="2016-06-21T00:00:00"/>
    <s v="Walencja"/>
    <s v="T1"/>
    <x v="0"/>
    <n v="9"/>
    <n v="9"/>
  </r>
  <r>
    <d v="2016-07-08T00:00:00"/>
    <s v="Algier"/>
    <s v="T3"/>
    <x v="1"/>
    <n v="4"/>
    <n v="29"/>
  </r>
  <r>
    <d v="2016-07-08T00:00:00"/>
    <s v="Algier"/>
    <s v="T1"/>
    <x v="1"/>
    <n v="37"/>
    <n v="12"/>
  </r>
  <r>
    <d v="2016-07-08T00:00:00"/>
    <s v="Algier"/>
    <s v="T5"/>
    <x v="0"/>
    <n v="35"/>
    <n v="42"/>
  </r>
  <r>
    <d v="2016-07-08T00:00:00"/>
    <s v="Algier"/>
    <s v="T4"/>
    <x v="0"/>
    <n v="32"/>
    <n v="66"/>
  </r>
  <r>
    <d v="2016-07-23T00:00:00"/>
    <s v="Tunis"/>
    <s v="T4"/>
    <x v="1"/>
    <n v="32"/>
    <n v="92"/>
  </r>
  <r>
    <d v="2016-07-23T00:00:00"/>
    <s v="Tunis"/>
    <s v="T5"/>
    <x v="0"/>
    <n v="48"/>
    <n v="43"/>
  </r>
  <r>
    <d v="2016-08-11T00:00:00"/>
    <s v="Benghazi"/>
    <s v="T5"/>
    <x v="1"/>
    <n v="191"/>
    <n v="60"/>
  </r>
  <r>
    <d v="2016-08-11T00:00:00"/>
    <s v="Benghazi"/>
    <s v="T2"/>
    <x v="0"/>
    <n v="9"/>
    <n v="24"/>
  </r>
  <r>
    <d v="2016-08-11T00:00:00"/>
    <s v="Benghazi"/>
    <s v="T4"/>
    <x v="0"/>
    <n v="36"/>
    <n v="65"/>
  </r>
  <r>
    <d v="2016-09-06T00:00:00"/>
    <s v="Aleksandria"/>
    <s v="T1"/>
    <x v="0"/>
    <n v="47"/>
    <n v="7"/>
  </r>
  <r>
    <d v="2016-09-06T00:00:00"/>
    <s v="Aleksandria"/>
    <s v="T5"/>
    <x v="1"/>
    <n v="4"/>
    <n v="63"/>
  </r>
  <r>
    <d v="2016-09-06T00:00:00"/>
    <s v="Aleksandria"/>
    <s v="T3"/>
    <x v="0"/>
    <n v="8"/>
    <n v="19"/>
  </r>
  <r>
    <d v="2016-09-06T00:00:00"/>
    <s v="Aleksandria"/>
    <s v="T2"/>
    <x v="0"/>
    <n v="3"/>
    <n v="22"/>
  </r>
  <r>
    <d v="2016-09-06T00:00:00"/>
    <s v="Aleksandria"/>
    <s v="T4"/>
    <x v="0"/>
    <n v="41"/>
    <n v="59"/>
  </r>
  <r>
    <d v="2016-09-27T00:00:00"/>
    <s v="Bejrut"/>
    <s v="T5"/>
    <x v="0"/>
    <n v="44"/>
    <n v="40"/>
  </r>
  <r>
    <d v="2016-09-27T00:00:00"/>
    <s v="Bejrut"/>
    <s v="T1"/>
    <x v="1"/>
    <n v="45"/>
    <n v="12"/>
  </r>
  <r>
    <d v="2016-09-27T00:00:00"/>
    <s v="Bejrut"/>
    <s v="T3"/>
    <x v="0"/>
    <n v="40"/>
    <n v="20"/>
  </r>
  <r>
    <d v="2016-09-27T00:00:00"/>
    <s v="Bejrut"/>
    <s v="T4"/>
    <x v="0"/>
    <n v="3"/>
    <n v="63"/>
  </r>
  <r>
    <d v="2016-09-27T00:00:00"/>
    <s v="Bejrut"/>
    <s v="T2"/>
    <x v="0"/>
    <n v="17"/>
    <n v="24"/>
  </r>
  <r>
    <d v="2016-10-21T00:00:00"/>
    <s v="Palermo"/>
    <s v="T1"/>
    <x v="1"/>
    <n v="2"/>
    <n v="12"/>
  </r>
  <r>
    <d v="2016-10-21T00:00:00"/>
    <s v="Palermo"/>
    <s v="T3"/>
    <x v="0"/>
    <n v="14"/>
    <n v="19"/>
  </r>
  <r>
    <d v="2016-10-21T00:00:00"/>
    <s v="Palermo"/>
    <s v="T2"/>
    <x v="0"/>
    <n v="23"/>
    <n v="23"/>
  </r>
  <r>
    <d v="2016-11-08T00:00:00"/>
    <s v="Neapol"/>
    <s v="T1"/>
    <x v="0"/>
    <n v="11"/>
    <n v="8"/>
  </r>
  <r>
    <d v="2016-11-08T00:00:00"/>
    <s v="Neapol"/>
    <s v="T4"/>
    <x v="0"/>
    <n v="17"/>
    <n v="66"/>
  </r>
  <r>
    <d v="2016-11-08T00:00:00"/>
    <s v="Neapol"/>
    <s v="T5"/>
    <x v="0"/>
    <n v="30"/>
    <n v="41"/>
  </r>
  <r>
    <d v="2016-11-30T00:00:00"/>
    <s v="Monako"/>
    <s v="T4"/>
    <x v="1"/>
    <n v="97"/>
    <n v="98"/>
  </r>
  <r>
    <d v="2016-11-30T00:00:00"/>
    <s v="Monako"/>
    <s v="T1"/>
    <x v="1"/>
    <n v="11"/>
    <n v="12"/>
  </r>
  <r>
    <d v="2016-11-30T00:00:00"/>
    <s v="Monako"/>
    <s v="T3"/>
    <x v="0"/>
    <n v="17"/>
    <n v="20"/>
  </r>
  <r>
    <d v="2016-11-30T00:00:00"/>
    <s v="Monako"/>
    <s v="T2"/>
    <x v="0"/>
    <n v="4"/>
    <n v="23"/>
  </r>
  <r>
    <d v="2016-12-25T00:00:00"/>
    <s v="Barcelona"/>
    <s v="T3"/>
    <x v="1"/>
    <n v="79"/>
    <n v="31"/>
  </r>
  <r>
    <d v="2016-12-25T00:00:00"/>
    <s v="Barcelona"/>
    <s v="T4"/>
    <x v="0"/>
    <n v="33"/>
    <n v="60"/>
  </r>
  <r>
    <d v="2016-12-25T00:00:00"/>
    <s v="Barcelona"/>
    <s v="T2"/>
    <x v="0"/>
    <n v="26"/>
    <n v="23"/>
  </r>
  <r>
    <d v="2017-01-07T00:00:00"/>
    <s v="Walencja"/>
    <s v="T3"/>
    <x v="0"/>
    <n v="40"/>
    <n v="22"/>
  </r>
  <r>
    <d v="2017-01-07T00:00:00"/>
    <s v="Walencja"/>
    <s v="T1"/>
    <x v="0"/>
    <n v="42"/>
    <n v="9"/>
  </r>
  <r>
    <d v="2017-01-07T00:00:00"/>
    <s v="Walencja"/>
    <s v="T2"/>
    <x v="0"/>
    <n v="42"/>
    <n v="26"/>
  </r>
  <r>
    <d v="2017-01-07T00:00:00"/>
    <s v="Walencja"/>
    <s v="T4"/>
    <x v="0"/>
    <n v="9"/>
    <n v="70"/>
  </r>
  <r>
    <d v="2017-01-07T00:00:00"/>
    <s v="Walencja"/>
    <s v="T5"/>
    <x v="0"/>
    <n v="39"/>
    <n v="44"/>
  </r>
  <r>
    <d v="2017-01-24T00:00:00"/>
    <s v="Algier"/>
    <s v="T5"/>
    <x v="1"/>
    <n v="112"/>
    <n v="59"/>
  </r>
  <r>
    <d v="2017-01-24T00:00:00"/>
    <s v="Algier"/>
    <s v="T4"/>
    <x v="0"/>
    <n v="34"/>
    <n v="66"/>
  </r>
  <r>
    <d v="2017-01-24T00:00:00"/>
    <s v="Algier"/>
    <s v="T3"/>
    <x v="0"/>
    <n v="5"/>
    <n v="21"/>
  </r>
  <r>
    <d v="2017-02-08T00:00:00"/>
    <s v="Tunis"/>
    <s v="T4"/>
    <x v="1"/>
    <n v="74"/>
    <n v="92"/>
  </r>
  <r>
    <d v="2017-02-08T00:00:00"/>
    <s v="Tunis"/>
    <s v="T2"/>
    <x v="0"/>
    <n v="14"/>
    <n v="26"/>
  </r>
  <r>
    <d v="2017-02-27T00:00:00"/>
    <s v="Benghazi"/>
    <s v="T5"/>
    <x v="1"/>
    <n v="1"/>
    <n v="60"/>
  </r>
  <r>
    <d v="2017-02-27T00:00:00"/>
    <s v="Benghazi"/>
    <s v="T2"/>
    <x v="1"/>
    <n v="43"/>
    <n v="36"/>
  </r>
  <r>
    <d v="2017-02-27T00:00:00"/>
    <s v="Benghazi"/>
    <s v="T1"/>
    <x v="0"/>
    <n v="30"/>
    <n v="8"/>
  </r>
  <r>
    <d v="2017-02-27T00:00:00"/>
    <s v="Benghazi"/>
    <s v="T3"/>
    <x v="0"/>
    <n v="14"/>
    <n v="20"/>
  </r>
  <r>
    <d v="2017-03-25T00:00:00"/>
    <s v="Aleksandria"/>
    <s v="T2"/>
    <x v="1"/>
    <n v="33"/>
    <n v="38"/>
  </r>
  <r>
    <d v="2017-03-25T00:00:00"/>
    <s v="Aleksandria"/>
    <s v="T5"/>
    <x v="0"/>
    <n v="35"/>
    <n v="37"/>
  </r>
  <r>
    <d v="2017-03-25T00:00:00"/>
    <s v="Aleksandria"/>
    <s v="T3"/>
    <x v="0"/>
    <n v="40"/>
    <n v="19"/>
  </r>
  <r>
    <d v="2017-04-15T00:00:00"/>
    <s v="Bejrut"/>
    <s v="T2"/>
    <x v="1"/>
    <n v="21"/>
    <n v="36"/>
  </r>
  <r>
    <d v="2017-04-15T00:00:00"/>
    <s v="Bejrut"/>
    <s v="T4"/>
    <x v="1"/>
    <n v="2"/>
    <n v="97"/>
  </r>
  <r>
    <d v="2017-04-15T00:00:00"/>
    <s v="Bejrut"/>
    <s v="T3"/>
    <x v="0"/>
    <n v="12"/>
    <n v="20"/>
  </r>
  <r>
    <d v="2017-04-15T00:00:00"/>
    <s v="Bejrut"/>
    <s v="T1"/>
    <x v="0"/>
    <n v="15"/>
    <n v="8"/>
  </r>
  <r>
    <d v="2017-04-15T00:00:00"/>
    <s v="Bejrut"/>
    <s v="T5"/>
    <x v="0"/>
    <n v="1"/>
    <n v="40"/>
  </r>
  <r>
    <d v="2017-05-09T00:00:00"/>
    <s v="Palermo"/>
    <s v="T1"/>
    <x v="1"/>
    <n v="86"/>
    <n v="12"/>
  </r>
  <r>
    <d v="2017-05-09T00:00:00"/>
    <s v="Palermo"/>
    <s v="T3"/>
    <x v="1"/>
    <n v="110"/>
    <n v="31"/>
  </r>
  <r>
    <d v="2017-05-09T00:00:00"/>
    <s v="Palermo"/>
    <s v="T5"/>
    <x v="0"/>
    <n v="33"/>
    <n v="38"/>
  </r>
  <r>
    <d v="2017-05-09T00:00:00"/>
    <s v="Palermo"/>
    <s v="T2"/>
    <x v="0"/>
    <n v="13"/>
    <n v="23"/>
  </r>
  <r>
    <d v="2017-05-09T00:00:00"/>
    <s v="Palermo"/>
    <s v="T4"/>
    <x v="0"/>
    <n v="37"/>
    <n v="61"/>
  </r>
  <r>
    <d v="2017-05-27T00:00:00"/>
    <s v="Neapol"/>
    <s v="T1"/>
    <x v="1"/>
    <n v="1"/>
    <n v="12"/>
  </r>
  <r>
    <d v="2017-05-27T00:00:00"/>
    <s v="Neapol"/>
    <s v="T5"/>
    <x v="1"/>
    <n v="68"/>
    <n v="59"/>
  </r>
  <r>
    <d v="2017-05-27T00:00:00"/>
    <s v="Neapol"/>
    <s v="T4"/>
    <x v="0"/>
    <n v="35"/>
    <n v="66"/>
  </r>
  <r>
    <d v="2017-05-27T00:00:00"/>
    <s v="Neapol"/>
    <s v="T3"/>
    <x v="0"/>
    <n v="25"/>
    <n v="21"/>
  </r>
  <r>
    <d v="2017-05-27T00:00:00"/>
    <s v="Neapol"/>
    <s v="T2"/>
    <x v="0"/>
    <n v="10"/>
    <n v="25"/>
  </r>
  <r>
    <d v="2017-06-18T00:00:00"/>
    <s v="Monako"/>
    <s v="T2"/>
    <x v="1"/>
    <n v="38"/>
    <n v="37"/>
  </r>
  <r>
    <d v="2017-06-18T00:00:00"/>
    <s v="Monako"/>
    <s v="T1"/>
    <x v="0"/>
    <n v="22"/>
    <n v="8"/>
  </r>
  <r>
    <d v="2017-06-18T00:00:00"/>
    <s v="Monako"/>
    <s v="T3"/>
    <x v="0"/>
    <n v="25"/>
    <n v="20"/>
  </r>
  <r>
    <d v="2017-06-18T00:00:00"/>
    <s v="Monako"/>
    <s v="T5"/>
    <x v="0"/>
    <n v="8"/>
    <n v="39"/>
  </r>
  <r>
    <d v="2017-06-18T00:00:00"/>
    <s v="Monako"/>
    <s v="T4"/>
    <x v="0"/>
    <n v="45"/>
    <n v="62"/>
  </r>
  <r>
    <d v="2017-07-13T00:00:00"/>
    <s v="Barcelona"/>
    <s v="T4"/>
    <x v="1"/>
    <n v="116"/>
    <n v="100"/>
  </r>
  <r>
    <d v="2017-07-13T00:00:00"/>
    <s v="Barcelona"/>
    <s v="T3"/>
    <x v="0"/>
    <n v="29"/>
    <n v="19"/>
  </r>
  <r>
    <d v="2017-07-26T00:00:00"/>
    <s v="Walencja"/>
    <s v="T2"/>
    <x v="1"/>
    <n v="5"/>
    <n v="34"/>
  </r>
  <r>
    <d v="2017-07-26T00:00:00"/>
    <s v="Walencja"/>
    <s v="T1"/>
    <x v="1"/>
    <n v="22"/>
    <n v="11"/>
  </r>
  <r>
    <d v="2017-07-26T00:00:00"/>
    <s v="Walencja"/>
    <s v="T3"/>
    <x v="0"/>
    <n v="37"/>
    <n v="22"/>
  </r>
  <r>
    <d v="2017-07-26T00:00:00"/>
    <s v="Walencja"/>
    <s v="T4"/>
    <x v="0"/>
    <n v="10"/>
    <n v="70"/>
  </r>
  <r>
    <d v="2017-07-26T00:00:00"/>
    <s v="Walencja"/>
    <s v="T5"/>
    <x v="0"/>
    <n v="42"/>
    <n v="44"/>
  </r>
  <r>
    <d v="2017-08-12T00:00:00"/>
    <s v="Algier"/>
    <s v="T4"/>
    <x v="1"/>
    <n v="11"/>
    <n v="94"/>
  </r>
  <r>
    <d v="2017-08-12T00:00:00"/>
    <s v="Algier"/>
    <s v="T5"/>
    <x v="1"/>
    <n v="48"/>
    <n v="59"/>
  </r>
  <r>
    <d v="2017-08-12T00:00:00"/>
    <s v="Algier"/>
    <s v="T3"/>
    <x v="0"/>
    <n v="20"/>
    <n v="21"/>
  </r>
  <r>
    <d v="2017-08-12T00:00:00"/>
    <s v="Algier"/>
    <s v="T2"/>
    <x v="0"/>
    <n v="26"/>
    <n v="25"/>
  </r>
  <r>
    <d v="2017-08-27T00:00:00"/>
    <s v="Tunis"/>
    <s v="T1"/>
    <x v="0"/>
    <n v="24"/>
    <n v="9"/>
  </r>
  <r>
    <d v="2017-08-27T00:00:00"/>
    <s v="Tunis"/>
    <s v="T4"/>
    <x v="0"/>
    <n v="38"/>
    <n v="68"/>
  </r>
  <r>
    <d v="2017-08-27T00:00:00"/>
    <s v="Tunis"/>
    <s v="T3"/>
    <x v="0"/>
    <n v="14"/>
    <n v="21"/>
  </r>
  <r>
    <d v="2017-08-27T00:00:00"/>
    <s v="Tunis"/>
    <s v="T5"/>
    <x v="0"/>
    <n v="4"/>
    <n v="43"/>
  </r>
  <r>
    <d v="2017-09-15T00:00:00"/>
    <s v="Benghazi"/>
    <s v="T2"/>
    <x v="1"/>
    <n v="19"/>
    <n v="36"/>
  </r>
  <r>
    <d v="2017-09-15T00:00:00"/>
    <s v="Benghazi"/>
    <s v="T4"/>
    <x v="0"/>
    <n v="30"/>
    <n v="65"/>
  </r>
  <r>
    <d v="2017-10-11T00:00:00"/>
    <s v="Aleksandria"/>
    <s v="T5"/>
    <x v="1"/>
    <n v="6"/>
    <n v="63"/>
  </r>
  <r>
    <d v="2017-10-11T00:00:00"/>
    <s v="Aleksandria"/>
    <s v="T4"/>
    <x v="0"/>
    <n v="43"/>
    <n v="59"/>
  </r>
  <r>
    <d v="2017-11-01T00:00:00"/>
    <s v="Bejrut"/>
    <s v="T5"/>
    <x v="1"/>
    <n v="1"/>
    <n v="61"/>
  </r>
  <r>
    <d v="2017-11-01T00:00:00"/>
    <s v="Bejrut"/>
    <s v="T3"/>
    <x v="1"/>
    <n v="147"/>
    <n v="30"/>
  </r>
  <r>
    <d v="2017-11-01T00:00:00"/>
    <s v="Bejrut"/>
    <s v="T1"/>
    <x v="0"/>
    <n v="15"/>
    <n v="8"/>
  </r>
  <r>
    <d v="2017-11-01T00:00:00"/>
    <s v="Bejrut"/>
    <s v="T4"/>
    <x v="0"/>
    <n v="24"/>
    <n v="63"/>
  </r>
  <r>
    <d v="2017-11-01T00:00:00"/>
    <s v="Bejrut"/>
    <s v="T2"/>
    <x v="0"/>
    <n v="19"/>
    <n v="24"/>
  </r>
  <r>
    <d v="2017-11-25T00:00:00"/>
    <s v="Palermo"/>
    <s v="T4"/>
    <x v="1"/>
    <n v="134"/>
    <n v="99"/>
  </r>
  <r>
    <d v="2017-11-25T00:00:00"/>
    <s v="Palermo"/>
    <s v="T5"/>
    <x v="0"/>
    <n v="12"/>
    <n v="38"/>
  </r>
  <r>
    <d v="2017-12-13T00:00:00"/>
    <s v="Neapol"/>
    <s v="T3"/>
    <x v="1"/>
    <n v="4"/>
    <n v="30"/>
  </r>
  <r>
    <d v="2017-12-13T00:00:00"/>
    <s v="Neapol"/>
    <s v="T1"/>
    <x v="0"/>
    <n v="26"/>
    <n v="8"/>
  </r>
  <r>
    <d v="2017-12-13T00:00:00"/>
    <s v="Neapol"/>
    <s v="T4"/>
    <x v="0"/>
    <n v="38"/>
    <n v="66"/>
  </r>
  <r>
    <d v="2018-01-04T00:00:00"/>
    <s v="Monako"/>
    <s v="T4"/>
    <x v="1"/>
    <n v="38"/>
    <n v="98"/>
  </r>
  <r>
    <d v="2018-01-04T00:00:00"/>
    <s v="Monako"/>
    <s v="T2"/>
    <x v="1"/>
    <n v="44"/>
    <n v="37"/>
  </r>
  <r>
    <d v="2018-01-04T00:00:00"/>
    <s v="Monako"/>
    <s v="T1"/>
    <x v="0"/>
    <n v="21"/>
    <n v="8"/>
  </r>
  <r>
    <d v="2018-01-04T00:00:00"/>
    <s v="Monako"/>
    <s v="T5"/>
    <x v="0"/>
    <n v="10"/>
    <n v="39"/>
  </r>
  <r>
    <d v="2018-01-29T00:00:00"/>
    <s v="Barcelona"/>
    <s v="T2"/>
    <x v="1"/>
    <n v="15"/>
    <n v="38"/>
  </r>
  <r>
    <d v="2018-01-29T00:00:00"/>
    <s v="Barcelona"/>
    <s v="T5"/>
    <x v="1"/>
    <n v="22"/>
    <n v="63"/>
  </r>
  <r>
    <d v="2018-01-29T00:00:00"/>
    <s v="Barcelona"/>
    <s v="T4"/>
    <x v="0"/>
    <n v="9"/>
    <n v="60"/>
  </r>
  <r>
    <d v="2018-01-29T00:00:00"/>
    <s v="Barcelona"/>
    <s v="T3"/>
    <x v="0"/>
    <n v="6"/>
    <n v="19"/>
  </r>
  <r>
    <d v="2018-01-29T00:00:00"/>
    <s v="Barcelona"/>
    <s v="T1"/>
    <x v="0"/>
    <n v="4"/>
    <n v="8"/>
  </r>
  <r>
    <d v="2018-01-30T00:00:00"/>
    <s v="Walencja"/>
    <s v="T3"/>
    <x v="1"/>
    <n v="6"/>
    <n v="25"/>
  </r>
  <r>
    <d v="2018-01-30T00:00:00"/>
    <s v="Walencja"/>
    <s v="T4"/>
    <x v="0"/>
    <n v="48"/>
    <n v="79"/>
  </r>
  <r>
    <d v="2018-02-16T00:00:00"/>
    <s v="Algier"/>
    <s v="T5"/>
    <x v="0"/>
    <n v="34"/>
    <n v="42"/>
  </r>
  <r>
    <d v="2018-02-16T00:00:00"/>
    <s v="Algier"/>
    <s v="T2"/>
    <x v="1"/>
    <n v="49"/>
    <n v="35"/>
  </r>
  <r>
    <d v="2018-02-16T00:00:00"/>
    <s v="Algier"/>
    <s v="T1"/>
    <x v="0"/>
    <n v="10"/>
    <n v="8"/>
  </r>
  <r>
    <d v="2018-02-16T00:00:00"/>
    <s v="Algier"/>
    <s v="T3"/>
    <x v="0"/>
    <n v="47"/>
    <n v="21"/>
  </r>
  <r>
    <d v="2018-02-16T00:00:00"/>
    <s v="Algier"/>
    <s v="T4"/>
    <x v="0"/>
    <n v="48"/>
    <n v="66"/>
  </r>
  <r>
    <d v="2018-03-03T00:00:00"/>
    <s v="Tunis"/>
    <s v="T5"/>
    <x v="1"/>
    <n v="34"/>
    <n v="58"/>
  </r>
  <r>
    <d v="2018-03-03T00:00:00"/>
    <s v="Tunis"/>
    <s v="T1"/>
    <x v="0"/>
    <n v="5"/>
    <n v="9"/>
  </r>
  <r>
    <d v="2018-03-22T00:00:00"/>
    <s v="Benghazi"/>
    <s v="T3"/>
    <x v="1"/>
    <n v="46"/>
    <n v="30"/>
  </r>
  <r>
    <d v="2018-03-22T00:00:00"/>
    <s v="Benghazi"/>
    <s v="T4"/>
    <x v="0"/>
    <n v="49"/>
    <n v="65"/>
  </r>
  <r>
    <d v="2018-03-22T00:00:00"/>
    <s v="Benghazi"/>
    <s v="T1"/>
    <x v="0"/>
    <n v="16"/>
    <n v="8"/>
  </r>
  <r>
    <d v="2018-04-17T00:00:00"/>
    <s v="Aleksandria"/>
    <s v="T5"/>
    <x v="0"/>
    <n v="5"/>
    <n v="37"/>
  </r>
  <r>
    <d v="2018-04-17T00:00:00"/>
    <s v="Aleksandria"/>
    <s v="T3"/>
    <x v="1"/>
    <n v="1"/>
    <n v="32"/>
  </r>
  <r>
    <d v="2018-04-17T00:00:00"/>
    <s v="Aleksandria"/>
    <s v="T1"/>
    <x v="0"/>
    <n v="34"/>
    <n v="7"/>
  </r>
  <r>
    <d v="2018-04-17T00:00:00"/>
    <s v="Aleksandria"/>
    <s v="T4"/>
    <x v="0"/>
    <n v="29"/>
    <n v="59"/>
  </r>
  <r>
    <d v="2018-05-08T00:00:00"/>
    <s v="Bejrut"/>
    <s v="T2"/>
    <x v="0"/>
    <n v="34"/>
    <n v="24"/>
  </r>
  <r>
    <d v="2018-05-08T00:00:00"/>
    <s v="Bejrut"/>
    <s v="T3"/>
    <x v="0"/>
    <n v="27"/>
    <n v="20"/>
  </r>
  <r>
    <d v="2018-05-08T00:00:00"/>
    <s v="Bejrut"/>
    <s v="T1"/>
    <x v="0"/>
    <n v="40"/>
    <n v="8"/>
  </r>
  <r>
    <d v="2018-06-01T00:00:00"/>
    <s v="Palermo"/>
    <s v="T4"/>
    <x v="1"/>
    <n v="184"/>
    <n v="99"/>
  </r>
  <r>
    <d v="2018-06-01T00:00:00"/>
    <s v="Palermo"/>
    <s v="T5"/>
    <x v="0"/>
    <n v="48"/>
    <n v="38"/>
  </r>
  <r>
    <d v="2018-06-01T00:00:00"/>
    <s v="Palermo"/>
    <s v="T2"/>
    <x v="0"/>
    <n v="21"/>
    <n v="23"/>
  </r>
  <r>
    <d v="2018-06-19T00:00:00"/>
    <s v="Neapol"/>
    <s v="T4"/>
    <x v="0"/>
    <n v="47"/>
    <n v="66"/>
  </r>
  <r>
    <d v="2018-06-19T00:00:00"/>
    <s v="Neapol"/>
    <s v="T2"/>
    <x v="0"/>
    <n v="6"/>
    <n v="25"/>
  </r>
  <r>
    <d v="2018-06-19T00:00:00"/>
    <s v="Neapol"/>
    <s v="T5"/>
    <x v="0"/>
    <n v="47"/>
    <n v="41"/>
  </r>
  <r>
    <d v="2018-07-11T00:00:00"/>
    <s v="Monako"/>
    <s v="T1"/>
    <x v="1"/>
    <n v="192"/>
    <n v="12"/>
  </r>
  <r>
    <d v="2018-07-11T00:00:00"/>
    <s v="Monako"/>
    <s v="T2"/>
    <x v="1"/>
    <n v="48"/>
    <n v="37"/>
  </r>
  <r>
    <d v="2018-07-11T00:00:00"/>
    <s v="Monako"/>
    <s v="T4"/>
    <x v="0"/>
    <n v="18"/>
    <n v="62"/>
  </r>
  <r>
    <d v="2018-07-11T00:00:00"/>
    <s v="Monako"/>
    <s v="T5"/>
    <x v="0"/>
    <n v="25"/>
    <n v="39"/>
  </r>
  <r>
    <d v="2018-07-11T00:00:00"/>
    <s v="Monako"/>
    <s v="T3"/>
    <x v="0"/>
    <n v="2"/>
    <n v="20"/>
  </r>
  <r>
    <d v="2018-08-05T00:00:00"/>
    <s v="Barcelona"/>
    <s v="T2"/>
    <x v="1"/>
    <n v="13"/>
    <n v="38"/>
  </r>
  <r>
    <d v="2018-08-05T00:00:00"/>
    <s v="Barcelona"/>
    <s v="T5"/>
    <x v="1"/>
    <n v="121"/>
    <n v="63"/>
  </r>
  <r>
    <d v="2018-08-05T00:00:00"/>
    <s v="Barcelona"/>
    <s v="T3"/>
    <x v="0"/>
    <n v="30"/>
    <n v="19"/>
  </r>
  <r>
    <d v="2018-08-05T00:00:00"/>
    <s v="Barcelona"/>
    <s v="T1"/>
    <x v="0"/>
    <n v="46"/>
    <n v="8"/>
  </r>
  <r>
    <d v="2018-08-18T00:00:00"/>
    <s v="Walencja"/>
    <s v="T1"/>
    <x v="1"/>
    <n v="49"/>
    <n v="11"/>
  </r>
  <r>
    <d v="2018-08-18T00:00:00"/>
    <s v="Walencja"/>
    <s v="T4"/>
    <x v="1"/>
    <n v="61"/>
    <n v="90"/>
  </r>
  <r>
    <d v="2018-08-18T00:00:00"/>
    <s v="Walencja"/>
    <s v="T3"/>
    <x v="0"/>
    <n v="19"/>
    <n v="22"/>
  </r>
  <r>
    <d v="2018-08-18T00:00:00"/>
    <s v="Walencja"/>
    <s v="T5"/>
    <x v="0"/>
    <n v="22"/>
    <n v="44"/>
  </r>
  <r>
    <d v="2018-09-04T00:00:00"/>
    <s v="Algier"/>
    <s v="T2"/>
    <x v="0"/>
    <n v="9"/>
    <n v="25"/>
  </r>
  <r>
    <d v="2018-09-04T00:00:00"/>
    <s v="Algier"/>
    <s v="T4"/>
    <x v="1"/>
    <n v="4"/>
    <n v="94"/>
  </r>
  <r>
    <d v="2018-09-04T00:00:00"/>
    <s v="Algier"/>
    <s v="T3"/>
    <x v="0"/>
    <n v="8"/>
    <n v="21"/>
  </r>
  <r>
    <d v="2018-09-04T00:00:00"/>
    <s v="Algier"/>
    <s v="T1"/>
    <x v="0"/>
    <n v="47"/>
    <n v="8"/>
  </r>
  <r>
    <d v="2018-09-19T00:00:00"/>
    <s v="Tunis"/>
    <s v="T3"/>
    <x v="1"/>
    <n v="82"/>
    <n v="29"/>
  </r>
  <r>
    <d v="2018-09-19T00:00:00"/>
    <s v="Tunis"/>
    <s v="T5"/>
    <x v="1"/>
    <n v="26"/>
    <n v="58"/>
  </r>
  <r>
    <d v="2018-09-19T00:00:00"/>
    <s v="Tunis"/>
    <s v="T1"/>
    <x v="0"/>
    <n v="24"/>
    <n v="9"/>
  </r>
  <r>
    <d v="2018-09-19T00:00:00"/>
    <s v="Tunis"/>
    <s v="T2"/>
    <x v="0"/>
    <n v="36"/>
    <n v="26"/>
  </r>
  <r>
    <d v="2018-09-19T00:00:00"/>
    <s v="Tunis"/>
    <s v="T4"/>
    <x v="0"/>
    <n v="6"/>
    <n v="68"/>
  </r>
  <r>
    <d v="2018-10-08T00:00:00"/>
    <s v="Benghazi"/>
    <s v="T2"/>
    <x v="1"/>
    <n v="45"/>
    <n v="36"/>
  </r>
  <r>
    <d v="2018-10-08T00:00:00"/>
    <s v="Benghazi"/>
    <s v="T1"/>
    <x v="0"/>
    <n v="18"/>
    <n v="8"/>
  </r>
  <r>
    <d v="2018-10-08T00:00:00"/>
    <s v="Benghazi"/>
    <s v="T5"/>
    <x v="0"/>
    <n v="20"/>
    <n v="41"/>
  </r>
  <r>
    <d v="2018-11-03T00:00:00"/>
    <s v="Aleksandria"/>
    <s v="T3"/>
    <x v="1"/>
    <n v="4"/>
    <n v="32"/>
  </r>
  <r>
    <d v="2018-11-03T00:00:00"/>
    <s v="Aleksandria"/>
    <s v="T5"/>
    <x v="0"/>
    <n v="48"/>
    <n v="37"/>
  </r>
  <r>
    <d v="2018-11-24T00:00:00"/>
    <s v="Bejrut"/>
    <s v="T5"/>
    <x v="1"/>
    <n v="64"/>
    <n v="61"/>
  </r>
  <r>
    <d v="2018-11-24T00:00:00"/>
    <s v="Bejrut"/>
    <s v="T4"/>
    <x v="0"/>
    <n v="43"/>
    <n v="63"/>
  </r>
  <r>
    <d v="2018-11-24T00:00:00"/>
    <s v="Bejrut"/>
    <s v="T2"/>
    <x v="0"/>
    <n v="24"/>
    <n v="24"/>
  </r>
  <r>
    <d v="2018-12-18T00:00:00"/>
    <s v="Palermo"/>
    <s v="T5"/>
    <x v="1"/>
    <n v="4"/>
    <n v="62"/>
  </r>
  <r>
    <d v="2018-12-18T00:00:00"/>
    <s v="Palermo"/>
    <s v="T3"/>
    <x v="0"/>
    <n v="35"/>
    <n v="19"/>
  </r>
  <r>
    <d v="2018-12-18T00:00:00"/>
    <s v="Palermo"/>
    <s v="T1"/>
    <x v="0"/>
    <n v="41"/>
    <n v="8"/>
  </r>
  <r>
    <d v="2018-12-18T00:00:00"/>
    <s v="Palermo"/>
    <s v="T4"/>
    <x v="0"/>
    <n v="23"/>
    <n v="61"/>
  </r>
  <r>
    <d v="2018-12-18T00:00:00"/>
    <s v="Palermo"/>
    <s v="T2"/>
    <x v="0"/>
    <n v="46"/>
    <n v="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d v="2016-01-01T00:00:00"/>
    <s v="Algier"/>
    <x v="0"/>
    <s v="Z"/>
    <n v="32"/>
    <n v="50"/>
  </r>
  <r>
    <d v="2016-01-24T00:00:00"/>
    <s v="Benghazi"/>
    <x v="0"/>
    <s v="Z"/>
    <n v="44"/>
    <n v="46"/>
  </r>
  <r>
    <d v="2016-02-19T00:00:00"/>
    <s v="Aleksandria"/>
    <x v="0"/>
    <s v="Z"/>
    <n v="8"/>
    <n v="37"/>
  </r>
  <r>
    <d v="2016-04-04T00:00:00"/>
    <s v="Palermo"/>
    <x v="0"/>
    <s v="Z"/>
    <n v="33"/>
    <n v="38"/>
  </r>
  <r>
    <d v="2016-04-22T00:00:00"/>
    <s v="Neapol"/>
    <x v="0"/>
    <s v="Z"/>
    <n v="35"/>
    <n v="41"/>
  </r>
  <r>
    <d v="2018-11-03T00:00:00"/>
    <s v="Aleksandria"/>
    <x v="0"/>
    <s v="Z"/>
    <n v="48"/>
    <n v="37"/>
  </r>
  <r>
    <d v="2018-10-08T00:00:00"/>
    <s v="Benghazi"/>
    <x v="0"/>
    <s v="Z"/>
    <n v="20"/>
    <n v="41"/>
  </r>
  <r>
    <d v="2016-06-21T00:00:00"/>
    <s v="Walencja"/>
    <x v="0"/>
    <s v="Z"/>
    <n v="42"/>
    <n v="44"/>
  </r>
  <r>
    <d v="2016-07-08T00:00:00"/>
    <s v="Algier"/>
    <x v="0"/>
    <s v="Z"/>
    <n v="35"/>
    <n v="42"/>
  </r>
  <r>
    <d v="2016-07-23T00:00:00"/>
    <s v="Tunis"/>
    <x v="0"/>
    <s v="Z"/>
    <n v="48"/>
    <n v="43"/>
  </r>
  <r>
    <d v="2016-09-27T00:00:00"/>
    <s v="Bejrut"/>
    <x v="0"/>
    <s v="Z"/>
    <n v="44"/>
    <n v="40"/>
  </r>
  <r>
    <d v="2018-08-18T00:00:00"/>
    <s v="Walencja"/>
    <x v="0"/>
    <s v="Z"/>
    <n v="22"/>
    <n v="44"/>
  </r>
  <r>
    <d v="2016-11-08T00:00:00"/>
    <s v="Neapol"/>
    <x v="0"/>
    <s v="Z"/>
    <n v="30"/>
    <n v="41"/>
  </r>
  <r>
    <d v="2017-01-07T00:00:00"/>
    <s v="Walencja"/>
    <x v="0"/>
    <s v="Z"/>
    <n v="39"/>
    <n v="44"/>
  </r>
  <r>
    <d v="2018-07-11T00:00:00"/>
    <s v="Monako"/>
    <x v="0"/>
    <s v="Z"/>
    <n v="25"/>
    <n v="39"/>
  </r>
  <r>
    <d v="2018-06-19T00:00:00"/>
    <s v="Neapol"/>
    <x v="0"/>
    <s v="Z"/>
    <n v="47"/>
    <n v="41"/>
  </r>
  <r>
    <d v="2017-03-25T00:00:00"/>
    <s v="Aleksandria"/>
    <x v="0"/>
    <s v="Z"/>
    <n v="35"/>
    <n v="37"/>
  </r>
  <r>
    <d v="2018-06-01T00:00:00"/>
    <s v="Palermo"/>
    <x v="0"/>
    <s v="Z"/>
    <n v="48"/>
    <n v="38"/>
  </r>
  <r>
    <d v="2017-04-15T00:00:00"/>
    <s v="Bejrut"/>
    <x v="0"/>
    <s v="Z"/>
    <n v="1"/>
    <n v="40"/>
  </r>
  <r>
    <d v="2017-05-09T00:00:00"/>
    <s v="Palermo"/>
    <x v="0"/>
    <s v="Z"/>
    <n v="33"/>
    <n v="38"/>
  </r>
  <r>
    <d v="2017-06-18T00:00:00"/>
    <s v="Monako"/>
    <x v="0"/>
    <s v="Z"/>
    <n v="8"/>
    <n v="39"/>
  </r>
  <r>
    <d v="2018-04-17T00:00:00"/>
    <s v="Aleksandria"/>
    <x v="0"/>
    <s v="Z"/>
    <n v="5"/>
    <n v="37"/>
  </r>
  <r>
    <d v="2017-07-26T00:00:00"/>
    <s v="Walencja"/>
    <x v="0"/>
    <s v="Z"/>
    <n v="42"/>
    <n v="44"/>
  </r>
  <r>
    <d v="2017-08-27T00:00:00"/>
    <s v="Tunis"/>
    <x v="0"/>
    <s v="Z"/>
    <n v="4"/>
    <n v="43"/>
  </r>
  <r>
    <d v="2018-02-16T00:00:00"/>
    <s v="Algier"/>
    <x v="0"/>
    <s v="Z"/>
    <n v="34"/>
    <n v="42"/>
  </r>
  <r>
    <d v="2017-11-25T00:00:00"/>
    <s v="Palermo"/>
    <x v="0"/>
    <s v="Z"/>
    <n v="12"/>
    <n v="38"/>
  </r>
  <r>
    <d v="2018-01-04T00:00:00"/>
    <s v="Monako"/>
    <x v="0"/>
    <s v="Z"/>
    <n v="10"/>
    <n v="39"/>
  </r>
  <r>
    <d v="2016-01-01T00:00:00"/>
    <s v="Algier"/>
    <x v="1"/>
    <s v="Z"/>
    <n v="3"/>
    <n v="80"/>
  </r>
  <r>
    <d v="2016-01-24T00:00:00"/>
    <s v="Benghazi"/>
    <x v="1"/>
    <s v="Z"/>
    <n v="21"/>
    <n v="74"/>
  </r>
  <r>
    <d v="2018-12-18T00:00:00"/>
    <s v="Palermo"/>
    <x v="1"/>
    <s v="Z"/>
    <n v="23"/>
    <n v="61"/>
  </r>
  <r>
    <d v="2016-02-19T00:00:00"/>
    <s v="Aleksandria"/>
    <x v="1"/>
    <s v="Z"/>
    <n v="9"/>
    <n v="59"/>
  </r>
  <r>
    <d v="2018-11-24T00:00:00"/>
    <s v="Bejrut"/>
    <x v="1"/>
    <s v="Z"/>
    <n v="43"/>
    <n v="63"/>
  </r>
  <r>
    <d v="2016-04-22T00:00:00"/>
    <s v="Neapol"/>
    <x v="1"/>
    <s v="Z"/>
    <n v="5"/>
    <n v="66"/>
  </r>
  <r>
    <d v="2016-06-08T00:00:00"/>
    <s v="Barcelona"/>
    <x v="1"/>
    <s v="Z"/>
    <n v="42"/>
    <n v="60"/>
  </r>
  <r>
    <d v="2018-09-19T00:00:00"/>
    <s v="Tunis"/>
    <x v="1"/>
    <s v="Z"/>
    <n v="6"/>
    <n v="68"/>
  </r>
  <r>
    <d v="2016-07-08T00:00:00"/>
    <s v="Algier"/>
    <x v="1"/>
    <s v="Z"/>
    <n v="32"/>
    <n v="66"/>
  </r>
  <r>
    <d v="2016-08-11T00:00:00"/>
    <s v="Benghazi"/>
    <x v="1"/>
    <s v="Z"/>
    <n v="36"/>
    <n v="65"/>
  </r>
  <r>
    <d v="2016-09-06T00:00:00"/>
    <s v="Aleksandria"/>
    <x v="1"/>
    <s v="Z"/>
    <n v="41"/>
    <n v="59"/>
  </r>
  <r>
    <d v="2016-09-27T00:00:00"/>
    <s v="Bejrut"/>
    <x v="1"/>
    <s v="Z"/>
    <n v="3"/>
    <n v="63"/>
  </r>
  <r>
    <d v="2016-11-08T00:00:00"/>
    <s v="Neapol"/>
    <x v="1"/>
    <s v="Z"/>
    <n v="17"/>
    <n v="66"/>
  </r>
  <r>
    <d v="2016-12-25T00:00:00"/>
    <s v="Barcelona"/>
    <x v="1"/>
    <s v="Z"/>
    <n v="33"/>
    <n v="60"/>
  </r>
  <r>
    <d v="2017-01-07T00:00:00"/>
    <s v="Walencja"/>
    <x v="1"/>
    <s v="Z"/>
    <n v="9"/>
    <n v="70"/>
  </r>
  <r>
    <d v="2017-01-24T00:00:00"/>
    <s v="Algier"/>
    <x v="1"/>
    <s v="Z"/>
    <n v="34"/>
    <n v="66"/>
  </r>
  <r>
    <d v="2018-07-11T00:00:00"/>
    <s v="Monako"/>
    <x v="1"/>
    <s v="Z"/>
    <n v="18"/>
    <n v="62"/>
  </r>
  <r>
    <d v="2018-06-19T00:00:00"/>
    <s v="Neapol"/>
    <x v="1"/>
    <s v="Z"/>
    <n v="47"/>
    <n v="66"/>
  </r>
  <r>
    <d v="2017-05-09T00:00:00"/>
    <s v="Palermo"/>
    <x v="1"/>
    <s v="Z"/>
    <n v="37"/>
    <n v="61"/>
  </r>
  <r>
    <d v="2018-04-17T00:00:00"/>
    <s v="Aleksandria"/>
    <x v="1"/>
    <s v="Z"/>
    <n v="29"/>
    <n v="59"/>
  </r>
  <r>
    <d v="2017-05-27T00:00:00"/>
    <s v="Neapol"/>
    <x v="1"/>
    <s v="Z"/>
    <n v="35"/>
    <n v="66"/>
  </r>
  <r>
    <d v="2017-06-18T00:00:00"/>
    <s v="Monako"/>
    <x v="1"/>
    <s v="Z"/>
    <n v="45"/>
    <n v="62"/>
  </r>
  <r>
    <d v="2018-03-22T00:00:00"/>
    <s v="Benghazi"/>
    <x v="1"/>
    <s v="Z"/>
    <n v="49"/>
    <n v="65"/>
  </r>
  <r>
    <d v="2017-07-26T00:00:00"/>
    <s v="Walencja"/>
    <x v="1"/>
    <s v="Z"/>
    <n v="10"/>
    <n v="70"/>
  </r>
  <r>
    <d v="2018-02-16T00:00:00"/>
    <s v="Algier"/>
    <x v="1"/>
    <s v="Z"/>
    <n v="48"/>
    <n v="66"/>
  </r>
  <r>
    <d v="2017-08-27T00:00:00"/>
    <s v="Tunis"/>
    <x v="1"/>
    <s v="Z"/>
    <n v="38"/>
    <n v="68"/>
  </r>
  <r>
    <d v="2017-09-15T00:00:00"/>
    <s v="Benghazi"/>
    <x v="1"/>
    <s v="Z"/>
    <n v="30"/>
    <n v="65"/>
  </r>
  <r>
    <d v="2017-10-11T00:00:00"/>
    <s v="Aleksandria"/>
    <x v="1"/>
    <s v="Z"/>
    <n v="43"/>
    <n v="59"/>
  </r>
  <r>
    <d v="2018-01-30T00:00:00"/>
    <s v="Walencja"/>
    <x v="1"/>
    <s v="Z"/>
    <n v="48"/>
    <n v="79"/>
  </r>
  <r>
    <d v="2017-11-01T00:00:00"/>
    <s v="Bejrut"/>
    <x v="1"/>
    <s v="Z"/>
    <n v="24"/>
    <n v="63"/>
  </r>
  <r>
    <d v="2017-12-13T00:00:00"/>
    <s v="Neapol"/>
    <x v="1"/>
    <s v="Z"/>
    <n v="38"/>
    <n v="66"/>
  </r>
  <r>
    <d v="2018-01-29T00:00:00"/>
    <s v="Barcelona"/>
    <x v="1"/>
    <s v="Z"/>
    <n v="9"/>
    <n v="60"/>
  </r>
  <r>
    <d v="2016-01-01T00:00:00"/>
    <s v="Algier"/>
    <x v="2"/>
    <s v="Z"/>
    <n v="43"/>
    <n v="25"/>
  </r>
  <r>
    <d v="2018-12-18T00:00:00"/>
    <s v="Palermo"/>
    <x v="2"/>
    <s v="Z"/>
    <n v="35"/>
    <n v="19"/>
  </r>
  <r>
    <d v="2016-03-11T00:00:00"/>
    <s v="Bejrut"/>
    <x v="2"/>
    <s v="Z"/>
    <n v="32"/>
    <n v="20"/>
  </r>
  <r>
    <d v="2016-04-04T00:00:00"/>
    <s v="Palermo"/>
    <x v="2"/>
    <s v="Z"/>
    <n v="25"/>
    <n v="19"/>
  </r>
  <r>
    <d v="2016-06-08T00:00:00"/>
    <s v="Barcelona"/>
    <x v="2"/>
    <s v="Z"/>
    <n v="19"/>
    <n v="19"/>
  </r>
  <r>
    <d v="2018-09-04T00:00:00"/>
    <s v="Algier"/>
    <x v="2"/>
    <s v="Z"/>
    <n v="8"/>
    <n v="21"/>
  </r>
  <r>
    <d v="2016-09-06T00:00:00"/>
    <s v="Aleksandria"/>
    <x v="2"/>
    <s v="Z"/>
    <n v="8"/>
    <n v="19"/>
  </r>
  <r>
    <d v="2016-09-27T00:00:00"/>
    <s v="Bejrut"/>
    <x v="2"/>
    <s v="Z"/>
    <n v="40"/>
    <n v="20"/>
  </r>
  <r>
    <d v="2018-08-18T00:00:00"/>
    <s v="Walencja"/>
    <x v="2"/>
    <s v="Z"/>
    <n v="19"/>
    <n v="22"/>
  </r>
  <r>
    <d v="2016-10-21T00:00:00"/>
    <s v="Palermo"/>
    <x v="2"/>
    <s v="Z"/>
    <n v="14"/>
    <n v="19"/>
  </r>
  <r>
    <d v="2018-08-05T00:00:00"/>
    <s v="Barcelona"/>
    <x v="2"/>
    <s v="Z"/>
    <n v="30"/>
    <n v="19"/>
  </r>
  <r>
    <d v="2016-11-30T00:00:00"/>
    <s v="Monako"/>
    <x v="2"/>
    <s v="Z"/>
    <n v="17"/>
    <n v="20"/>
  </r>
  <r>
    <d v="2018-07-11T00:00:00"/>
    <s v="Monako"/>
    <x v="2"/>
    <s v="Z"/>
    <n v="2"/>
    <n v="20"/>
  </r>
  <r>
    <d v="2017-01-07T00:00:00"/>
    <s v="Walencja"/>
    <x v="2"/>
    <s v="Z"/>
    <n v="40"/>
    <n v="22"/>
  </r>
  <r>
    <d v="2017-01-24T00:00:00"/>
    <s v="Algier"/>
    <x v="2"/>
    <s v="Z"/>
    <n v="5"/>
    <n v="21"/>
  </r>
  <r>
    <d v="2017-02-27T00:00:00"/>
    <s v="Benghazi"/>
    <x v="2"/>
    <s v="Z"/>
    <n v="14"/>
    <n v="20"/>
  </r>
  <r>
    <d v="2017-03-25T00:00:00"/>
    <s v="Aleksandria"/>
    <x v="2"/>
    <s v="Z"/>
    <n v="40"/>
    <n v="19"/>
  </r>
  <r>
    <d v="2017-04-15T00:00:00"/>
    <s v="Bejrut"/>
    <x v="2"/>
    <s v="Z"/>
    <n v="12"/>
    <n v="20"/>
  </r>
  <r>
    <d v="2018-05-08T00:00:00"/>
    <s v="Bejrut"/>
    <x v="2"/>
    <s v="Z"/>
    <n v="27"/>
    <n v="20"/>
  </r>
  <r>
    <d v="2017-05-27T00:00:00"/>
    <s v="Neapol"/>
    <x v="2"/>
    <s v="Z"/>
    <n v="25"/>
    <n v="21"/>
  </r>
  <r>
    <d v="2017-06-18T00:00:00"/>
    <s v="Monako"/>
    <x v="2"/>
    <s v="Z"/>
    <n v="25"/>
    <n v="20"/>
  </r>
  <r>
    <d v="2017-07-13T00:00:00"/>
    <s v="Barcelona"/>
    <x v="2"/>
    <s v="Z"/>
    <n v="29"/>
    <n v="19"/>
  </r>
  <r>
    <d v="2017-07-26T00:00:00"/>
    <s v="Walencja"/>
    <x v="2"/>
    <s v="Z"/>
    <n v="37"/>
    <n v="22"/>
  </r>
  <r>
    <d v="2017-08-12T00:00:00"/>
    <s v="Algier"/>
    <x v="2"/>
    <s v="Z"/>
    <n v="20"/>
    <n v="21"/>
  </r>
  <r>
    <d v="2017-08-27T00:00:00"/>
    <s v="Tunis"/>
    <x v="2"/>
    <s v="Z"/>
    <n v="14"/>
    <n v="21"/>
  </r>
  <r>
    <d v="2018-02-16T00:00:00"/>
    <s v="Algier"/>
    <x v="2"/>
    <s v="Z"/>
    <n v="47"/>
    <n v="21"/>
  </r>
  <r>
    <d v="2018-01-29T00:00:00"/>
    <s v="Barcelona"/>
    <x v="2"/>
    <s v="Z"/>
    <n v="6"/>
    <n v="19"/>
  </r>
  <r>
    <d v="2016-01-01T00:00:00"/>
    <s v="Algier"/>
    <x v="3"/>
    <s v="Z"/>
    <n v="33"/>
    <n v="30"/>
  </r>
  <r>
    <d v="2018-12-18T00:00:00"/>
    <s v="Palermo"/>
    <x v="3"/>
    <s v="Z"/>
    <n v="46"/>
    <n v="23"/>
  </r>
  <r>
    <d v="2016-01-16T00:00:00"/>
    <s v="Tunis"/>
    <x v="3"/>
    <s v="Z"/>
    <n v="14"/>
    <n v="26"/>
  </r>
  <r>
    <d v="2016-01-24T00:00:00"/>
    <s v="Benghazi"/>
    <x v="3"/>
    <s v="Z"/>
    <n v="1"/>
    <n v="28"/>
  </r>
  <r>
    <d v="2016-03-11T00:00:00"/>
    <s v="Bejrut"/>
    <x v="3"/>
    <s v="Z"/>
    <n v="10"/>
    <n v="24"/>
  </r>
  <r>
    <d v="2018-11-24T00:00:00"/>
    <s v="Bejrut"/>
    <x v="3"/>
    <s v="Z"/>
    <n v="24"/>
    <n v="24"/>
  </r>
  <r>
    <d v="2016-05-14T00:00:00"/>
    <s v="Monako"/>
    <x v="3"/>
    <s v="Z"/>
    <n v="10"/>
    <n v="23"/>
  </r>
  <r>
    <d v="2016-06-21T00:00:00"/>
    <s v="Walencja"/>
    <x v="3"/>
    <s v="Z"/>
    <n v="33"/>
    <n v="26"/>
  </r>
  <r>
    <d v="2018-09-19T00:00:00"/>
    <s v="Tunis"/>
    <x v="3"/>
    <s v="Z"/>
    <n v="36"/>
    <n v="26"/>
  </r>
  <r>
    <d v="2016-08-11T00:00:00"/>
    <s v="Benghazi"/>
    <x v="3"/>
    <s v="Z"/>
    <n v="9"/>
    <n v="24"/>
  </r>
  <r>
    <d v="2018-09-04T00:00:00"/>
    <s v="Algier"/>
    <x v="3"/>
    <s v="Z"/>
    <n v="9"/>
    <n v="25"/>
  </r>
  <r>
    <d v="2016-09-06T00:00:00"/>
    <s v="Aleksandria"/>
    <x v="3"/>
    <s v="Z"/>
    <n v="3"/>
    <n v="22"/>
  </r>
  <r>
    <d v="2016-09-27T00:00:00"/>
    <s v="Bejrut"/>
    <x v="3"/>
    <s v="Z"/>
    <n v="17"/>
    <n v="24"/>
  </r>
  <r>
    <d v="2016-10-21T00:00:00"/>
    <s v="Palermo"/>
    <x v="3"/>
    <s v="Z"/>
    <n v="23"/>
    <n v="23"/>
  </r>
  <r>
    <d v="2016-11-30T00:00:00"/>
    <s v="Monako"/>
    <x v="3"/>
    <s v="Z"/>
    <n v="4"/>
    <n v="23"/>
  </r>
  <r>
    <d v="2016-12-25T00:00:00"/>
    <s v="Barcelona"/>
    <x v="3"/>
    <s v="Z"/>
    <n v="26"/>
    <n v="23"/>
  </r>
  <r>
    <d v="2017-01-07T00:00:00"/>
    <s v="Walencja"/>
    <x v="3"/>
    <s v="Z"/>
    <n v="42"/>
    <n v="26"/>
  </r>
  <r>
    <d v="2017-02-08T00:00:00"/>
    <s v="Tunis"/>
    <x v="3"/>
    <s v="Z"/>
    <n v="14"/>
    <n v="26"/>
  </r>
  <r>
    <d v="2018-06-19T00:00:00"/>
    <s v="Neapol"/>
    <x v="3"/>
    <s v="Z"/>
    <n v="6"/>
    <n v="25"/>
  </r>
  <r>
    <d v="2018-06-01T00:00:00"/>
    <s v="Palermo"/>
    <x v="3"/>
    <s v="Z"/>
    <n v="21"/>
    <n v="23"/>
  </r>
  <r>
    <d v="2017-05-09T00:00:00"/>
    <s v="Palermo"/>
    <x v="3"/>
    <s v="Z"/>
    <n v="13"/>
    <n v="23"/>
  </r>
  <r>
    <d v="2018-05-08T00:00:00"/>
    <s v="Bejrut"/>
    <x v="3"/>
    <s v="Z"/>
    <n v="34"/>
    <n v="24"/>
  </r>
  <r>
    <d v="2017-05-27T00:00:00"/>
    <s v="Neapol"/>
    <x v="3"/>
    <s v="Z"/>
    <n v="10"/>
    <n v="25"/>
  </r>
  <r>
    <d v="2017-08-12T00:00:00"/>
    <s v="Algier"/>
    <x v="3"/>
    <s v="Z"/>
    <n v="26"/>
    <n v="25"/>
  </r>
  <r>
    <d v="2017-11-01T00:00:00"/>
    <s v="Bejrut"/>
    <x v="3"/>
    <s v="Z"/>
    <n v="19"/>
    <n v="24"/>
  </r>
  <r>
    <d v="2016-01-01T00:00:00"/>
    <s v="Algier"/>
    <x v="4"/>
    <s v="Z"/>
    <n v="38"/>
    <n v="10"/>
  </r>
  <r>
    <d v="2018-12-18T00:00:00"/>
    <s v="Palermo"/>
    <x v="4"/>
    <s v="Z"/>
    <n v="41"/>
    <n v="8"/>
  </r>
  <r>
    <d v="2016-03-11T00:00:00"/>
    <s v="Bejrut"/>
    <x v="4"/>
    <s v="Z"/>
    <n v="7"/>
    <n v="8"/>
  </r>
  <r>
    <d v="2016-06-08T00:00:00"/>
    <s v="Barcelona"/>
    <x v="4"/>
    <s v="Z"/>
    <n v="28"/>
    <n v="8"/>
  </r>
  <r>
    <d v="2018-10-08T00:00:00"/>
    <s v="Benghazi"/>
    <x v="4"/>
    <s v="Z"/>
    <n v="18"/>
    <n v="8"/>
  </r>
  <r>
    <d v="2016-06-21T00:00:00"/>
    <s v="Walencja"/>
    <x v="4"/>
    <s v="Z"/>
    <n v="9"/>
    <n v="9"/>
  </r>
  <r>
    <d v="2018-09-19T00:00:00"/>
    <s v="Tunis"/>
    <x v="4"/>
    <s v="Z"/>
    <n v="24"/>
    <n v="9"/>
  </r>
  <r>
    <d v="2018-09-04T00:00:00"/>
    <s v="Algier"/>
    <x v="4"/>
    <s v="Z"/>
    <n v="47"/>
    <n v="8"/>
  </r>
  <r>
    <d v="2016-09-06T00:00:00"/>
    <s v="Aleksandria"/>
    <x v="4"/>
    <s v="Z"/>
    <n v="47"/>
    <n v="7"/>
  </r>
  <r>
    <d v="2016-11-08T00:00:00"/>
    <s v="Neapol"/>
    <x v="4"/>
    <s v="Z"/>
    <n v="11"/>
    <n v="8"/>
  </r>
  <r>
    <d v="2018-08-05T00:00:00"/>
    <s v="Barcelona"/>
    <x v="4"/>
    <s v="Z"/>
    <n v="46"/>
    <n v="8"/>
  </r>
  <r>
    <d v="2017-01-07T00:00:00"/>
    <s v="Walencja"/>
    <x v="4"/>
    <s v="Z"/>
    <n v="42"/>
    <n v="9"/>
  </r>
  <r>
    <d v="2017-02-27T00:00:00"/>
    <s v="Benghazi"/>
    <x v="4"/>
    <s v="Z"/>
    <n v="30"/>
    <n v="8"/>
  </r>
  <r>
    <d v="2017-04-15T00:00:00"/>
    <s v="Bejrut"/>
    <x v="4"/>
    <s v="Z"/>
    <n v="15"/>
    <n v="8"/>
  </r>
  <r>
    <d v="2018-05-08T00:00:00"/>
    <s v="Bejrut"/>
    <x v="4"/>
    <s v="Z"/>
    <n v="40"/>
    <n v="8"/>
  </r>
  <r>
    <d v="2018-04-17T00:00:00"/>
    <s v="Aleksandria"/>
    <x v="4"/>
    <s v="Z"/>
    <n v="34"/>
    <n v="7"/>
  </r>
  <r>
    <d v="2017-06-18T00:00:00"/>
    <s v="Monako"/>
    <x v="4"/>
    <s v="Z"/>
    <n v="22"/>
    <n v="8"/>
  </r>
  <r>
    <d v="2018-03-22T00:00:00"/>
    <s v="Benghazi"/>
    <x v="4"/>
    <s v="Z"/>
    <n v="16"/>
    <n v="8"/>
  </r>
  <r>
    <d v="2018-03-03T00:00:00"/>
    <s v="Tunis"/>
    <x v="4"/>
    <s v="Z"/>
    <n v="5"/>
    <n v="9"/>
  </r>
  <r>
    <d v="2017-08-27T00:00:00"/>
    <s v="Tunis"/>
    <x v="4"/>
    <s v="Z"/>
    <n v="24"/>
    <n v="9"/>
  </r>
  <r>
    <d v="2018-02-16T00:00:00"/>
    <s v="Algier"/>
    <x v="4"/>
    <s v="Z"/>
    <n v="10"/>
    <n v="8"/>
  </r>
  <r>
    <d v="2017-11-01T00:00:00"/>
    <s v="Bejrut"/>
    <x v="4"/>
    <s v="Z"/>
    <n v="15"/>
    <n v="8"/>
  </r>
  <r>
    <d v="2018-01-29T00:00:00"/>
    <s v="Barcelona"/>
    <x v="4"/>
    <s v="Z"/>
    <n v="4"/>
    <n v="8"/>
  </r>
  <r>
    <d v="2017-12-13T00:00:00"/>
    <s v="Neapol"/>
    <x v="4"/>
    <s v="Z"/>
    <n v="26"/>
    <n v="8"/>
  </r>
  <r>
    <d v="2018-01-04T00:00:00"/>
    <s v="Monako"/>
    <x v="4"/>
    <s v="Z"/>
    <n v="2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C1CF9-0066-4A32-917B-C730412B37E0}" name="Tabela przestawna3" cacheId="1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X1:Y7" firstHeaderRow="1" firstDataRow="1" firstDataCol="1"/>
  <pivotFields count="6">
    <pivotField numFmtId="14"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2"/>
  </rowFields>
  <rowItems count="6">
    <i>
      <x v="1"/>
    </i>
    <i>
      <x/>
    </i>
    <i>
      <x v="2"/>
    </i>
    <i>
      <x v="4"/>
    </i>
    <i>
      <x v="3"/>
    </i>
    <i t="grand">
      <x/>
    </i>
  </rowItems>
  <colItems count="1">
    <i/>
  </colItems>
  <dataFields count="1">
    <dataField name="Suma z mas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957E6-F4BF-445F-9D0B-9DF5CA2DAEB8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M1:O4" firstHeaderRow="0" firstDataRow="1" firstDataCol="1"/>
  <pivotFields count="6">
    <pivotField numFmtId="14" showAll="0"/>
    <pivotField showAll="0"/>
    <pivotField dataField="1" showAll="0"/>
    <pivotField axis="axisRow" showAll="0">
      <items count="3">
        <item x="1"/>
        <item x="0"/>
        <item t="default"/>
      </items>
    </pivotField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Liczba z towar" fld="2" subtotal="count" baseField="0" baseItem="0"/>
    <dataField name="Suma z ile t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1" xr16:uid="{92BFB9B4-DE2C-4BD4-BBF4-79989B71C2CB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4" xr16:uid="{8BDD90D7-23C4-48DA-80C0-2BF46D6170C6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2" xr16:uid="{700C087C-561D-4236-B115-EB1C89582CCF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atek" connectionId="3" xr16:uid="{1846ABBB-5143-4C4F-9EE8-B213351DEB20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27A91-FB7E-488D-AC1D-7B736A627644}" name="Tabela1" displayName="Tabela1" ref="A3:F139" totalsRowShown="0">
  <autoFilter ref="A3:F139" xr:uid="{01E27A91-FB7E-488D-AC1D-7B736A627644}"/>
  <sortState xmlns:xlrd2="http://schemas.microsoft.com/office/spreadsheetml/2017/richdata2" ref="A4:F139">
    <sortCondition descending="1" ref="C3:C139"/>
  </sortState>
  <tableColumns count="6">
    <tableColumn id="1" xr3:uid="{245F6D75-692F-4D87-A178-FEEC2A449CD9}" name="data" dataDxfId="8"/>
    <tableColumn id="2" xr3:uid="{43AD494F-74F0-40CD-AAFD-F76ABB91C155}" name="port"/>
    <tableColumn id="3" xr3:uid="{A2C6594C-BE07-4015-9A47-295BE01261C6}" name="towar"/>
    <tableColumn id="4" xr3:uid="{FCC9CE69-5C22-4941-BEF4-A7CE4E3D1B55}" name="Z/W"/>
    <tableColumn id="5" xr3:uid="{77F73BA6-02EB-4965-A9DA-6B86A5C6773F}" name="ile ton"/>
    <tableColumn id="6" xr3:uid="{24243FDC-7DD1-4AD4-A15C-4BDCD16379B0}" name="cena za tone w talara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1EE6-3F5A-4C28-8349-D698F962A0D5}">
  <dimension ref="A1:F139"/>
  <sheetViews>
    <sheetView topLeftCell="A103" zoomScale="145" zoomScaleNormal="145" workbookViewId="0">
      <selection activeCell="A4" sqref="A4:F139"/>
    </sheetView>
  </sheetViews>
  <sheetFormatPr defaultRowHeight="15" x14ac:dyDescent="0.25"/>
  <cols>
    <col min="1" max="1" width="31.42578125" bestFit="1" customWidth="1"/>
    <col min="2" max="2" width="11.42578125" bestFit="1" customWidth="1"/>
    <col min="3" max="5" width="9.28515625" bestFit="1" customWidth="1"/>
    <col min="6" max="6" width="24.140625" bestFit="1" customWidth="1"/>
  </cols>
  <sheetData>
    <row r="1" spans="1:6" x14ac:dyDescent="0.25">
      <c r="A1" s="10" t="s">
        <v>27</v>
      </c>
    </row>
    <row r="3" spans="1: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 s="2">
        <v>42370</v>
      </c>
      <c r="B4" t="s">
        <v>6</v>
      </c>
      <c r="C4" t="s">
        <v>9</v>
      </c>
      <c r="D4" t="s">
        <v>8</v>
      </c>
      <c r="E4">
        <v>32</v>
      </c>
      <c r="F4">
        <v>50</v>
      </c>
    </row>
    <row r="5" spans="1:6" x14ac:dyDescent="0.25">
      <c r="A5" s="2">
        <v>42393</v>
      </c>
      <c r="B5" t="s">
        <v>15</v>
      </c>
      <c r="C5" t="s">
        <v>9</v>
      </c>
      <c r="D5" t="s">
        <v>8</v>
      </c>
      <c r="E5">
        <v>44</v>
      </c>
      <c r="F5">
        <v>46</v>
      </c>
    </row>
    <row r="6" spans="1:6" x14ac:dyDescent="0.25">
      <c r="A6" s="2">
        <v>42419</v>
      </c>
      <c r="B6" t="s">
        <v>16</v>
      </c>
      <c r="C6" t="s">
        <v>9</v>
      </c>
      <c r="D6" t="s">
        <v>8</v>
      </c>
      <c r="E6">
        <v>8</v>
      </c>
      <c r="F6">
        <v>37</v>
      </c>
    </row>
    <row r="7" spans="1:6" x14ac:dyDescent="0.25">
      <c r="A7" s="2">
        <v>42464</v>
      </c>
      <c r="B7" t="s">
        <v>18</v>
      </c>
      <c r="C7" t="s">
        <v>9</v>
      </c>
      <c r="D7" t="s">
        <v>8</v>
      </c>
      <c r="E7">
        <v>33</v>
      </c>
      <c r="F7">
        <v>38</v>
      </c>
    </row>
    <row r="8" spans="1:6" x14ac:dyDescent="0.25">
      <c r="A8" s="2">
        <v>42482</v>
      </c>
      <c r="B8" t="s">
        <v>19</v>
      </c>
      <c r="C8" t="s">
        <v>9</v>
      </c>
      <c r="D8" t="s">
        <v>8</v>
      </c>
      <c r="E8">
        <v>35</v>
      </c>
      <c r="F8">
        <v>41</v>
      </c>
    </row>
    <row r="9" spans="1:6" x14ac:dyDescent="0.25">
      <c r="A9" s="2">
        <v>43407</v>
      </c>
      <c r="B9" t="s">
        <v>16</v>
      </c>
      <c r="C9" t="s">
        <v>9</v>
      </c>
      <c r="D9" t="s">
        <v>8</v>
      </c>
      <c r="E9">
        <v>48</v>
      </c>
      <c r="F9">
        <v>37</v>
      </c>
    </row>
    <row r="10" spans="1:6" x14ac:dyDescent="0.25">
      <c r="A10" s="2">
        <v>43381</v>
      </c>
      <c r="B10" t="s">
        <v>15</v>
      </c>
      <c r="C10" t="s">
        <v>9</v>
      </c>
      <c r="D10" t="s">
        <v>8</v>
      </c>
      <c r="E10">
        <v>20</v>
      </c>
      <c r="F10">
        <v>41</v>
      </c>
    </row>
    <row r="11" spans="1:6" x14ac:dyDescent="0.25">
      <c r="A11" s="2">
        <v>42542</v>
      </c>
      <c r="B11" t="s">
        <v>22</v>
      </c>
      <c r="C11" t="s">
        <v>9</v>
      </c>
      <c r="D11" t="s">
        <v>8</v>
      </c>
      <c r="E11">
        <v>42</v>
      </c>
      <c r="F11">
        <v>44</v>
      </c>
    </row>
    <row r="12" spans="1:6" x14ac:dyDescent="0.25">
      <c r="A12" s="2">
        <v>42559</v>
      </c>
      <c r="B12" t="s">
        <v>6</v>
      </c>
      <c r="C12" t="s">
        <v>9</v>
      </c>
      <c r="D12" t="s">
        <v>8</v>
      </c>
      <c r="E12">
        <v>35</v>
      </c>
      <c r="F12">
        <v>42</v>
      </c>
    </row>
    <row r="13" spans="1:6" x14ac:dyDescent="0.25">
      <c r="A13" s="2">
        <v>42574</v>
      </c>
      <c r="B13" t="s">
        <v>13</v>
      </c>
      <c r="C13" t="s">
        <v>9</v>
      </c>
      <c r="D13" t="s">
        <v>8</v>
      </c>
      <c r="E13">
        <v>48</v>
      </c>
      <c r="F13">
        <v>43</v>
      </c>
    </row>
    <row r="14" spans="1:6" x14ac:dyDescent="0.25">
      <c r="A14" s="2">
        <v>42640</v>
      </c>
      <c r="B14" t="s">
        <v>17</v>
      </c>
      <c r="C14" t="s">
        <v>9</v>
      </c>
      <c r="D14" t="s">
        <v>8</v>
      </c>
      <c r="E14">
        <v>44</v>
      </c>
      <c r="F14">
        <v>40</v>
      </c>
    </row>
    <row r="15" spans="1:6" x14ac:dyDescent="0.25">
      <c r="A15" s="2">
        <v>43330</v>
      </c>
      <c r="B15" t="s">
        <v>22</v>
      </c>
      <c r="C15" t="s">
        <v>9</v>
      </c>
      <c r="D15" t="s">
        <v>8</v>
      </c>
      <c r="E15">
        <v>22</v>
      </c>
      <c r="F15">
        <v>44</v>
      </c>
    </row>
    <row r="16" spans="1:6" x14ac:dyDescent="0.25">
      <c r="A16" s="2">
        <v>42682</v>
      </c>
      <c r="B16" t="s">
        <v>19</v>
      </c>
      <c r="C16" t="s">
        <v>9</v>
      </c>
      <c r="D16" t="s">
        <v>8</v>
      </c>
      <c r="E16">
        <v>30</v>
      </c>
      <c r="F16">
        <v>41</v>
      </c>
    </row>
    <row r="17" spans="1:6" x14ac:dyDescent="0.25">
      <c r="A17" s="2">
        <v>42742</v>
      </c>
      <c r="B17" t="s">
        <v>22</v>
      </c>
      <c r="C17" t="s">
        <v>9</v>
      </c>
      <c r="D17" t="s">
        <v>8</v>
      </c>
      <c r="E17">
        <v>39</v>
      </c>
      <c r="F17">
        <v>44</v>
      </c>
    </row>
    <row r="18" spans="1:6" x14ac:dyDescent="0.25">
      <c r="A18" s="2">
        <v>43292</v>
      </c>
      <c r="B18" t="s">
        <v>20</v>
      </c>
      <c r="C18" t="s">
        <v>9</v>
      </c>
      <c r="D18" t="s">
        <v>8</v>
      </c>
      <c r="E18">
        <v>25</v>
      </c>
      <c r="F18">
        <v>39</v>
      </c>
    </row>
    <row r="19" spans="1:6" x14ac:dyDescent="0.25">
      <c r="A19" s="2">
        <v>43270</v>
      </c>
      <c r="B19" t="s">
        <v>19</v>
      </c>
      <c r="C19" t="s">
        <v>9</v>
      </c>
      <c r="D19" t="s">
        <v>8</v>
      </c>
      <c r="E19">
        <v>47</v>
      </c>
      <c r="F19">
        <v>41</v>
      </c>
    </row>
    <row r="20" spans="1:6" x14ac:dyDescent="0.25">
      <c r="A20" s="2">
        <v>42819</v>
      </c>
      <c r="B20" t="s">
        <v>16</v>
      </c>
      <c r="C20" t="s">
        <v>9</v>
      </c>
      <c r="D20" t="s">
        <v>8</v>
      </c>
      <c r="E20">
        <v>35</v>
      </c>
      <c r="F20">
        <v>37</v>
      </c>
    </row>
    <row r="21" spans="1:6" x14ac:dyDescent="0.25">
      <c r="A21" s="2">
        <v>43252</v>
      </c>
      <c r="B21" t="s">
        <v>18</v>
      </c>
      <c r="C21" t="s">
        <v>9</v>
      </c>
      <c r="D21" t="s">
        <v>8</v>
      </c>
      <c r="E21">
        <v>48</v>
      </c>
      <c r="F21">
        <v>38</v>
      </c>
    </row>
    <row r="22" spans="1:6" x14ac:dyDescent="0.25">
      <c r="A22" s="2">
        <v>42840</v>
      </c>
      <c r="B22" t="s">
        <v>17</v>
      </c>
      <c r="C22" t="s">
        <v>9</v>
      </c>
      <c r="D22" t="s">
        <v>8</v>
      </c>
      <c r="E22">
        <v>1</v>
      </c>
      <c r="F22">
        <v>40</v>
      </c>
    </row>
    <row r="23" spans="1:6" x14ac:dyDescent="0.25">
      <c r="A23" s="2">
        <v>42864</v>
      </c>
      <c r="B23" t="s">
        <v>18</v>
      </c>
      <c r="C23" t="s">
        <v>9</v>
      </c>
      <c r="D23" t="s">
        <v>8</v>
      </c>
      <c r="E23">
        <v>33</v>
      </c>
      <c r="F23">
        <v>38</v>
      </c>
    </row>
    <row r="24" spans="1:6" x14ac:dyDescent="0.25">
      <c r="A24" s="2">
        <v>42904</v>
      </c>
      <c r="B24" t="s">
        <v>20</v>
      </c>
      <c r="C24" t="s">
        <v>9</v>
      </c>
      <c r="D24" t="s">
        <v>8</v>
      </c>
      <c r="E24">
        <v>8</v>
      </c>
      <c r="F24">
        <v>39</v>
      </c>
    </row>
    <row r="25" spans="1:6" x14ac:dyDescent="0.25">
      <c r="A25" s="2">
        <v>43207</v>
      </c>
      <c r="B25" t="s">
        <v>16</v>
      </c>
      <c r="C25" t="s">
        <v>9</v>
      </c>
      <c r="D25" t="s">
        <v>8</v>
      </c>
      <c r="E25">
        <v>5</v>
      </c>
      <c r="F25">
        <v>37</v>
      </c>
    </row>
    <row r="26" spans="1:6" x14ac:dyDescent="0.25">
      <c r="A26" s="2">
        <v>42942</v>
      </c>
      <c r="B26" t="s">
        <v>22</v>
      </c>
      <c r="C26" t="s">
        <v>9</v>
      </c>
      <c r="D26" t="s">
        <v>8</v>
      </c>
      <c r="E26">
        <v>42</v>
      </c>
      <c r="F26">
        <v>44</v>
      </c>
    </row>
    <row r="27" spans="1:6" x14ac:dyDescent="0.25">
      <c r="A27" s="2">
        <v>42974</v>
      </c>
      <c r="B27" t="s">
        <v>13</v>
      </c>
      <c r="C27" t="s">
        <v>9</v>
      </c>
      <c r="D27" t="s">
        <v>8</v>
      </c>
      <c r="E27">
        <v>4</v>
      </c>
      <c r="F27">
        <v>43</v>
      </c>
    </row>
    <row r="28" spans="1:6" x14ac:dyDescent="0.25">
      <c r="A28" s="2">
        <v>43147</v>
      </c>
      <c r="B28" t="s">
        <v>6</v>
      </c>
      <c r="C28" t="s">
        <v>9</v>
      </c>
      <c r="D28" t="s">
        <v>8</v>
      </c>
      <c r="E28">
        <v>34</v>
      </c>
      <c r="F28">
        <v>42</v>
      </c>
    </row>
    <row r="29" spans="1:6" x14ac:dyDescent="0.25">
      <c r="A29" s="2">
        <v>43064</v>
      </c>
      <c r="B29" t="s">
        <v>18</v>
      </c>
      <c r="C29" t="s">
        <v>9</v>
      </c>
      <c r="D29" t="s">
        <v>8</v>
      </c>
      <c r="E29">
        <v>12</v>
      </c>
      <c r="F29">
        <v>38</v>
      </c>
    </row>
    <row r="30" spans="1:6" x14ac:dyDescent="0.25">
      <c r="A30" s="2">
        <v>43104</v>
      </c>
      <c r="B30" t="s">
        <v>20</v>
      </c>
      <c r="C30" t="s">
        <v>9</v>
      </c>
      <c r="D30" t="s">
        <v>8</v>
      </c>
      <c r="E30">
        <v>10</v>
      </c>
      <c r="F30">
        <v>39</v>
      </c>
    </row>
    <row r="31" spans="1:6" x14ac:dyDescent="0.25">
      <c r="A31" s="2">
        <v>42370</v>
      </c>
      <c r="B31" t="s">
        <v>6</v>
      </c>
      <c r="C31" t="s">
        <v>7</v>
      </c>
      <c r="D31" t="s">
        <v>8</v>
      </c>
      <c r="E31">
        <v>3</v>
      </c>
      <c r="F31">
        <v>80</v>
      </c>
    </row>
    <row r="32" spans="1:6" x14ac:dyDescent="0.25">
      <c r="A32" s="2">
        <v>42393</v>
      </c>
      <c r="B32" t="s">
        <v>15</v>
      </c>
      <c r="C32" t="s">
        <v>7</v>
      </c>
      <c r="D32" t="s">
        <v>8</v>
      </c>
      <c r="E32">
        <v>21</v>
      </c>
      <c r="F32">
        <v>74</v>
      </c>
    </row>
    <row r="33" spans="1:6" x14ac:dyDescent="0.25">
      <c r="A33" s="2">
        <v>43452</v>
      </c>
      <c r="B33" t="s">
        <v>18</v>
      </c>
      <c r="C33" t="s">
        <v>7</v>
      </c>
      <c r="D33" t="s">
        <v>8</v>
      </c>
      <c r="E33">
        <v>23</v>
      </c>
      <c r="F33">
        <v>61</v>
      </c>
    </row>
    <row r="34" spans="1:6" x14ac:dyDescent="0.25">
      <c r="A34" s="2">
        <v>42419</v>
      </c>
      <c r="B34" t="s">
        <v>16</v>
      </c>
      <c r="C34" t="s">
        <v>7</v>
      </c>
      <c r="D34" t="s">
        <v>8</v>
      </c>
      <c r="E34">
        <v>9</v>
      </c>
      <c r="F34">
        <v>59</v>
      </c>
    </row>
    <row r="35" spans="1:6" x14ac:dyDescent="0.25">
      <c r="A35" s="2">
        <v>43428</v>
      </c>
      <c r="B35" t="s">
        <v>17</v>
      </c>
      <c r="C35" t="s">
        <v>7</v>
      </c>
      <c r="D35" t="s">
        <v>8</v>
      </c>
      <c r="E35">
        <v>43</v>
      </c>
      <c r="F35">
        <v>63</v>
      </c>
    </row>
    <row r="36" spans="1:6" x14ac:dyDescent="0.25">
      <c r="A36" s="2">
        <v>42482</v>
      </c>
      <c r="B36" t="s">
        <v>19</v>
      </c>
      <c r="C36" t="s">
        <v>7</v>
      </c>
      <c r="D36" t="s">
        <v>8</v>
      </c>
      <c r="E36">
        <v>5</v>
      </c>
      <c r="F36">
        <v>66</v>
      </c>
    </row>
    <row r="37" spans="1:6" x14ac:dyDescent="0.25">
      <c r="A37" s="2">
        <v>42529</v>
      </c>
      <c r="B37" t="s">
        <v>21</v>
      </c>
      <c r="C37" t="s">
        <v>7</v>
      </c>
      <c r="D37" t="s">
        <v>8</v>
      </c>
      <c r="E37">
        <v>42</v>
      </c>
      <c r="F37">
        <v>60</v>
      </c>
    </row>
    <row r="38" spans="1:6" x14ac:dyDescent="0.25">
      <c r="A38" s="2">
        <v>43362</v>
      </c>
      <c r="B38" t="s">
        <v>13</v>
      </c>
      <c r="C38" t="s">
        <v>7</v>
      </c>
      <c r="D38" t="s">
        <v>8</v>
      </c>
      <c r="E38">
        <v>6</v>
      </c>
      <c r="F38">
        <v>68</v>
      </c>
    </row>
    <row r="39" spans="1:6" x14ac:dyDescent="0.25">
      <c r="A39" s="2">
        <v>42559</v>
      </c>
      <c r="B39" t="s">
        <v>6</v>
      </c>
      <c r="C39" t="s">
        <v>7</v>
      </c>
      <c r="D39" t="s">
        <v>8</v>
      </c>
      <c r="E39">
        <v>32</v>
      </c>
      <c r="F39">
        <v>66</v>
      </c>
    </row>
    <row r="40" spans="1:6" x14ac:dyDescent="0.25">
      <c r="A40" s="2">
        <v>42593</v>
      </c>
      <c r="B40" t="s">
        <v>15</v>
      </c>
      <c r="C40" t="s">
        <v>7</v>
      </c>
      <c r="D40" t="s">
        <v>8</v>
      </c>
      <c r="E40">
        <v>36</v>
      </c>
      <c r="F40">
        <v>65</v>
      </c>
    </row>
    <row r="41" spans="1:6" x14ac:dyDescent="0.25">
      <c r="A41" s="2">
        <v>42619</v>
      </c>
      <c r="B41" t="s">
        <v>16</v>
      </c>
      <c r="C41" t="s">
        <v>7</v>
      </c>
      <c r="D41" t="s">
        <v>8</v>
      </c>
      <c r="E41">
        <v>41</v>
      </c>
      <c r="F41">
        <v>59</v>
      </c>
    </row>
    <row r="42" spans="1:6" x14ac:dyDescent="0.25">
      <c r="A42" s="2">
        <v>42640</v>
      </c>
      <c r="B42" t="s">
        <v>17</v>
      </c>
      <c r="C42" t="s">
        <v>7</v>
      </c>
      <c r="D42" t="s">
        <v>8</v>
      </c>
      <c r="E42">
        <v>3</v>
      </c>
      <c r="F42">
        <v>63</v>
      </c>
    </row>
    <row r="43" spans="1:6" x14ac:dyDescent="0.25">
      <c r="A43" s="2">
        <v>42682</v>
      </c>
      <c r="B43" t="s">
        <v>19</v>
      </c>
      <c r="C43" t="s">
        <v>7</v>
      </c>
      <c r="D43" t="s">
        <v>8</v>
      </c>
      <c r="E43">
        <v>17</v>
      </c>
      <c r="F43">
        <v>66</v>
      </c>
    </row>
    <row r="44" spans="1:6" x14ac:dyDescent="0.25">
      <c r="A44" s="2">
        <v>42729</v>
      </c>
      <c r="B44" t="s">
        <v>21</v>
      </c>
      <c r="C44" t="s">
        <v>7</v>
      </c>
      <c r="D44" t="s">
        <v>8</v>
      </c>
      <c r="E44">
        <v>33</v>
      </c>
      <c r="F44">
        <v>60</v>
      </c>
    </row>
    <row r="45" spans="1:6" x14ac:dyDescent="0.25">
      <c r="A45" s="2">
        <v>42742</v>
      </c>
      <c r="B45" t="s">
        <v>22</v>
      </c>
      <c r="C45" t="s">
        <v>7</v>
      </c>
      <c r="D45" t="s">
        <v>8</v>
      </c>
      <c r="E45">
        <v>9</v>
      </c>
      <c r="F45">
        <v>70</v>
      </c>
    </row>
    <row r="46" spans="1:6" x14ac:dyDescent="0.25">
      <c r="A46" s="2">
        <v>42759</v>
      </c>
      <c r="B46" t="s">
        <v>6</v>
      </c>
      <c r="C46" t="s">
        <v>7</v>
      </c>
      <c r="D46" t="s">
        <v>8</v>
      </c>
      <c r="E46">
        <v>34</v>
      </c>
      <c r="F46">
        <v>66</v>
      </c>
    </row>
    <row r="47" spans="1:6" x14ac:dyDescent="0.25">
      <c r="A47" s="2">
        <v>43292</v>
      </c>
      <c r="B47" t="s">
        <v>20</v>
      </c>
      <c r="C47" t="s">
        <v>7</v>
      </c>
      <c r="D47" t="s">
        <v>8</v>
      </c>
      <c r="E47">
        <v>18</v>
      </c>
      <c r="F47">
        <v>62</v>
      </c>
    </row>
    <row r="48" spans="1:6" x14ac:dyDescent="0.25">
      <c r="A48" s="2">
        <v>43270</v>
      </c>
      <c r="B48" t="s">
        <v>19</v>
      </c>
      <c r="C48" t="s">
        <v>7</v>
      </c>
      <c r="D48" t="s">
        <v>8</v>
      </c>
      <c r="E48">
        <v>47</v>
      </c>
      <c r="F48">
        <v>66</v>
      </c>
    </row>
    <row r="49" spans="1:6" x14ac:dyDescent="0.25">
      <c r="A49" s="2">
        <v>42864</v>
      </c>
      <c r="B49" t="s">
        <v>18</v>
      </c>
      <c r="C49" t="s">
        <v>7</v>
      </c>
      <c r="D49" t="s">
        <v>8</v>
      </c>
      <c r="E49">
        <v>37</v>
      </c>
      <c r="F49">
        <v>61</v>
      </c>
    </row>
    <row r="50" spans="1:6" x14ac:dyDescent="0.25">
      <c r="A50" s="2">
        <v>43207</v>
      </c>
      <c r="B50" t="s">
        <v>16</v>
      </c>
      <c r="C50" t="s">
        <v>7</v>
      </c>
      <c r="D50" t="s">
        <v>8</v>
      </c>
      <c r="E50">
        <v>29</v>
      </c>
      <c r="F50">
        <v>59</v>
      </c>
    </row>
    <row r="51" spans="1:6" x14ac:dyDescent="0.25">
      <c r="A51" s="2">
        <v>42882</v>
      </c>
      <c r="B51" t="s">
        <v>19</v>
      </c>
      <c r="C51" t="s">
        <v>7</v>
      </c>
      <c r="D51" t="s">
        <v>8</v>
      </c>
      <c r="E51">
        <v>35</v>
      </c>
      <c r="F51">
        <v>66</v>
      </c>
    </row>
    <row r="52" spans="1:6" x14ac:dyDescent="0.25">
      <c r="A52" s="2">
        <v>42904</v>
      </c>
      <c r="B52" t="s">
        <v>20</v>
      </c>
      <c r="C52" t="s">
        <v>7</v>
      </c>
      <c r="D52" t="s">
        <v>8</v>
      </c>
      <c r="E52">
        <v>45</v>
      </c>
      <c r="F52">
        <v>62</v>
      </c>
    </row>
    <row r="53" spans="1:6" x14ac:dyDescent="0.25">
      <c r="A53" s="2">
        <v>43181</v>
      </c>
      <c r="B53" t="s">
        <v>15</v>
      </c>
      <c r="C53" t="s">
        <v>7</v>
      </c>
      <c r="D53" t="s">
        <v>8</v>
      </c>
      <c r="E53">
        <v>49</v>
      </c>
      <c r="F53">
        <v>65</v>
      </c>
    </row>
    <row r="54" spans="1:6" x14ac:dyDescent="0.25">
      <c r="A54" s="2">
        <v>42942</v>
      </c>
      <c r="B54" t="s">
        <v>22</v>
      </c>
      <c r="C54" t="s">
        <v>7</v>
      </c>
      <c r="D54" t="s">
        <v>8</v>
      </c>
      <c r="E54">
        <v>10</v>
      </c>
      <c r="F54">
        <v>70</v>
      </c>
    </row>
    <row r="55" spans="1:6" x14ac:dyDescent="0.25">
      <c r="A55" s="2">
        <v>43147</v>
      </c>
      <c r="B55" t="s">
        <v>6</v>
      </c>
      <c r="C55" t="s">
        <v>7</v>
      </c>
      <c r="D55" t="s">
        <v>8</v>
      </c>
      <c r="E55">
        <v>48</v>
      </c>
      <c r="F55">
        <v>66</v>
      </c>
    </row>
    <row r="56" spans="1:6" x14ac:dyDescent="0.25">
      <c r="A56" s="2">
        <v>42974</v>
      </c>
      <c r="B56" t="s">
        <v>13</v>
      </c>
      <c r="C56" t="s">
        <v>7</v>
      </c>
      <c r="D56" t="s">
        <v>8</v>
      </c>
      <c r="E56">
        <v>38</v>
      </c>
      <c r="F56">
        <v>68</v>
      </c>
    </row>
    <row r="57" spans="1:6" x14ac:dyDescent="0.25">
      <c r="A57" s="2">
        <v>42993</v>
      </c>
      <c r="B57" t="s">
        <v>15</v>
      </c>
      <c r="C57" t="s">
        <v>7</v>
      </c>
      <c r="D57" t="s">
        <v>8</v>
      </c>
      <c r="E57">
        <v>30</v>
      </c>
      <c r="F57">
        <v>65</v>
      </c>
    </row>
    <row r="58" spans="1:6" x14ac:dyDescent="0.25">
      <c r="A58" s="2">
        <v>43019</v>
      </c>
      <c r="B58" t="s">
        <v>16</v>
      </c>
      <c r="C58" t="s">
        <v>7</v>
      </c>
      <c r="D58" t="s">
        <v>8</v>
      </c>
      <c r="E58">
        <v>43</v>
      </c>
      <c r="F58">
        <v>59</v>
      </c>
    </row>
    <row r="59" spans="1:6" x14ac:dyDescent="0.25">
      <c r="A59" s="2">
        <v>43130</v>
      </c>
      <c r="B59" t="s">
        <v>22</v>
      </c>
      <c r="C59" t="s">
        <v>7</v>
      </c>
      <c r="D59" t="s">
        <v>8</v>
      </c>
      <c r="E59">
        <v>48</v>
      </c>
      <c r="F59">
        <v>79</v>
      </c>
    </row>
    <row r="60" spans="1:6" x14ac:dyDescent="0.25">
      <c r="A60" s="2">
        <v>43040</v>
      </c>
      <c r="B60" t="s">
        <v>17</v>
      </c>
      <c r="C60" t="s">
        <v>7</v>
      </c>
      <c r="D60" t="s">
        <v>8</v>
      </c>
      <c r="E60">
        <v>24</v>
      </c>
      <c r="F60">
        <v>63</v>
      </c>
    </row>
    <row r="61" spans="1:6" x14ac:dyDescent="0.25">
      <c r="A61" s="2">
        <v>43082</v>
      </c>
      <c r="B61" t="s">
        <v>19</v>
      </c>
      <c r="C61" t="s">
        <v>7</v>
      </c>
      <c r="D61" t="s">
        <v>8</v>
      </c>
      <c r="E61">
        <v>38</v>
      </c>
      <c r="F61">
        <v>66</v>
      </c>
    </row>
    <row r="62" spans="1:6" x14ac:dyDescent="0.25">
      <c r="A62" s="2">
        <v>43129</v>
      </c>
      <c r="B62" t="s">
        <v>21</v>
      </c>
      <c r="C62" t="s">
        <v>7</v>
      </c>
      <c r="D62" t="s">
        <v>8</v>
      </c>
      <c r="E62">
        <v>9</v>
      </c>
      <c r="F62">
        <v>60</v>
      </c>
    </row>
    <row r="63" spans="1:6" x14ac:dyDescent="0.25">
      <c r="A63" s="2">
        <v>42370</v>
      </c>
      <c r="B63" t="s">
        <v>6</v>
      </c>
      <c r="C63" t="s">
        <v>12</v>
      </c>
      <c r="D63" t="s">
        <v>8</v>
      </c>
      <c r="E63">
        <v>43</v>
      </c>
      <c r="F63">
        <v>25</v>
      </c>
    </row>
    <row r="64" spans="1:6" x14ac:dyDescent="0.25">
      <c r="A64" s="2">
        <v>43452</v>
      </c>
      <c r="B64" t="s">
        <v>18</v>
      </c>
      <c r="C64" t="s">
        <v>12</v>
      </c>
      <c r="D64" t="s">
        <v>8</v>
      </c>
      <c r="E64">
        <v>35</v>
      </c>
      <c r="F64">
        <v>19</v>
      </c>
    </row>
    <row r="65" spans="1:6" x14ac:dyDescent="0.25">
      <c r="A65" s="2">
        <v>42440</v>
      </c>
      <c r="B65" t="s">
        <v>17</v>
      </c>
      <c r="C65" t="s">
        <v>12</v>
      </c>
      <c r="D65" t="s">
        <v>8</v>
      </c>
      <c r="E65">
        <v>32</v>
      </c>
      <c r="F65">
        <v>20</v>
      </c>
    </row>
    <row r="66" spans="1:6" x14ac:dyDescent="0.25">
      <c r="A66" s="2">
        <v>42464</v>
      </c>
      <c r="B66" t="s">
        <v>18</v>
      </c>
      <c r="C66" t="s">
        <v>12</v>
      </c>
      <c r="D66" t="s">
        <v>8</v>
      </c>
      <c r="E66">
        <v>25</v>
      </c>
      <c r="F66">
        <v>19</v>
      </c>
    </row>
    <row r="67" spans="1:6" x14ac:dyDescent="0.25">
      <c r="A67" s="2">
        <v>42529</v>
      </c>
      <c r="B67" t="s">
        <v>21</v>
      </c>
      <c r="C67" t="s">
        <v>12</v>
      </c>
      <c r="D67" t="s">
        <v>8</v>
      </c>
      <c r="E67">
        <v>19</v>
      </c>
      <c r="F67">
        <v>19</v>
      </c>
    </row>
    <row r="68" spans="1:6" x14ac:dyDescent="0.25">
      <c r="A68" s="2">
        <v>43347</v>
      </c>
      <c r="B68" t="s">
        <v>6</v>
      </c>
      <c r="C68" t="s">
        <v>12</v>
      </c>
      <c r="D68" t="s">
        <v>8</v>
      </c>
      <c r="E68">
        <v>8</v>
      </c>
      <c r="F68">
        <v>21</v>
      </c>
    </row>
    <row r="69" spans="1:6" x14ac:dyDescent="0.25">
      <c r="A69" s="2">
        <v>42619</v>
      </c>
      <c r="B69" t="s">
        <v>16</v>
      </c>
      <c r="C69" t="s">
        <v>12</v>
      </c>
      <c r="D69" t="s">
        <v>8</v>
      </c>
      <c r="E69">
        <v>8</v>
      </c>
      <c r="F69">
        <v>19</v>
      </c>
    </row>
    <row r="70" spans="1:6" x14ac:dyDescent="0.25">
      <c r="A70" s="2">
        <v>42640</v>
      </c>
      <c r="B70" t="s">
        <v>17</v>
      </c>
      <c r="C70" t="s">
        <v>12</v>
      </c>
      <c r="D70" t="s">
        <v>8</v>
      </c>
      <c r="E70">
        <v>40</v>
      </c>
      <c r="F70">
        <v>20</v>
      </c>
    </row>
    <row r="71" spans="1:6" x14ac:dyDescent="0.25">
      <c r="A71" s="2">
        <v>43330</v>
      </c>
      <c r="B71" t="s">
        <v>22</v>
      </c>
      <c r="C71" t="s">
        <v>12</v>
      </c>
      <c r="D71" t="s">
        <v>8</v>
      </c>
      <c r="E71">
        <v>19</v>
      </c>
      <c r="F71">
        <v>22</v>
      </c>
    </row>
    <row r="72" spans="1:6" x14ac:dyDescent="0.25">
      <c r="A72" s="2">
        <v>42664</v>
      </c>
      <c r="B72" t="s">
        <v>18</v>
      </c>
      <c r="C72" t="s">
        <v>12</v>
      </c>
      <c r="D72" t="s">
        <v>8</v>
      </c>
      <c r="E72">
        <v>14</v>
      </c>
      <c r="F72">
        <v>19</v>
      </c>
    </row>
    <row r="73" spans="1:6" x14ac:dyDescent="0.25">
      <c r="A73" s="2">
        <v>43317</v>
      </c>
      <c r="B73" t="s">
        <v>21</v>
      </c>
      <c r="C73" t="s">
        <v>12</v>
      </c>
      <c r="D73" t="s">
        <v>8</v>
      </c>
      <c r="E73">
        <v>30</v>
      </c>
      <c r="F73">
        <v>19</v>
      </c>
    </row>
    <row r="74" spans="1:6" x14ac:dyDescent="0.25">
      <c r="A74" s="2">
        <v>42704</v>
      </c>
      <c r="B74" t="s">
        <v>20</v>
      </c>
      <c r="C74" t="s">
        <v>12</v>
      </c>
      <c r="D74" t="s">
        <v>8</v>
      </c>
      <c r="E74">
        <v>17</v>
      </c>
      <c r="F74">
        <v>20</v>
      </c>
    </row>
    <row r="75" spans="1:6" x14ac:dyDescent="0.25">
      <c r="A75" s="2">
        <v>43292</v>
      </c>
      <c r="B75" t="s">
        <v>20</v>
      </c>
      <c r="C75" t="s">
        <v>12</v>
      </c>
      <c r="D75" t="s">
        <v>8</v>
      </c>
      <c r="E75">
        <v>2</v>
      </c>
      <c r="F75">
        <v>20</v>
      </c>
    </row>
    <row r="76" spans="1:6" x14ac:dyDescent="0.25">
      <c r="A76" s="2">
        <v>42742</v>
      </c>
      <c r="B76" t="s">
        <v>22</v>
      </c>
      <c r="C76" t="s">
        <v>12</v>
      </c>
      <c r="D76" t="s">
        <v>8</v>
      </c>
      <c r="E76">
        <v>40</v>
      </c>
      <c r="F76">
        <v>22</v>
      </c>
    </row>
    <row r="77" spans="1:6" x14ac:dyDescent="0.25">
      <c r="A77" s="2">
        <v>42759</v>
      </c>
      <c r="B77" t="s">
        <v>6</v>
      </c>
      <c r="C77" t="s">
        <v>12</v>
      </c>
      <c r="D77" t="s">
        <v>8</v>
      </c>
      <c r="E77">
        <v>5</v>
      </c>
      <c r="F77">
        <v>21</v>
      </c>
    </row>
    <row r="78" spans="1:6" x14ac:dyDescent="0.25">
      <c r="A78" s="2">
        <v>42793</v>
      </c>
      <c r="B78" t="s">
        <v>15</v>
      </c>
      <c r="C78" t="s">
        <v>12</v>
      </c>
      <c r="D78" t="s">
        <v>8</v>
      </c>
      <c r="E78">
        <v>14</v>
      </c>
      <c r="F78">
        <v>20</v>
      </c>
    </row>
    <row r="79" spans="1:6" x14ac:dyDescent="0.25">
      <c r="A79" s="2">
        <v>42819</v>
      </c>
      <c r="B79" t="s">
        <v>16</v>
      </c>
      <c r="C79" t="s">
        <v>12</v>
      </c>
      <c r="D79" t="s">
        <v>8</v>
      </c>
      <c r="E79">
        <v>40</v>
      </c>
      <c r="F79">
        <v>19</v>
      </c>
    </row>
    <row r="80" spans="1:6" x14ac:dyDescent="0.25">
      <c r="A80" s="2">
        <v>42840</v>
      </c>
      <c r="B80" t="s">
        <v>17</v>
      </c>
      <c r="C80" t="s">
        <v>12</v>
      </c>
      <c r="D80" t="s">
        <v>8</v>
      </c>
      <c r="E80">
        <v>12</v>
      </c>
      <c r="F80">
        <v>20</v>
      </c>
    </row>
    <row r="81" spans="1:6" x14ac:dyDescent="0.25">
      <c r="A81" s="2">
        <v>43228</v>
      </c>
      <c r="B81" t="s">
        <v>17</v>
      </c>
      <c r="C81" t="s">
        <v>12</v>
      </c>
      <c r="D81" t="s">
        <v>8</v>
      </c>
      <c r="E81">
        <v>27</v>
      </c>
      <c r="F81">
        <v>20</v>
      </c>
    </row>
    <row r="82" spans="1:6" x14ac:dyDescent="0.25">
      <c r="A82" s="2">
        <v>42882</v>
      </c>
      <c r="B82" t="s">
        <v>19</v>
      </c>
      <c r="C82" t="s">
        <v>12</v>
      </c>
      <c r="D82" t="s">
        <v>8</v>
      </c>
      <c r="E82">
        <v>25</v>
      </c>
      <c r="F82">
        <v>21</v>
      </c>
    </row>
    <row r="83" spans="1:6" x14ac:dyDescent="0.25">
      <c r="A83" s="2">
        <v>42904</v>
      </c>
      <c r="B83" t="s">
        <v>20</v>
      </c>
      <c r="C83" t="s">
        <v>12</v>
      </c>
      <c r="D83" t="s">
        <v>8</v>
      </c>
      <c r="E83">
        <v>25</v>
      </c>
      <c r="F83">
        <v>20</v>
      </c>
    </row>
    <row r="84" spans="1:6" x14ac:dyDescent="0.25">
      <c r="A84" s="2">
        <v>42929</v>
      </c>
      <c r="B84" t="s">
        <v>21</v>
      </c>
      <c r="C84" t="s">
        <v>12</v>
      </c>
      <c r="D84" t="s">
        <v>8</v>
      </c>
      <c r="E84">
        <v>29</v>
      </c>
      <c r="F84">
        <v>19</v>
      </c>
    </row>
    <row r="85" spans="1:6" x14ac:dyDescent="0.25">
      <c r="A85" s="2">
        <v>42942</v>
      </c>
      <c r="B85" t="s">
        <v>22</v>
      </c>
      <c r="C85" t="s">
        <v>12</v>
      </c>
      <c r="D85" t="s">
        <v>8</v>
      </c>
      <c r="E85">
        <v>37</v>
      </c>
      <c r="F85">
        <v>22</v>
      </c>
    </row>
    <row r="86" spans="1:6" x14ac:dyDescent="0.25">
      <c r="A86" s="2">
        <v>42959</v>
      </c>
      <c r="B86" t="s">
        <v>6</v>
      </c>
      <c r="C86" t="s">
        <v>12</v>
      </c>
      <c r="D86" t="s">
        <v>8</v>
      </c>
      <c r="E86">
        <v>20</v>
      </c>
      <c r="F86">
        <v>21</v>
      </c>
    </row>
    <row r="87" spans="1:6" x14ac:dyDescent="0.25">
      <c r="A87" s="2">
        <v>42974</v>
      </c>
      <c r="B87" t="s">
        <v>13</v>
      </c>
      <c r="C87" t="s">
        <v>12</v>
      </c>
      <c r="D87" t="s">
        <v>8</v>
      </c>
      <c r="E87">
        <v>14</v>
      </c>
      <c r="F87">
        <v>21</v>
      </c>
    </row>
    <row r="88" spans="1:6" x14ac:dyDescent="0.25">
      <c r="A88" s="2">
        <v>43147</v>
      </c>
      <c r="B88" t="s">
        <v>6</v>
      </c>
      <c r="C88" t="s">
        <v>12</v>
      </c>
      <c r="D88" t="s">
        <v>8</v>
      </c>
      <c r="E88">
        <v>47</v>
      </c>
      <c r="F88">
        <v>21</v>
      </c>
    </row>
    <row r="89" spans="1:6" x14ac:dyDescent="0.25">
      <c r="A89" s="2">
        <v>43129</v>
      </c>
      <c r="B89" t="s">
        <v>21</v>
      </c>
      <c r="C89" t="s">
        <v>12</v>
      </c>
      <c r="D89" t="s">
        <v>8</v>
      </c>
      <c r="E89">
        <v>6</v>
      </c>
      <c r="F89">
        <v>19</v>
      </c>
    </row>
    <row r="90" spans="1:6" x14ac:dyDescent="0.25">
      <c r="A90" s="2">
        <v>42370</v>
      </c>
      <c r="B90" t="s">
        <v>6</v>
      </c>
      <c r="C90" t="s">
        <v>11</v>
      </c>
      <c r="D90" t="s">
        <v>8</v>
      </c>
      <c r="E90">
        <v>33</v>
      </c>
      <c r="F90">
        <v>30</v>
      </c>
    </row>
    <row r="91" spans="1:6" x14ac:dyDescent="0.25">
      <c r="A91" s="2">
        <v>43452</v>
      </c>
      <c r="B91" t="s">
        <v>18</v>
      </c>
      <c r="C91" t="s">
        <v>11</v>
      </c>
      <c r="D91" t="s">
        <v>8</v>
      </c>
      <c r="E91">
        <v>46</v>
      </c>
      <c r="F91">
        <v>23</v>
      </c>
    </row>
    <row r="92" spans="1:6" x14ac:dyDescent="0.25">
      <c r="A92" s="2">
        <v>42385</v>
      </c>
      <c r="B92" t="s">
        <v>13</v>
      </c>
      <c r="C92" t="s">
        <v>11</v>
      </c>
      <c r="D92" t="s">
        <v>8</v>
      </c>
      <c r="E92">
        <v>14</v>
      </c>
      <c r="F92">
        <v>26</v>
      </c>
    </row>
    <row r="93" spans="1:6" x14ac:dyDescent="0.25">
      <c r="A93" s="2">
        <v>42393</v>
      </c>
      <c r="B93" t="s">
        <v>15</v>
      </c>
      <c r="C93" t="s">
        <v>11</v>
      </c>
      <c r="D93" t="s">
        <v>8</v>
      </c>
      <c r="E93">
        <v>1</v>
      </c>
      <c r="F93">
        <v>28</v>
      </c>
    </row>
    <row r="94" spans="1:6" x14ac:dyDescent="0.25">
      <c r="A94" s="2">
        <v>42440</v>
      </c>
      <c r="B94" t="s">
        <v>17</v>
      </c>
      <c r="C94" t="s">
        <v>11</v>
      </c>
      <c r="D94" t="s">
        <v>8</v>
      </c>
      <c r="E94">
        <v>10</v>
      </c>
      <c r="F94">
        <v>24</v>
      </c>
    </row>
    <row r="95" spans="1:6" x14ac:dyDescent="0.25">
      <c r="A95" s="2">
        <v>43428</v>
      </c>
      <c r="B95" t="s">
        <v>17</v>
      </c>
      <c r="C95" t="s">
        <v>11</v>
      </c>
      <c r="D95" t="s">
        <v>8</v>
      </c>
      <c r="E95">
        <v>24</v>
      </c>
      <c r="F95">
        <v>24</v>
      </c>
    </row>
    <row r="96" spans="1:6" x14ac:dyDescent="0.25">
      <c r="A96" s="2">
        <v>42504</v>
      </c>
      <c r="B96" t="s">
        <v>20</v>
      </c>
      <c r="C96" t="s">
        <v>11</v>
      </c>
      <c r="D96" t="s">
        <v>8</v>
      </c>
      <c r="E96">
        <v>10</v>
      </c>
      <c r="F96">
        <v>23</v>
      </c>
    </row>
    <row r="97" spans="1:6" x14ac:dyDescent="0.25">
      <c r="A97" s="2">
        <v>42542</v>
      </c>
      <c r="B97" t="s">
        <v>22</v>
      </c>
      <c r="C97" t="s">
        <v>11</v>
      </c>
      <c r="D97" t="s">
        <v>8</v>
      </c>
      <c r="E97">
        <v>33</v>
      </c>
      <c r="F97">
        <v>26</v>
      </c>
    </row>
    <row r="98" spans="1:6" x14ac:dyDescent="0.25">
      <c r="A98" s="2">
        <v>43362</v>
      </c>
      <c r="B98" t="s">
        <v>13</v>
      </c>
      <c r="C98" t="s">
        <v>11</v>
      </c>
      <c r="D98" t="s">
        <v>8</v>
      </c>
      <c r="E98">
        <v>36</v>
      </c>
      <c r="F98">
        <v>26</v>
      </c>
    </row>
    <row r="99" spans="1:6" x14ac:dyDescent="0.25">
      <c r="A99" s="2">
        <v>42593</v>
      </c>
      <c r="B99" t="s">
        <v>15</v>
      </c>
      <c r="C99" t="s">
        <v>11</v>
      </c>
      <c r="D99" t="s">
        <v>8</v>
      </c>
      <c r="E99">
        <v>9</v>
      </c>
      <c r="F99">
        <v>24</v>
      </c>
    </row>
    <row r="100" spans="1:6" x14ac:dyDescent="0.25">
      <c r="A100" s="2">
        <v>43347</v>
      </c>
      <c r="B100" t="s">
        <v>6</v>
      </c>
      <c r="C100" t="s">
        <v>11</v>
      </c>
      <c r="D100" t="s">
        <v>8</v>
      </c>
      <c r="E100">
        <v>9</v>
      </c>
      <c r="F100">
        <v>25</v>
      </c>
    </row>
    <row r="101" spans="1:6" x14ac:dyDescent="0.25">
      <c r="A101" s="2">
        <v>42619</v>
      </c>
      <c r="B101" t="s">
        <v>16</v>
      </c>
      <c r="C101" t="s">
        <v>11</v>
      </c>
      <c r="D101" t="s">
        <v>8</v>
      </c>
      <c r="E101">
        <v>3</v>
      </c>
      <c r="F101">
        <v>22</v>
      </c>
    </row>
    <row r="102" spans="1:6" x14ac:dyDescent="0.25">
      <c r="A102" s="2">
        <v>42640</v>
      </c>
      <c r="B102" t="s">
        <v>17</v>
      </c>
      <c r="C102" t="s">
        <v>11</v>
      </c>
      <c r="D102" t="s">
        <v>8</v>
      </c>
      <c r="E102">
        <v>17</v>
      </c>
      <c r="F102">
        <v>24</v>
      </c>
    </row>
    <row r="103" spans="1:6" x14ac:dyDescent="0.25">
      <c r="A103" s="2">
        <v>42664</v>
      </c>
      <c r="B103" t="s">
        <v>18</v>
      </c>
      <c r="C103" t="s">
        <v>11</v>
      </c>
      <c r="D103" t="s">
        <v>8</v>
      </c>
      <c r="E103">
        <v>23</v>
      </c>
      <c r="F103">
        <v>23</v>
      </c>
    </row>
    <row r="104" spans="1:6" x14ac:dyDescent="0.25">
      <c r="A104" s="2">
        <v>42704</v>
      </c>
      <c r="B104" t="s">
        <v>20</v>
      </c>
      <c r="C104" t="s">
        <v>11</v>
      </c>
      <c r="D104" t="s">
        <v>8</v>
      </c>
      <c r="E104">
        <v>4</v>
      </c>
      <c r="F104">
        <v>23</v>
      </c>
    </row>
    <row r="105" spans="1:6" x14ac:dyDescent="0.25">
      <c r="A105" s="2">
        <v>42729</v>
      </c>
      <c r="B105" t="s">
        <v>21</v>
      </c>
      <c r="C105" t="s">
        <v>11</v>
      </c>
      <c r="D105" t="s">
        <v>8</v>
      </c>
      <c r="E105">
        <v>26</v>
      </c>
      <c r="F105">
        <v>23</v>
      </c>
    </row>
    <row r="106" spans="1:6" x14ac:dyDescent="0.25">
      <c r="A106" s="2">
        <v>42742</v>
      </c>
      <c r="B106" t="s">
        <v>22</v>
      </c>
      <c r="C106" t="s">
        <v>11</v>
      </c>
      <c r="D106" t="s">
        <v>8</v>
      </c>
      <c r="E106">
        <v>42</v>
      </c>
      <c r="F106">
        <v>26</v>
      </c>
    </row>
    <row r="107" spans="1:6" x14ac:dyDescent="0.25">
      <c r="A107" s="2">
        <v>42774</v>
      </c>
      <c r="B107" t="s">
        <v>13</v>
      </c>
      <c r="C107" t="s">
        <v>11</v>
      </c>
      <c r="D107" t="s">
        <v>8</v>
      </c>
      <c r="E107">
        <v>14</v>
      </c>
      <c r="F107">
        <v>26</v>
      </c>
    </row>
    <row r="108" spans="1:6" x14ac:dyDescent="0.25">
      <c r="A108" s="2">
        <v>43270</v>
      </c>
      <c r="B108" t="s">
        <v>19</v>
      </c>
      <c r="C108" t="s">
        <v>11</v>
      </c>
      <c r="D108" t="s">
        <v>8</v>
      </c>
      <c r="E108">
        <v>6</v>
      </c>
      <c r="F108">
        <v>25</v>
      </c>
    </row>
    <row r="109" spans="1:6" x14ac:dyDescent="0.25">
      <c r="A109" s="2">
        <v>43252</v>
      </c>
      <c r="B109" t="s">
        <v>18</v>
      </c>
      <c r="C109" t="s">
        <v>11</v>
      </c>
      <c r="D109" t="s">
        <v>8</v>
      </c>
      <c r="E109">
        <v>21</v>
      </c>
      <c r="F109">
        <v>23</v>
      </c>
    </row>
    <row r="110" spans="1:6" x14ac:dyDescent="0.25">
      <c r="A110" s="2">
        <v>42864</v>
      </c>
      <c r="B110" t="s">
        <v>18</v>
      </c>
      <c r="C110" t="s">
        <v>11</v>
      </c>
      <c r="D110" t="s">
        <v>8</v>
      </c>
      <c r="E110">
        <v>13</v>
      </c>
      <c r="F110">
        <v>23</v>
      </c>
    </row>
    <row r="111" spans="1:6" x14ac:dyDescent="0.25">
      <c r="A111" s="2">
        <v>43228</v>
      </c>
      <c r="B111" t="s">
        <v>17</v>
      </c>
      <c r="C111" t="s">
        <v>11</v>
      </c>
      <c r="D111" t="s">
        <v>8</v>
      </c>
      <c r="E111">
        <v>34</v>
      </c>
      <c r="F111">
        <v>24</v>
      </c>
    </row>
    <row r="112" spans="1:6" x14ac:dyDescent="0.25">
      <c r="A112" s="2">
        <v>42882</v>
      </c>
      <c r="B112" t="s">
        <v>19</v>
      </c>
      <c r="C112" t="s">
        <v>11</v>
      </c>
      <c r="D112" t="s">
        <v>8</v>
      </c>
      <c r="E112">
        <v>10</v>
      </c>
      <c r="F112">
        <v>25</v>
      </c>
    </row>
    <row r="113" spans="1:6" x14ac:dyDescent="0.25">
      <c r="A113" s="2">
        <v>42959</v>
      </c>
      <c r="B113" t="s">
        <v>6</v>
      </c>
      <c r="C113" t="s">
        <v>11</v>
      </c>
      <c r="D113" t="s">
        <v>8</v>
      </c>
      <c r="E113">
        <v>26</v>
      </c>
      <c r="F113">
        <v>25</v>
      </c>
    </row>
    <row r="114" spans="1:6" x14ac:dyDescent="0.25">
      <c r="A114" s="2">
        <v>43040</v>
      </c>
      <c r="B114" t="s">
        <v>17</v>
      </c>
      <c r="C114" t="s">
        <v>11</v>
      </c>
      <c r="D114" t="s">
        <v>8</v>
      </c>
      <c r="E114">
        <v>19</v>
      </c>
      <c r="F114">
        <v>24</v>
      </c>
    </row>
    <row r="115" spans="1:6" x14ac:dyDescent="0.25">
      <c r="A115" s="2">
        <v>42370</v>
      </c>
      <c r="B115" t="s">
        <v>6</v>
      </c>
      <c r="C115" t="s">
        <v>10</v>
      </c>
      <c r="D115" t="s">
        <v>8</v>
      </c>
      <c r="E115">
        <v>38</v>
      </c>
      <c r="F115">
        <v>10</v>
      </c>
    </row>
    <row r="116" spans="1:6" x14ac:dyDescent="0.25">
      <c r="A116" s="2">
        <v>43452</v>
      </c>
      <c r="B116" t="s">
        <v>18</v>
      </c>
      <c r="C116" t="s">
        <v>10</v>
      </c>
      <c r="D116" t="s">
        <v>8</v>
      </c>
      <c r="E116">
        <v>41</v>
      </c>
      <c r="F116">
        <v>8</v>
      </c>
    </row>
    <row r="117" spans="1:6" x14ac:dyDescent="0.25">
      <c r="A117" s="2">
        <v>42440</v>
      </c>
      <c r="B117" t="s">
        <v>17</v>
      </c>
      <c r="C117" t="s">
        <v>10</v>
      </c>
      <c r="D117" t="s">
        <v>8</v>
      </c>
      <c r="E117">
        <v>7</v>
      </c>
      <c r="F117">
        <v>8</v>
      </c>
    </row>
    <row r="118" spans="1:6" x14ac:dyDescent="0.25">
      <c r="A118" s="2">
        <v>42529</v>
      </c>
      <c r="B118" t="s">
        <v>21</v>
      </c>
      <c r="C118" t="s">
        <v>10</v>
      </c>
      <c r="D118" t="s">
        <v>8</v>
      </c>
      <c r="E118">
        <v>28</v>
      </c>
      <c r="F118">
        <v>8</v>
      </c>
    </row>
    <row r="119" spans="1:6" x14ac:dyDescent="0.25">
      <c r="A119" s="2">
        <v>43381</v>
      </c>
      <c r="B119" t="s">
        <v>15</v>
      </c>
      <c r="C119" t="s">
        <v>10</v>
      </c>
      <c r="D119" t="s">
        <v>8</v>
      </c>
      <c r="E119">
        <v>18</v>
      </c>
      <c r="F119">
        <v>8</v>
      </c>
    </row>
    <row r="120" spans="1:6" x14ac:dyDescent="0.25">
      <c r="A120" s="2">
        <v>42542</v>
      </c>
      <c r="B120" t="s">
        <v>22</v>
      </c>
      <c r="C120" t="s">
        <v>10</v>
      </c>
      <c r="D120" t="s">
        <v>8</v>
      </c>
      <c r="E120">
        <v>9</v>
      </c>
      <c r="F120">
        <v>9</v>
      </c>
    </row>
    <row r="121" spans="1:6" x14ac:dyDescent="0.25">
      <c r="A121" s="2">
        <v>43362</v>
      </c>
      <c r="B121" t="s">
        <v>13</v>
      </c>
      <c r="C121" t="s">
        <v>10</v>
      </c>
      <c r="D121" t="s">
        <v>8</v>
      </c>
      <c r="E121">
        <v>24</v>
      </c>
      <c r="F121">
        <v>9</v>
      </c>
    </row>
    <row r="122" spans="1:6" x14ac:dyDescent="0.25">
      <c r="A122" s="2">
        <v>43347</v>
      </c>
      <c r="B122" t="s">
        <v>6</v>
      </c>
      <c r="C122" t="s">
        <v>10</v>
      </c>
      <c r="D122" t="s">
        <v>8</v>
      </c>
      <c r="E122">
        <v>47</v>
      </c>
      <c r="F122">
        <v>8</v>
      </c>
    </row>
    <row r="123" spans="1:6" x14ac:dyDescent="0.25">
      <c r="A123" s="2">
        <v>42619</v>
      </c>
      <c r="B123" t="s">
        <v>16</v>
      </c>
      <c r="C123" t="s">
        <v>10</v>
      </c>
      <c r="D123" t="s">
        <v>8</v>
      </c>
      <c r="E123">
        <v>47</v>
      </c>
      <c r="F123">
        <v>7</v>
      </c>
    </row>
    <row r="124" spans="1:6" x14ac:dyDescent="0.25">
      <c r="A124" s="2">
        <v>42682</v>
      </c>
      <c r="B124" t="s">
        <v>19</v>
      </c>
      <c r="C124" t="s">
        <v>10</v>
      </c>
      <c r="D124" t="s">
        <v>8</v>
      </c>
      <c r="E124">
        <v>11</v>
      </c>
      <c r="F124">
        <v>8</v>
      </c>
    </row>
    <row r="125" spans="1:6" x14ac:dyDescent="0.25">
      <c r="A125" s="2">
        <v>43317</v>
      </c>
      <c r="B125" t="s">
        <v>21</v>
      </c>
      <c r="C125" t="s">
        <v>10</v>
      </c>
      <c r="D125" t="s">
        <v>8</v>
      </c>
      <c r="E125">
        <v>46</v>
      </c>
      <c r="F125">
        <v>8</v>
      </c>
    </row>
    <row r="126" spans="1:6" x14ac:dyDescent="0.25">
      <c r="A126" s="2">
        <v>42742</v>
      </c>
      <c r="B126" t="s">
        <v>22</v>
      </c>
      <c r="C126" t="s">
        <v>10</v>
      </c>
      <c r="D126" t="s">
        <v>8</v>
      </c>
      <c r="E126">
        <v>42</v>
      </c>
      <c r="F126">
        <v>9</v>
      </c>
    </row>
    <row r="127" spans="1:6" x14ac:dyDescent="0.25">
      <c r="A127" s="2">
        <v>42793</v>
      </c>
      <c r="B127" t="s">
        <v>15</v>
      </c>
      <c r="C127" t="s">
        <v>10</v>
      </c>
      <c r="D127" t="s">
        <v>8</v>
      </c>
      <c r="E127">
        <v>30</v>
      </c>
      <c r="F127">
        <v>8</v>
      </c>
    </row>
    <row r="128" spans="1:6" x14ac:dyDescent="0.25">
      <c r="A128" s="2">
        <v>42840</v>
      </c>
      <c r="B128" t="s">
        <v>17</v>
      </c>
      <c r="C128" t="s">
        <v>10</v>
      </c>
      <c r="D128" t="s">
        <v>8</v>
      </c>
      <c r="E128">
        <v>15</v>
      </c>
      <c r="F128">
        <v>8</v>
      </c>
    </row>
    <row r="129" spans="1:6" x14ac:dyDescent="0.25">
      <c r="A129" s="2">
        <v>43228</v>
      </c>
      <c r="B129" t="s">
        <v>17</v>
      </c>
      <c r="C129" t="s">
        <v>10</v>
      </c>
      <c r="D129" t="s">
        <v>8</v>
      </c>
      <c r="E129">
        <v>40</v>
      </c>
      <c r="F129">
        <v>8</v>
      </c>
    </row>
    <row r="130" spans="1:6" x14ac:dyDescent="0.25">
      <c r="A130" s="2">
        <v>43207</v>
      </c>
      <c r="B130" t="s">
        <v>16</v>
      </c>
      <c r="C130" t="s">
        <v>10</v>
      </c>
      <c r="D130" t="s">
        <v>8</v>
      </c>
      <c r="E130">
        <v>34</v>
      </c>
      <c r="F130">
        <v>7</v>
      </c>
    </row>
    <row r="131" spans="1:6" x14ac:dyDescent="0.25">
      <c r="A131" s="2">
        <v>42904</v>
      </c>
      <c r="B131" t="s">
        <v>20</v>
      </c>
      <c r="C131" t="s">
        <v>10</v>
      </c>
      <c r="D131" t="s">
        <v>8</v>
      </c>
      <c r="E131">
        <v>22</v>
      </c>
      <c r="F131">
        <v>8</v>
      </c>
    </row>
    <row r="132" spans="1:6" x14ac:dyDescent="0.25">
      <c r="A132" s="2">
        <v>43181</v>
      </c>
      <c r="B132" t="s">
        <v>15</v>
      </c>
      <c r="C132" t="s">
        <v>10</v>
      </c>
      <c r="D132" t="s">
        <v>8</v>
      </c>
      <c r="E132">
        <v>16</v>
      </c>
      <c r="F132">
        <v>8</v>
      </c>
    </row>
    <row r="133" spans="1:6" x14ac:dyDescent="0.25">
      <c r="A133" s="2">
        <v>43162</v>
      </c>
      <c r="B133" t="s">
        <v>13</v>
      </c>
      <c r="C133" t="s">
        <v>10</v>
      </c>
      <c r="D133" t="s">
        <v>8</v>
      </c>
      <c r="E133">
        <v>5</v>
      </c>
      <c r="F133">
        <v>9</v>
      </c>
    </row>
    <row r="134" spans="1:6" x14ac:dyDescent="0.25">
      <c r="A134" s="2">
        <v>42974</v>
      </c>
      <c r="B134" t="s">
        <v>13</v>
      </c>
      <c r="C134" t="s">
        <v>10</v>
      </c>
      <c r="D134" t="s">
        <v>8</v>
      </c>
      <c r="E134">
        <v>24</v>
      </c>
      <c r="F134">
        <v>9</v>
      </c>
    </row>
    <row r="135" spans="1:6" x14ac:dyDescent="0.25">
      <c r="A135" s="2">
        <v>43147</v>
      </c>
      <c r="B135" t="s">
        <v>6</v>
      </c>
      <c r="C135" t="s">
        <v>10</v>
      </c>
      <c r="D135" t="s">
        <v>8</v>
      </c>
      <c r="E135">
        <v>10</v>
      </c>
      <c r="F135">
        <v>8</v>
      </c>
    </row>
    <row r="136" spans="1:6" x14ac:dyDescent="0.25">
      <c r="A136" s="2">
        <v>43040</v>
      </c>
      <c r="B136" t="s">
        <v>17</v>
      </c>
      <c r="C136" t="s">
        <v>10</v>
      </c>
      <c r="D136" t="s">
        <v>8</v>
      </c>
      <c r="E136">
        <v>15</v>
      </c>
      <c r="F136">
        <v>8</v>
      </c>
    </row>
    <row r="137" spans="1:6" x14ac:dyDescent="0.25">
      <c r="A137" s="2">
        <v>43129</v>
      </c>
      <c r="B137" t="s">
        <v>21</v>
      </c>
      <c r="C137" t="s">
        <v>10</v>
      </c>
      <c r="D137" t="s">
        <v>8</v>
      </c>
      <c r="E137">
        <v>4</v>
      </c>
      <c r="F137">
        <v>8</v>
      </c>
    </row>
    <row r="138" spans="1:6" x14ac:dyDescent="0.25">
      <c r="A138" s="2">
        <v>43082</v>
      </c>
      <c r="B138" t="s">
        <v>19</v>
      </c>
      <c r="C138" t="s">
        <v>10</v>
      </c>
      <c r="D138" t="s">
        <v>8</v>
      </c>
      <c r="E138">
        <v>26</v>
      </c>
      <c r="F138">
        <v>8</v>
      </c>
    </row>
    <row r="139" spans="1:6" x14ac:dyDescent="0.25">
      <c r="A139" s="2">
        <v>43104</v>
      </c>
      <c r="B139" t="s">
        <v>20</v>
      </c>
      <c r="C139" t="s">
        <v>10</v>
      </c>
      <c r="D139" t="s">
        <v>8</v>
      </c>
      <c r="E139">
        <v>21</v>
      </c>
      <c r="F139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EB58-1C3F-42CA-987A-CC74FFD40A76}">
  <dimension ref="A1:Y203"/>
  <sheetViews>
    <sheetView topLeftCell="A176" zoomScale="190" zoomScaleNormal="190" workbookViewId="0">
      <selection sqref="A1:F203"/>
    </sheetView>
  </sheetViews>
  <sheetFormatPr defaultRowHeight="15" x14ac:dyDescent="0.25"/>
  <cols>
    <col min="1" max="1" width="10.28515625" bestFit="1" customWidth="1"/>
    <col min="2" max="2" width="11.42578125" bestFit="1" customWidth="1"/>
    <col min="3" max="3" width="6.140625" bestFit="1" customWidth="1"/>
    <col min="4" max="4" width="4.7109375" bestFit="1" customWidth="1"/>
    <col min="5" max="5" width="6.7109375" bestFit="1" customWidth="1"/>
    <col min="6" max="6" width="21.85546875" bestFit="1" customWidth="1"/>
    <col min="13" max="13" width="17.7109375" bestFit="1" customWidth="1"/>
    <col min="14" max="14" width="13.28515625" bestFit="1" customWidth="1"/>
    <col min="15" max="15" width="13.42578125" bestFit="1" customWidth="1"/>
    <col min="17" max="17" width="10.140625" bestFit="1" customWidth="1"/>
    <col min="24" max="24" width="17.7109375" bestFit="1" customWidth="1"/>
    <col min="25" max="25" width="12.140625" bestFit="1" customWidth="1"/>
  </cols>
  <sheetData>
    <row r="1" spans="1:2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M1" s="4" t="s">
        <v>24</v>
      </c>
      <c r="N1" t="s">
        <v>23</v>
      </c>
      <c r="O1" t="s">
        <v>26</v>
      </c>
      <c r="Q1" t="s">
        <v>28</v>
      </c>
      <c r="R1" t="s">
        <v>29</v>
      </c>
      <c r="S1" t="s">
        <v>2</v>
      </c>
      <c r="T1" t="s">
        <v>30</v>
      </c>
      <c r="U1" t="s">
        <v>31</v>
      </c>
      <c r="V1" t="s">
        <v>32</v>
      </c>
      <c r="X1" s="4" t="s">
        <v>24</v>
      </c>
      <c r="Y1" t="s">
        <v>33</v>
      </c>
    </row>
    <row r="2" spans="1:25" x14ac:dyDescent="0.25">
      <c r="A2" s="2">
        <v>42370</v>
      </c>
      <c r="B2" s="1" t="s">
        <v>6</v>
      </c>
      <c r="C2" t="s">
        <v>7</v>
      </c>
      <c r="D2" t="s">
        <v>8</v>
      </c>
      <c r="E2">
        <v>3</v>
      </c>
      <c r="F2">
        <v>80</v>
      </c>
      <c r="M2" s="5" t="s">
        <v>14</v>
      </c>
      <c r="N2" s="3">
        <v>66</v>
      </c>
      <c r="O2" s="3">
        <v>3118</v>
      </c>
      <c r="Q2" s="11">
        <v>42370</v>
      </c>
      <c r="R2" s="6" t="s">
        <v>6</v>
      </c>
      <c r="S2" s="6" t="s">
        <v>9</v>
      </c>
      <c r="T2" s="6" t="s">
        <v>8</v>
      </c>
      <c r="U2" s="6">
        <v>32</v>
      </c>
      <c r="V2" s="7">
        <v>50</v>
      </c>
      <c r="X2" s="5" t="s">
        <v>7</v>
      </c>
      <c r="Y2" s="3">
        <v>905</v>
      </c>
    </row>
    <row r="3" spans="1:25" x14ac:dyDescent="0.25">
      <c r="A3" s="2">
        <v>42370</v>
      </c>
      <c r="B3" s="1" t="s">
        <v>6</v>
      </c>
      <c r="C3" t="s">
        <v>9</v>
      </c>
      <c r="D3" t="s">
        <v>8</v>
      </c>
      <c r="E3">
        <v>32</v>
      </c>
      <c r="F3">
        <v>50</v>
      </c>
      <c r="I3" s="13" t="s">
        <v>34</v>
      </c>
      <c r="J3" s="13"/>
      <c r="M3" s="5" t="s">
        <v>8</v>
      </c>
      <c r="N3" s="3">
        <v>136</v>
      </c>
      <c r="O3" s="3">
        <v>3425</v>
      </c>
      <c r="Q3" s="12">
        <v>42393</v>
      </c>
      <c r="R3" s="8" t="s">
        <v>15</v>
      </c>
      <c r="S3" s="8" t="s">
        <v>9</v>
      </c>
      <c r="T3" s="8" t="s">
        <v>8</v>
      </c>
      <c r="U3" s="8">
        <v>44</v>
      </c>
      <c r="V3" s="9">
        <v>46</v>
      </c>
      <c r="X3" s="5" t="s">
        <v>9</v>
      </c>
      <c r="Y3" s="3">
        <v>784</v>
      </c>
    </row>
    <row r="4" spans="1:25" x14ac:dyDescent="0.25">
      <c r="A4" s="2">
        <v>42370</v>
      </c>
      <c r="B4" s="1" t="s">
        <v>6</v>
      </c>
      <c r="C4" t="s">
        <v>10</v>
      </c>
      <c r="D4" t="s">
        <v>8</v>
      </c>
      <c r="E4">
        <v>38</v>
      </c>
      <c r="F4">
        <v>10</v>
      </c>
      <c r="I4" s="14" t="s">
        <v>7</v>
      </c>
      <c r="J4" s="15">
        <v>905</v>
      </c>
      <c r="M4" s="5" t="s">
        <v>25</v>
      </c>
      <c r="N4" s="3">
        <v>202</v>
      </c>
      <c r="O4" s="3">
        <v>6543</v>
      </c>
      <c r="Q4" s="11">
        <v>42419</v>
      </c>
      <c r="R4" s="6" t="s">
        <v>16</v>
      </c>
      <c r="S4" s="6" t="s">
        <v>9</v>
      </c>
      <c r="T4" s="6" t="s">
        <v>8</v>
      </c>
      <c r="U4" s="6">
        <v>8</v>
      </c>
      <c r="V4" s="7">
        <v>37</v>
      </c>
      <c r="X4" s="5" t="s">
        <v>12</v>
      </c>
      <c r="Y4" s="3">
        <v>633</v>
      </c>
    </row>
    <row r="5" spans="1:25" x14ac:dyDescent="0.25">
      <c r="A5" s="2">
        <v>42370</v>
      </c>
      <c r="B5" s="1" t="s">
        <v>6</v>
      </c>
      <c r="C5" t="s">
        <v>11</v>
      </c>
      <c r="D5" t="s">
        <v>8</v>
      </c>
      <c r="E5">
        <v>33</v>
      </c>
      <c r="F5">
        <v>30</v>
      </c>
      <c r="Q5" s="12">
        <v>42464</v>
      </c>
      <c r="R5" s="8" t="s">
        <v>18</v>
      </c>
      <c r="S5" s="8" t="s">
        <v>9</v>
      </c>
      <c r="T5" s="8" t="s">
        <v>8</v>
      </c>
      <c r="U5" s="8">
        <v>33</v>
      </c>
      <c r="V5" s="9">
        <v>38</v>
      </c>
      <c r="X5" s="5" t="s">
        <v>10</v>
      </c>
      <c r="Y5" s="3">
        <v>620</v>
      </c>
    </row>
    <row r="6" spans="1:25" x14ac:dyDescent="0.25">
      <c r="A6" s="2">
        <v>42370</v>
      </c>
      <c r="B6" s="1" t="s">
        <v>6</v>
      </c>
      <c r="C6" t="s">
        <v>12</v>
      </c>
      <c r="D6" t="s">
        <v>8</v>
      </c>
      <c r="E6">
        <v>43</v>
      </c>
      <c r="F6">
        <v>25</v>
      </c>
      <c r="Q6" s="11">
        <v>42482</v>
      </c>
      <c r="R6" s="6" t="s">
        <v>19</v>
      </c>
      <c r="S6" s="6" t="s">
        <v>9</v>
      </c>
      <c r="T6" s="6" t="s">
        <v>8</v>
      </c>
      <c r="U6" s="6">
        <v>35</v>
      </c>
      <c r="V6" s="7">
        <v>41</v>
      </c>
      <c r="X6" s="5" t="s">
        <v>11</v>
      </c>
      <c r="Y6" s="3">
        <v>483</v>
      </c>
    </row>
    <row r="7" spans="1:25" x14ac:dyDescent="0.25">
      <c r="A7" s="2">
        <v>42385</v>
      </c>
      <c r="B7" s="1" t="s">
        <v>13</v>
      </c>
      <c r="C7" t="s">
        <v>9</v>
      </c>
      <c r="D7" t="s">
        <v>14</v>
      </c>
      <c r="E7">
        <v>32</v>
      </c>
      <c r="F7">
        <v>58</v>
      </c>
      <c r="Q7" s="12">
        <v>43407</v>
      </c>
      <c r="R7" s="8" t="s">
        <v>16</v>
      </c>
      <c r="S7" s="8" t="s">
        <v>9</v>
      </c>
      <c r="T7" s="8" t="s">
        <v>8</v>
      </c>
      <c r="U7" s="8">
        <v>48</v>
      </c>
      <c r="V7" s="9">
        <v>37</v>
      </c>
      <c r="X7" s="5" t="s">
        <v>25</v>
      </c>
      <c r="Y7" s="3">
        <v>3425</v>
      </c>
    </row>
    <row r="8" spans="1:25" x14ac:dyDescent="0.25">
      <c r="A8" s="2">
        <v>42385</v>
      </c>
      <c r="B8" s="1" t="s">
        <v>13</v>
      </c>
      <c r="C8" t="s">
        <v>11</v>
      </c>
      <c r="D8" t="s">
        <v>8</v>
      </c>
      <c r="E8">
        <v>14</v>
      </c>
      <c r="F8">
        <v>26</v>
      </c>
      <c r="Q8" s="11">
        <v>43381</v>
      </c>
      <c r="R8" s="6" t="s">
        <v>15</v>
      </c>
      <c r="S8" s="6" t="s">
        <v>9</v>
      </c>
      <c r="T8" s="6" t="s">
        <v>8</v>
      </c>
      <c r="U8" s="6">
        <v>20</v>
      </c>
      <c r="V8" s="7">
        <v>41</v>
      </c>
    </row>
    <row r="9" spans="1:25" x14ac:dyDescent="0.25">
      <c r="A9" s="2">
        <v>42393</v>
      </c>
      <c r="B9" s="1" t="s">
        <v>15</v>
      </c>
      <c r="C9" t="s">
        <v>9</v>
      </c>
      <c r="D9" t="s">
        <v>8</v>
      </c>
      <c r="E9">
        <v>44</v>
      </c>
      <c r="F9">
        <v>46</v>
      </c>
      <c r="Q9" s="12">
        <v>42542</v>
      </c>
      <c r="R9" s="8" t="s">
        <v>22</v>
      </c>
      <c r="S9" s="8" t="s">
        <v>9</v>
      </c>
      <c r="T9" s="8" t="s">
        <v>8</v>
      </c>
      <c r="U9" s="8">
        <v>42</v>
      </c>
      <c r="V9" s="9">
        <v>44</v>
      </c>
    </row>
    <row r="10" spans="1:25" x14ac:dyDescent="0.25">
      <c r="A10" s="2">
        <v>42393</v>
      </c>
      <c r="B10" s="1" t="s">
        <v>15</v>
      </c>
      <c r="C10" t="s">
        <v>11</v>
      </c>
      <c r="D10" t="s">
        <v>8</v>
      </c>
      <c r="E10">
        <v>1</v>
      </c>
      <c r="F10">
        <v>28</v>
      </c>
      <c r="Q10" s="11">
        <v>42559</v>
      </c>
      <c r="R10" s="6" t="s">
        <v>6</v>
      </c>
      <c r="S10" s="6" t="s">
        <v>9</v>
      </c>
      <c r="T10" s="6" t="s">
        <v>8</v>
      </c>
      <c r="U10" s="6">
        <v>35</v>
      </c>
      <c r="V10" s="7">
        <v>42</v>
      </c>
    </row>
    <row r="11" spans="1:25" x14ac:dyDescent="0.25">
      <c r="A11" s="2">
        <v>42393</v>
      </c>
      <c r="B11" s="1" t="s">
        <v>15</v>
      </c>
      <c r="C11" t="s">
        <v>7</v>
      </c>
      <c r="D11" t="s">
        <v>8</v>
      </c>
      <c r="E11">
        <v>21</v>
      </c>
      <c r="F11">
        <v>74</v>
      </c>
      <c r="Q11" s="12">
        <v>42574</v>
      </c>
      <c r="R11" s="8" t="s">
        <v>13</v>
      </c>
      <c r="S11" s="8" t="s">
        <v>9</v>
      </c>
      <c r="T11" s="8" t="s">
        <v>8</v>
      </c>
      <c r="U11" s="8">
        <v>48</v>
      </c>
      <c r="V11" s="9">
        <v>43</v>
      </c>
    </row>
    <row r="12" spans="1:25" x14ac:dyDescent="0.25">
      <c r="A12" s="2">
        <v>42419</v>
      </c>
      <c r="B12" s="1" t="s">
        <v>16</v>
      </c>
      <c r="C12" t="s">
        <v>12</v>
      </c>
      <c r="D12" t="s">
        <v>14</v>
      </c>
      <c r="E12">
        <v>43</v>
      </c>
      <c r="F12">
        <v>32</v>
      </c>
      <c r="Q12" s="11">
        <v>42640</v>
      </c>
      <c r="R12" s="6" t="s">
        <v>17</v>
      </c>
      <c r="S12" s="6" t="s">
        <v>9</v>
      </c>
      <c r="T12" s="6" t="s">
        <v>8</v>
      </c>
      <c r="U12" s="6">
        <v>44</v>
      </c>
      <c r="V12" s="7">
        <v>40</v>
      </c>
    </row>
    <row r="13" spans="1:25" x14ac:dyDescent="0.25">
      <c r="A13" s="2">
        <v>42419</v>
      </c>
      <c r="B13" s="1" t="s">
        <v>16</v>
      </c>
      <c r="C13" t="s">
        <v>10</v>
      </c>
      <c r="D13" t="s">
        <v>14</v>
      </c>
      <c r="E13">
        <v>38</v>
      </c>
      <c r="F13">
        <v>13</v>
      </c>
      <c r="Q13" s="12">
        <v>43330</v>
      </c>
      <c r="R13" s="8" t="s">
        <v>22</v>
      </c>
      <c r="S13" s="8" t="s">
        <v>9</v>
      </c>
      <c r="T13" s="8" t="s">
        <v>8</v>
      </c>
      <c r="U13" s="8">
        <v>22</v>
      </c>
      <c r="V13" s="9">
        <v>44</v>
      </c>
    </row>
    <row r="14" spans="1:25" x14ac:dyDescent="0.25">
      <c r="A14" s="2">
        <v>42419</v>
      </c>
      <c r="B14" s="1" t="s">
        <v>16</v>
      </c>
      <c r="C14" t="s">
        <v>7</v>
      </c>
      <c r="D14" t="s">
        <v>8</v>
      </c>
      <c r="E14">
        <v>9</v>
      </c>
      <c r="F14">
        <v>59</v>
      </c>
      <c r="Q14" s="11">
        <v>42682</v>
      </c>
      <c r="R14" s="6" t="s">
        <v>19</v>
      </c>
      <c r="S14" s="6" t="s">
        <v>9</v>
      </c>
      <c r="T14" s="6" t="s">
        <v>8</v>
      </c>
      <c r="U14" s="6">
        <v>30</v>
      </c>
      <c r="V14" s="7">
        <v>41</v>
      </c>
    </row>
    <row r="15" spans="1:25" x14ac:dyDescent="0.25">
      <c r="A15" s="2">
        <v>42419</v>
      </c>
      <c r="B15" s="1" t="s">
        <v>16</v>
      </c>
      <c r="C15" t="s">
        <v>9</v>
      </c>
      <c r="D15" t="s">
        <v>8</v>
      </c>
      <c r="E15">
        <v>8</v>
      </c>
      <c r="F15">
        <v>37</v>
      </c>
      <c r="Q15" s="12">
        <v>42742</v>
      </c>
      <c r="R15" s="8" t="s">
        <v>22</v>
      </c>
      <c r="S15" s="8" t="s">
        <v>9</v>
      </c>
      <c r="T15" s="8" t="s">
        <v>8</v>
      </c>
      <c r="U15" s="8">
        <v>39</v>
      </c>
      <c r="V15" s="9">
        <v>44</v>
      </c>
    </row>
    <row r="16" spans="1:25" x14ac:dyDescent="0.25">
      <c r="A16" s="2">
        <v>42440</v>
      </c>
      <c r="B16" s="1" t="s">
        <v>17</v>
      </c>
      <c r="C16" t="s">
        <v>9</v>
      </c>
      <c r="D16" t="s">
        <v>14</v>
      </c>
      <c r="E16">
        <v>50</v>
      </c>
      <c r="F16">
        <v>61</v>
      </c>
      <c r="Q16" s="11">
        <v>43292</v>
      </c>
      <c r="R16" s="6" t="s">
        <v>20</v>
      </c>
      <c r="S16" s="6" t="s">
        <v>9</v>
      </c>
      <c r="T16" s="6" t="s">
        <v>8</v>
      </c>
      <c r="U16" s="6">
        <v>25</v>
      </c>
      <c r="V16" s="7">
        <v>39</v>
      </c>
    </row>
    <row r="17" spans="1:22" x14ac:dyDescent="0.25">
      <c r="A17" s="2">
        <v>42440</v>
      </c>
      <c r="B17" s="1" t="s">
        <v>17</v>
      </c>
      <c r="C17" t="s">
        <v>12</v>
      </c>
      <c r="D17" t="s">
        <v>8</v>
      </c>
      <c r="E17">
        <v>32</v>
      </c>
      <c r="F17">
        <v>20</v>
      </c>
      <c r="Q17" s="12">
        <v>43270</v>
      </c>
      <c r="R17" s="8" t="s">
        <v>19</v>
      </c>
      <c r="S17" s="8" t="s">
        <v>9</v>
      </c>
      <c r="T17" s="8" t="s">
        <v>8</v>
      </c>
      <c r="U17" s="8">
        <v>47</v>
      </c>
      <c r="V17" s="9">
        <v>41</v>
      </c>
    </row>
    <row r="18" spans="1:22" x14ac:dyDescent="0.25">
      <c r="A18" s="2">
        <v>42440</v>
      </c>
      <c r="B18" s="1" t="s">
        <v>17</v>
      </c>
      <c r="C18" t="s">
        <v>10</v>
      </c>
      <c r="D18" t="s">
        <v>8</v>
      </c>
      <c r="E18">
        <v>7</v>
      </c>
      <c r="F18">
        <v>8</v>
      </c>
      <c r="Q18" s="11">
        <v>42819</v>
      </c>
      <c r="R18" s="6" t="s">
        <v>16</v>
      </c>
      <c r="S18" s="6" t="s">
        <v>9</v>
      </c>
      <c r="T18" s="6" t="s">
        <v>8</v>
      </c>
      <c r="U18" s="6">
        <v>35</v>
      </c>
      <c r="V18" s="7">
        <v>37</v>
      </c>
    </row>
    <row r="19" spans="1:22" x14ac:dyDescent="0.25">
      <c r="A19" s="2">
        <v>42440</v>
      </c>
      <c r="B19" s="1" t="s">
        <v>17</v>
      </c>
      <c r="C19" t="s">
        <v>11</v>
      </c>
      <c r="D19" t="s">
        <v>8</v>
      </c>
      <c r="E19">
        <v>10</v>
      </c>
      <c r="F19">
        <v>24</v>
      </c>
      <c r="Q19" s="12">
        <v>43252</v>
      </c>
      <c r="R19" s="8" t="s">
        <v>18</v>
      </c>
      <c r="S19" s="8" t="s">
        <v>9</v>
      </c>
      <c r="T19" s="8" t="s">
        <v>8</v>
      </c>
      <c r="U19" s="8">
        <v>48</v>
      </c>
      <c r="V19" s="9">
        <v>38</v>
      </c>
    </row>
    <row r="20" spans="1:22" x14ac:dyDescent="0.25">
      <c r="A20" s="2">
        <v>42464</v>
      </c>
      <c r="B20" s="1" t="s">
        <v>18</v>
      </c>
      <c r="C20" t="s">
        <v>10</v>
      </c>
      <c r="D20" t="s">
        <v>14</v>
      </c>
      <c r="E20">
        <v>7</v>
      </c>
      <c r="F20">
        <v>12</v>
      </c>
      <c r="Q20" s="11">
        <v>42840</v>
      </c>
      <c r="R20" s="6" t="s">
        <v>17</v>
      </c>
      <c r="S20" s="6" t="s">
        <v>9</v>
      </c>
      <c r="T20" s="6" t="s">
        <v>8</v>
      </c>
      <c r="U20" s="6">
        <v>1</v>
      </c>
      <c r="V20" s="7">
        <v>40</v>
      </c>
    </row>
    <row r="21" spans="1:22" x14ac:dyDescent="0.25">
      <c r="A21" s="2">
        <v>42464</v>
      </c>
      <c r="B21" s="1" t="s">
        <v>18</v>
      </c>
      <c r="C21" t="s">
        <v>12</v>
      </c>
      <c r="D21" t="s">
        <v>8</v>
      </c>
      <c r="E21">
        <v>25</v>
      </c>
      <c r="F21">
        <v>19</v>
      </c>
      <c r="Q21" s="12">
        <v>42864</v>
      </c>
      <c r="R21" s="8" t="s">
        <v>18</v>
      </c>
      <c r="S21" s="8" t="s">
        <v>9</v>
      </c>
      <c r="T21" s="8" t="s">
        <v>8</v>
      </c>
      <c r="U21" s="8">
        <v>33</v>
      </c>
      <c r="V21" s="9">
        <v>38</v>
      </c>
    </row>
    <row r="22" spans="1:22" x14ac:dyDescent="0.25">
      <c r="A22" s="2">
        <v>42464</v>
      </c>
      <c r="B22" s="1" t="s">
        <v>18</v>
      </c>
      <c r="C22" t="s">
        <v>9</v>
      </c>
      <c r="D22" t="s">
        <v>8</v>
      </c>
      <c r="E22">
        <v>33</v>
      </c>
      <c r="F22">
        <v>38</v>
      </c>
      <c r="Q22" s="11">
        <v>42904</v>
      </c>
      <c r="R22" s="6" t="s">
        <v>20</v>
      </c>
      <c r="S22" s="6" t="s">
        <v>9</v>
      </c>
      <c r="T22" s="6" t="s">
        <v>8</v>
      </c>
      <c r="U22" s="6">
        <v>8</v>
      </c>
      <c r="V22" s="7">
        <v>39</v>
      </c>
    </row>
    <row r="23" spans="1:22" x14ac:dyDescent="0.25">
      <c r="A23" s="2">
        <v>42482</v>
      </c>
      <c r="B23" s="1" t="s">
        <v>19</v>
      </c>
      <c r="C23" t="s">
        <v>11</v>
      </c>
      <c r="D23" t="s">
        <v>14</v>
      </c>
      <c r="E23">
        <v>36</v>
      </c>
      <c r="F23">
        <v>35</v>
      </c>
      <c r="Q23" s="12">
        <v>43207</v>
      </c>
      <c r="R23" s="8" t="s">
        <v>16</v>
      </c>
      <c r="S23" s="8" t="s">
        <v>9</v>
      </c>
      <c r="T23" s="8" t="s">
        <v>8</v>
      </c>
      <c r="U23" s="8">
        <v>5</v>
      </c>
      <c r="V23" s="9">
        <v>37</v>
      </c>
    </row>
    <row r="24" spans="1:22" x14ac:dyDescent="0.25">
      <c r="A24" s="2">
        <v>42482</v>
      </c>
      <c r="B24" s="1" t="s">
        <v>19</v>
      </c>
      <c r="C24" t="s">
        <v>7</v>
      </c>
      <c r="D24" t="s">
        <v>8</v>
      </c>
      <c r="E24">
        <v>5</v>
      </c>
      <c r="F24">
        <v>66</v>
      </c>
      <c r="Q24" s="11">
        <v>42942</v>
      </c>
      <c r="R24" s="6" t="s">
        <v>22</v>
      </c>
      <c r="S24" s="6" t="s">
        <v>9</v>
      </c>
      <c r="T24" s="6" t="s">
        <v>8</v>
      </c>
      <c r="U24" s="6">
        <v>42</v>
      </c>
      <c r="V24" s="7">
        <v>44</v>
      </c>
    </row>
    <row r="25" spans="1:22" x14ac:dyDescent="0.25">
      <c r="A25" s="2">
        <v>42482</v>
      </c>
      <c r="B25" s="1" t="s">
        <v>19</v>
      </c>
      <c r="C25" t="s">
        <v>9</v>
      </c>
      <c r="D25" t="s">
        <v>8</v>
      </c>
      <c r="E25">
        <v>35</v>
      </c>
      <c r="F25">
        <v>41</v>
      </c>
      <c r="Q25" s="12">
        <v>42974</v>
      </c>
      <c r="R25" s="8" t="s">
        <v>13</v>
      </c>
      <c r="S25" s="8" t="s">
        <v>9</v>
      </c>
      <c r="T25" s="8" t="s">
        <v>8</v>
      </c>
      <c r="U25" s="8">
        <v>4</v>
      </c>
      <c r="V25" s="9">
        <v>43</v>
      </c>
    </row>
    <row r="26" spans="1:22" x14ac:dyDescent="0.25">
      <c r="A26" s="2">
        <v>42504</v>
      </c>
      <c r="B26" s="1" t="s">
        <v>20</v>
      </c>
      <c r="C26" t="s">
        <v>7</v>
      </c>
      <c r="D26" t="s">
        <v>14</v>
      </c>
      <c r="E26">
        <v>38</v>
      </c>
      <c r="F26">
        <v>98</v>
      </c>
      <c r="Q26" s="11">
        <v>43147</v>
      </c>
      <c r="R26" s="6" t="s">
        <v>6</v>
      </c>
      <c r="S26" s="6" t="s">
        <v>9</v>
      </c>
      <c r="T26" s="6" t="s">
        <v>8</v>
      </c>
      <c r="U26" s="6">
        <v>34</v>
      </c>
      <c r="V26" s="7">
        <v>42</v>
      </c>
    </row>
    <row r="27" spans="1:22" x14ac:dyDescent="0.25">
      <c r="A27" s="2">
        <v>42504</v>
      </c>
      <c r="B27" s="1" t="s">
        <v>20</v>
      </c>
      <c r="C27" t="s">
        <v>11</v>
      </c>
      <c r="D27" t="s">
        <v>8</v>
      </c>
      <c r="E27">
        <v>10</v>
      </c>
      <c r="F27">
        <v>23</v>
      </c>
      <c r="Q27" s="12">
        <v>43064</v>
      </c>
      <c r="R27" s="8" t="s">
        <v>18</v>
      </c>
      <c r="S27" s="8" t="s">
        <v>9</v>
      </c>
      <c r="T27" s="8" t="s">
        <v>8</v>
      </c>
      <c r="U27" s="8">
        <v>12</v>
      </c>
      <c r="V27" s="9">
        <v>38</v>
      </c>
    </row>
    <row r="28" spans="1:22" x14ac:dyDescent="0.25">
      <c r="A28" s="2">
        <v>42529</v>
      </c>
      <c r="B28" s="1" t="s">
        <v>21</v>
      </c>
      <c r="C28" t="s">
        <v>11</v>
      </c>
      <c r="D28" t="s">
        <v>14</v>
      </c>
      <c r="E28">
        <v>4</v>
      </c>
      <c r="F28">
        <v>38</v>
      </c>
      <c r="Q28" s="11">
        <v>43104</v>
      </c>
      <c r="R28" s="6" t="s">
        <v>20</v>
      </c>
      <c r="S28" s="6" t="s">
        <v>9</v>
      </c>
      <c r="T28" s="6" t="s">
        <v>8</v>
      </c>
      <c r="U28" s="6">
        <v>10</v>
      </c>
      <c r="V28" s="7">
        <v>39</v>
      </c>
    </row>
    <row r="29" spans="1:22" x14ac:dyDescent="0.25">
      <c r="A29" s="2">
        <v>42529</v>
      </c>
      <c r="B29" s="1" t="s">
        <v>21</v>
      </c>
      <c r="C29" t="s">
        <v>7</v>
      </c>
      <c r="D29" t="s">
        <v>8</v>
      </c>
      <c r="E29">
        <v>42</v>
      </c>
      <c r="F29">
        <v>60</v>
      </c>
      <c r="Q29" s="12">
        <v>42370</v>
      </c>
      <c r="R29" s="8" t="s">
        <v>6</v>
      </c>
      <c r="S29" s="8" t="s">
        <v>7</v>
      </c>
      <c r="T29" s="8" t="s">
        <v>8</v>
      </c>
      <c r="U29" s="8">
        <v>3</v>
      </c>
      <c r="V29" s="9">
        <v>80</v>
      </c>
    </row>
    <row r="30" spans="1:22" x14ac:dyDescent="0.25">
      <c r="A30" s="2">
        <v>42529</v>
      </c>
      <c r="B30" s="1" t="s">
        <v>21</v>
      </c>
      <c r="C30" t="s">
        <v>10</v>
      </c>
      <c r="D30" t="s">
        <v>8</v>
      </c>
      <c r="E30">
        <v>28</v>
      </c>
      <c r="F30">
        <v>8</v>
      </c>
      <c r="Q30" s="11">
        <v>42393</v>
      </c>
      <c r="R30" s="6" t="s">
        <v>15</v>
      </c>
      <c r="S30" s="6" t="s">
        <v>7</v>
      </c>
      <c r="T30" s="6" t="s">
        <v>8</v>
      </c>
      <c r="U30" s="6">
        <v>21</v>
      </c>
      <c r="V30" s="7">
        <v>74</v>
      </c>
    </row>
    <row r="31" spans="1:22" x14ac:dyDescent="0.25">
      <c r="A31" s="2">
        <v>42529</v>
      </c>
      <c r="B31" s="1" t="s">
        <v>21</v>
      </c>
      <c r="C31" t="s">
        <v>12</v>
      </c>
      <c r="D31" t="s">
        <v>8</v>
      </c>
      <c r="E31">
        <v>19</v>
      </c>
      <c r="F31">
        <v>19</v>
      </c>
      <c r="Q31" s="12">
        <v>43452</v>
      </c>
      <c r="R31" s="8" t="s">
        <v>18</v>
      </c>
      <c r="S31" s="8" t="s">
        <v>7</v>
      </c>
      <c r="T31" s="8" t="s">
        <v>8</v>
      </c>
      <c r="U31" s="8">
        <v>23</v>
      </c>
      <c r="V31" s="9">
        <v>61</v>
      </c>
    </row>
    <row r="32" spans="1:22" x14ac:dyDescent="0.25">
      <c r="A32" s="2">
        <v>42542</v>
      </c>
      <c r="B32" s="1" t="s">
        <v>22</v>
      </c>
      <c r="C32" t="s">
        <v>12</v>
      </c>
      <c r="D32" t="s">
        <v>14</v>
      </c>
      <c r="E32">
        <v>72</v>
      </c>
      <c r="F32">
        <v>28</v>
      </c>
      <c r="Q32" s="11">
        <v>42419</v>
      </c>
      <c r="R32" s="6" t="s">
        <v>16</v>
      </c>
      <c r="S32" s="6" t="s">
        <v>7</v>
      </c>
      <c r="T32" s="6" t="s">
        <v>8</v>
      </c>
      <c r="U32" s="6">
        <v>9</v>
      </c>
      <c r="V32" s="7">
        <v>59</v>
      </c>
    </row>
    <row r="33" spans="1:22" x14ac:dyDescent="0.25">
      <c r="A33" s="2">
        <v>42542</v>
      </c>
      <c r="B33" s="1" t="s">
        <v>22</v>
      </c>
      <c r="C33" t="s">
        <v>7</v>
      </c>
      <c r="D33" t="s">
        <v>14</v>
      </c>
      <c r="E33">
        <v>42</v>
      </c>
      <c r="F33">
        <v>90</v>
      </c>
      <c r="Q33" s="12">
        <v>43428</v>
      </c>
      <c r="R33" s="8" t="s">
        <v>17</v>
      </c>
      <c r="S33" s="8" t="s">
        <v>7</v>
      </c>
      <c r="T33" s="8" t="s">
        <v>8</v>
      </c>
      <c r="U33" s="8">
        <v>43</v>
      </c>
      <c r="V33" s="9">
        <v>63</v>
      </c>
    </row>
    <row r="34" spans="1:22" x14ac:dyDescent="0.25">
      <c r="A34" s="2">
        <v>42542</v>
      </c>
      <c r="B34" s="1" t="s">
        <v>22</v>
      </c>
      <c r="C34" t="s">
        <v>9</v>
      </c>
      <c r="D34" t="s">
        <v>8</v>
      </c>
      <c r="E34">
        <v>42</v>
      </c>
      <c r="F34">
        <v>44</v>
      </c>
      <c r="Q34" s="11">
        <v>42482</v>
      </c>
      <c r="R34" s="6" t="s">
        <v>19</v>
      </c>
      <c r="S34" s="6" t="s">
        <v>7</v>
      </c>
      <c r="T34" s="6" t="s">
        <v>8</v>
      </c>
      <c r="U34" s="6">
        <v>5</v>
      </c>
      <c r="V34" s="7">
        <v>66</v>
      </c>
    </row>
    <row r="35" spans="1:22" x14ac:dyDescent="0.25">
      <c r="A35" s="2">
        <v>42542</v>
      </c>
      <c r="B35" s="1" t="s">
        <v>22</v>
      </c>
      <c r="C35" t="s">
        <v>11</v>
      </c>
      <c r="D35" t="s">
        <v>8</v>
      </c>
      <c r="E35">
        <v>33</v>
      </c>
      <c r="F35">
        <v>26</v>
      </c>
      <c r="Q35" s="12">
        <v>42529</v>
      </c>
      <c r="R35" s="8" t="s">
        <v>21</v>
      </c>
      <c r="S35" s="8" t="s">
        <v>7</v>
      </c>
      <c r="T35" s="8" t="s">
        <v>8</v>
      </c>
      <c r="U35" s="8">
        <v>42</v>
      </c>
      <c r="V35" s="9">
        <v>60</v>
      </c>
    </row>
    <row r="36" spans="1:22" x14ac:dyDescent="0.25">
      <c r="A36" s="2">
        <v>42542</v>
      </c>
      <c r="B36" s="1" t="s">
        <v>22</v>
      </c>
      <c r="C36" t="s">
        <v>10</v>
      </c>
      <c r="D36" t="s">
        <v>8</v>
      </c>
      <c r="E36">
        <v>9</v>
      </c>
      <c r="F36">
        <v>9</v>
      </c>
      <c r="Q36" s="11">
        <v>43362</v>
      </c>
      <c r="R36" s="6" t="s">
        <v>13</v>
      </c>
      <c r="S36" s="6" t="s">
        <v>7</v>
      </c>
      <c r="T36" s="6" t="s">
        <v>8</v>
      </c>
      <c r="U36" s="6">
        <v>6</v>
      </c>
      <c r="V36" s="7">
        <v>68</v>
      </c>
    </row>
    <row r="37" spans="1:22" x14ac:dyDescent="0.25">
      <c r="A37" s="2">
        <v>42559</v>
      </c>
      <c r="B37" s="1" t="s">
        <v>6</v>
      </c>
      <c r="C37" t="s">
        <v>12</v>
      </c>
      <c r="D37" t="s">
        <v>14</v>
      </c>
      <c r="E37">
        <v>4</v>
      </c>
      <c r="F37">
        <v>29</v>
      </c>
      <c r="Q37" s="12">
        <v>42559</v>
      </c>
      <c r="R37" s="8" t="s">
        <v>6</v>
      </c>
      <c r="S37" s="8" t="s">
        <v>7</v>
      </c>
      <c r="T37" s="8" t="s">
        <v>8</v>
      </c>
      <c r="U37" s="8">
        <v>32</v>
      </c>
      <c r="V37" s="9">
        <v>66</v>
      </c>
    </row>
    <row r="38" spans="1:22" x14ac:dyDescent="0.25">
      <c r="A38" s="2">
        <v>42559</v>
      </c>
      <c r="B38" s="1" t="s">
        <v>6</v>
      </c>
      <c r="C38" t="s">
        <v>10</v>
      </c>
      <c r="D38" t="s">
        <v>14</v>
      </c>
      <c r="E38">
        <v>37</v>
      </c>
      <c r="F38">
        <v>12</v>
      </c>
      <c r="Q38" s="11">
        <v>42593</v>
      </c>
      <c r="R38" s="6" t="s">
        <v>15</v>
      </c>
      <c r="S38" s="6" t="s">
        <v>7</v>
      </c>
      <c r="T38" s="6" t="s">
        <v>8</v>
      </c>
      <c r="U38" s="6">
        <v>36</v>
      </c>
      <c r="V38" s="7">
        <v>65</v>
      </c>
    </row>
    <row r="39" spans="1:22" x14ac:dyDescent="0.25">
      <c r="A39" s="2">
        <v>42559</v>
      </c>
      <c r="B39" s="1" t="s">
        <v>6</v>
      </c>
      <c r="C39" t="s">
        <v>9</v>
      </c>
      <c r="D39" t="s">
        <v>8</v>
      </c>
      <c r="E39">
        <v>35</v>
      </c>
      <c r="F39">
        <v>42</v>
      </c>
      <c r="Q39" s="12">
        <v>42619</v>
      </c>
      <c r="R39" s="8" t="s">
        <v>16</v>
      </c>
      <c r="S39" s="8" t="s">
        <v>7</v>
      </c>
      <c r="T39" s="8" t="s">
        <v>8</v>
      </c>
      <c r="U39" s="8">
        <v>41</v>
      </c>
      <c r="V39" s="9">
        <v>59</v>
      </c>
    </row>
    <row r="40" spans="1:22" x14ac:dyDescent="0.25">
      <c r="A40" s="2">
        <v>42559</v>
      </c>
      <c r="B40" s="1" t="s">
        <v>6</v>
      </c>
      <c r="C40" t="s">
        <v>7</v>
      </c>
      <c r="D40" t="s">
        <v>8</v>
      </c>
      <c r="E40">
        <v>32</v>
      </c>
      <c r="F40">
        <v>66</v>
      </c>
      <c r="Q40" s="11">
        <v>42640</v>
      </c>
      <c r="R40" s="6" t="s">
        <v>17</v>
      </c>
      <c r="S40" s="6" t="s">
        <v>7</v>
      </c>
      <c r="T40" s="6" t="s">
        <v>8</v>
      </c>
      <c r="U40" s="6">
        <v>3</v>
      </c>
      <c r="V40" s="7">
        <v>63</v>
      </c>
    </row>
    <row r="41" spans="1:22" x14ac:dyDescent="0.25">
      <c r="A41" s="2">
        <v>42574</v>
      </c>
      <c r="B41" s="1" t="s">
        <v>13</v>
      </c>
      <c r="C41" t="s">
        <v>7</v>
      </c>
      <c r="D41" t="s">
        <v>14</v>
      </c>
      <c r="E41">
        <v>32</v>
      </c>
      <c r="F41">
        <v>92</v>
      </c>
      <c r="Q41" s="12">
        <v>42682</v>
      </c>
      <c r="R41" s="8" t="s">
        <v>19</v>
      </c>
      <c r="S41" s="8" t="s">
        <v>7</v>
      </c>
      <c r="T41" s="8" t="s">
        <v>8</v>
      </c>
      <c r="U41" s="8">
        <v>17</v>
      </c>
      <c r="V41" s="9">
        <v>66</v>
      </c>
    </row>
    <row r="42" spans="1:22" x14ac:dyDescent="0.25">
      <c r="A42" s="2">
        <v>42574</v>
      </c>
      <c r="B42" s="1" t="s">
        <v>13</v>
      </c>
      <c r="C42" t="s">
        <v>9</v>
      </c>
      <c r="D42" t="s">
        <v>8</v>
      </c>
      <c r="E42">
        <v>48</v>
      </c>
      <c r="F42">
        <v>43</v>
      </c>
      <c r="Q42" s="11">
        <v>42729</v>
      </c>
      <c r="R42" s="6" t="s">
        <v>21</v>
      </c>
      <c r="S42" s="6" t="s">
        <v>7</v>
      </c>
      <c r="T42" s="6" t="s">
        <v>8</v>
      </c>
      <c r="U42" s="6">
        <v>33</v>
      </c>
      <c r="V42" s="7">
        <v>60</v>
      </c>
    </row>
    <row r="43" spans="1:22" x14ac:dyDescent="0.25">
      <c r="A43" s="2">
        <v>42593</v>
      </c>
      <c r="B43" s="1" t="s">
        <v>15</v>
      </c>
      <c r="C43" t="s">
        <v>9</v>
      </c>
      <c r="D43" t="s">
        <v>14</v>
      </c>
      <c r="E43">
        <v>191</v>
      </c>
      <c r="F43">
        <v>60</v>
      </c>
      <c r="Q43" s="12">
        <v>42742</v>
      </c>
      <c r="R43" s="8" t="s">
        <v>22</v>
      </c>
      <c r="S43" s="8" t="s">
        <v>7</v>
      </c>
      <c r="T43" s="8" t="s">
        <v>8</v>
      </c>
      <c r="U43" s="8">
        <v>9</v>
      </c>
      <c r="V43" s="9">
        <v>70</v>
      </c>
    </row>
    <row r="44" spans="1:22" x14ac:dyDescent="0.25">
      <c r="A44" s="2">
        <v>42593</v>
      </c>
      <c r="B44" s="1" t="s">
        <v>15</v>
      </c>
      <c r="C44" t="s">
        <v>11</v>
      </c>
      <c r="D44" t="s">
        <v>8</v>
      </c>
      <c r="E44">
        <v>9</v>
      </c>
      <c r="F44">
        <v>24</v>
      </c>
      <c r="Q44" s="11">
        <v>42759</v>
      </c>
      <c r="R44" s="6" t="s">
        <v>6</v>
      </c>
      <c r="S44" s="6" t="s">
        <v>7</v>
      </c>
      <c r="T44" s="6" t="s">
        <v>8</v>
      </c>
      <c r="U44" s="6">
        <v>34</v>
      </c>
      <c r="V44" s="7">
        <v>66</v>
      </c>
    </row>
    <row r="45" spans="1:22" x14ac:dyDescent="0.25">
      <c r="A45" s="2">
        <v>42593</v>
      </c>
      <c r="B45" s="1" t="s">
        <v>15</v>
      </c>
      <c r="C45" t="s">
        <v>7</v>
      </c>
      <c r="D45" t="s">
        <v>8</v>
      </c>
      <c r="E45">
        <v>36</v>
      </c>
      <c r="F45">
        <v>65</v>
      </c>
      <c r="Q45" s="12">
        <v>43292</v>
      </c>
      <c r="R45" s="8" t="s">
        <v>20</v>
      </c>
      <c r="S45" s="8" t="s">
        <v>7</v>
      </c>
      <c r="T45" s="8" t="s">
        <v>8</v>
      </c>
      <c r="U45" s="8">
        <v>18</v>
      </c>
      <c r="V45" s="9">
        <v>62</v>
      </c>
    </row>
    <row r="46" spans="1:22" x14ac:dyDescent="0.25">
      <c r="A46" s="2">
        <v>42619</v>
      </c>
      <c r="B46" s="1" t="s">
        <v>16</v>
      </c>
      <c r="C46" t="s">
        <v>10</v>
      </c>
      <c r="D46" t="s">
        <v>8</v>
      </c>
      <c r="E46">
        <v>47</v>
      </c>
      <c r="F46">
        <v>7</v>
      </c>
      <c r="Q46" s="11">
        <v>43270</v>
      </c>
      <c r="R46" s="6" t="s">
        <v>19</v>
      </c>
      <c r="S46" s="6" t="s">
        <v>7</v>
      </c>
      <c r="T46" s="6" t="s">
        <v>8</v>
      </c>
      <c r="U46" s="6">
        <v>47</v>
      </c>
      <c r="V46" s="7">
        <v>66</v>
      </c>
    </row>
    <row r="47" spans="1:22" x14ac:dyDescent="0.25">
      <c r="A47" s="2">
        <v>42619</v>
      </c>
      <c r="B47" s="1" t="s">
        <v>16</v>
      </c>
      <c r="C47" t="s">
        <v>9</v>
      </c>
      <c r="D47" t="s">
        <v>14</v>
      </c>
      <c r="E47">
        <v>4</v>
      </c>
      <c r="F47">
        <v>63</v>
      </c>
      <c r="Q47" s="12">
        <v>42864</v>
      </c>
      <c r="R47" s="8" t="s">
        <v>18</v>
      </c>
      <c r="S47" s="8" t="s">
        <v>7</v>
      </c>
      <c r="T47" s="8" t="s">
        <v>8</v>
      </c>
      <c r="U47" s="8">
        <v>37</v>
      </c>
      <c r="V47" s="9">
        <v>61</v>
      </c>
    </row>
    <row r="48" spans="1:22" x14ac:dyDescent="0.25">
      <c r="A48" s="2">
        <v>42619</v>
      </c>
      <c r="B48" s="1" t="s">
        <v>16</v>
      </c>
      <c r="C48" t="s">
        <v>12</v>
      </c>
      <c r="D48" t="s">
        <v>8</v>
      </c>
      <c r="E48">
        <v>8</v>
      </c>
      <c r="F48">
        <v>19</v>
      </c>
      <c r="Q48" s="11">
        <v>43207</v>
      </c>
      <c r="R48" s="6" t="s">
        <v>16</v>
      </c>
      <c r="S48" s="6" t="s">
        <v>7</v>
      </c>
      <c r="T48" s="6" t="s">
        <v>8</v>
      </c>
      <c r="U48" s="6">
        <v>29</v>
      </c>
      <c r="V48" s="7">
        <v>59</v>
      </c>
    </row>
    <row r="49" spans="1:22" x14ac:dyDescent="0.25">
      <c r="A49" s="2">
        <v>42619</v>
      </c>
      <c r="B49" s="1" t="s">
        <v>16</v>
      </c>
      <c r="C49" t="s">
        <v>11</v>
      </c>
      <c r="D49" t="s">
        <v>8</v>
      </c>
      <c r="E49">
        <v>3</v>
      </c>
      <c r="F49">
        <v>22</v>
      </c>
      <c r="Q49" s="12">
        <v>42882</v>
      </c>
      <c r="R49" s="8" t="s">
        <v>19</v>
      </c>
      <c r="S49" s="8" t="s">
        <v>7</v>
      </c>
      <c r="T49" s="8" t="s">
        <v>8</v>
      </c>
      <c r="U49" s="8">
        <v>35</v>
      </c>
      <c r="V49" s="9">
        <v>66</v>
      </c>
    </row>
    <row r="50" spans="1:22" x14ac:dyDescent="0.25">
      <c r="A50" s="2">
        <v>42619</v>
      </c>
      <c r="B50" s="1" t="s">
        <v>16</v>
      </c>
      <c r="C50" t="s">
        <v>7</v>
      </c>
      <c r="D50" t="s">
        <v>8</v>
      </c>
      <c r="E50">
        <v>41</v>
      </c>
      <c r="F50">
        <v>59</v>
      </c>
      <c r="Q50" s="11">
        <v>42904</v>
      </c>
      <c r="R50" s="6" t="s">
        <v>20</v>
      </c>
      <c r="S50" s="6" t="s">
        <v>7</v>
      </c>
      <c r="T50" s="6" t="s">
        <v>8</v>
      </c>
      <c r="U50" s="6">
        <v>45</v>
      </c>
      <c r="V50" s="7">
        <v>62</v>
      </c>
    </row>
    <row r="51" spans="1:22" x14ac:dyDescent="0.25">
      <c r="A51" s="2">
        <v>42640</v>
      </c>
      <c r="B51" s="1" t="s">
        <v>17</v>
      </c>
      <c r="C51" t="s">
        <v>9</v>
      </c>
      <c r="D51" t="s">
        <v>8</v>
      </c>
      <c r="E51">
        <v>44</v>
      </c>
      <c r="F51">
        <v>40</v>
      </c>
      <c r="Q51" s="12">
        <v>43181</v>
      </c>
      <c r="R51" s="8" t="s">
        <v>15</v>
      </c>
      <c r="S51" s="8" t="s">
        <v>7</v>
      </c>
      <c r="T51" s="8" t="s">
        <v>8</v>
      </c>
      <c r="U51" s="8">
        <v>49</v>
      </c>
      <c r="V51" s="9">
        <v>65</v>
      </c>
    </row>
    <row r="52" spans="1:22" x14ac:dyDescent="0.25">
      <c r="A52" s="2">
        <v>42640</v>
      </c>
      <c r="B52" s="1" t="s">
        <v>17</v>
      </c>
      <c r="C52" t="s">
        <v>10</v>
      </c>
      <c r="D52" t="s">
        <v>14</v>
      </c>
      <c r="E52">
        <v>45</v>
      </c>
      <c r="F52">
        <v>12</v>
      </c>
      <c r="Q52" s="11">
        <v>42942</v>
      </c>
      <c r="R52" s="6" t="s">
        <v>22</v>
      </c>
      <c r="S52" s="6" t="s">
        <v>7</v>
      </c>
      <c r="T52" s="6" t="s">
        <v>8</v>
      </c>
      <c r="U52" s="6">
        <v>10</v>
      </c>
      <c r="V52" s="7">
        <v>70</v>
      </c>
    </row>
    <row r="53" spans="1:22" x14ac:dyDescent="0.25">
      <c r="A53" s="2">
        <v>42640</v>
      </c>
      <c r="B53" s="1" t="s">
        <v>17</v>
      </c>
      <c r="C53" t="s">
        <v>12</v>
      </c>
      <c r="D53" t="s">
        <v>8</v>
      </c>
      <c r="E53">
        <v>40</v>
      </c>
      <c r="F53">
        <v>20</v>
      </c>
      <c r="Q53" s="12">
        <v>43147</v>
      </c>
      <c r="R53" s="8" t="s">
        <v>6</v>
      </c>
      <c r="S53" s="8" t="s">
        <v>7</v>
      </c>
      <c r="T53" s="8" t="s">
        <v>8</v>
      </c>
      <c r="U53" s="8">
        <v>48</v>
      </c>
      <c r="V53" s="9">
        <v>66</v>
      </c>
    </row>
    <row r="54" spans="1:22" x14ac:dyDescent="0.25">
      <c r="A54" s="2">
        <v>42640</v>
      </c>
      <c r="B54" s="1" t="s">
        <v>17</v>
      </c>
      <c r="C54" t="s">
        <v>7</v>
      </c>
      <c r="D54" t="s">
        <v>8</v>
      </c>
      <c r="E54">
        <v>3</v>
      </c>
      <c r="F54">
        <v>63</v>
      </c>
      <c r="Q54" s="11">
        <v>42974</v>
      </c>
      <c r="R54" s="6" t="s">
        <v>13</v>
      </c>
      <c r="S54" s="6" t="s">
        <v>7</v>
      </c>
      <c r="T54" s="6" t="s">
        <v>8</v>
      </c>
      <c r="U54" s="6">
        <v>38</v>
      </c>
      <c r="V54" s="7">
        <v>68</v>
      </c>
    </row>
    <row r="55" spans="1:22" x14ac:dyDescent="0.25">
      <c r="A55" s="2">
        <v>42640</v>
      </c>
      <c r="B55" s="1" t="s">
        <v>17</v>
      </c>
      <c r="C55" t="s">
        <v>11</v>
      </c>
      <c r="D55" t="s">
        <v>8</v>
      </c>
      <c r="E55">
        <v>17</v>
      </c>
      <c r="F55">
        <v>24</v>
      </c>
      <c r="Q55" s="12">
        <v>42993</v>
      </c>
      <c r="R55" s="8" t="s">
        <v>15</v>
      </c>
      <c r="S55" s="8" t="s">
        <v>7</v>
      </c>
      <c r="T55" s="8" t="s">
        <v>8</v>
      </c>
      <c r="U55" s="8">
        <v>30</v>
      </c>
      <c r="V55" s="9">
        <v>65</v>
      </c>
    </row>
    <row r="56" spans="1:22" x14ac:dyDescent="0.25">
      <c r="A56" s="2">
        <v>42664</v>
      </c>
      <c r="B56" s="1" t="s">
        <v>18</v>
      </c>
      <c r="C56" t="s">
        <v>10</v>
      </c>
      <c r="D56" t="s">
        <v>14</v>
      </c>
      <c r="E56">
        <v>2</v>
      </c>
      <c r="F56">
        <v>12</v>
      </c>
      <c r="Q56" s="11">
        <v>43019</v>
      </c>
      <c r="R56" s="6" t="s">
        <v>16</v>
      </c>
      <c r="S56" s="6" t="s">
        <v>7</v>
      </c>
      <c r="T56" s="6" t="s">
        <v>8</v>
      </c>
      <c r="U56" s="6">
        <v>43</v>
      </c>
      <c r="V56" s="7">
        <v>59</v>
      </c>
    </row>
    <row r="57" spans="1:22" x14ac:dyDescent="0.25">
      <c r="A57" s="2">
        <v>42664</v>
      </c>
      <c r="B57" s="1" t="s">
        <v>18</v>
      </c>
      <c r="C57" t="s">
        <v>12</v>
      </c>
      <c r="D57" t="s">
        <v>8</v>
      </c>
      <c r="E57">
        <v>14</v>
      </c>
      <c r="F57">
        <v>19</v>
      </c>
      <c r="Q57" s="12">
        <v>43130</v>
      </c>
      <c r="R57" s="8" t="s">
        <v>22</v>
      </c>
      <c r="S57" s="8" t="s">
        <v>7</v>
      </c>
      <c r="T57" s="8" t="s">
        <v>8</v>
      </c>
      <c r="U57" s="8">
        <v>48</v>
      </c>
      <c r="V57" s="9">
        <v>79</v>
      </c>
    </row>
    <row r="58" spans="1:22" x14ac:dyDescent="0.25">
      <c r="A58" s="2">
        <v>42664</v>
      </c>
      <c r="B58" s="1" t="s">
        <v>18</v>
      </c>
      <c r="C58" t="s">
        <v>11</v>
      </c>
      <c r="D58" t="s">
        <v>8</v>
      </c>
      <c r="E58">
        <v>23</v>
      </c>
      <c r="F58">
        <v>23</v>
      </c>
      <c r="Q58" s="11">
        <v>43040</v>
      </c>
      <c r="R58" s="6" t="s">
        <v>17</v>
      </c>
      <c r="S58" s="6" t="s">
        <v>7</v>
      </c>
      <c r="T58" s="6" t="s">
        <v>8</v>
      </c>
      <c r="U58" s="6">
        <v>24</v>
      </c>
      <c r="V58" s="7">
        <v>63</v>
      </c>
    </row>
    <row r="59" spans="1:22" x14ac:dyDescent="0.25">
      <c r="A59" s="2">
        <v>42682</v>
      </c>
      <c r="B59" s="1" t="s">
        <v>19</v>
      </c>
      <c r="C59" t="s">
        <v>10</v>
      </c>
      <c r="D59" t="s">
        <v>8</v>
      </c>
      <c r="E59">
        <v>11</v>
      </c>
      <c r="F59">
        <v>8</v>
      </c>
      <c r="Q59" s="12">
        <v>43082</v>
      </c>
      <c r="R59" s="8" t="s">
        <v>19</v>
      </c>
      <c r="S59" s="8" t="s">
        <v>7</v>
      </c>
      <c r="T59" s="8" t="s">
        <v>8</v>
      </c>
      <c r="U59" s="8">
        <v>38</v>
      </c>
      <c r="V59" s="9">
        <v>66</v>
      </c>
    </row>
    <row r="60" spans="1:22" x14ac:dyDescent="0.25">
      <c r="A60" s="2">
        <v>42682</v>
      </c>
      <c r="B60" s="1" t="s">
        <v>19</v>
      </c>
      <c r="C60" t="s">
        <v>7</v>
      </c>
      <c r="D60" t="s">
        <v>8</v>
      </c>
      <c r="E60">
        <v>17</v>
      </c>
      <c r="F60">
        <v>66</v>
      </c>
      <c r="Q60" s="11">
        <v>43129</v>
      </c>
      <c r="R60" s="6" t="s">
        <v>21</v>
      </c>
      <c r="S60" s="6" t="s">
        <v>7</v>
      </c>
      <c r="T60" s="6" t="s">
        <v>8</v>
      </c>
      <c r="U60" s="6">
        <v>9</v>
      </c>
      <c r="V60" s="7">
        <v>60</v>
      </c>
    </row>
    <row r="61" spans="1:22" x14ac:dyDescent="0.25">
      <c r="A61" s="2">
        <v>42682</v>
      </c>
      <c r="B61" s="1" t="s">
        <v>19</v>
      </c>
      <c r="C61" t="s">
        <v>9</v>
      </c>
      <c r="D61" t="s">
        <v>8</v>
      </c>
      <c r="E61">
        <v>30</v>
      </c>
      <c r="F61">
        <v>41</v>
      </c>
      <c r="Q61" s="12">
        <v>42370</v>
      </c>
      <c r="R61" s="8" t="s">
        <v>6</v>
      </c>
      <c r="S61" s="8" t="s">
        <v>12</v>
      </c>
      <c r="T61" s="8" t="s">
        <v>8</v>
      </c>
      <c r="U61" s="8">
        <v>43</v>
      </c>
      <c r="V61" s="9">
        <v>25</v>
      </c>
    </row>
    <row r="62" spans="1:22" x14ac:dyDescent="0.25">
      <c r="A62" s="2">
        <v>42704</v>
      </c>
      <c r="B62" s="1" t="s">
        <v>20</v>
      </c>
      <c r="C62" t="s">
        <v>7</v>
      </c>
      <c r="D62" t="s">
        <v>14</v>
      </c>
      <c r="E62">
        <v>97</v>
      </c>
      <c r="F62">
        <v>98</v>
      </c>
      <c r="Q62" s="11">
        <v>43452</v>
      </c>
      <c r="R62" s="6" t="s">
        <v>18</v>
      </c>
      <c r="S62" s="6" t="s">
        <v>12</v>
      </c>
      <c r="T62" s="6" t="s">
        <v>8</v>
      </c>
      <c r="U62" s="6">
        <v>35</v>
      </c>
      <c r="V62" s="7">
        <v>19</v>
      </c>
    </row>
    <row r="63" spans="1:22" x14ac:dyDescent="0.25">
      <c r="A63" s="2">
        <v>42704</v>
      </c>
      <c r="B63" s="1" t="s">
        <v>20</v>
      </c>
      <c r="C63" t="s">
        <v>10</v>
      </c>
      <c r="D63" t="s">
        <v>14</v>
      </c>
      <c r="E63">
        <v>11</v>
      </c>
      <c r="F63">
        <v>12</v>
      </c>
      <c r="Q63" s="12">
        <v>42440</v>
      </c>
      <c r="R63" s="8" t="s">
        <v>17</v>
      </c>
      <c r="S63" s="8" t="s">
        <v>12</v>
      </c>
      <c r="T63" s="8" t="s">
        <v>8</v>
      </c>
      <c r="U63" s="8">
        <v>32</v>
      </c>
      <c r="V63" s="9">
        <v>20</v>
      </c>
    </row>
    <row r="64" spans="1:22" x14ac:dyDescent="0.25">
      <c r="A64" s="2">
        <v>42704</v>
      </c>
      <c r="B64" s="1" t="s">
        <v>20</v>
      </c>
      <c r="C64" t="s">
        <v>12</v>
      </c>
      <c r="D64" t="s">
        <v>8</v>
      </c>
      <c r="E64">
        <v>17</v>
      </c>
      <c r="F64">
        <v>20</v>
      </c>
      <c r="Q64" s="11">
        <v>42464</v>
      </c>
      <c r="R64" s="6" t="s">
        <v>18</v>
      </c>
      <c r="S64" s="6" t="s">
        <v>12</v>
      </c>
      <c r="T64" s="6" t="s">
        <v>8</v>
      </c>
      <c r="U64" s="6">
        <v>25</v>
      </c>
      <c r="V64" s="7">
        <v>19</v>
      </c>
    </row>
    <row r="65" spans="1:22" x14ac:dyDescent="0.25">
      <c r="A65" s="2">
        <v>42704</v>
      </c>
      <c r="B65" s="1" t="s">
        <v>20</v>
      </c>
      <c r="C65" t="s">
        <v>11</v>
      </c>
      <c r="D65" t="s">
        <v>8</v>
      </c>
      <c r="E65">
        <v>4</v>
      </c>
      <c r="F65">
        <v>23</v>
      </c>
      <c r="Q65" s="12">
        <v>42529</v>
      </c>
      <c r="R65" s="8" t="s">
        <v>21</v>
      </c>
      <c r="S65" s="8" t="s">
        <v>12</v>
      </c>
      <c r="T65" s="8" t="s">
        <v>8</v>
      </c>
      <c r="U65" s="8">
        <v>19</v>
      </c>
      <c r="V65" s="9">
        <v>19</v>
      </c>
    </row>
    <row r="66" spans="1:22" x14ac:dyDescent="0.25">
      <c r="A66" s="2">
        <v>42729</v>
      </c>
      <c r="B66" s="1" t="s">
        <v>21</v>
      </c>
      <c r="C66" t="s">
        <v>12</v>
      </c>
      <c r="D66" t="s">
        <v>14</v>
      </c>
      <c r="E66">
        <v>79</v>
      </c>
      <c r="F66">
        <v>31</v>
      </c>
      <c r="Q66" s="11">
        <v>43347</v>
      </c>
      <c r="R66" s="6" t="s">
        <v>6</v>
      </c>
      <c r="S66" s="6" t="s">
        <v>12</v>
      </c>
      <c r="T66" s="6" t="s">
        <v>8</v>
      </c>
      <c r="U66" s="6">
        <v>8</v>
      </c>
      <c r="V66" s="7">
        <v>21</v>
      </c>
    </row>
    <row r="67" spans="1:22" x14ac:dyDescent="0.25">
      <c r="A67" s="2">
        <v>42729</v>
      </c>
      <c r="B67" s="1" t="s">
        <v>21</v>
      </c>
      <c r="C67" t="s">
        <v>7</v>
      </c>
      <c r="D67" t="s">
        <v>8</v>
      </c>
      <c r="E67">
        <v>33</v>
      </c>
      <c r="F67">
        <v>60</v>
      </c>
      <c r="Q67" s="12">
        <v>42619</v>
      </c>
      <c r="R67" s="8" t="s">
        <v>16</v>
      </c>
      <c r="S67" s="8" t="s">
        <v>12</v>
      </c>
      <c r="T67" s="8" t="s">
        <v>8</v>
      </c>
      <c r="U67" s="8">
        <v>8</v>
      </c>
      <c r="V67" s="9">
        <v>19</v>
      </c>
    </row>
    <row r="68" spans="1:22" x14ac:dyDescent="0.25">
      <c r="A68" s="2">
        <v>42729</v>
      </c>
      <c r="B68" s="1" t="s">
        <v>21</v>
      </c>
      <c r="C68" t="s">
        <v>11</v>
      </c>
      <c r="D68" t="s">
        <v>8</v>
      </c>
      <c r="E68">
        <v>26</v>
      </c>
      <c r="F68">
        <v>23</v>
      </c>
      <c r="Q68" s="11">
        <v>42640</v>
      </c>
      <c r="R68" s="6" t="s">
        <v>17</v>
      </c>
      <c r="S68" s="6" t="s">
        <v>12</v>
      </c>
      <c r="T68" s="6" t="s">
        <v>8</v>
      </c>
      <c r="U68" s="6">
        <v>40</v>
      </c>
      <c r="V68" s="7">
        <v>20</v>
      </c>
    </row>
    <row r="69" spans="1:22" x14ac:dyDescent="0.25">
      <c r="A69" s="2">
        <v>42742</v>
      </c>
      <c r="B69" s="1" t="s">
        <v>22</v>
      </c>
      <c r="C69" t="s">
        <v>12</v>
      </c>
      <c r="D69" t="s">
        <v>8</v>
      </c>
      <c r="E69">
        <v>40</v>
      </c>
      <c r="F69">
        <v>22</v>
      </c>
      <c r="Q69" s="12">
        <v>43330</v>
      </c>
      <c r="R69" s="8" t="s">
        <v>22</v>
      </c>
      <c r="S69" s="8" t="s">
        <v>12</v>
      </c>
      <c r="T69" s="8" t="s">
        <v>8</v>
      </c>
      <c r="U69" s="8">
        <v>19</v>
      </c>
      <c r="V69" s="9">
        <v>22</v>
      </c>
    </row>
    <row r="70" spans="1:22" x14ac:dyDescent="0.25">
      <c r="A70" s="2">
        <v>42742</v>
      </c>
      <c r="B70" s="1" t="s">
        <v>22</v>
      </c>
      <c r="C70" t="s">
        <v>10</v>
      </c>
      <c r="D70" t="s">
        <v>8</v>
      </c>
      <c r="E70">
        <v>42</v>
      </c>
      <c r="F70">
        <v>9</v>
      </c>
      <c r="Q70" s="11">
        <v>42664</v>
      </c>
      <c r="R70" s="6" t="s">
        <v>18</v>
      </c>
      <c r="S70" s="6" t="s">
        <v>12</v>
      </c>
      <c r="T70" s="6" t="s">
        <v>8</v>
      </c>
      <c r="U70" s="6">
        <v>14</v>
      </c>
      <c r="V70" s="7">
        <v>19</v>
      </c>
    </row>
    <row r="71" spans="1:22" x14ac:dyDescent="0.25">
      <c r="A71" s="2">
        <v>42742</v>
      </c>
      <c r="B71" s="1" t="s">
        <v>22</v>
      </c>
      <c r="C71" t="s">
        <v>11</v>
      </c>
      <c r="D71" t="s">
        <v>8</v>
      </c>
      <c r="E71">
        <v>42</v>
      </c>
      <c r="F71">
        <v>26</v>
      </c>
      <c r="Q71" s="12">
        <v>43317</v>
      </c>
      <c r="R71" s="8" t="s">
        <v>21</v>
      </c>
      <c r="S71" s="8" t="s">
        <v>12</v>
      </c>
      <c r="T71" s="8" t="s">
        <v>8</v>
      </c>
      <c r="U71" s="8">
        <v>30</v>
      </c>
      <c r="V71" s="9">
        <v>19</v>
      </c>
    </row>
    <row r="72" spans="1:22" x14ac:dyDescent="0.25">
      <c r="A72" s="2">
        <v>42742</v>
      </c>
      <c r="B72" s="1" t="s">
        <v>22</v>
      </c>
      <c r="C72" t="s">
        <v>7</v>
      </c>
      <c r="D72" t="s">
        <v>8</v>
      </c>
      <c r="E72">
        <v>9</v>
      </c>
      <c r="F72">
        <v>70</v>
      </c>
      <c r="Q72" s="11">
        <v>42704</v>
      </c>
      <c r="R72" s="6" t="s">
        <v>20</v>
      </c>
      <c r="S72" s="6" t="s">
        <v>12</v>
      </c>
      <c r="T72" s="6" t="s">
        <v>8</v>
      </c>
      <c r="U72" s="6">
        <v>17</v>
      </c>
      <c r="V72" s="7">
        <v>20</v>
      </c>
    </row>
    <row r="73" spans="1:22" x14ac:dyDescent="0.25">
      <c r="A73" s="2">
        <v>42742</v>
      </c>
      <c r="B73" s="1" t="s">
        <v>22</v>
      </c>
      <c r="C73" t="s">
        <v>9</v>
      </c>
      <c r="D73" t="s">
        <v>8</v>
      </c>
      <c r="E73">
        <v>39</v>
      </c>
      <c r="F73">
        <v>44</v>
      </c>
      <c r="Q73" s="12">
        <v>43292</v>
      </c>
      <c r="R73" s="8" t="s">
        <v>20</v>
      </c>
      <c r="S73" s="8" t="s">
        <v>12</v>
      </c>
      <c r="T73" s="8" t="s">
        <v>8</v>
      </c>
      <c r="U73" s="8">
        <v>2</v>
      </c>
      <c r="V73" s="9">
        <v>20</v>
      </c>
    </row>
    <row r="74" spans="1:22" x14ac:dyDescent="0.25">
      <c r="A74" s="2">
        <v>42759</v>
      </c>
      <c r="B74" s="1" t="s">
        <v>6</v>
      </c>
      <c r="C74" t="s">
        <v>9</v>
      </c>
      <c r="D74" t="s">
        <v>14</v>
      </c>
      <c r="E74">
        <v>112</v>
      </c>
      <c r="F74">
        <v>59</v>
      </c>
      <c r="Q74" s="11">
        <v>42742</v>
      </c>
      <c r="R74" s="6" t="s">
        <v>22</v>
      </c>
      <c r="S74" s="6" t="s">
        <v>12</v>
      </c>
      <c r="T74" s="6" t="s">
        <v>8</v>
      </c>
      <c r="U74" s="6">
        <v>40</v>
      </c>
      <c r="V74" s="7">
        <v>22</v>
      </c>
    </row>
    <row r="75" spans="1:22" x14ac:dyDescent="0.25">
      <c r="A75" s="2">
        <v>42759</v>
      </c>
      <c r="B75" s="1" t="s">
        <v>6</v>
      </c>
      <c r="C75" t="s">
        <v>7</v>
      </c>
      <c r="D75" t="s">
        <v>8</v>
      </c>
      <c r="E75">
        <v>34</v>
      </c>
      <c r="F75">
        <v>66</v>
      </c>
      <c r="Q75" s="12">
        <v>42759</v>
      </c>
      <c r="R75" s="8" t="s">
        <v>6</v>
      </c>
      <c r="S75" s="8" t="s">
        <v>12</v>
      </c>
      <c r="T75" s="8" t="s">
        <v>8</v>
      </c>
      <c r="U75" s="8">
        <v>5</v>
      </c>
      <c r="V75" s="9">
        <v>21</v>
      </c>
    </row>
    <row r="76" spans="1:22" x14ac:dyDescent="0.25">
      <c r="A76" s="2">
        <v>42759</v>
      </c>
      <c r="B76" s="1" t="s">
        <v>6</v>
      </c>
      <c r="C76" t="s">
        <v>12</v>
      </c>
      <c r="D76" t="s">
        <v>8</v>
      </c>
      <c r="E76">
        <v>5</v>
      </c>
      <c r="F76">
        <v>21</v>
      </c>
      <c r="Q76" s="11">
        <v>42793</v>
      </c>
      <c r="R76" s="6" t="s">
        <v>15</v>
      </c>
      <c r="S76" s="6" t="s">
        <v>12</v>
      </c>
      <c r="T76" s="6" t="s">
        <v>8</v>
      </c>
      <c r="U76" s="6">
        <v>14</v>
      </c>
      <c r="V76" s="7">
        <v>20</v>
      </c>
    </row>
    <row r="77" spans="1:22" x14ac:dyDescent="0.25">
      <c r="A77" s="2">
        <v>42774</v>
      </c>
      <c r="B77" s="1" t="s">
        <v>13</v>
      </c>
      <c r="C77" t="s">
        <v>7</v>
      </c>
      <c r="D77" t="s">
        <v>14</v>
      </c>
      <c r="E77">
        <v>74</v>
      </c>
      <c r="F77">
        <v>92</v>
      </c>
      <c r="Q77" s="12">
        <v>42819</v>
      </c>
      <c r="R77" s="8" t="s">
        <v>16</v>
      </c>
      <c r="S77" s="8" t="s">
        <v>12</v>
      </c>
      <c r="T77" s="8" t="s">
        <v>8</v>
      </c>
      <c r="U77" s="8">
        <v>40</v>
      </c>
      <c r="V77" s="9">
        <v>19</v>
      </c>
    </row>
    <row r="78" spans="1:22" x14ac:dyDescent="0.25">
      <c r="A78" s="2">
        <v>42774</v>
      </c>
      <c r="B78" s="1" t="s">
        <v>13</v>
      </c>
      <c r="C78" t="s">
        <v>11</v>
      </c>
      <c r="D78" t="s">
        <v>8</v>
      </c>
      <c r="E78">
        <v>14</v>
      </c>
      <c r="F78">
        <v>26</v>
      </c>
      <c r="Q78" s="11">
        <v>42840</v>
      </c>
      <c r="R78" s="6" t="s">
        <v>17</v>
      </c>
      <c r="S78" s="6" t="s">
        <v>12</v>
      </c>
      <c r="T78" s="6" t="s">
        <v>8</v>
      </c>
      <c r="U78" s="6">
        <v>12</v>
      </c>
      <c r="V78" s="7">
        <v>20</v>
      </c>
    </row>
    <row r="79" spans="1:22" x14ac:dyDescent="0.25">
      <c r="A79" s="2">
        <v>42793</v>
      </c>
      <c r="B79" s="1" t="s">
        <v>15</v>
      </c>
      <c r="C79" t="s">
        <v>9</v>
      </c>
      <c r="D79" t="s">
        <v>14</v>
      </c>
      <c r="E79">
        <v>1</v>
      </c>
      <c r="F79">
        <v>60</v>
      </c>
      <c r="Q79" s="12">
        <v>43228</v>
      </c>
      <c r="R79" s="8" t="s">
        <v>17</v>
      </c>
      <c r="S79" s="8" t="s">
        <v>12</v>
      </c>
      <c r="T79" s="8" t="s">
        <v>8</v>
      </c>
      <c r="U79" s="8">
        <v>27</v>
      </c>
      <c r="V79" s="9">
        <v>20</v>
      </c>
    </row>
    <row r="80" spans="1:22" x14ac:dyDescent="0.25">
      <c r="A80" s="2">
        <v>42793</v>
      </c>
      <c r="B80" s="1" t="s">
        <v>15</v>
      </c>
      <c r="C80" t="s">
        <v>11</v>
      </c>
      <c r="D80" t="s">
        <v>14</v>
      </c>
      <c r="E80">
        <v>43</v>
      </c>
      <c r="F80">
        <v>36</v>
      </c>
      <c r="Q80" s="11">
        <v>42882</v>
      </c>
      <c r="R80" s="6" t="s">
        <v>19</v>
      </c>
      <c r="S80" s="6" t="s">
        <v>12</v>
      </c>
      <c r="T80" s="6" t="s">
        <v>8</v>
      </c>
      <c r="U80" s="6">
        <v>25</v>
      </c>
      <c r="V80" s="7">
        <v>21</v>
      </c>
    </row>
    <row r="81" spans="1:22" x14ac:dyDescent="0.25">
      <c r="A81" s="2">
        <v>42793</v>
      </c>
      <c r="B81" s="1" t="s">
        <v>15</v>
      </c>
      <c r="C81" t="s">
        <v>10</v>
      </c>
      <c r="D81" t="s">
        <v>8</v>
      </c>
      <c r="E81">
        <v>30</v>
      </c>
      <c r="F81">
        <v>8</v>
      </c>
      <c r="Q81" s="12">
        <v>42904</v>
      </c>
      <c r="R81" s="8" t="s">
        <v>20</v>
      </c>
      <c r="S81" s="8" t="s">
        <v>12</v>
      </c>
      <c r="T81" s="8" t="s">
        <v>8</v>
      </c>
      <c r="U81" s="8">
        <v>25</v>
      </c>
      <c r="V81" s="9">
        <v>20</v>
      </c>
    </row>
    <row r="82" spans="1:22" x14ac:dyDescent="0.25">
      <c r="A82" s="2">
        <v>42793</v>
      </c>
      <c r="B82" s="1" t="s">
        <v>15</v>
      </c>
      <c r="C82" t="s">
        <v>12</v>
      </c>
      <c r="D82" t="s">
        <v>8</v>
      </c>
      <c r="E82">
        <v>14</v>
      </c>
      <c r="F82">
        <v>20</v>
      </c>
      <c r="Q82" s="11">
        <v>42929</v>
      </c>
      <c r="R82" s="6" t="s">
        <v>21</v>
      </c>
      <c r="S82" s="6" t="s">
        <v>12</v>
      </c>
      <c r="T82" s="6" t="s">
        <v>8</v>
      </c>
      <c r="U82" s="6">
        <v>29</v>
      </c>
      <c r="V82" s="7">
        <v>19</v>
      </c>
    </row>
    <row r="83" spans="1:22" x14ac:dyDescent="0.25">
      <c r="A83" s="2">
        <v>42819</v>
      </c>
      <c r="B83" s="1" t="s">
        <v>16</v>
      </c>
      <c r="C83" t="s">
        <v>11</v>
      </c>
      <c r="D83" t="s">
        <v>14</v>
      </c>
      <c r="E83">
        <v>33</v>
      </c>
      <c r="F83">
        <v>38</v>
      </c>
      <c r="Q83" s="12">
        <v>42942</v>
      </c>
      <c r="R83" s="8" t="s">
        <v>22</v>
      </c>
      <c r="S83" s="8" t="s">
        <v>12</v>
      </c>
      <c r="T83" s="8" t="s">
        <v>8</v>
      </c>
      <c r="U83" s="8">
        <v>37</v>
      </c>
      <c r="V83" s="9">
        <v>22</v>
      </c>
    </row>
    <row r="84" spans="1:22" x14ac:dyDescent="0.25">
      <c r="A84" s="2">
        <v>42819</v>
      </c>
      <c r="B84" s="1" t="s">
        <v>16</v>
      </c>
      <c r="C84" t="s">
        <v>9</v>
      </c>
      <c r="D84" t="s">
        <v>8</v>
      </c>
      <c r="E84">
        <v>35</v>
      </c>
      <c r="F84">
        <v>37</v>
      </c>
      <c r="Q84" s="11">
        <v>42959</v>
      </c>
      <c r="R84" s="6" t="s">
        <v>6</v>
      </c>
      <c r="S84" s="6" t="s">
        <v>12</v>
      </c>
      <c r="T84" s="6" t="s">
        <v>8</v>
      </c>
      <c r="U84" s="6">
        <v>20</v>
      </c>
      <c r="V84" s="7">
        <v>21</v>
      </c>
    </row>
    <row r="85" spans="1:22" x14ac:dyDescent="0.25">
      <c r="A85" s="2">
        <v>42819</v>
      </c>
      <c r="B85" s="1" t="s">
        <v>16</v>
      </c>
      <c r="C85" t="s">
        <v>12</v>
      </c>
      <c r="D85" t="s">
        <v>8</v>
      </c>
      <c r="E85">
        <v>40</v>
      </c>
      <c r="F85">
        <v>19</v>
      </c>
      <c r="Q85" s="12">
        <v>42974</v>
      </c>
      <c r="R85" s="8" t="s">
        <v>13</v>
      </c>
      <c r="S85" s="8" t="s">
        <v>12</v>
      </c>
      <c r="T85" s="8" t="s">
        <v>8</v>
      </c>
      <c r="U85" s="8">
        <v>14</v>
      </c>
      <c r="V85" s="9">
        <v>21</v>
      </c>
    </row>
    <row r="86" spans="1:22" x14ac:dyDescent="0.25">
      <c r="A86" s="2">
        <v>42840</v>
      </c>
      <c r="B86" s="1" t="s">
        <v>17</v>
      </c>
      <c r="C86" t="s">
        <v>11</v>
      </c>
      <c r="D86" t="s">
        <v>14</v>
      </c>
      <c r="E86">
        <v>21</v>
      </c>
      <c r="F86">
        <v>36</v>
      </c>
      <c r="Q86" s="11">
        <v>43147</v>
      </c>
      <c r="R86" s="6" t="s">
        <v>6</v>
      </c>
      <c r="S86" s="6" t="s">
        <v>12</v>
      </c>
      <c r="T86" s="6" t="s">
        <v>8</v>
      </c>
      <c r="U86" s="6">
        <v>47</v>
      </c>
      <c r="V86" s="7">
        <v>21</v>
      </c>
    </row>
    <row r="87" spans="1:22" x14ac:dyDescent="0.25">
      <c r="A87" s="2">
        <v>42840</v>
      </c>
      <c r="B87" s="1" t="s">
        <v>17</v>
      </c>
      <c r="C87" t="s">
        <v>7</v>
      </c>
      <c r="D87" t="s">
        <v>14</v>
      </c>
      <c r="E87">
        <v>2</v>
      </c>
      <c r="F87">
        <v>97</v>
      </c>
      <c r="Q87" s="12">
        <v>43129</v>
      </c>
      <c r="R87" s="8" t="s">
        <v>21</v>
      </c>
      <c r="S87" s="8" t="s">
        <v>12</v>
      </c>
      <c r="T87" s="8" t="s">
        <v>8</v>
      </c>
      <c r="U87" s="8">
        <v>6</v>
      </c>
      <c r="V87" s="9">
        <v>19</v>
      </c>
    </row>
    <row r="88" spans="1:22" x14ac:dyDescent="0.25">
      <c r="A88" s="2">
        <v>42840</v>
      </c>
      <c r="B88" s="1" t="s">
        <v>17</v>
      </c>
      <c r="C88" t="s">
        <v>12</v>
      </c>
      <c r="D88" t="s">
        <v>8</v>
      </c>
      <c r="E88">
        <v>12</v>
      </c>
      <c r="F88">
        <v>20</v>
      </c>
      <c r="Q88" s="11">
        <v>42370</v>
      </c>
      <c r="R88" s="6" t="s">
        <v>6</v>
      </c>
      <c r="S88" s="6" t="s">
        <v>11</v>
      </c>
      <c r="T88" s="6" t="s">
        <v>8</v>
      </c>
      <c r="U88" s="6">
        <v>33</v>
      </c>
      <c r="V88" s="7">
        <v>30</v>
      </c>
    </row>
    <row r="89" spans="1:22" x14ac:dyDescent="0.25">
      <c r="A89" s="2">
        <v>42840</v>
      </c>
      <c r="B89" s="1" t="s">
        <v>17</v>
      </c>
      <c r="C89" t="s">
        <v>10</v>
      </c>
      <c r="D89" t="s">
        <v>8</v>
      </c>
      <c r="E89">
        <v>15</v>
      </c>
      <c r="F89">
        <v>8</v>
      </c>
      <c r="Q89" s="12">
        <v>43452</v>
      </c>
      <c r="R89" s="8" t="s">
        <v>18</v>
      </c>
      <c r="S89" s="8" t="s">
        <v>11</v>
      </c>
      <c r="T89" s="8" t="s">
        <v>8</v>
      </c>
      <c r="U89" s="8">
        <v>46</v>
      </c>
      <c r="V89" s="9">
        <v>23</v>
      </c>
    </row>
    <row r="90" spans="1:22" x14ac:dyDescent="0.25">
      <c r="A90" s="2">
        <v>42840</v>
      </c>
      <c r="B90" s="1" t="s">
        <v>17</v>
      </c>
      <c r="C90" t="s">
        <v>9</v>
      </c>
      <c r="D90" t="s">
        <v>8</v>
      </c>
      <c r="E90">
        <v>1</v>
      </c>
      <c r="F90">
        <v>40</v>
      </c>
      <c r="Q90" s="11">
        <v>42385</v>
      </c>
      <c r="R90" s="6" t="s">
        <v>13</v>
      </c>
      <c r="S90" s="6" t="s">
        <v>11</v>
      </c>
      <c r="T90" s="6" t="s">
        <v>8</v>
      </c>
      <c r="U90" s="6">
        <v>14</v>
      </c>
      <c r="V90" s="7">
        <v>26</v>
      </c>
    </row>
    <row r="91" spans="1:22" x14ac:dyDescent="0.25">
      <c r="A91" s="2">
        <v>42864</v>
      </c>
      <c r="B91" s="1" t="s">
        <v>18</v>
      </c>
      <c r="C91" t="s">
        <v>10</v>
      </c>
      <c r="D91" t="s">
        <v>14</v>
      </c>
      <c r="E91">
        <v>86</v>
      </c>
      <c r="F91">
        <v>12</v>
      </c>
      <c r="Q91" s="12">
        <v>42393</v>
      </c>
      <c r="R91" s="8" t="s">
        <v>15</v>
      </c>
      <c r="S91" s="8" t="s">
        <v>11</v>
      </c>
      <c r="T91" s="8" t="s">
        <v>8</v>
      </c>
      <c r="U91" s="8">
        <v>1</v>
      </c>
      <c r="V91" s="9">
        <v>28</v>
      </c>
    </row>
    <row r="92" spans="1:22" x14ac:dyDescent="0.25">
      <c r="A92" s="2">
        <v>42864</v>
      </c>
      <c r="B92" s="1" t="s">
        <v>18</v>
      </c>
      <c r="C92" t="s">
        <v>12</v>
      </c>
      <c r="D92" t="s">
        <v>14</v>
      </c>
      <c r="E92">
        <v>110</v>
      </c>
      <c r="F92">
        <v>31</v>
      </c>
      <c r="Q92" s="11">
        <v>42440</v>
      </c>
      <c r="R92" s="6" t="s">
        <v>17</v>
      </c>
      <c r="S92" s="6" t="s">
        <v>11</v>
      </c>
      <c r="T92" s="6" t="s">
        <v>8</v>
      </c>
      <c r="U92" s="6">
        <v>10</v>
      </c>
      <c r="V92" s="7">
        <v>24</v>
      </c>
    </row>
    <row r="93" spans="1:22" x14ac:dyDescent="0.25">
      <c r="A93" s="2">
        <v>42864</v>
      </c>
      <c r="B93" s="1" t="s">
        <v>18</v>
      </c>
      <c r="C93" t="s">
        <v>9</v>
      </c>
      <c r="D93" t="s">
        <v>8</v>
      </c>
      <c r="E93">
        <v>33</v>
      </c>
      <c r="F93">
        <v>38</v>
      </c>
      <c r="Q93" s="12">
        <v>43428</v>
      </c>
      <c r="R93" s="8" t="s">
        <v>17</v>
      </c>
      <c r="S93" s="8" t="s">
        <v>11</v>
      </c>
      <c r="T93" s="8" t="s">
        <v>8</v>
      </c>
      <c r="U93" s="8">
        <v>24</v>
      </c>
      <c r="V93" s="9">
        <v>24</v>
      </c>
    </row>
    <row r="94" spans="1:22" x14ac:dyDescent="0.25">
      <c r="A94" s="2">
        <v>42864</v>
      </c>
      <c r="B94" s="1" t="s">
        <v>18</v>
      </c>
      <c r="C94" t="s">
        <v>11</v>
      </c>
      <c r="D94" t="s">
        <v>8</v>
      </c>
      <c r="E94">
        <v>13</v>
      </c>
      <c r="F94">
        <v>23</v>
      </c>
      <c r="Q94" s="11">
        <v>42504</v>
      </c>
      <c r="R94" s="6" t="s">
        <v>20</v>
      </c>
      <c r="S94" s="6" t="s">
        <v>11</v>
      </c>
      <c r="T94" s="6" t="s">
        <v>8</v>
      </c>
      <c r="U94" s="6">
        <v>10</v>
      </c>
      <c r="V94" s="7">
        <v>23</v>
      </c>
    </row>
    <row r="95" spans="1:22" x14ac:dyDescent="0.25">
      <c r="A95" s="2">
        <v>42864</v>
      </c>
      <c r="B95" s="1" t="s">
        <v>18</v>
      </c>
      <c r="C95" t="s">
        <v>7</v>
      </c>
      <c r="D95" t="s">
        <v>8</v>
      </c>
      <c r="E95">
        <v>37</v>
      </c>
      <c r="F95">
        <v>61</v>
      </c>
      <c r="Q95" s="12">
        <v>42542</v>
      </c>
      <c r="R95" s="8" t="s">
        <v>22</v>
      </c>
      <c r="S95" s="8" t="s">
        <v>11</v>
      </c>
      <c r="T95" s="8" t="s">
        <v>8</v>
      </c>
      <c r="U95" s="8">
        <v>33</v>
      </c>
      <c r="V95" s="9">
        <v>26</v>
      </c>
    </row>
    <row r="96" spans="1:22" x14ac:dyDescent="0.25">
      <c r="A96" s="2">
        <v>42882</v>
      </c>
      <c r="B96" s="1" t="s">
        <v>19</v>
      </c>
      <c r="C96" t="s">
        <v>10</v>
      </c>
      <c r="D96" t="s">
        <v>14</v>
      </c>
      <c r="E96">
        <v>1</v>
      </c>
      <c r="F96">
        <v>12</v>
      </c>
      <c r="Q96" s="11">
        <v>43362</v>
      </c>
      <c r="R96" s="6" t="s">
        <v>13</v>
      </c>
      <c r="S96" s="6" t="s">
        <v>11</v>
      </c>
      <c r="T96" s="6" t="s">
        <v>8</v>
      </c>
      <c r="U96" s="6">
        <v>36</v>
      </c>
      <c r="V96" s="7">
        <v>26</v>
      </c>
    </row>
    <row r="97" spans="1:22" x14ac:dyDescent="0.25">
      <c r="A97" s="2">
        <v>42882</v>
      </c>
      <c r="B97" s="1" t="s">
        <v>19</v>
      </c>
      <c r="C97" t="s">
        <v>9</v>
      </c>
      <c r="D97" t="s">
        <v>14</v>
      </c>
      <c r="E97">
        <v>68</v>
      </c>
      <c r="F97">
        <v>59</v>
      </c>
      <c r="Q97" s="12">
        <v>42593</v>
      </c>
      <c r="R97" s="8" t="s">
        <v>15</v>
      </c>
      <c r="S97" s="8" t="s">
        <v>11</v>
      </c>
      <c r="T97" s="8" t="s">
        <v>8</v>
      </c>
      <c r="U97" s="8">
        <v>9</v>
      </c>
      <c r="V97" s="9">
        <v>24</v>
      </c>
    </row>
    <row r="98" spans="1:22" x14ac:dyDescent="0.25">
      <c r="A98" s="2">
        <v>42882</v>
      </c>
      <c r="B98" s="1" t="s">
        <v>19</v>
      </c>
      <c r="C98" t="s">
        <v>7</v>
      </c>
      <c r="D98" t="s">
        <v>8</v>
      </c>
      <c r="E98">
        <v>35</v>
      </c>
      <c r="F98">
        <v>66</v>
      </c>
      <c r="Q98" s="11">
        <v>43347</v>
      </c>
      <c r="R98" s="6" t="s">
        <v>6</v>
      </c>
      <c r="S98" s="6" t="s">
        <v>11</v>
      </c>
      <c r="T98" s="6" t="s">
        <v>8</v>
      </c>
      <c r="U98" s="6">
        <v>9</v>
      </c>
      <c r="V98" s="7">
        <v>25</v>
      </c>
    </row>
    <row r="99" spans="1:22" x14ac:dyDescent="0.25">
      <c r="A99" s="2">
        <v>42882</v>
      </c>
      <c r="B99" s="1" t="s">
        <v>19</v>
      </c>
      <c r="C99" t="s">
        <v>12</v>
      </c>
      <c r="D99" t="s">
        <v>8</v>
      </c>
      <c r="E99">
        <v>25</v>
      </c>
      <c r="F99">
        <v>21</v>
      </c>
      <c r="Q99" s="12">
        <v>42619</v>
      </c>
      <c r="R99" s="8" t="s">
        <v>16</v>
      </c>
      <c r="S99" s="8" t="s">
        <v>11</v>
      </c>
      <c r="T99" s="8" t="s">
        <v>8</v>
      </c>
      <c r="U99" s="8">
        <v>3</v>
      </c>
      <c r="V99" s="9">
        <v>22</v>
      </c>
    </row>
    <row r="100" spans="1:22" x14ac:dyDescent="0.25">
      <c r="A100" s="2">
        <v>42882</v>
      </c>
      <c r="B100" s="1" t="s">
        <v>19</v>
      </c>
      <c r="C100" t="s">
        <v>11</v>
      </c>
      <c r="D100" t="s">
        <v>8</v>
      </c>
      <c r="E100">
        <v>10</v>
      </c>
      <c r="F100">
        <v>25</v>
      </c>
      <c r="Q100" s="11">
        <v>42640</v>
      </c>
      <c r="R100" s="6" t="s">
        <v>17</v>
      </c>
      <c r="S100" s="6" t="s">
        <v>11</v>
      </c>
      <c r="T100" s="6" t="s">
        <v>8</v>
      </c>
      <c r="U100" s="6">
        <v>17</v>
      </c>
      <c r="V100" s="7">
        <v>24</v>
      </c>
    </row>
    <row r="101" spans="1:22" x14ac:dyDescent="0.25">
      <c r="A101" s="2">
        <v>42904</v>
      </c>
      <c r="B101" s="1" t="s">
        <v>20</v>
      </c>
      <c r="C101" t="s">
        <v>11</v>
      </c>
      <c r="D101" t="s">
        <v>14</v>
      </c>
      <c r="E101">
        <v>38</v>
      </c>
      <c r="F101">
        <v>37</v>
      </c>
      <c r="Q101" s="12">
        <v>42664</v>
      </c>
      <c r="R101" s="8" t="s">
        <v>18</v>
      </c>
      <c r="S101" s="8" t="s">
        <v>11</v>
      </c>
      <c r="T101" s="8" t="s">
        <v>8</v>
      </c>
      <c r="U101" s="8">
        <v>23</v>
      </c>
      <c r="V101" s="9">
        <v>23</v>
      </c>
    </row>
    <row r="102" spans="1:22" x14ac:dyDescent="0.25">
      <c r="A102" s="2">
        <v>42904</v>
      </c>
      <c r="B102" s="1" t="s">
        <v>20</v>
      </c>
      <c r="C102" t="s">
        <v>10</v>
      </c>
      <c r="D102" t="s">
        <v>8</v>
      </c>
      <c r="E102">
        <v>22</v>
      </c>
      <c r="F102">
        <v>8</v>
      </c>
      <c r="Q102" s="11">
        <v>42704</v>
      </c>
      <c r="R102" s="6" t="s">
        <v>20</v>
      </c>
      <c r="S102" s="6" t="s">
        <v>11</v>
      </c>
      <c r="T102" s="6" t="s">
        <v>8</v>
      </c>
      <c r="U102" s="6">
        <v>4</v>
      </c>
      <c r="V102" s="7">
        <v>23</v>
      </c>
    </row>
    <row r="103" spans="1:22" x14ac:dyDescent="0.25">
      <c r="A103" s="2">
        <v>42904</v>
      </c>
      <c r="B103" s="1" t="s">
        <v>20</v>
      </c>
      <c r="C103" t="s">
        <v>12</v>
      </c>
      <c r="D103" t="s">
        <v>8</v>
      </c>
      <c r="E103">
        <v>25</v>
      </c>
      <c r="F103">
        <v>20</v>
      </c>
      <c r="Q103" s="12">
        <v>42729</v>
      </c>
      <c r="R103" s="8" t="s">
        <v>21</v>
      </c>
      <c r="S103" s="8" t="s">
        <v>11</v>
      </c>
      <c r="T103" s="8" t="s">
        <v>8</v>
      </c>
      <c r="U103" s="8">
        <v>26</v>
      </c>
      <c r="V103" s="9">
        <v>23</v>
      </c>
    </row>
    <row r="104" spans="1:22" x14ac:dyDescent="0.25">
      <c r="A104" s="2">
        <v>42904</v>
      </c>
      <c r="B104" s="1" t="s">
        <v>20</v>
      </c>
      <c r="C104" t="s">
        <v>9</v>
      </c>
      <c r="D104" t="s">
        <v>8</v>
      </c>
      <c r="E104">
        <v>8</v>
      </c>
      <c r="F104">
        <v>39</v>
      </c>
      <c r="Q104" s="11">
        <v>42742</v>
      </c>
      <c r="R104" s="6" t="s">
        <v>22</v>
      </c>
      <c r="S104" s="6" t="s">
        <v>11</v>
      </c>
      <c r="T104" s="6" t="s">
        <v>8</v>
      </c>
      <c r="U104" s="6">
        <v>42</v>
      </c>
      <c r="V104" s="7">
        <v>26</v>
      </c>
    </row>
    <row r="105" spans="1:22" x14ac:dyDescent="0.25">
      <c r="A105" s="2">
        <v>42904</v>
      </c>
      <c r="B105" s="1" t="s">
        <v>20</v>
      </c>
      <c r="C105" t="s">
        <v>7</v>
      </c>
      <c r="D105" t="s">
        <v>8</v>
      </c>
      <c r="E105">
        <v>45</v>
      </c>
      <c r="F105">
        <v>62</v>
      </c>
      <c r="Q105" s="12">
        <v>42774</v>
      </c>
      <c r="R105" s="8" t="s">
        <v>13</v>
      </c>
      <c r="S105" s="8" t="s">
        <v>11</v>
      </c>
      <c r="T105" s="8" t="s">
        <v>8</v>
      </c>
      <c r="U105" s="8">
        <v>14</v>
      </c>
      <c r="V105" s="9">
        <v>26</v>
      </c>
    </row>
    <row r="106" spans="1:22" x14ac:dyDescent="0.25">
      <c r="A106" s="2">
        <v>42929</v>
      </c>
      <c r="B106" s="1" t="s">
        <v>21</v>
      </c>
      <c r="C106" t="s">
        <v>7</v>
      </c>
      <c r="D106" t="s">
        <v>14</v>
      </c>
      <c r="E106">
        <v>116</v>
      </c>
      <c r="F106">
        <v>100</v>
      </c>
      <c r="Q106" s="11">
        <v>43270</v>
      </c>
      <c r="R106" s="6" t="s">
        <v>19</v>
      </c>
      <c r="S106" s="6" t="s">
        <v>11</v>
      </c>
      <c r="T106" s="6" t="s">
        <v>8</v>
      </c>
      <c r="U106" s="6">
        <v>6</v>
      </c>
      <c r="V106" s="7">
        <v>25</v>
      </c>
    </row>
    <row r="107" spans="1:22" x14ac:dyDescent="0.25">
      <c r="A107" s="2">
        <v>42929</v>
      </c>
      <c r="B107" s="1" t="s">
        <v>21</v>
      </c>
      <c r="C107" t="s">
        <v>12</v>
      </c>
      <c r="D107" t="s">
        <v>8</v>
      </c>
      <c r="E107">
        <v>29</v>
      </c>
      <c r="F107">
        <v>19</v>
      </c>
      <c r="Q107" s="12">
        <v>43252</v>
      </c>
      <c r="R107" s="8" t="s">
        <v>18</v>
      </c>
      <c r="S107" s="8" t="s">
        <v>11</v>
      </c>
      <c r="T107" s="8" t="s">
        <v>8</v>
      </c>
      <c r="U107" s="8">
        <v>21</v>
      </c>
      <c r="V107" s="9">
        <v>23</v>
      </c>
    </row>
    <row r="108" spans="1:22" x14ac:dyDescent="0.25">
      <c r="A108" s="2">
        <v>42942</v>
      </c>
      <c r="B108" s="1" t="s">
        <v>22</v>
      </c>
      <c r="C108" t="s">
        <v>11</v>
      </c>
      <c r="D108" t="s">
        <v>14</v>
      </c>
      <c r="E108">
        <v>5</v>
      </c>
      <c r="F108">
        <v>34</v>
      </c>
      <c r="Q108" s="11">
        <v>42864</v>
      </c>
      <c r="R108" s="6" t="s">
        <v>18</v>
      </c>
      <c r="S108" s="6" t="s">
        <v>11</v>
      </c>
      <c r="T108" s="6" t="s">
        <v>8</v>
      </c>
      <c r="U108" s="6">
        <v>13</v>
      </c>
      <c r="V108" s="7">
        <v>23</v>
      </c>
    </row>
    <row r="109" spans="1:22" x14ac:dyDescent="0.25">
      <c r="A109" s="2">
        <v>42942</v>
      </c>
      <c r="B109" s="1" t="s">
        <v>22</v>
      </c>
      <c r="C109" t="s">
        <v>10</v>
      </c>
      <c r="D109" t="s">
        <v>14</v>
      </c>
      <c r="E109">
        <v>22</v>
      </c>
      <c r="F109">
        <v>11</v>
      </c>
      <c r="Q109" s="12">
        <v>43228</v>
      </c>
      <c r="R109" s="8" t="s">
        <v>17</v>
      </c>
      <c r="S109" s="8" t="s">
        <v>11</v>
      </c>
      <c r="T109" s="8" t="s">
        <v>8</v>
      </c>
      <c r="U109" s="8">
        <v>34</v>
      </c>
      <c r="V109" s="9">
        <v>24</v>
      </c>
    </row>
    <row r="110" spans="1:22" x14ac:dyDescent="0.25">
      <c r="A110" s="2">
        <v>42942</v>
      </c>
      <c r="B110" s="1" t="s">
        <v>22</v>
      </c>
      <c r="C110" t="s">
        <v>12</v>
      </c>
      <c r="D110" t="s">
        <v>8</v>
      </c>
      <c r="E110">
        <v>37</v>
      </c>
      <c r="F110">
        <v>22</v>
      </c>
      <c r="Q110" s="11">
        <v>42882</v>
      </c>
      <c r="R110" s="6" t="s">
        <v>19</v>
      </c>
      <c r="S110" s="6" t="s">
        <v>11</v>
      </c>
      <c r="T110" s="6" t="s">
        <v>8</v>
      </c>
      <c r="U110" s="6">
        <v>10</v>
      </c>
      <c r="V110" s="7">
        <v>25</v>
      </c>
    </row>
    <row r="111" spans="1:22" x14ac:dyDescent="0.25">
      <c r="A111" s="2">
        <v>42942</v>
      </c>
      <c r="B111" s="1" t="s">
        <v>22</v>
      </c>
      <c r="C111" t="s">
        <v>7</v>
      </c>
      <c r="D111" t="s">
        <v>8</v>
      </c>
      <c r="E111">
        <v>10</v>
      </c>
      <c r="F111">
        <v>70</v>
      </c>
      <c r="Q111" s="12">
        <v>42959</v>
      </c>
      <c r="R111" s="8" t="s">
        <v>6</v>
      </c>
      <c r="S111" s="8" t="s">
        <v>11</v>
      </c>
      <c r="T111" s="8" t="s">
        <v>8</v>
      </c>
      <c r="U111" s="8">
        <v>26</v>
      </c>
      <c r="V111" s="9">
        <v>25</v>
      </c>
    </row>
    <row r="112" spans="1:22" x14ac:dyDescent="0.25">
      <c r="A112" s="2">
        <v>42942</v>
      </c>
      <c r="B112" s="1" t="s">
        <v>22</v>
      </c>
      <c r="C112" t="s">
        <v>9</v>
      </c>
      <c r="D112" t="s">
        <v>8</v>
      </c>
      <c r="E112">
        <v>42</v>
      </c>
      <c r="F112">
        <v>44</v>
      </c>
      <c r="Q112" s="11">
        <v>43040</v>
      </c>
      <c r="R112" s="6" t="s">
        <v>17</v>
      </c>
      <c r="S112" s="6" t="s">
        <v>11</v>
      </c>
      <c r="T112" s="6" t="s">
        <v>8</v>
      </c>
      <c r="U112" s="6">
        <v>19</v>
      </c>
      <c r="V112" s="7">
        <v>24</v>
      </c>
    </row>
    <row r="113" spans="1:22" x14ac:dyDescent="0.25">
      <c r="A113" s="2">
        <v>42959</v>
      </c>
      <c r="B113" s="1" t="s">
        <v>6</v>
      </c>
      <c r="C113" t="s">
        <v>7</v>
      </c>
      <c r="D113" t="s">
        <v>14</v>
      </c>
      <c r="E113">
        <v>11</v>
      </c>
      <c r="F113">
        <v>94</v>
      </c>
      <c r="Q113" s="12">
        <v>42370</v>
      </c>
      <c r="R113" s="8" t="s">
        <v>6</v>
      </c>
      <c r="S113" s="8" t="s">
        <v>10</v>
      </c>
      <c r="T113" s="8" t="s">
        <v>8</v>
      </c>
      <c r="U113" s="8">
        <v>38</v>
      </c>
      <c r="V113" s="9">
        <v>10</v>
      </c>
    </row>
    <row r="114" spans="1:22" x14ac:dyDescent="0.25">
      <c r="A114" s="2">
        <v>42959</v>
      </c>
      <c r="B114" s="1" t="s">
        <v>6</v>
      </c>
      <c r="C114" t="s">
        <v>9</v>
      </c>
      <c r="D114" t="s">
        <v>14</v>
      </c>
      <c r="E114">
        <v>48</v>
      </c>
      <c r="F114">
        <v>59</v>
      </c>
      <c r="Q114" s="11">
        <v>43452</v>
      </c>
      <c r="R114" s="6" t="s">
        <v>18</v>
      </c>
      <c r="S114" s="6" t="s">
        <v>10</v>
      </c>
      <c r="T114" s="6" t="s">
        <v>8</v>
      </c>
      <c r="U114" s="6">
        <v>41</v>
      </c>
      <c r="V114" s="7">
        <v>8</v>
      </c>
    </row>
    <row r="115" spans="1:22" x14ac:dyDescent="0.25">
      <c r="A115" s="2">
        <v>42959</v>
      </c>
      <c r="B115" s="1" t="s">
        <v>6</v>
      </c>
      <c r="C115" t="s">
        <v>12</v>
      </c>
      <c r="D115" t="s">
        <v>8</v>
      </c>
      <c r="E115">
        <v>20</v>
      </c>
      <c r="F115">
        <v>21</v>
      </c>
      <c r="Q115" s="12">
        <v>42440</v>
      </c>
      <c r="R115" s="8" t="s">
        <v>17</v>
      </c>
      <c r="S115" s="8" t="s">
        <v>10</v>
      </c>
      <c r="T115" s="8" t="s">
        <v>8</v>
      </c>
      <c r="U115" s="8">
        <v>7</v>
      </c>
      <c r="V115" s="9">
        <v>8</v>
      </c>
    </row>
    <row r="116" spans="1:22" x14ac:dyDescent="0.25">
      <c r="A116" s="2">
        <v>42959</v>
      </c>
      <c r="B116" s="1" t="s">
        <v>6</v>
      </c>
      <c r="C116" t="s">
        <v>11</v>
      </c>
      <c r="D116" t="s">
        <v>8</v>
      </c>
      <c r="E116">
        <v>26</v>
      </c>
      <c r="F116">
        <v>25</v>
      </c>
      <c r="Q116" s="11">
        <v>42529</v>
      </c>
      <c r="R116" s="6" t="s">
        <v>21</v>
      </c>
      <c r="S116" s="6" t="s">
        <v>10</v>
      </c>
      <c r="T116" s="6" t="s">
        <v>8</v>
      </c>
      <c r="U116" s="6">
        <v>28</v>
      </c>
      <c r="V116" s="7">
        <v>8</v>
      </c>
    </row>
    <row r="117" spans="1:22" x14ac:dyDescent="0.25">
      <c r="A117" s="2">
        <v>42974</v>
      </c>
      <c r="B117" s="1" t="s">
        <v>13</v>
      </c>
      <c r="C117" t="s">
        <v>10</v>
      </c>
      <c r="D117" t="s">
        <v>8</v>
      </c>
      <c r="E117">
        <v>24</v>
      </c>
      <c r="F117">
        <v>9</v>
      </c>
      <c r="Q117" s="12">
        <v>43381</v>
      </c>
      <c r="R117" s="8" t="s">
        <v>15</v>
      </c>
      <c r="S117" s="8" t="s">
        <v>10</v>
      </c>
      <c r="T117" s="8" t="s">
        <v>8</v>
      </c>
      <c r="U117" s="8">
        <v>18</v>
      </c>
      <c r="V117" s="9">
        <v>8</v>
      </c>
    </row>
    <row r="118" spans="1:22" x14ac:dyDescent="0.25">
      <c r="A118" s="2">
        <v>42974</v>
      </c>
      <c r="B118" s="1" t="s">
        <v>13</v>
      </c>
      <c r="C118" t="s">
        <v>7</v>
      </c>
      <c r="D118" t="s">
        <v>8</v>
      </c>
      <c r="E118">
        <v>38</v>
      </c>
      <c r="F118">
        <v>68</v>
      </c>
      <c r="Q118" s="11">
        <v>42542</v>
      </c>
      <c r="R118" s="6" t="s">
        <v>22</v>
      </c>
      <c r="S118" s="6" t="s">
        <v>10</v>
      </c>
      <c r="T118" s="6" t="s">
        <v>8</v>
      </c>
      <c r="U118" s="6">
        <v>9</v>
      </c>
      <c r="V118" s="7">
        <v>9</v>
      </c>
    </row>
    <row r="119" spans="1:22" x14ac:dyDescent="0.25">
      <c r="A119" s="2">
        <v>42974</v>
      </c>
      <c r="B119" s="1" t="s">
        <v>13</v>
      </c>
      <c r="C119" t="s">
        <v>12</v>
      </c>
      <c r="D119" t="s">
        <v>8</v>
      </c>
      <c r="E119">
        <v>14</v>
      </c>
      <c r="F119">
        <v>21</v>
      </c>
      <c r="Q119" s="12">
        <v>43362</v>
      </c>
      <c r="R119" s="8" t="s">
        <v>13</v>
      </c>
      <c r="S119" s="8" t="s">
        <v>10</v>
      </c>
      <c r="T119" s="8" t="s">
        <v>8</v>
      </c>
      <c r="U119" s="8">
        <v>24</v>
      </c>
      <c r="V119" s="9">
        <v>9</v>
      </c>
    </row>
    <row r="120" spans="1:22" x14ac:dyDescent="0.25">
      <c r="A120" s="2">
        <v>42974</v>
      </c>
      <c r="B120" s="1" t="s">
        <v>13</v>
      </c>
      <c r="C120" t="s">
        <v>9</v>
      </c>
      <c r="D120" t="s">
        <v>8</v>
      </c>
      <c r="E120">
        <v>4</v>
      </c>
      <c r="F120">
        <v>43</v>
      </c>
      <c r="Q120" s="11">
        <v>43347</v>
      </c>
      <c r="R120" s="6" t="s">
        <v>6</v>
      </c>
      <c r="S120" s="6" t="s">
        <v>10</v>
      </c>
      <c r="T120" s="6" t="s">
        <v>8</v>
      </c>
      <c r="U120" s="6">
        <v>47</v>
      </c>
      <c r="V120" s="7">
        <v>8</v>
      </c>
    </row>
    <row r="121" spans="1:22" x14ac:dyDescent="0.25">
      <c r="A121" s="2">
        <v>42993</v>
      </c>
      <c r="B121" s="1" t="s">
        <v>15</v>
      </c>
      <c r="C121" t="s">
        <v>11</v>
      </c>
      <c r="D121" t="s">
        <v>14</v>
      </c>
      <c r="E121">
        <v>19</v>
      </c>
      <c r="F121">
        <v>36</v>
      </c>
      <c r="Q121" s="12">
        <v>42619</v>
      </c>
      <c r="R121" s="8" t="s">
        <v>16</v>
      </c>
      <c r="S121" s="8" t="s">
        <v>10</v>
      </c>
      <c r="T121" s="8" t="s">
        <v>8</v>
      </c>
      <c r="U121" s="8">
        <v>47</v>
      </c>
      <c r="V121" s="9">
        <v>7</v>
      </c>
    </row>
    <row r="122" spans="1:22" x14ac:dyDescent="0.25">
      <c r="A122" s="2">
        <v>42993</v>
      </c>
      <c r="B122" s="1" t="s">
        <v>15</v>
      </c>
      <c r="C122" t="s">
        <v>7</v>
      </c>
      <c r="D122" t="s">
        <v>8</v>
      </c>
      <c r="E122">
        <v>30</v>
      </c>
      <c r="F122">
        <v>65</v>
      </c>
      <c r="Q122" s="11">
        <v>42682</v>
      </c>
      <c r="R122" s="6" t="s">
        <v>19</v>
      </c>
      <c r="S122" s="6" t="s">
        <v>10</v>
      </c>
      <c r="T122" s="6" t="s">
        <v>8</v>
      </c>
      <c r="U122" s="6">
        <v>11</v>
      </c>
      <c r="V122" s="7">
        <v>8</v>
      </c>
    </row>
    <row r="123" spans="1:22" x14ac:dyDescent="0.25">
      <c r="A123" s="2">
        <v>43019</v>
      </c>
      <c r="B123" s="1" t="s">
        <v>16</v>
      </c>
      <c r="C123" t="s">
        <v>9</v>
      </c>
      <c r="D123" t="s">
        <v>14</v>
      </c>
      <c r="E123">
        <v>6</v>
      </c>
      <c r="F123">
        <v>63</v>
      </c>
      <c r="Q123" s="12">
        <v>43317</v>
      </c>
      <c r="R123" s="8" t="s">
        <v>21</v>
      </c>
      <c r="S123" s="8" t="s">
        <v>10</v>
      </c>
      <c r="T123" s="8" t="s">
        <v>8</v>
      </c>
      <c r="U123" s="8">
        <v>46</v>
      </c>
      <c r="V123" s="9">
        <v>8</v>
      </c>
    </row>
    <row r="124" spans="1:22" x14ac:dyDescent="0.25">
      <c r="A124" s="2">
        <v>43019</v>
      </c>
      <c r="B124" s="1" t="s">
        <v>16</v>
      </c>
      <c r="C124" t="s">
        <v>7</v>
      </c>
      <c r="D124" t="s">
        <v>8</v>
      </c>
      <c r="E124">
        <v>43</v>
      </c>
      <c r="F124">
        <v>59</v>
      </c>
      <c r="Q124" s="11">
        <v>42742</v>
      </c>
      <c r="R124" s="6" t="s">
        <v>22</v>
      </c>
      <c r="S124" s="6" t="s">
        <v>10</v>
      </c>
      <c r="T124" s="6" t="s">
        <v>8</v>
      </c>
      <c r="U124" s="6">
        <v>42</v>
      </c>
      <c r="V124" s="7">
        <v>9</v>
      </c>
    </row>
    <row r="125" spans="1:22" x14ac:dyDescent="0.25">
      <c r="A125" s="2">
        <v>43040</v>
      </c>
      <c r="B125" s="1" t="s">
        <v>17</v>
      </c>
      <c r="C125" t="s">
        <v>9</v>
      </c>
      <c r="D125" t="s">
        <v>14</v>
      </c>
      <c r="E125">
        <v>1</v>
      </c>
      <c r="F125">
        <v>61</v>
      </c>
      <c r="Q125" s="12">
        <v>42793</v>
      </c>
      <c r="R125" s="8" t="s">
        <v>15</v>
      </c>
      <c r="S125" s="8" t="s">
        <v>10</v>
      </c>
      <c r="T125" s="8" t="s">
        <v>8</v>
      </c>
      <c r="U125" s="8">
        <v>30</v>
      </c>
      <c r="V125" s="9">
        <v>8</v>
      </c>
    </row>
    <row r="126" spans="1:22" x14ac:dyDescent="0.25">
      <c r="A126" s="2">
        <v>43040</v>
      </c>
      <c r="B126" s="1" t="s">
        <v>17</v>
      </c>
      <c r="C126" t="s">
        <v>12</v>
      </c>
      <c r="D126" t="s">
        <v>14</v>
      </c>
      <c r="E126">
        <v>147</v>
      </c>
      <c r="F126">
        <v>30</v>
      </c>
      <c r="Q126" s="11">
        <v>42840</v>
      </c>
      <c r="R126" s="6" t="s">
        <v>17</v>
      </c>
      <c r="S126" s="6" t="s">
        <v>10</v>
      </c>
      <c r="T126" s="6" t="s">
        <v>8</v>
      </c>
      <c r="U126" s="6">
        <v>15</v>
      </c>
      <c r="V126" s="7">
        <v>8</v>
      </c>
    </row>
    <row r="127" spans="1:22" x14ac:dyDescent="0.25">
      <c r="A127" s="2">
        <v>43040</v>
      </c>
      <c r="B127" s="1" t="s">
        <v>17</v>
      </c>
      <c r="C127" t="s">
        <v>10</v>
      </c>
      <c r="D127" t="s">
        <v>8</v>
      </c>
      <c r="E127">
        <v>15</v>
      </c>
      <c r="F127">
        <v>8</v>
      </c>
      <c r="Q127" s="12">
        <v>43228</v>
      </c>
      <c r="R127" s="8" t="s">
        <v>17</v>
      </c>
      <c r="S127" s="8" t="s">
        <v>10</v>
      </c>
      <c r="T127" s="8" t="s">
        <v>8</v>
      </c>
      <c r="U127" s="8">
        <v>40</v>
      </c>
      <c r="V127" s="9">
        <v>8</v>
      </c>
    </row>
    <row r="128" spans="1:22" x14ac:dyDescent="0.25">
      <c r="A128" s="2">
        <v>43040</v>
      </c>
      <c r="B128" s="1" t="s">
        <v>17</v>
      </c>
      <c r="C128" t="s">
        <v>7</v>
      </c>
      <c r="D128" t="s">
        <v>8</v>
      </c>
      <c r="E128">
        <v>24</v>
      </c>
      <c r="F128">
        <v>63</v>
      </c>
      <c r="Q128" s="11">
        <v>43207</v>
      </c>
      <c r="R128" s="6" t="s">
        <v>16</v>
      </c>
      <c r="S128" s="6" t="s">
        <v>10</v>
      </c>
      <c r="T128" s="6" t="s">
        <v>8</v>
      </c>
      <c r="U128" s="6">
        <v>34</v>
      </c>
      <c r="V128" s="7">
        <v>7</v>
      </c>
    </row>
    <row r="129" spans="1:22" x14ac:dyDescent="0.25">
      <c r="A129" s="2">
        <v>43040</v>
      </c>
      <c r="B129" s="1" t="s">
        <v>17</v>
      </c>
      <c r="C129" t="s">
        <v>11</v>
      </c>
      <c r="D129" t="s">
        <v>8</v>
      </c>
      <c r="E129">
        <v>19</v>
      </c>
      <c r="F129">
        <v>24</v>
      </c>
      <c r="Q129" s="12">
        <v>42904</v>
      </c>
      <c r="R129" s="8" t="s">
        <v>20</v>
      </c>
      <c r="S129" s="8" t="s">
        <v>10</v>
      </c>
      <c r="T129" s="8" t="s">
        <v>8</v>
      </c>
      <c r="U129" s="8">
        <v>22</v>
      </c>
      <c r="V129" s="9">
        <v>8</v>
      </c>
    </row>
    <row r="130" spans="1:22" x14ac:dyDescent="0.25">
      <c r="A130" s="2">
        <v>43064</v>
      </c>
      <c r="B130" s="1" t="s">
        <v>18</v>
      </c>
      <c r="C130" t="s">
        <v>7</v>
      </c>
      <c r="D130" t="s">
        <v>14</v>
      </c>
      <c r="E130">
        <v>134</v>
      </c>
      <c r="F130">
        <v>99</v>
      </c>
      <c r="Q130" s="11">
        <v>43181</v>
      </c>
      <c r="R130" s="6" t="s">
        <v>15</v>
      </c>
      <c r="S130" s="6" t="s">
        <v>10</v>
      </c>
      <c r="T130" s="6" t="s">
        <v>8</v>
      </c>
      <c r="U130" s="6">
        <v>16</v>
      </c>
      <c r="V130" s="7">
        <v>8</v>
      </c>
    </row>
    <row r="131" spans="1:22" x14ac:dyDescent="0.25">
      <c r="A131" s="2">
        <v>43064</v>
      </c>
      <c r="B131" s="1" t="s">
        <v>18</v>
      </c>
      <c r="C131" t="s">
        <v>9</v>
      </c>
      <c r="D131" t="s">
        <v>8</v>
      </c>
      <c r="E131">
        <v>12</v>
      </c>
      <c r="F131">
        <v>38</v>
      </c>
      <c r="Q131" s="12">
        <v>43162</v>
      </c>
      <c r="R131" s="8" t="s">
        <v>13</v>
      </c>
      <c r="S131" s="8" t="s">
        <v>10</v>
      </c>
      <c r="T131" s="8" t="s">
        <v>8</v>
      </c>
      <c r="U131" s="8">
        <v>5</v>
      </c>
      <c r="V131" s="9">
        <v>9</v>
      </c>
    </row>
    <row r="132" spans="1:22" x14ac:dyDescent="0.25">
      <c r="A132" s="2">
        <v>43082</v>
      </c>
      <c r="B132" s="1" t="s">
        <v>19</v>
      </c>
      <c r="C132" t="s">
        <v>12</v>
      </c>
      <c r="D132" t="s">
        <v>14</v>
      </c>
      <c r="E132">
        <v>4</v>
      </c>
      <c r="F132">
        <v>30</v>
      </c>
      <c r="Q132" s="11">
        <v>42974</v>
      </c>
      <c r="R132" s="6" t="s">
        <v>13</v>
      </c>
      <c r="S132" s="6" t="s">
        <v>10</v>
      </c>
      <c r="T132" s="6" t="s">
        <v>8</v>
      </c>
      <c r="U132" s="6">
        <v>24</v>
      </c>
      <c r="V132" s="7">
        <v>9</v>
      </c>
    </row>
    <row r="133" spans="1:22" x14ac:dyDescent="0.25">
      <c r="A133" s="2">
        <v>43082</v>
      </c>
      <c r="B133" s="1" t="s">
        <v>19</v>
      </c>
      <c r="C133" t="s">
        <v>10</v>
      </c>
      <c r="D133" t="s">
        <v>8</v>
      </c>
      <c r="E133">
        <v>26</v>
      </c>
      <c r="F133">
        <v>8</v>
      </c>
      <c r="Q133" s="12">
        <v>43147</v>
      </c>
      <c r="R133" s="8" t="s">
        <v>6</v>
      </c>
      <c r="S133" s="8" t="s">
        <v>10</v>
      </c>
      <c r="T133" s="8" t="s">
        <v>8</v>
      </c>
      <c r="U133" s="8">
        <v>10</v>
      </c>
      <c r="V133" s="9">
        <v>8</v>
      </c>
    </row>
    <row r="134" spans="1:22" x14ac:dyDescent="0.25">
      <c r="A134" s="2">
        <v>43082</v>
      </c>
      <c r="B134" s="1" t="s">
        <v>19</v>
      </c>
      <c r="C134" t="s">
        <v>7</v>
      </c>
      <c r="D134" t="s">
        <v>8</v>
      </c>
      <c r="E134">
        <v>38</v>
      </c>
      <c r="F134">
        <v>66</v>
      </c>
      <c r="Q134" s="11">
        <v>43040</v>
      </c>
      <c r="R134" s="6" t="s">
        <v>17</v>
      </c>
      <c r="S134" s="6" t="s">
        <v>10</v>
      </c>
      <c r="T134" s="6" t="s">
        <v>8</v>
      </c>
      <c r="U134" s="6">
        <v>15</v>
      </c>
      <c r="V134" s="7">
        <v>8</v>
      </c>
    </row>
    <row r="135" spans="1:22" x14ac:dyDescent="0.25">
      <c r="A135" s="2">
        <v>43104</v>
      </c>
      <c r="B135" s="1" t="s">
        <v>20</v>
      </c>
      <c r="C135" t="s">
        <v>7</v>
      </c>
      <c r="D135" t="s">
        <v>14</v>
      </c>
      <c r="E135">
        <v>38</v>
      </c>
      <c r="F135">
        <v>98</v>
      </c>
      <c r="Q135" s="12">
        <v>43129</v>
      </c>
      <c r="R135" s="8" t="s">
        <v>21</v>
      </c>
      <c r="S135" s="8" t="s">
        <v>10</v>
      </c>
      <c r="T135" s="8" t="s">
        <v>8</v>
      </c>
      <c r="U135" s="8">
        <v>4</v>
      </c>
      <c r="V135" s="9">
        <v>8</v>
      </c>
    </row>
    <row r="136" spans="1:22" x14ac:dyDescent="0.25">
      <c r="A136" s="2">
        <v>43104</v>
      </c>
      <c r="B136" s="1" t="s">
        <v>20</v>
      </c>
      <c r="C136" t="s">
        <v>11</v>
      </c>
      <c r="D136" t="s">
        <v>14</v>
      </c>
      <c r="E136">
        <v>44</v>
      </c>
      <c r="F136">
        <v>37</v>
      </c>
      <c r="Q136" s="11">
        <v>43082</v>
      </c>
      <c r="R136" s="6" t="s">
        <v>19</v>
      </c>
      <c r="S136" s="6" t="s">
        <v>10</v>
      </c>
      <c r="T136" s="6" t="s">
        <v>8</v>
      </c>
      <c r="U136" s="6">
        <v>26</v>
      </c>
      <c r="V136" s="7">
        <v>8</v>
      </c>
    </row>
    <row r="137" spans="1:22" x14ac:dyDescent="0.25">
      <c r="A137" s="2">
        <v>43104</v>
      </c>
      <c r="B137" s="1" t="s">
        <v>20</v>
      </c>
      <c r="C137" t="s">
        <v>10</v>
      </c>
      <c r="D137" t="s">
        <v>8</v>
      </c>
      <c r="E137">
        <v>21</v>
      </c>
      <c r="F137">
        <v>8</v>
      </c>
      <c r="Q137" s="12">
        <v>43104</v>
      </c>
      <c r="R137" s="8" t="s">
        <v>20</v>
      </c>
      <c r="S137" s="8" t="s">
        <v>10</v>
      </c>
      <c r="T137" s="8" t="s">
        <v>8</v>
      </c>
      <c r="U137" s="8">
        <v>21</v>
      </c>
      <c r="V137" s="9">
        <v>8</v>
      </c>
    </row>
    <row r="138" spans="1:22" x14ac:dyDescent="0.25">
      <c r="A138" s="2">
        <v>43104</v>
      </c>
      <c r="B138" s="1" t="s">
        <v>20</v>
      </c>
      <c r="C138" t="s">
        <v>9</v>
      </c>
      <c r="D138" t="s">
        <v>8</v>
      </c>
      <c r="E138">
        <v>10</v>
      </c>
      <c r="F138">
        <v>39</v>
      </c>
    </row>
    <row r="139" spans="1:22" x14ac:dyDescent="0.25">
      <c r="A139" s="2">
        <v>43129</v>
      </c>
      <c r="B139" s="1" t="s">
        <v>21</v>
      </c>
      <c r="C139" t="s">
        <v>11</v>
      </c>
      <c r="D139" t="s">
        <v>14</v>
      </c>
      <c r="E139">
        <v>15</v>
      </c>
      <c r="F139">
        <v>38</v>
      </c>
    </row>
    <row r="140" spans="1:22" x14ac:dyDescent="0.25">
      <c r="A140" s="2">
        <v>43129</v>
      </c>
      <c r="B140" s="1" t="s">
        <v>21</v>
      </c>
      <c r="C140" t="s">
        <v>9</v>
      </c>
      <c r="D140" t="s">
        <v>14</v>
      </c>
      <c r="E140">
        <v>22</v>
      </c>
      <c r="F140">
        <v>63</v>
      </c>
    </row>
    <row r="141" spans="1:22" x14ac:dyDescent="0.25">
      <c r="A141" s="2">
        <v>43129</v>
      </c>
      <c r="B141" s="1" t="s">
        <v>21</v>
      </c>
      <c r="C141" t="s">
        <v>7</v>
      </c>
      <c r="D141" t="s">
        <v>8</v>
      </c>
      <c r="E141">
        <v>9</v>
      </c>
      <c r="F141">
        <v>60</v>
      </c>
    </row>
    <row r="142" spans="1:22" x14ac:dyDescent="0.25">
      <c r="A142" s="2">
        <v>43129</v>
      </c>
      <c r="B142" s="1" t="s">
        <v>21</v>
      </c>
      <c r="C142" t="s">
        <v>12</v>
      </c>
      <c r="D142" t="s">
        <v>8</v>
      </c>
      <c r="E142">
        <v>6</v>
      </c>
      <c r="F142">
        <v>19</v>
      </c>
    </row>
    <row r="143" spans="1:22" x14ac:dyDescent="0.25">
      <c r="A143" s="2">
        <v>43129</v>
      </c>
      <c r="B143" s="1" t="s">
        <v>21</v>
      </c>
      <c r="C143" t="s">
        <v>10</v>
      </c>
      <c r="D143" t="s">
        <v>8</v>
      </c>
      <c r="E143">
        <v>4</v>
      </c>
      <c r="F143">
        <v>8</v>
      </c>
    </row>
    <row r="144" spans="1:22" x14ac:dyDescent="0.25">
      <c r="A144" s="2">
        <v>43130</v>
      </c>
      <c r="B144" s="1" t="s">
        <v>22</v>
      </c>
      <c r="C144" t="s">
        <v>12</v>
      </c>
      <c r="D144" t="s">
        <v>14</v>
      </c>
      <c r="E144">
        <v>6</v>
      </c>
      <c r="F144">
        <v>25</v>
      </c>
    </row>
    <row r="145" spans="1:6" x14ac:dyDescent="0.25">
      <c r="A145" s="2">
        <v>43130</v>
      </c>
      <c r="B145" s="1" t="s">
        <v>22</v>
      </c>
      <c r="C145" t="s">
        <v>7</v>
      </c>
      <c r="D145" t="s">
        <v>8</v>
      </c>
      <c r="E145">
        <v>48</v>
      </c>
      <c r="F145">
        <v>79</v>
      </c>
    </row>
    <row r="146" spans="1:6" x14ac:dyDescent="0.25">
      <c r="A146" s="2">
        <v>43147</v>
      </c>
      <c r="B146" s="1" t="s">
        <v>6</v>
      </c>
      <c r="C146" t="s">
        <v>9</v>
      </c>
      <c r="D146" t="s">
        <v>8</v>
      </c>
      <c r="E146">
        <v>34</v>
      </c>
      <c r="F146">
        <v>42</v>
      </c>
    </row>
    <row r="147" spans="1:6" x14ac:dyDescent="0.25">
      <c r="A147" s="2">
        <v>43147</v>
      </c>
      <c r="B147" s="1" t="s">
        <v>6</v>
      </c>
      <c r="C147" t="s">
        <v>11</v>
      </c>
      <c r="D147" t="s">
        <v>14</v>
      </c>
      <c r="E147">
        <v>49</v>
      </c>
      <c r="F147">
        <v>35</v>
      </c>
    </row>
    <row r="148" spans="1:6" x14ac:dyDescent="0.25">
      <c r="A148" s="2">
        <v>43147</v>
      </c>
      <c r="B148" s="1" t="s">
        <v>6</v>
      </c>
      <c r="C148" t="s">
        <v>10</v>
      </c>
      <c r="D148" t="s">
        <v>8</v>
      </c>
      <c r="E148">
        <v>10</v>
      </c>
      <c r="F148">
        <v>8</v>
      </c>
    </row>
    <row r="149" spans="1:6" x14ac:dyDescent="0.25">
      <c r="A149" s="2">
        <v>43147</v>
      </c>
      <c r="B149" s="1" t="s">
        <v>6</v>
      </c>
      <c r="C149" t="s">
        <v>12</v>
      </c>
      <c r="D149" t="s">
        <v>8</v>
      </c>
      <c r="E149">
        <v>47</v>
      </c>
      <c r="F149">
        <v>21</v>
      </c>
    </row>
    <row r="150" spans="1:6" x14ac:dyDescent="0.25">
      <c r="A150" s="2">
        <v>43147</v>
      </c>
      <c r="B150" s="1" t="s">
        <v>6</v>
      </c>
      <c r="C150" t="s">
        <v>7</v>
      </c>
      <c r="D150" t="s">
        <v>8</v>
      </c>
      <c r="E150">
        <v>48</v>
      </c>
      <c r="F150">
        <v>66</v>
      </c>
    </row>
    <row r="151" spans="1:6" x14ac:dyDescent="0.25">
      <c r="A151" s="2">
        <v>43162</v>
      </c>
      <c r="B151" s="1" t="s">
        <v>13</v>
      </c>
      <c r="C151" t="s">
        <v>9</v>
      </c>
      <c r="D151" t="s">
        <v>14</v>
      </c>
      <c r="E151">
        <v>34</v>
      </c>
      <c r="F151">
        <v>58</v>
      </c>
    </row>
    <row r="152" spans="1:6" x14ac:dyDescent="0.25">
      <c r="A152" s="2">
        <v>43162</v>
      </c>
      <c r="B152" s="1" t="s">
        <v>13</v>
      </c>
      <c r="C152" t="s">
        <v>10</v>
      </c>
      <c r="D152" t="s">
        <v>8</v>
      </c>
      <c r="E152">
        <v>5</v>
      </c>
      <c r="F152">
        <v>9</v>
      </c>
    </row>
    <row r="153" spans="1:6" x14ac:dyDescent="0.25">
      <c r="A153" s="2">
        <v>43181</v>
      </c>
      <c r="B153" s="1" t="s">
        <v>15</v>
      </c>
      <c r="C153" t="s">
        <v>12</v>
      </c>
      <c r="D153" t="s">
        <v>14</v>
      </c>
      <c r="E153">
        <v>46</v>
      </c>
      <c r="F153">
        <v>30</v>
      </c>
    </row>
    <row r="154" spans="1:6" x14ac:dyDescent="0.25">
      <c r="A154" s="2">
        <v>43181</v>
      </c>
      <c r="B154" s="1" t="s">
        <v>15</v>
      </c>
      <c r="C154" t="s">
        <v>7</v>
      </c>
      <c r="D154" t="s">
        <v>8</v>
      </c>
      <c r="E154">
        <v>49</v>
      </c>
      <c r="F154">
        <v>65</v>
      </c>
    </row>
    <row r="155" spans="1:6" x14ac:dyDescent="0.25">
      <c r="A155" s="2">
        <v>43181</v>
      </c>
      <c r="B155" s="1" t="s">
        <v>15</v>
      </c>
      <c r="C155" t="s">
        <v>10</v>
      </c>
      <c r="D155" t="s">
        <v>8</v>
      </c>
      <c r="E155">
        <v>16</v>
      </c>
      <c r="F155">
        <v>8</v>
      </c>
    </row>
    <row r="156" spans="1:6" x14ac:dyDescent="0.25">
      <c r="A156" s="2">
        <v>43207</v>
      </c>
      <c r="B156" s="1" t="s">
        <v>16</v>
      </c>
      <c r="C156" t="s">
        <v>9</v>
      </c>
      <c r="D156" t="s">
        <v>8</v>
      </c>
      <c r="E156">
        <v>5</v>
      </c>
      <c r="F156">
        <v>37</v>
      </c>
    </row>
    <row r="157" spans="1:6" x14ac:dyDescent="0.25">
      <c r="A157" s="2">
        <v>43207</v>
      </c>
      <c r="B157" s="1" t="s">
        <v>16</v>
      </c>
      <c r="C157" t="s">
        <v>12</v>
      </c>
      <c r="D157" t="s">
        <v>14</v>
      </c>
      <c r="E157">
        <v>1</v>
      </c>
      <c r="F157">
        <v>32</v>
      </c>
    </row>
    <row r="158" spans="1:6" x14ac:dyDescent="0.25">
      <c r="A158" s="2">
        <v>43207</v>
      </c>
      <c r="B158" s="1" t="s">
        <v>16</v>
      </c>
      <c r="C158" t="s">
        <v>10</v>
      </c>
      <c r="D158" t="s">
        <v>8</v>
      </c>
      <c r="E158">
        <v>34</v>
      </c>
      <c r="F158">
        <v>7</v>
      </c>
    </row>
    <row r="159" spans="1:6" x14ac:dyDescent="0.25">
      <c r="A159" s="2">
        <v>43207</v>
      </c>
      <c r="B159" s="1" t="s">
        <v>16</v>
      </c>
      <c r="C159" t="s">
        <v>7</v>
      </c>
      <c r="D159" t="s">
        <v>8</v>
      </c>
      <c r="E159">
        <v>29</v>
      </c>
      <c r="F159">
        <v>59</v>
      </c>
    </row>
    <row r="160" spans="1:6" x14ac:dyDescent="0.25">
      <c r="A160" s="2">
        <v>43228</v>
      </c>
      <c r="B160" s="1" t="s">
        <v>17</v>
      </c>
      <c r="C160" t="s">
        <v>11</v>
      </c>
      <c r="D160" t="s">
        <v>8</v>
      </c>
      <c r="E160">
        <v>34</v>
      </c>
      <c r="F160">
        <v>24</v>
      </c>
    </row>
    <row r="161" spans="1:6" x14ac:dyDescent="0.25">
      <c r="A161" s="2">
        <v>43228</v>
      </c>
      <c r="B161" s="1" t="s">
        <v>17</v>
      </c>
      <c r="C161" t="s">
        <v>12</v>
      </c>
      <c r="D161" t="s">
        <v>8</v>
      </c>
      <c r="E161">
        <v>27</v>
      </c>
      <c r="F161">
        <v>20</v>
      </c>
    </row>
    <row r="162" spans="1:6" x14ac:dyDescent="0.25">
      <c r="A162" s="2">
        <v>43228</v>
      </c>
      <c r="B162" s="1" t="s">
        <v>17</v>
      </c>
      <c r="C162" t="s">
        <v>10</v>
      </c>
      <c r="D162" t="s">
        <v>8</v>
      </c>
      <c r="E162">
        <v>40</v>
      </c>
      <c r="F162">
        <v>8</v>
      </c>
    </row>
    <row r="163" spans="1:6" x14ac:dyDescent="0.25">
      <c r="A163" s="2">
        <v>43252</v>
      </c>
      <c r="B163" s="1" t="s">
        <v>18</v>
      </c>
      <c r="C163" t="s">
        <v>7</v>
      </c>
      <c r="D163" t="s">
        <v>14</v>
      </c>
      <c r="E163">
        <v>184</v>
      </c>
      <c r="F163">
        <v>99</v>
      </c>
    </row>
    <row r="164" spans="1:6" x14ac:dyDescent="0.25">
      <c r="A164" s="2">
        <v>43252</v>
      </c>
      <c r="B164" s="1" t="s">
        <v>18</v>
      </c>
      <c r="C164" t="s">
        <v>9</v>
      </c>
      <c r="D164" t="s">
        <v>8</v>
      </c>
      <c r="E164">
        <v>48</v>
      </c>
      <c r="F164">
        <v>38</v>
      </c>
    </row>
    <row r="165" spans="1:6" x14ac:dyDescent="0.25">
      <c r="A165" s="2">
        <v>43252</v>
      </c>
      <c r="B165" s="1" t="s">
        <v>18</v>
      </c>
      <c r="C165" t="s">
        <v>11</v>
      </c>
      <c r="D165" t="s">
        <v>8</v>
      </c>
      <c r="E165">
        <v>21</v>
      </c>
      <c r="F165">
        <v>23</v>
      </c>
    </row>
    <row r="166" spans="1:6" x14ac:dyDescent="0.25">
      <c r="A166" s="2">
        <v>43270</v>
      </c>
      <c r="B166" s="1" t="s">
        <v>19</v>
      </c>
      <c r="C166" t="s">
        <v>7</v>
      </c>
      <c r="D166" t="s">
        <v>8</v>
      </c>
      <c r="E166">
        <v>47</v>
      </c>
      <c r="F166">
        <v>66</v>
      </c>
    </row>
    <row r="167" spans="1:6" x14ac:dyDescent="0.25">
      <c r="A167" s="2">
        <v>43270</v>
      </c>
      <c r="B167" s="1" t="s">
        <v>19</v>
      </c>
      <c r="C167" t="s">
        <v>11</v>
      </c>
      <c r="D167" t="s">
        <v>8</v>
      </c>
      <c r="E167">
        <v>6</v>
      </c>
      <c r="F167">
        <v>25</v>
      </c>
    </row>
    <row r="168" spans="1:6" x14ac:dyDescent="0.25">
      <c r="A168" s="2">
        <v>43270</v>
      </c>
      <c r="B168" s="1" t="s">
        <v>19</v>
      </c>
      <c r="C168" t="s">
        <v>9</v>
      </c>
      <c r="D168" t="s">
        <v>8</v>
      </c>
      <c r="E168">
        <v>47</v>
      </c>
      <c r="F168">
        <v>41</v>
      </c>
    </row>
    <row r="169" spans="1:6" x14ac:dyDescent="0.25">
      <c r="A169" s="2">
        <v>43292</v>
      </c>
      <c r="B169" s="1" t="s">
        <v>20</v>
      </c>
      <c r="C169" t="s">
        <v>10</v>
      </c>
      <c r="D169" t="s">
        <v>14</v>
      </c>
      <c r="E169">
        <v>192</v>
      </c>
      <c r="F169">
        <v>12</v>
      </c>
    </row>
    <row r="170" spans="1:6" x14ac:dyDescent="0.25">
      <c r="A170" s="2">
        <v>43292</v>
      </c>
      <c r="B170" s="1" t="s">
        <v>20</v>
      </c>
      <c r="C170" t="s">
        <v>11</v>
      </c>
      <c r="D170" t="s">
        <v>14</v>
      </c>
      <c r="E170">
        <v>48</v>
      </c>
      <c r="F170">
        <v>37</v>
      </c>
    </row>
    <row r="171" spans="1:6" x14ac:dyDescent="0.25">
      <c r="A171" s="2">
        <v>43292</v>
      </c>
      <c r="B171" s="1" t="s">
        <v>20</v>
      </c>
      <c r="C171" t="s">
        <v>7</v>
      </c>
      <c r="D171" t="s">
        <v>8</v>
      </c>
      <c r="E171">
        <v>18</v>
      </c>
      <c r="F171">
        <v>62</v>
      </c>
    </row>
    <row r="172" spans="1:6" x14ac:dyDescent="0.25">
      <c r="A172" s="2">
        <v>43292</v>
      </c>
      <c r="B172" s="1" t="s">
        <v>20</v>
      </c>
      <c r="C172" t="s">
        <v>9</v>
      </c>
      <c r="D172" t="s">
        <v>8</v>
      </c>
      <c r="E172">
        <v>25</v>
      </c>
      <c r="F172">
        <v>39</v>
      </c>
    </row>
    <row r="173" spans="1:6" x14ac:dyDescent="0.25">
      <c r="A173" s="2">
        <v>43292</v>
      </c>
      <c r="B173" s="1" t="s">
        <v>20</v>
      </c>
      <c r="C173" t="s">
        <v>12</v>
      </c>
      <c r="D173" t="s">
        <v>8</v>
      </c>
      <c r="E173">
        <v>2</v>
      </c>
      <c r="F173">
        <v>20</v>
      </c>
    </row>
    <row r="174" spans="1:6" x14ac:dyDescent="0.25">
      <c r="A174" s="2">
        <v>43317</v>
      </c>
      <c r="B174" s="1" t="s">
        <v>21</v>
      </c>
      <c r="C174" t="s">
        <v>11</v>
      </c>
      <c r="D174" t="s">
        <v>14</v>
      </c>
      <c r="E174">
        <v>13</v>
      </c>
      <c r="F174">
        <v>38</v>
      </c>
    </row>
    <row r="175" spans="1:6" x14ac:dyDescent="0.25">
      <c r="A175" s="2">
        <v>43317</v>
      </c>
      <c r="B175" s="1" t="s">
        <v>21</v>
      </c>
      <c r="C175" t="s">
        <v>9</v>
      </c>
      <c r="D175" t="s">
        <v>14</v>
      </c>
      <c r="E175">
        <v>121</v>
      </c>
      <c r="F175">
        <v>63</v>
      </c>
    </row>
    <row r="176" spans="1:6" x14ac:dyDescent="0.25">
      <c r="A176" s="2">
        <v>43317</v>
      </c>
      <c r="B176" s="1" t="s">
        <v>21</v>
      </c>
      <c r="C176" t="s">
        <v>12</v>
      </c>
      <c r="D176" t="s">
        <v>8</v>
      </c>
      <c r="E176">
        <v>30</v>
      </c>
      <c r="F176">
        <v>19</v>
      </c>
    </row>
    <row r="177" spans="1:6" x14ac:dyDescent="0.25">
      <c r="A177" s="2">
        <v>43317</v>
      </c>
      <c r="B177" s="1" t="s">
        <v>21</v>
      </c>
      <c r="C177" t="s">
        <v>10</v>
      </c>
      <c r="D177" t="s">
        <v>8</v>
      </c>
      <c r="E177">
        <v>46</v>
      </c>
      <c r="F177">
        <v>8</v>
      </c>
    </row>
    <row r="178" spans="1:6" x14ac:dyDescent="0.25">
      <c r="A178" s="2">
        <v>43330</v>
      </c>
      <c r="B178" s="1" t="s">
        <v>22</v>
      </c>
      <c r="C178" t="s">
        <v>10</v>
      </c>
      <c r="D178" t="s">
        <v>14</v>
      </c>
      <c r="E178">
        <v>49</v>
      </c>
      <c r="F178">
        <v>11</v>
      </c>
    </row>
    <row r="179" spans="1:6" x14ac:dyDescent="0.25">
      <c r="A179" s="2">
        <v>43330</v>
      </c>
      <c r="B179" s="1" t="s">
        <v>22</v>
      </c>
      <c r="C179" t="s">
        <v>7</v>
      </c>
      <c r="D179" t="s">
        <v>14</v>
      </c>
      <c r="E179">
        <v>61</v>
      </c>
      <c r="F179">
        <v>90</v>
      </c>
    </row>
    <row r="180" spans="1:6" x14ac:dyDescent="0.25">
      <c r="A180" s="2">
        <v>43330</v>
      </c>
      <c r="B180" s="1" t="s">
        <v>22</v>
      </c>
      <c r="C180" t="s">
        <v>12</v>
      </c>
      <c r="D180" t="s">
        <v>8</v>
      </c>
      <c r="E180">
        <v>19</v>
      </c>
      <c r="F180">
        <v>22</v>
      </c>
    </row>
    <row r="181" spans="1:6" x14ac:dyDescent="0.25">
      <c r="A181" s="2">
        <v>43330</v>
      </c>
      <c r="B181" s="1" t="s">
        <v>22</v>
      </c>
      <c r="C181" t="s">
        <v>9</v>
      </c>
      <c r="D181" t="s">
        <v>8</v>
      </c>
      <c r="E181">
        <v>22</v>
      </c>
      <c r="F181">
        <v>44</v>
      </c>
    </row>
    <row r="182" spans="1:6" x14ac:dyDescent="0.25">
      <c r="A182" s="2">
        <v>43347</v>
      </c>
      <c r="B182" s="1" t="s">
        <v>6</v>
      </c>
      <c r="C182" t="s">
        <v>11</v>
      </c>
      <c r="D182" t="s">
        <v>8</v>
      </c>
      <c r="E182">
        <v>9</v>
      </c>
      <c r="F182">
        <v>25</v>
      </c>
    </row>
    <row r="183" spans="1:6" x14ac:dyDescent="0.25">
      <c r="A183" s="2">
        <v>43347</v>
      </c>
      <c r="B183" s="1" t="s">
        <v>6</v>
      </c>
      <c r="C183" t="s">
        <v>7</v>
      </c>
      <c r="D183" t="s">
        <v>14</v>
      </c>
      <c r="E183">
        <v>4</v>
      </c>
      <c r="F183">
        <v>94</v>
      </c>
    </row>
    <row r="184" spans="1:6" x14ac:dyDescent="0.25">
      <c r="A184" s="2">
        <v>43347</v>
      </c>
      <c r="B184" s="1" t="s">
        <v>6</v>
      </c>
      <c r="C184" t="s">
        <v>12</v>
      </c>
      <c r="D184" t="s">
        <v>8</v>
      </c>
      <c r="E184">
        <v>8</v>
      </c>
      <c r="F184">
        <v>21</v>
      </c>
    </row>
    <row r="185" spans="1:6" x14ac:dyDescent="0.25">
      <c r="A185" s="2">
        <v>43347</v>
      </c>
      <c r="B185" s="1" t="s">
        <v>6</v>
      </c>
      <c r="C185" t="s">
        <v>10</v>
      </c>
      <c r="D185" t="s">
        <v>8</v>
      </c>
      <c r="E185">
        <v>47</v>
      </c>
      <c r="F185">
        <v>8</v>
      </c>
    </row>
    <row r="186" spans="1:6" x14ac:dyDescent="0.25">
      <c r="A186" s="2">
        <v>43362</v>
      </c>
      <c r="B186" s="1" t="s">
        <v>13</v>
      </c>
      <c r="C186" t="s">
        <v>12</v>
      </c>
      <c r="D186" t="s">
        <v>14</v>
      </c>
      <c r="E186">
        <v>82</v>
      </c>
      <c r="F186">
        <v>29</v>
      </c>
    </row>
    <row r="187" spans="1:6" x14ac:dyDescent="0.25">
      <c r="A187" s="2">
        <v>43362</v>
      </c>
      <c r="B187" s="1" t="s">
        <v>13</v>
      </c>
      <c r="C187" t="s">
        <v>9</v>
      </c>
      <c r="D187" t="s">
        <v>14</v>
      </c>
      <c r="E187">
        <v>26</v>
      </c>
      <c r="F187">
        <v>58</v>
      </c>
    </row>
    <row r="188" spans="1:6" x14ac:dyDescent="0.25">
      <c r="A188" s="2">
        <v>43362</v>
      </c>
      <c r="B188" s="1" t="s">
        <v>13</v>
      </c>
      <c r="C188" t="s">
        <v>10</v>
      </c>
      <c r="D188" t="s">
        <v>8</v>
      </c>
      <c r="E188">
        <v>24</v>
      </c>
      <c r="F188">
        <v>9</v>
      </c>
    </row>
    <row r="189" spans="1:6" x14ac:dyDescent="0.25">
      <c r="A189" s="2">
        <v>43362</v>
      </c>
      <c r="B189" s="1" t="s">
        <v>13</v>
      </c>
      <c r="C189" t="s">
        <v>11</v>
      </c>
      <c r="D189" t="s">
        <v>8</v>
      </c>
      <c r="E189">
        <v>36</v>
      </c>
      <c r="F189">
        <v>26</v>
      </c>
    </row>
    <row r="190" spans="1:6" x14ac:dyDescent="0.25">
      <c r="A190" s="2">
        <v>43362</v>
      </c>
      <c r="B190" s="1" t="s">
        <v>13</v>
      </c>
      <c r="C190" t="s">
        <v>7</v>
      </c>
      <c r="D190" t="s">
        <v>8</v>
      </c>
      <c r="E190">
        <v>6</v>
      </c>
      <c r="F190">
        <v>68</v>
      </c>
    </row>
    <row r="191" spans="1:6" x14ac:dyDescent="0.25">
      <c r="A191" s="2">
        <v>43381</v>
      </c>
      <c r="B191" s="1" t="s">
        <v>15</v>
      </c>
      <c r="C191" t="s">
        <v>11</v>
      </c>
      <c r="D191" t="s">
        <v>14</v>
      </c>
      <c r="E191">
        <v>45</v>
      </c>
      <c r="F191">
        <v>36</v>
      </c>
    </row>
    <row r="192" spans="1:6" x14ac:dyDescent="0.25">
      <c r="A192" s="2">
        <v>43381</v>
      </c>
      <c r="B192" s="1" t="s">
        <v>15</v>
      </c>
      <c r="C192" t="s">
        <v>10</v>
      </c>
      <c r="D192" t="s">
        <v>8</v>
      </c>
      <c r="E192">
        <v>18</v>
      </c>
      <c r="F192">
        <v>8</v>
      </c>
    </row>
    <row r="193" spans="1:6" x14ac:dyDescent="0.25">
      <c r="A193" s="2">
        <v>43381</v>
      </c>
      <c r="B193" s="1" t="s">
        <v>15</v>
      </c>
      <c r="C193" t="s">
        <v>9</v>
      </c>
      <c r="D193" t="s">
        <v>8</v>
      </c>
      <c r="E193">
        <v>20</v>
      </c>
      <c r="F193">
        <v>41</v>
      </c>
    </row>
    <row r="194" spans="1:6" x14ac:dyDescent="0.25">
      <c r="A194" s="2">
        <v>43407</v>
      </c>
      <c r="B194" s="1" t="s">
        <v>16</v>
      </c>
      <c r="C194" t="s">
        <v>12</v>
      </c>
      <c r="D194" t="s">
        <v>14</v>
      </c>
      <c r="E194">
        <v>4</v>
      </c>
      <c r="F194">
        <v>32</v>
      </c>
    </row>
    <row r="195" spans="1:6" x14ac:dyDescent="0.25">
      <c r="A195" s="2">
        <v>43407</v>
      </c>
      <c r="B195" s="1" t="s">
        <v>16</v>
      </c>
      <c r="C195" t="s">
        <v>9</v>
      </c>
      <c r="D195" t="s">
        <v>8</v>
      </c>
      <c r="E195">
        <v>48</v>
      </c>
      <c r="F195">
        <v>37</v>
      </c>
    </row>
    <row r="196" spans="1:6" x14ac:dyDescent="0.25">
      <c r="A196" s="2">
        <v>43428</v>
      </c>
      <c r="B196" s="1" t="s">
        <v>17</v>
      </c>
      <c r="C196" t="s">
        <v>9</v>
      </c>
      <c r="D196" t="s">
        <v>14</v>
      </c>
      <c r="E196">
        <v>64</v>
      </c>
      <c r="F196">
        <v>61</v>
      </c>
    </row>
    <row r="197" spans="1:6" x14ac:dyDescent="0.25">
      <c r="A197" s="2">
        <v>43428</v>
      </c>
      <c r="B197" s="1" t="s">
        <v>17</v>
      </c>
      <c r="C197" t="s">
        <v>7</v>
      </c>
      <c r="D197" t="s">
        <v>8</v>
      </c>
      <c r="E197">
        <v>43</v>
      </c>
      <c r="F197">
        <v>63</v>
      </c>
    </row>
    <row r="198" spans="1:6" x14ac:dyDescent="0.25">
      <c r="A198" s="2">
        <v>43428</v>
      </c>
      <c r="B198" s="1" t="s">
        <v>17</v>
      </c>
      <c r="C198" t="s">
        <v>11</v>
      </c>
      <c r="D198" t="s">
        <v>8</v>
      </c>
      <c r="E198">
        <v>24</v>
      </c>
      <c r="F198">
        <v>24</v>
      </c>
    </row>
    <row r="199" spans="1:6" x14ac:dyDescent="0.25">
      <c r="A199" s="2">
        <v>43452</v>
      </c>
      <c r="B199" s="1" t="s">
        <v>18</v>
      </c>
      <c r="C199" t="s">
        <v>9</v>
      </c>
      <c r="D199" t="s">
        <v>14</v>
      </c>
      <c r="E199">
        <v>4</v>
      </c>
      <c r="F199">
        <v>62</v>
      </c>
    </row>
    <row r="200" spans="1:6" x14ac:dyDescent="0.25">
      <c r="A200" s="2">
        <v>43452</v>
      </c>
      <c r="B200" s="1" t="s">
        <v>18</v>
      </c>
      <c r="C200" t="s">
        <v>12</v>
      </c>
      <c r="D200" t="s">
        <v>8</v>
      </c>
      <c r="E200">
        <v>35</v>
      </c>
      <c r="F200">
        <v>19</v>
      </c>
    </row>
    <row r="201" spans="1:6" x14ac:dyDescent="0.25">
      <c r="A201" s="2">
        <v>43452</v>
      </c>
      <c r="B201" s="1" t="s">
        <v>18</v>
      </c>
      <c r="C201" t="s">
        <v>10</v>
      </c>
      <c r="D201" t="s">
        <v>8</v>
      </c>
      <c r="E201">
        <v>41</v>
      </c>
      <c r="F201">
        <v>8</v>
      </c>
    </row>
    <row r="202" spans="1:6" x14ac:dyDescent="0.25">
      <c r="A202" s="2">
        <v>43452</v>
      </c>
      <c r="B202" s="1" t="s">
        <v>18</v>
      </c>
      <c r="C202" t="s">
        <v>7</v>
      </c>
      <c r="D202" t="s">
        <v>8</v>
      </c>
      <c r="E202">
        <v>23</v>
      </c>
      <c r="F202">
        <v>61</v>
      </c>
    </row>
    <row r="203" spans="1:6" x14ac:dyDescent="0.25">
      <c r="A203" s="2">
        <v>43452</v>
      </c>
      <c r="B203" s="1" t="s">
        <v>18</v>
      </c>
      <c r="C203" t="s">
        <v>11</v>
      </c>
      <c r="D203" t="s">
        <v>8</v>
      </c>
      <c r="E203">
        <v>46</v>
      </c>
      <c r="F203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A273-946C-4B50-82A3-444524B306B2}">
  <dimension ref="A1:N204"/>
  <sheetViews>
    <sheetView tabSelected="1" zoomScale="145" zoomScaleNormal="145" workbookViewId="0">
      <selection activeCell="M11" sqref="M11"/>
    </sheetView>
  </sheetViews>
  <sheetFormatPr defaultRowHeight="15" x14ac:dyDescent="0.25"/>
  <cols>
    <col min="1" max="1" width="10.42578125" bestFit="1" customWidth="1"/>
    <col min="6" max="6" width="21.85546875" bestFit="1" customWidth="1"/>
    <col min="9" max="9" width="18.42578125" bestFit="1" customWidth="1"/>
    <col min="10" max="10" width="10.42578125" bestFit="1" customWidth="1"/>
    <col min="13" max="13" width="16.140625" bestFit="1" customWidth="1"/>
  </cols>
  <sheetData>
    <row r="1" spans="1:14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H1" t="s">
        <v>80</v>
      </c>
      <c r="I1" t="s">
        <v>81</v>
      </c>
    </row>
    <row r="2" spans="1:14" x14ac:dyDescent="0.25">
      <c r="H2">
        <v>6399</v>
      </c>
      <c r="I2">
        <v>0</v>
      </c>
      <c r="J2" s="16"/>
      <c r="K2" s="21">
        <f>IF(I2=1,H2,0)</f>
        <v>0</v>
      </c>
      <c r="M2" s="16">
        <v>43452</v>
      </c>
      <c r="N2" s="13">
        <v>545844</v>
      </c>
    </row>
    <row r="3" spans="1:14" x14ac:dyDescent="0.25">
      <c r="A3" s="2">
        <v>42370</v>
      </c>
      <c r="B3" s="1" t="s">
        <v>6</v>
      </c>
      <c r="C3" t="s">
        <v>7</v>
      </c>
      <c r="D3" t="s">
        <v>8</v>
      </c>
      <c r="E3">
        <v>3</v>
      </c>
      <c r="F3">
        <v>80</v>
      </c>
      <c r="H3">
        <f>IF(D3="Z",H2-(E3*F3),H2+(E3*F3))</f>
        <v>6159</v>
      </c>
      <c r="I3">
        <v>0</v>
      </c>
      <c r="K3" s="21">
        <f>IF(I3=1,H3,0)</f>
        <v>0</v>
      </c>
      <c r="M3" s="16">
        <v>43381</v>
      </c>
      <c r="N3" s="13">
        <v>550079</v>
      </c>
    </row>
    <row r="4" spans="1:14" x14ac:dyDescent="0.25">
      <c r="A4" s="2">
        <v>42370</v>
      </c>
      <c r="B4" s="1" t="s">
        <v>6</v>
      </c>
      <c r="C4" t="s">
        <v>9</v>
      </c>
      <c r="D4" t="s">
        <v>8</v>
      </c>
      <c r="E4">
        <v>32</v>
      </c>
      <c r="F4">
        <v>50</v>
      </c>
      <c r="H4">
        <f t="shared" ref="H4:H67" si="0">IF(D4="Z",H3-(E4*F4),H3+(E4*F4))</f>
        <v>4559</v>
      </c>
      <c r="I4">
        <f>IF(B4&lt;&gt;B5,1,0)</f>
        <v>0</v>
      </c>
      <c r="K4" s="21">
        <f>IF(I4=1,H4,0)</f>
        <v>0</v>
      </c>
    </row>
    <row r="5" spans="1:14" x14ac:dyDescent="0.25">
      <c r="A5" s="2">
        <v>42370</v>
      </c>
      <c r="B5" s="1" t="s">
        <v>6</v>
      </c>
      <c r="C5" t="s">
        <v>10</v>
      </c>
      <c r="D5" t="s">
        <v>8</v>
      </c>
      <c r="E5">
        <v>38</v>
      </c>
      <c r="F5">
        <v>10</v>
      </c>
      <c r="H5">
        <f t="shared" si="0"/>
        <v>4179</v>
      </c>
      <c r="I5">
        <f>IF(B5&lt;&gt;B6,1,0)</f>
        <v>0</v>
      </c>
      <c r="K5" s="21">
        <f>IF(I5=1,H5,0)</f>
        <v>0</v>
      </c>
      <c r="M5" s="13" t="s">
        <v>82</v>
      </c>
      <c r="N5" s="13">
        <f>H2</f>
        <v>6399</v>
      </c>
    </row>
    <row r="6" spans="1:14" x14ac:dyDescent="0.25">
      <c r="A6" s="2">
        <v>42370</v>
      </c>
      <c r="B6" s="1" t="s">
        <v>6</v>
      </c>
      <c r="C6" t="s">
        <v>11</v>
      </c>
      <c r="D6" t="s">
        <v>8</v>
      </c>
      <c r="E6">
        <v>33</v>
      </c>
      <c r="F6">
        <v>30</v>
      </c>
      <c r="H6">
        <f t="shared" si="0"/>
        <v>3189</v>
      </c>
      <c r="I6">
        <f>IF(B6&lt;&gt;B7,1,0)</f>
        <v>0</v>
      </c>
      <c r="K6" s="21">
        <f>IF(I6=1,H6,0)</f>
        <v>0</v>
      </c>
      <c r="M6">
        <f>MAX(K2:K204)</f>
        <v>56478</v>
      </c>
    </row>
    <row r="7" spans="1:14" x14ac:dyDescent="0.25">
      <c r="A7" s="2">
        <v>42370</v>
      </c>
      <c r="B7" s="1" t="s">
        <v>6</v>
      </c>
      <c r="C7" t="s">
        <v>12</v>
      </c>
      <c r="D7" t="s">
        <v>8</v>
      </c>
      <c r="E7">
        <v>43</v>
      </c>
      <c r="F7">
        <v>25</v>
      </c>
      <c r="H7">
        <f t="shared" si="0"/>
        <v>2114</v>
      </c>
      <c r="I7">
        <f>IF(B7&lt;&gt;B8,1,0)</f>
        <v>1</v>
      </c>
      <c r="K7" s="21">
        <f>IF(I7=1,H7,0)</f>
        <v>2114</v>
      </c>
    </row>
    <row r="8" spans="1:14" x14ac:dyDescent="0.25">
      <c r="A8" s="2">
        <v>42385</v>
      </c>
      <c r="B8" s="1" t="s">
        <v>13</v>
      </c>
      <c r="C8" t="s">
        <v>9</v>
      </c>
      <c r="D8" t="s">
        <v>14</v>
      </c>
      <c r="E8">
        <v>32</v>
      </c>
      <c r="F8">
        <v>58</v>
      </c>
      <c r="H8">
        <f t="shared" si="0"/>
        <v>3970</v>
      </c>
      <c r="I8">
        <f>IF(B8&lt;&gt;B9,1,0)</f>
        <v>0</v>
      </c>
      <c r="K8" s="21">
        <f>IF(I8=1,H8,0)</f>
        <v>0</v>
      </c>
      <c r="M8" t="str">
        <f>IF(MIN(H2:H204)&gt;=0,"GIT","NIE")</f>
        <v>GIT</v>
      </c>
    </row>
    <row r="9" spans="1:14" x14ac:dyDescent="0.25">
      <c r="A9" s="2">
        <v>42385</v>
      </c>
      <c r="B9" s="1" t="s">
        <v>13</v>
      </c>
      <c r="C9" t="s">
        <v>11</v>
      </c>
      <c r="D9" t="s">
        <v>8</v>
      </c>
      <c r="E9">
        <v>14</v>
      </c>
      <c r="F9">
        <v>26</v>
      </c>
      <c r="H9">
        <f t="shared" si="0"/>
        <v>3606</v>
      </c>
      <c r="I9">
        <f>IF(B9&lt;&gt;B10,1,0)</f>
        <v>1</v>
      </c>
      <c r="K9" s="21">
        <f>IF(I9=1,H9,0)</f>
        <v>3606</v>
      </c>
    </row>
    <row r="10" spans="1:14" x14ac:dyDescent="0.25">
      <c r="A10" s="2">
        <v>42393</v>
      </c>
      <c r="B10" s="1" t="s">
        <v>15</v>
      </c>
      <c r="C10" t="s">
        <v>9</v>
      </c>
      <c r="D10" t="s">
        <v>8</v>
      </c>
      <c r="E10">
        <v>44</v>
      </c>
      <c r="F10">
        <v>46</v>
      </c>
      <c r="H10">
        <f t="shared" si="0"/>
        <v>1582</v>
      </c>
      <c r="I10">
        <f>IF(B10&lt;&gt;B11,1,0)</f>
        <v>0</v>
      </c>
      <c r="K10" s="21">
        <f>IF(I10=1,H10,0)</f>
        <v>0</v>
      </c>
    </row>
    <row r="11" spans="1:14" x14ac:dyDescent="0.25">
      <c r="A11" s="2">
        <v>42393</v>
      </c>
      <c r="B11" s="1" t="s">
        <v>15</v>
      </c>
      <c r="C11" t="s">
        <v>11</v>
      </c>
      <c r="D11" t="s">
        <v>8</v>
      </c>
      <c r="E11">
        <v>1</v>
      </c>
      <c r="F11">
        <v>28</v>
      </c>
      <c r="H11">
        <f t="shared" si="0"/>
        <v>1554</v>
      </c>
      <c r="I11">
        <f>IF(B11&lt;&gt;B12,1,0)</f>
        <v>0</v>
      </c>
      <c r="K11" s="21">
        <f>IF(I11=1,H11,0)</f>
        <v>0</v>
      </c>
    </row>
    <row r="12" spans="1:14" x14ac:dyDescent="0.25">
      <c r="A12" s="2">
        <v>42393</v>
      </c>
      <c r="B12" s="1" t="s">
        <v>15</v>
      </c>
      <c r="C12" t="s">
        <v>7</v>
      </c>
      <c r="D12" t="s">
        <v>8</v>
      </c>
      <c r="E12">
        <v>21</v>
      </c>
      <c r="F12">
        <v>74</v>
      </c>
      <c r="H12">
        <f t="shared" si="0"/>
        <v>0</v>
      </c>
      <c r="I12">
        <f>IF(B12&lt;&gt;B13,1,0)</f>
        <v>1</v>
      </c>
      <c r="K12" s="21">
        <f>IF(I12=1,H12,0)</f>
        <v>0</v>
      </c>
    </row>
    <row r="13" spans="1:14" x14ac:dyDescent="0.25">
      <c r="A13" s="2">
        <v>42419</v>
      </c>
      <c r="B13" s="1" t="s">
        <v>16</v>
      </c>
      <c r="C13" t="s">
        <v>12</v>
      </c>
      <c r="D13" t="s">
        <v>14</v>
      </c>
      <c r="E13">
        <v>43</v>
      </c>
      <c r="F13">
        <v>32</v>
      </c>
      <c r="H13">
        <f t="shared" si="0"/>
        <v>1376</v>
      </c>
      <c r="I13">
        <f>IF(B13&lt;&gt;B14,1,0)</f>
        <v>0</v>
      </c>
      <c r="K13" s="21">
        <f>IF(I13=1,H13,0)</f>
        <v>0</v>
      </c>
    </row>
    <row r="14" spans="1:14" x14ac:dyDescent="0.25">
      <c r="A14" s="2">
        <v>42419</v>
      </c>
      <c r="B14" s="1" t="s">
        <v>16</v>
      </c>
      <c r="C14" t="s">
        <v>10</v>
      </c>
      <c r="D14" t="s">
        <v>14</v>
      </c>
      <c r="E14">
        <v>38</v>
      </c>
      <c r="F14">
        <v>13</v>
      </c>
      <c r="H14">
        <f t="shared" si="0"/>
        <v>1870</v>
      </c>
      <c r="I14">
        <f>IF(B14&lt;&gt;B15,1,0)</f>
        <v>0</v>
      </c>
      <c r="K14" s="21">
        <f>IF(I14=1,H14,0)</f>
        <v>0</v>
      </c>
    </row>
    <row r="15" spans="1:14" x14ac:dyDescent="0.25">
      <c r="A15" s="2">
        <v>42419</v>
      </c>
      <c r="B15" s="1" t="s">
        <v>16</v>
      </c>
      <c r="C15" t="s">
        <v>7</v>
      </c>
      <c r="D15" t="s">
        <v>8</v>
      </c>
      <c r="E15">
        <v>9</v>
      </c>
      <c r="F15">
        <v>59</v>
      </c>
      <c r="H15">
        <f t="shared" si="0"/>
        <v>1339</v>
      </c>
      <c r="I15">
        <f>IF(B15&lt;&gt;B16,1,0)</f>
        <v>0</v>
      </c>
      <c r="K15" s="21">
        <f>IF(I15=1,H15,0)</f>
        <v>0</v>
      </c>
    </row>
    <row r="16" spans="1:14" x14ac:dyDescent="0.25">
      <c r="A16" s="2">
        <v>42419</v>
      </c>
      <c r="B16" s="1" t="s">
        <v>16</v>
      </c>
      <c r="C16" t="s">
        <v>9</v>
      </c>
      <c r="D16" t="s">
        <v>8</v>
      </c>
      <c r="E16">
        <v>8</v>
      </c>
      <c r="F16">
        <v>37</v>
      </c>
      <c r="H16">
        <f t="shared" si="0"/>
        <v>1043</v>
      </c>
      <c r="I16">
        <f>IF(B16&lt;&gt;B17,1,0)</f>
        <v>1</v>
      </c>
      <c r="K16" s="21">
        <f>IF(I16=1,H16,0)</f>
        <v>1043</v>
      </c>
    </row>
    <row r="17" spans="1:11" x14ac:dyDescent="0.25">
      <c r="A17" s="2">
        <v>42440</v>
      </c>
      <c r="B17" s="1" t="s">
        <v>17</v>
      </c>
      <c r="C17" t="s">
        <v>9</v>
      </c>
      <c r="D17" t="s">
        <v>14</v>
      </c>
      <c r="E17">
        <v>50</v>
      </c>
      <c r="F17">
        <v>61</v>
      </c>
      <c r="H17">
        <f t="shared" si="0"/>
        <v>4093</v>
      </c>
      <c r="I17">
        <f>IF(B17&lt;&gt;B18,1,0)</f>
        <v>0</v>
      </c>
      <c r="K17" s="21">
        <f>IF(I17=1,H17,0)</f>
        <v>0</v>
      </c>
    </row>
    <row r="18" spans="1:11" x14ac:dyDescent="0.25">
      <c r="A18" s="2">
        <v>42440</v>
      </c>
      <c r="B18" s="1" t="s">
        <v>17</v>
      </c>
      <c r="C18" t="s">
        <v>12</v>
      </c>
      <c r="D18" t="s">
        <v>8</v>
      </c>
      <c r="E18">
        <v>32</v>
      </c>
      <c r="F18">
        <v>20</v>
      </c>
      <c r="H18">
        <f t="shared" si="0"/>
        <v>3453</v>
      </c>
      <c r="I18">
        <f>IF(B18&lt;&gt;B19,1,0)</f>
        <v>0</v>
      </c>
      <c r="K18" s="21">
        <f>IF(I18=1,H18,0)</f>
        <v>0</v>
      </c>
    </row>
    <row r="19" spans="1:11" x14ac:dyDescent="0.25">
      <c r="A19" s="2">
        <v>42440</v>
      </c>
      <c r="B19" s="1" t="s">
        <v>17</v>
      </c>
      <c r="C19" t="s">
        <v>10</v>
      </c>
      <c r="D19" t="s">
        <v>8</v>
      </c>
      <c r="E19">
        <v>7</v>
      </c>
      <c r="F19">
        <v>8</v>
      </c>
      <c r="H19">
        <f t="shared" si="0"/>
        <v>3397</v>
      </c>
      <c r="I19">
        <f>IF(B19&lt;&gt;B20,1,0)</f>
        <v>0</v>
      </c>
      <c r="K19" s="21">
        <f>IF(I19=1,H19,0)</f>
        <v>0</v>
      </c>
    </row>
    <row r="20" spans="1:11" x14ac:dyDescent="0.25">
      <c r="A20" s="2">
        <v>42440</v>
      </c>
      <c r="B20" s="1" t="s">
        <v>17</v>
      </c>
      <c r="C20" t="s">
        <v>11</v>
      </c>
      <c r="D20" t="s">
        <v>8</v>
      </c>
      <c r="E20">
        <v>10</v>
      </c>
      <c r="F20">
        <v>24</v>
      </c>
      <c r="H20">
        <f t="shared" si="0"/>
        <v>3157</v>
      </c>
      <c r="I20">
        <f>IF(B20&lt;&gt;B21,1,0)</f>
        <v>1</v>
      </c>
      <c r="K20" s="21">
        <f>IF(I20=1,H20,0)</f>
        <v>3157</v>
      </c>
    </row>
    <row r="21" spans="1:11" x14ac:dyDescent="0.25">
      <c r="A21" s="2">
        <v>42464</v>
      </c>
      <c r="B21" s="1" t="s">
        <v>18</v>
      </c>
      <c r="C21" t="s">
        <v>10</v>
      </c>
      <c r="D21" t="s">
        <v>14</v>
      </c>
      <c r="E21">
        <v>7</v>
      </c>
      <c r="F21">
        <v>12</v>
      </c>
      <c r="H21">
        <f t="shared" si="0"/>
        <v>3241</v>
      </c>
      <c r="I21">
        <f>IF(B21&lt;&gt;B22,1,0)</f>
        <v>0</v>
      </c>
      <c r="K21" s="21">
        <f>IF(I21=1,H21,0)</f>
        <v>0</v>
      </c>
    </row>
    <row r="22" spans="1:11" x14ac:dyDescent="0.25">
      <c r="A22" s="2">
        <v>42464</v>
      </c>
      <c r="B22" s="1" t="s">
        <v>18</v>
      </c>
      <c r="C22" t="s">
        <v>12</v>
      </c>
      <c r="D22" t="s">
        <v>8</v>
      </c>
      <c r="E22">
        <v>25</v>
      </c>
      <c r="F22">
        <v>19</v>
      </c>
      <c r="H22">
        <f t="shared" si="0"/>
        <v>2766</v>
      </c>
      <c r="I22">
        <f>IF(B22&lt;&gt;B23,1,0)</f>
        <v>0</v>
      </c>
      <c r="K22" s="21">
        <f>IF(I22=1,H22,0)</f>
        <v>0</v>
      </c>
    </row>
    <row r="23" spans="1:11" x14ac:dyDescent="0.25">
      <c r="A23" s="2">
        <v>42464</v>
      </c>
      <c r="B23" s="1" t="s">
        <v>18</v>
      </c>
      <c r="C23" t="s">
        <v>9</v>
      </c>
      <c r="D23" t="s">
        <v>8</v>
      </c>
      <c r="E23">
        <v>33</v>
      </c>
      <c r="F23">
        <v>38</v>
      </c>
      <c r="H23">
        <f t="shared" si="0"/>
        <v>1512</v>
      </c>
      <c r="I23">
        <f>IF(B23&lt;&gt;B24,1,0)</f>
        <v>1</v>
      </c>
      <c r="K23" s="21">
        <f>IF(I23=1,H23,0)</f>
        <v>1512</v>
      </c>
    </row>
    <row r="24" spans="1:11" x14ac:dyDescent="0.25">
      <c r="A24" s="2">
        <v>42482</v>
      </c>
      <c r="B24" s="1" t="s">
        <v>19</v>
      </c>
      <c r="C24" t="s">
        <v>11</v>
      </c>
      <c r="D24" t="s">
        <v>14</v>
      </c>
      <c r="E24">
        <v>36</v>
      </c>
      <c r="F24">
        <v>35</v>
      </c>
      <c r="H24">
        <f t="shared" si="0"/>
        <v>2772</v>
      </c>
      <c r="I24">
        <f>IF(B24&lt;&gt;B25,1,0)</f>
        <v>0</v>
      </c>
      <c r="K24" s="21">
        <f>IF(I24=1,H24,0)</f>
        <v>0</v>
      </c>
    </row>
    <row r="25" spans="1:11" x14ac:dyDescent="0.25">
      <c r="A25" s="2">
        <v>42482</v>
      </c>
      <c r="B25" s="1" t="s">
        <v>19</v>
      </c>
      <c r="C25" t="s">
        <v>7</v>
      </c>
      <c r="D25" t="s">
        <v>8</v>
      </c>
      <c r="E25">
        <v>5</v>
      </c>
      <c r="F25">
        <v>66</v>
      </c>
      <c r="H25">
        <f t="shared" si="0"/>
        <v>2442</v>
      </c>
      <c r="I25">
        <f>IF(B25&lt;&gt;B26,1,0)</f>
        <v>0</v>
      </c>
      <c r="K25" s="21">
        <f>IF(I25=1,H25,0)</f>
        <v>0</v>
      </c>
    </row>
    <row r="26" spans="1:11" x14ac:dyDescent="0.25">
      <c r="A26" s="2">
        <v>42482</v>
      </c>
      <c r="B26" s="1" t="s">
        <v>19</v>
      </c>
      <c r="C26" t="s">
        <v>9</v>
      </c>
      <c r="D26" t="s">
        <v>8</v>
      </c>
      <c r="E26">
        <v>35</v>
      </c>
      <c r="F26">
        <v>41</v>
      </c>
      <c r="H26">
        <f t="shared" si="0"/>
        <v>1007</v>
      </c>
      <c r="I26">
        <f>IF(B26&lt;&gt;B27,1,0)</f>
        <v>1</v>
      </c>
      <c r="K26" s="21">
        <f>IF(I26=1,H26,0)</f>
        <v>1007</v>
      </c>
    </row>
    <row r="27" spans="1:11" x14ac:dyDescent="0.25">
      <c r="A27" s="2">
        <v>42504</v>
      </c>
      <c r="B27" s="1" t="s">
        <v>20</v>
      </c>
      <c r="C27" t="s">
        <v>7</v>
      </c>
      <c r="D27" t="s">
        <v>14</v>
      </c>
      <c r="E27">
        <v>38</v>
      </c>
      <c r="F27">
        <v>98</v>
      </c>
      <c r="H27">
        <f t="shared" si="0"/>
        <v>4731</v>
      </c>
      <c r="I27">
        <f>IF(B27&lt;&gt;B28,1,0)</f>
        <v>0</v>
      </c>
      <c r="K27" s="21">
        <f>IF(I27=1,H27,0)</f>
        <v>0</v>
      </c>
    </row>
    <row r="28" spans="1:11" x14ac:dyDescent="0.25">
      <c r="A28" s="2">
        <v>42504</v>
      </c>
      <c r="B28" s="1" t="s">
        <v>20</v>
      </c>
      <c r="C28" t="s">
        <v>11</v>
      </c>
      <c r="D28" t="s">
        <v>8</v>
      </c>
      <c r="E28">
        <v>10</v>
      </c>
      <c r="F28">
        <v>23</v>
      </c>
      <c r="H28">
        <f t="shared" si="0"/>
        <v>4501</v>
      </c>
      <c r="I28">
        <f>IF(B28&lt;&gt;B29,1,0)</f>
        <v>1</v>
      </c>
      <c r="K28" s="21">
        <f>IF(I28=1,H28,0)</f>
        <v>4501</v>
      </c>
    </row>
    <row r="29" spans="1:11" x14ac:dyDescent="0.25">
      <c r="A29" s="2">
        <v>42529</v>
      </c>
      <c r="B29" s="1" t="s">
        <v>21</v>
      </c>
      <c r="C29" t="s">
        <v>11</v>
      </c>
      <c r="D29" t="s">
        <v>14</v>
      </c>
      <c r="E29">
        <v>4</v>
      </c>
      <c r="F29">
        <v>38</v>
      </c>
      <c r="H29">
        <f t="shared" si="0"/>
        <v>4653</v>
      </c>
      <c r="I29">
        <f>IF(B29&lt;&gt;B30,1,0)</f>
        <v>0</v>
      </c>
      <c r="K29" s="21">
        <f>IF(I29=1,H29,0)</f>
        <v>0</v>
      </c>
    </row>
    <row r="30" spans="1:11" x14ac:dyDescent="0.25">
      <c r="A30" s="2">
        <v>42529</v>
      </c>
      <c r="B30" s="1" t="s">
        <v>21</v>
      </c>
      <c r="C30" t="s">
        <v>7</v>
      </c>
      <c r="D30" t="s">
        <v>8</v>
      </c>
      <c r="E30">
        <v>42</v>
      </c>
      <c r="F30">
        <v>60</v>
      </c>
      <c r="H30">
        <f t="shared" si="0"/>
        <v>2133</v>
      </c>
      <c r="I30">
        <f>IF(B30&lt;&gt;B31,1,0)</f>
        <v>0</v>
      </c>
      <c r="K30" s="21">
        <f>IF(I30=1,H30,0)</f>
        <v>0</v>
      </c>
    </row>
    <row r="31" spans="1:11" x14ac:dyDescent="0.25">
      <c r="A31" s="2">
        <v>42529</v>
      </c>
      <c r="B31" s="1" t="s">
        <v>21</v>
      </c>
      <c r="C31" t="s">
        <v>10</v>
      </c>
      <c r="D31" t="s">
        <v>8</v>
      </c>
      <c r="E31">
        <v>28</v>
      </c>
      <c r="F31">
        <v>8</v>
      </c>
      <c r="H31">
        <f t="shared" si="0"/>
        <v>1909</v>
      </c>
      <c r="I31">
        <f>IF(B31&lt;&gt;B32,1,0)</f>
        <v>0</v>
      </c>
      <c r="K31" s="21">
        <f>IF(I31=1,H31,0)</f>
        <v>0</v>
      </c>
    </row>
    <row r="32" spans="1:11" x14ac:dyDescent="0.25">
      <c r="A32" s="2">
        <v>42529</v>
      </c>
      <c r="B32" s="1" t="s">
        <v>21</v>
      </c>
      <c r="C32" t="s">
        <v>12</v>
      </c>
      <c r="D32" t="s">
        <v>8</v>
      </c>
      <c r="E32">
        <v>19</v>
      </c>
      <c r="F32">
        <v>19</v>
      </c>
      <c r="H32">
        <f t="shared" si="0"/>
        <v>1548</v>
      </c>
      <c r="I32">
        <f>IF(B32&lt;&gt;B33,1,0)</f>
        <v>1</v>
      </c>
      <c r="K32" s="21">
        <f>IF(I32=1,H32,0)</f>
        <v>1548</v>
      </c>
    </row>
    <row r="33" spans="1:11" x14ac:dyDescent="0.25">
      <c r="A33" s="2">
        <v>42542</v>
      </c>
      <c r="B33" s="1" t="s">
        <v>22</v>
      </c>
      <c r="C33" t="s">
        <v>12</v>
      </c>
      <c r="D33" t="s">
        <v>14</v>
      </c>
      <c r="E33">
        <v>72</v>
      </c>
      <c r="F33">
        <v>28</v>
      </c>
      <c r="H33">
        <f t="shared" si="0"/>
        <v>3564</v>
      </c>
      <c r="I33">
        <f>IF(B33&lt;&gt;B34,1,0)</f>
        <v>0</v>
      </c>
      <c r="K33" s="21">
        <f>IF(I33=1,H33,0)</f>
        <v>0</v>
      </c>
    </row>
    <row r="34" spans="1:11" x14ac:dyDescent="0.25">
      <c r="A34" s="2">
        <v>42542</v>
      </c>
      <c r="B34" s="1" t="s">
        <v>22</v>
      </c>
      <c r="C34" t="s">
        <v>7</v>
      </c>
      <c r="D34" t="s">
        <v>14</v>
      </c>
      <c r="E34">
        <v>42</v>
      </c>
      <c r="F34">
        <v>90</v>
      </c>
      <c r="H34">
        <f t="shared" si="0"/>
        <v>7344</v>
      </c>
      <c r="I34">
        <f>IF(B34&lt;&gt;B35,1,0)</f>
        <v>0</v>
      </c>
      <c r="K34" s="21">
        <f>IF(I34=1,H34,0)</f>
        <v>0</v>
      </c>
    </row>
    <row r="35" spans="1:11" x14ac:dyDescent="0.25">
      <c r="A35" s="2">
        <v>42542</v>
      </c>
      <c r="B35" s="1" t="s">
        <v>22</v>
      </c>
      <c r="C35" t="s">
        <v>9</v>
      </c>
      <c r="D35" t="s">
        <v>8</v>
      </c>
      <c r="E35">
        <v>42</v>
      </c>
      <c r="F35">
        <v>44</v>
      </c>
      <c r="H35">
        <f t="shared" si="0"/>
        <v>5496</v>
      </c>
      <c r="I35">
        <f>IF(B35&lt;&gt;B36,1,0)</f>
        <v>0</v>
      </c>
      <c r="K35" s="21">
        <f>IF(I35=1,H35,0)</f>
        <v>0</v>
      </c>
    </row>
    <row r="36" spans="1:11" x14ac:dyDescent="0.25">
      <c r="A36" s="2">
        <v>42542</v>
      </c>
      <c r="B36" s="1" t="s">
        <v>22</v>
      </c>
      <c r="C36" t="s">
        <v>11</v>
      </c>
      <c r="D36" t="s">
        <v>8</v>
      </c>
      <c r="E36">
        <v>33</v>
      </c>
      <c r="F36">
        <v>26</v>
      </c>
      <c r="H36">
        <f t="shared" si="0"/>
        <v>4638</v>
      </c>
      <c r="I36">
        <f>IF(B36&lt;&gt;B37,1,0)</f>
        <v>0</v>
      </c>
      <c r="K36" s="21">
        <f>IF(I36=1,H36,0)</f>
        <v>0</v>
      </c>
    </row>
    <row r="37" spans="1:11" x14ac:dyDescent="0.25">
      <c r="A37" s="2">
        <v>42542</v>
      </c>
      <c r="B37" s="1" t="s">
        <v>22</v>
      </c>
      <c r="C37" t="s">
        <v>10</v>
      </c>
      <c r="D37" t="s">
        <v>8</v>
      </c>
      <c r="E37">
        <v>9</v>
      </c>
      <c r="F37">
        <v>9</v>
      </c>
      <c r="H37">
        <f t="shared" si="0"/>
        <v>4557</v>
      </c>
      <c r="I37">
        <f>IF(B37&lt;&gt;B38,1,0)</f>
        <v>1</v>
      </c>
      <c r="K37" s="21">
        <f>IF(I37=1,H37,0)</f>
        <v>4557</v>
      </c>
    </row>
    <row r="38" spans="1:11" x14ac:dyDescent="0.25">
      <c r="A38" s="2">
        <v>42559</v>
      </c>
      <c r="B38" s="1" t="s">
        <v>6</v>
      </c>
      <c r="C38" t="s">
        <v>12</v>
      </c>
      <c r="D38" t="s">
        <v>14</v>
      </c>
      <c r="E38">
        <v>4</v>
      </c>
      <c r="F38">
        <v>29</v>
      </c>
      <c r="H38">
        <f t="shared" si="0"/>
        <v>4673</v>
      </c>
      <c r="I38">
        <f>IF(B38&lt;&gt;B39,1,0)</f>
        <v>0</v>
      </c>
      <c r="K38" s="21">
        <f>IF(I38=1,H38,0)</f>
        <v>0</v>
      </c>
    </row>
    <row r="39" spans="1:11" x14ac:dyDescent="0.25">
      <c r="A39" s="2">
        <v>42559</v>
      </c>
      <c r="B39" s="1" t="s">
        <v>6</v>
      </c>
      <c r="C39" t="s">
        <v>10</v>
      </c>
      <c r="D39" t="s">
        <v>14</v>
      </c>
      <c r="E39">
        <v>37</v>
      </c>
      <c r="F39">
        <v>12</v>
      </c>
      <c r="H39">
        <f t="shared" si="0"/>
        <v>5117</v>
      </c>
      <c r="I39">
        <f>IF(B39&lt;&gt;B40,1,0)</f>
        <v>0</v>
      </c>
      <c r="K39" s="21">
        <f>IF(I39=1,H39,0)</f>
        <v>0</v>
      </c>
    </row>
    <row r="40" spans="1:11" x14ac:dyDescent="0.25">
      <c r="A40" s="2">
        <v>42559</v>
      </c>
      <c r="B40" s="1" t="s">
        <v>6</v>
      </c>
      <c r="C40" t="s">
        <v>9</v>
      </c>
      <c r="D40" t="s">
        <v>8</v>
      </c>
      <c r="E40">
        <v>35</v>
      </c>
      <c r="F40">
        <v>42</v>
      </c>
      <c r="H40">
        <f t="shared" si="0"/>
        <v>3647</v>
      </c>
      <c r="I40">
        <f>IF(B40&lt;&gt;B41,1,0)</f>
        <v>0</v>
      </c>
      <c r="K40" s="21">
        <f>IF(I40=1,H40,0)</f>
        <v>0</v>
      </c>
    </row>
    <row r="41" spans="1:11" x14ac:dyDescent="0.25">
      <c r="A41" s="2">
        <v>42559</v>
      </c>
      <c r="B41" s="1" t="s">
        <v>6</v>
      </c>
      <c r="C41" t="s">
        <v>7</v>
      </c>
      <c r="D41" t="s">
        <v>8</v>
      </c>
      <c r="E41">
        <v>32</v>
      </c>
      <c r="F41">
        <v>66</v>
      </c>
      <c r="H41">
        <f t="shared" si="0"/>
        <v>1535</v>
      </c>
      <c r="I41">
        <f>IF(B41&lt;&gt;B42,1,0)</f>
        <v>1</v>
      </c>
      <c r="K41" s="21">
        <f>IF(I41=1,H41,0)</f>
        <v>1535</v>
      </c>
    </row>
    <row r="42" spans="1:11" x14ac:dyDescent="0.25">
      <c r="A42" s="2">
        <v>42574</v>
      </c>
      <c r="B42" s="1" t="s">
        <v>13</v>
      </c>
      <c r="C42" t="s">
        <v>7</v>
      </c>
      <c r="D42" t="s">
        <v>14</v>
      </c>
      <c r="E42">
        <v>32</v>
      </c>
      <c r="F42">
        <v>92</v>
      </c>
      <c r="H42">
        <f t="shared" si="0"/>
        <v>4479</v>
      </c>
      <c r="I42">
        <f>IF(B42&lt;&gt;B43,1,0)</f>
        <v>0</v>
      </c>
      <c r="K42" s="21">
        <f>IF(I42=1,H42,0)</f>
        <v>0</v>
      </c>
    </row>
    <row r="43" spans="1:11" x14ac:dyDescent="0.25">
      <c r="A43" s="2">
        <v>42574</v>
      </c>
      <c r="B43" s="1" t="s">
        <v>13</v>
      </c>
      <c r="C43" t="s">
        <v>9</v>
      </c>
      <c r="D43" t="s">
        <v>8</v>
      </c>
      <c r="E43">
        <v>48</v>
      </c>
      <c r="F43">
        <v>43</v>
      </c>
      <c r="H43">
        <f t="shared" si="0"/>
        <v>2415</v>
      </c>
      <c r="I43">
        <f>IF(B43&lt;&gt;B44,1,0)</f>
        <v>1</v>
      </c>
      <c r="K43" s="21">
        <f>IF(I43=1,H43,0)</f>
        <v>2415</v>
      </c>
    </row>
    <row r="44" spans="1:11" x14ac:dyDescent="0.25">
      <c r="A44" s="2">
        <v>42593</v>
      </c>
      <c r="B44" s="1" t="s">
        <v>15</v>
      </c>
      <c r="C44" t="s">
        <v>9</v>
      </c>
      <c r="D44" t="s">
        <v>14</v>
      </c>
      <c r="E44">
        <v>191</v>
      </c>
      <c r="F44">
        <v>60</v>
      </c>
      <c r="H44">
        <f t="shared" si="0"/>
        <v>13875</v>
      </c>
      <c r="I44">
        <f>IF(B44&lt;&gt;B45,1,0)</f>
        <v>0</v>
      </c>
      <c r="K44" s="21">
        <f>IF(I44=1,H44,0)</f>
        <v>0</v>
      </c>
    </row>
    <row r="45" spans="1:11" x14ac:dyDescent="0.25">
      <c r="A45" s="2">
        <v>42593</v>
      </c>
      <c r="B45" s="1" t="s">
        <v>15</v>
      </c>
      <c r="C45" t="s">
        <v>11</v>
      </c>
      <c r="D45" t="s">
        <v>8</v>
      </c>
      <c r="E45">
        <v>9</v>
      </c>
      <c r="F45">
        <v>24</v>
      </c>
      <c r="H45">
        <f t="shared" si="0"/>
        <v>13659</v>
      </c>
      <c r="I45">
        <f>IF(B45&lt;&gt;B46,1,0)</f>
        <v>0</v>
      </c>
      <c r="K45" s="21">
        <f>IF(I45=1,H45,0)</f>
        <v>0</v>
      </c>
    </row>
    <row r="46" spans="1:11" x14ac:dyDescent="0.25">
      <c r="A46" s="2">
        <v>42593</v>
      </c>
      <c r="B46" s="1" t="s">
        <v>15</v>
      </c>
      <c r="C46" t="s">
        <v>7</v>
      </c>
      <c r="D46" t="s">
        <v>8</v>
      </c>
      <c r="E46">
        <v>36</v>
      </c>
      <c r="F46">
        <v>65</v>
      </c>
      <c r="H46">
        <f t="shared" si="0"/>
        <v>11319</v>
      </c>
      <c r="I46">
        <f>IF(B46&lt;&gt;B47,1,0)</f>
        <v>1</v>
      </c>
      <c r="K46" s="21">
        <f>IF(I46=1,H46,0)</f>
        <v>11319</v>
      </c>
    </row>
    <row r="47" spans="1:11" x14ac:dyDescent="0.25">
      <c r="A47" s="2">
        <v>42619</v>
      </c>
      <c r="B47" s="1" t="s">
        <v>16</v>
      </c>
      <c r="C47" t="s">
        <v>10</v>
      </c>
      <c r="D47" t="s">
        <v>8</v>
      </c>
      <c r="E47">
        <v>47</v>
      </c>
      <c r="F47">
        <v>7</v>
      </c>
      <c r="H47">
        <f t="shared" si="0"/>
        <v>10990</v>
      </c>
      <c r="I47">
        <f>IF(B47&lt;&gt;B48,1,0)</f>
        <v>0</v>
      </c>
      <c r="K47" s="21">
        <f>IF(I47=1,H47,0)</f>
        <v>0</v>
      </c>
    </row>
    <row r="48" spans="1:11" x14ac:dyDescent="0.25">
      <c r="A48" s="2">
        <v>42619</v>
      </c>
      <c r="B48" s="1" t="s">
        <v>16</v>
      </c>
      <c r="C48" t="s">
        <v>9</v>
      </c>
      <c r="D48" t="s">
        <v>14</v>
      </c>
      <c r="E48">
        <v>4</v>
      </c>
      <c r="F48">
        <v>63</v>
      </c>
      <c r="H48">
        <f t="shared" si="0"/>
        <v>11242</v>
      </c>
      <c r="I48">
        <f>IF(B48&lt;&gt;B49,1,0)</f>
        <v>0</v>
      </c>
      <c r="K48" s="21">
        <f>IF(I48=1,H48,0)</f>
        <v>0</v>
      </c>
    </row>
    <row r="49" spans="1:11" x14ac:dyDescent="0.25">
      <c r="A49" s="2">
        <v>42619</v>
      </c>
      <c r="B49" s="1" t="s">
        <v>16</v>
      </c>
      <c r="C49" t="s">
        <v>12</v>
      </c>
      <c r="D49" t="s">
        <v>8</v>
      </c>
      <c r="E49">
        <v>8</v>
      </c>
      <c r="F49">
        <v>19</v>
      </c>
      <c r="H49">
        <f t="shared" si="0"/>
        <v>11090</v>
      </c>
      <c r="I49">
        <f>IF(B49&lt;&gt;B50,1,0)</f>
        <v>0</v>
      </c>
      <c r="K49" s="21">
        <f>IF(I49=1,H49,0)</f>
        <v>0</v>
      </c>
    </row>
    <row r="50" spans="1:11" x14ac:dyDescent="0.25">
      <c r="A50" s="2">
        <v>42619</v>
      </c>
      <c r="B50" s="1" t="s">
        <v>16</v>
      </c>
      <c r="C50" t="s">
        <v>11</v>
      </c>
      <c r="D50" t="s">
        <v>8</v>
      </c>
      <c r="E50">
        <v>3</v>
      </c>
      <c r="F50">
        <v>22</v>
      </c>
      <c r="H50">
        <f t="shared" si="0"/>
        <v>11024</v>
      </c>
      <c r="I50">
        <f>IF(B50&lt;&gt;B51,1,0)</f>
        <v>0</v>
      </c>
      <c r="K50" s="21">
        <f>IF(I50=1,H50,0)</f>
        <v>0</v>
      </c>
    </row>
    <row r="51" spans="1:11" x14ac:dyDescent="0.25">
      <c r="A51" s="2">
        <v>42619</v>
      </c>
      <c r="B51" s="1" t="s">
        <v>16</v>
      </c>
      <c r="C51" t="s">
        <v>7</v>
      </c>
      <c r="D51" t="s">
        <v>8</v>
      </c>
      <c r="E51">
        <v>41</v>
      </c>
      <c r="F51">
        <v>59</v>
      </c>
      <c r="H51">
        <f t="shared" si="0"/>
        <v>8605</v>
      </c>
      <c r="I51">
        <f>IF(B51&lt;&gt;B52,1,0)</f>
        <v>1</v>
      </c>
      <c r="K51" s="21">
        <f>IF(I51=1,H51,0)</f>
        <v>8605</v>
      </c>
    </row>
    <row r="52" spans="1:11" x14ac:dyDescent="0.25">
      <c r="A52" s="2">
        <v>42640</v>
      </c>
      <c r="B52" s="1" t="s">
        <v>17</v>
      </c>
      <c r="C52" t="s">
        <v>9</v>
      </c>
      <c r="D52" t="s">
        <v>8</v>
      </c>
      <c r="E52">
        <v>44</v>
      </c>
      <c r="F52">
        <v>40</v>
      </c>
      <c r="H52">
        <f t="shared" si="0"/>
        <v>6845</v>
      </c>
      <c r="I52">
        <f>IF(B52&lt;&gt;B53,1,0)</f>
        <v>0</v>
      </c>
      <c r="K52" s="21">
        <f>IF(I52=1,H52,0)</f>
        <v>0</v>
      </c>
    </row>
    <row r="53" spans="1:11" x14ac:dyDescent="0.25">
      <c r="A53" s="2">
        <v>42640</v>
      </c>
      <c r="B53" s="1" t="s">
        <v>17</v>
      </c>
      <c r="C53" t="s">
        <v>10</v>
      </c>
      <c r="D53" t="s">
        <v>14</v>
      </c>
      <c r="E53">
        <v>45</v>
      </c>
      <c r="F53">
        <v>12</v>
      </c>
      <c r="H53">
        <f t="shared" si="0"/>
        <v>7385</v>
      </c>
      <c r="I53">
        <f>IF(B53&lt;&gt;B54,1,0)</f>
        <v>0</v>
      </c>
      <c r="K53" s="21">
        <f>IF(I53=1,H53,0)</f>
        <v>0</v>
      </c>
    </row>
    <row r="54" spans="1:11" x14ac:dyDescent="0.25">
      <c r="A54" s="2">
        <v>42640</v>
      </c>
      <c r="B54" s="1" t="s">
        <v>17</v>
      </c>
      <c r="C54" t="s">
        <v>12</v>
      </c>
      <c r="D54" t="s">
        <v>8</v>
      </c>
      <c r="E54">
        <v>40</v>
      </c>
      <c r="F54">
        <v>20</v>
      </c>
      <c r="H54">
        <f t="shared" si="0"/>
        <v>6585</v>
      </c>
      <c r="I54">
        <f>IF(B54&lt;&gt;B55,1,0)</f>
        <v>0</v>
      </c>
      <c r="K54" s="21">
        <f>IF(I54=1,H54,0)</f>
        <v>0</v>
      </c>
    </row>
    <row r="55" spans="1:11" x14ac:dyDescent="0.25">
      <c r="A55" s="2">
        <v>42640</v>
      </c>
      <c r="B55" s="1" t="s">
        <v>17</v>
      </c>
      <c r="C55" t="s">
        <v>7</v>
      </c>
      <c r="D55" t="s">
        <v>8</v>
      </c>
      <c r="E55">
        <v>3</v>
      </c>
      <c r="F55">
        <v>63</v>
      </c>
      <c r="H55">
        <f t="shared" si="0"/>
        <v>6396</v>
      </c>
      <c r="I55">
        <f>IF(B55&lt;&gt;B56,1,0)</f>
        <v>0</v>
      </c>
      <c r="K55" s="21">
        <f>IF(I55=1,H55,0)</f>
        <v>0</v>
      </c>
    </row>
    <row r="56" spans="1:11" x14ac:dyDescent="0.25">
      <c r="A56" s="2">
        <v>42640</v>
      </c>
      <c r="B56" s="1" t="s">
        <v>17</v>
      </c>
      <c r="C56" t="s">
        <v>11</v>
      </c>
      <c r="D56" t="s">
        <v>8</v>
      </c>
      <c r="E56">
        <v>17</v>
      </c>
      <c r="F56">
        <v>24</v>
      </c>
      <c r="H56">
        <f t="shared" si="0"/>
        <v>5988</v>
      </c>
      <c r="I56">
        <f>IF(B56&lt;&gt;B57,1,0)</f>
        <v>1</v>
      </c>
      <c r="K56" s="21">
        <f>IF(I56=1,H56,0)</f>
        <v>5988</v>
      </c>
    </row>
    <row r="57" spans="1:11" x14ac:dyDescent="0.25">
      <c r="A57" s="2">
        <v>42664</v>
      </c>
      <c r="B57" s="1" t="s">
        <v>18</v>
      </c>
      <c r="C57" t="s">
        <v>10</v>
      </c>
      <c r="D57" t="s">
        <v>14</v>
      </c>
      <c r="E57">
        <v>2</v>
      </c>
      <c r="F57">
        <v>12</v>
      </c>
      <c r="H57">
        <f t="shared" si="0"/>
        <v>6012</v>
      </c>
      <c r="I57">
        <f>IF(B57&lt;&gt;B58,1,0)</f>
        <v>0</v>
      </c>
      <c r="K57" s="21">
        <f>IF(I57=1,H57,0)</f>
        <v>0</v>
      </c>
    </row>
    <row r="58" spans="1:11" x14ac:dyDescent="0.25">
      <c r="A58" s="2">
        <v>42664</v>
      </c>
      <c r="B58" s="1" t="s">
        <v>18</v>
      </c>
      <c r="C58" t="s">
        <v>12</v>
      </c>
      <c r="D58" t="s">
        <v>8</v>
      </c>
      <c r="E58">
        <v>14</v>
      </c>
      <c r="F58">
        <v>19</v>
      </c>
      <c r="H58">
        <f t="shared" si="0"/>
        <v>5746</v>
      </c>
      <c r="I58">
        <f>IF(B58&lt;&gt;B59,1,0)</f>
        <v>0</v>
      </c>
      <c r="K58" s="21">
        <f>IF(I58=1,H58,0)</f>
        <v>0</v>
      </c>
    </row>
    <row r="59" spans="1:11" x14ac:dyDescent="0.25">
      <c r="A59" s="2">
        <v>42664</v>
      </c>
      <c r="B59" s="1" t="s">
        <v>18</v>
      </c>
      <c r="C59" t="s">
        <v>11</v>
      </c>
      <c r="D59" t="s">
        <v>8</v>
      </c>
      <c r="E59">
        <v>23</v>
      </c>
      <c r="F59">
        <v>23</v>
      </c>
      <c r="H59">
        <f t="shared" si="0"/>
        <v>5217</v>
      </c>
      <c r="I59">
        <f>IF(B59&lt;&gt;B60,1,0)</f>
        <v>1</v>
      </c>
      <c r="K59" s="21">
        <f>IF(I59=1,H59,0)</f>
        <v>5217</v>
      </c>
    </row>
    <row r="60" spans="1:11" x14ac:dyDescent="0.25">
      <c r="A60" s="2">
        <v>42682</v>
      </c>
      <c r="B60" s="1" t="s">
        <v>19</v>
      </c>
      <c r="C60" t="s">
        <v>10</v>
      </c>
      <c r="D60" t="s">
        <v>8</v>
      </c>
      <c r="E60">
        <v>11</v>
      </c>
      <c r="F60">
        <v>8</v>
      </c>
      <c r="H60">
        <f t="shared" si="0"/>
        <v>5129</v>
      </c>
      <c r="I60">
        <f>IF(B60&lt;&gt;B61,1,0)</f>
        <v>0</v>
      </c>
      <c r="K60" s="21">
        <f>IF(I60=1,H60,0)</f>
        <v>0</v>
      </c>
    </row>
    <row r="61" spans="1:11" x14ac:dyDescent="0.25">
      <c r="A61" s="2">
        <v>42682</v>
      </c>
      <c r="B61" s="1" t="s">
        <v>19</v>
      </c>
      <c r="C61" t="s">
        <v>7</v>
      </c>
      <c r="D61" t="s">
        <v>8</v>
      </c>
      <c r="E61">
        <v>17</v>
      </c>
      <c r="F61">
        <v>66</v>
      </c>
      <c r="H61">
        <f t="shared" si="0"/>
        <v>4007</v>
      </c>
      <c r="I61">
        <f>IF(B61&lt;&gt;B62,1,0)</f>
        <v>0</v>
      </c>
      <c r="K61" s="21">
        <f>IF(I61=1,H61,0)</f>
        <v>0</v>
      </c>
    </row>
    <row r="62" spans="1:11" x14ac:dyDescent="0.25">
      <c r="A62" s="2">
        <v>42682</v>
      </c>
      <c r="B62" s="1" t="s">
        <v>19</v>
      </c>
      <c r="C62" t="s">
        <v>9</v>
      </c>
      <c r="D62" t="s">
        <v>8</v>
      </c>
      <c r="E62">
        <v>30</v>
      </c>
      <c r="F62">
        <v>41</v>
      </c>
      <c r="H62">
        <f t="shared" si="0"/>
        <v>2777</v>
      </c>
      <c r="I62">
        <f>IF(B62&lt;&gt;B63,1,0)</f>
        <v>1</v>
      </c>
      <c r="K62" s="21">
        <f>IF(I62=1,H62,0)</f>
        <v>2777</v>
      </c>
    </row>
    <row r="63" spans="1:11" x14ac:dyDescent="0.25">
      <c r="A63" s="2">
        <v>42704</v>
      </c>
      <c r="B63" s="1" t="s">
        <v>20</v>
      </c>
      <c r="C63" t="s">
        <v>7</v>
      </c>
      <c r="D63" t="s">
        <v>14</v>
      </c>
      <c r="E63">
        <v>97</v>
      </c>
      <c r="F63">
        <v>98</v>
      </c>
      <c r="H63">
        <f t="shared" si="0"/>
        <v>12283</v>
      </c>
      <c r="I63">
        <f>IF(B63&lt;&gt;B64,1,0)</f>
        <v>0</v>
      </c>
      <c r="K63" s="21">
        <f>IF(I63=1,H63,0)</f>
        <v>0</v>
      </c>
    </row>
    <row r="64" spans="1:11" x14ac:dyDescent="0.25">
      <c r="A64" s="2">
        <v>42704</v>
      </c>
      <c r="B64" s="1" t="s">
        <v>20</v>
      </c>
      <c r="C64" t="s">
        <v>10</v>
      </c>
      <c r="D64" t="s">
        <v>14</v>
      </c>
      <c r="E64">
        <v>11</v>
      </c>
      <c r="F64">
        <v>12</v>
      </c>
      <c r="H64">
        <f t="shared" si="0"/>
        <v>12415</v>
      </c>
      <c r="I64">
        <f>IF(B64&lt;&gt;B65,1,0)</f>
        <v>0</v>
      </c>
      <c r="K64" s="21">
        <f>IF(I64=1,H64,0)</f>
        <v>0</v>
      </c>
    </row>
    <row r="65" spans="1:11" x14ac:dyDescent="0.25">
      <c r="A65" s="2">
        <v>42704</v>
      </c>
      <c r="B65" s="1" t="s">
        <v>20</v>
      </c>
      <c r="C65" t="s">
        <v>12</v>
      </c>
      <c r="D65" t="s">
        <v>8</v>
      </c>
      <c r="E65">
        <v>17</v>
      </c>
      <c r="F65">
        <v>20</v>
      </c>
      <c r="H65">
        <f t="shared" si="0"/>
        <v>12075</v>
      </c>
      <c r="I65">
        <f>IF(B65&lt;&gt;B66,1,0)</f>
        <v>0</v>
      </c>
      <c r="K65" s="21">
        <f>IF(I65=1,H65,0)</f>
        <v>0</v>
      </c>
    </row>
    <row r="66" spans="1:11" x14ac:dyDescent="0.25">
      <c r="A66" s="2">
        <v>42704</v>
      </c>
      <c r="B66" s="1" t="s">
        <v>20</v>
      </c>
      <c r="C66" t="s">
        <v>11</v>
      </c>
      <c r="D66" t="s">
        <v>8</v>
      </c>
      <c r="E66">
        <v>4</v>
      </c>
      <c r="F66">
        <v>23</v>
      </c>
      <c r="H66">
        <f t="shared" si="0"/>
        <v>11983</v>
      </c>
      <c r="I66">
        <f>IF(B66&lt;&gt;B67,1,0)</f>
        <v>1</v>
      </c>
      <c r="K66" s="21">
        <f>IF(I66=1,H66,0)</f>
        <v>11983</v>
      </c>
    </row>
    <row r="67" spans="1:11" x14ac:dyDescent="0.25">
      <c r="A67" s="2">
        <v>42729</v>
      </c>
      <c r="B67" s="1" t="s">
        <v>21</v>
      </c>
      <c r="C67" t="s">
        <v>12</v>
      </c>
      <c r="D67" t="s">
        <v>14</v>
      </c>
      <c r="E67">
        <v>79</v>
      </c>
      <c r="F67">
        <v>31</v>
      </c>
      <c r="H67">
        <f t="shared" si="0"/>
        <v>14432</v>
      </c>
      <c r="I67">
        <f>IF(B67&lt;&gt;B68,1,0)</f>
        <v>0</v>
      </c>
      <c r="K67" s="21">
        <f>IF(I67=1,H67,0)</f>
        <v>0</v>
      </c>
    </row>
    <row r="68" spans="1:11" x14ac:dyDescent="0.25">
      <c r="A68" s="2">
        <v>42729</v>
      </c>
      <c r="B68" s="1" t="s">
        <v>21</v>
      </c>
      <c r="C68" t="s">
        <v>7</v>
      </c>
      <c r="D68" t="s">
        <v>8</v>
      </c>
      <c r="E68">
        <v>33</v>
      </c>
      <c r="F68">
        <v>60</v>
      </c>
      <c r="H68">
        <f t="shared" ref="H68:H131" si="1">IF(D68="Z",H67-(E68*F68),H67+(E68*F68))</f>
        <v>12452</v>
      </c>
      <c r="I68">
        <f>IF(B68&lt;&gt;B69,1,0)</f>
        <v>0</v>
      </c>
      <c r="K68" s="21">
        <f>IF(I68=1,H68,0)</f>
        <v>0</v>
      </c>
    </row>
    <row r="69" spans="1:11" x14ac:dyDescent="0.25">
      <c r="A69" s="2">
        <v>42729</v>
      </c>
      <c r="B69" s="1" t="s">
        <v>21</v>
      </c>
      <c r="C69" t="s">
        <v>11</v>
      </c>
      <c r="D69" t="s">
        <v>8</v>
      </c>
      <c r="E69">
        <v>26</v>
      </c>
      <c r="F69">
        <v>23</v>
      </c>
      <c r="H69">
        <f t="shared" si="1"/>
        <v>11854</v>
      </c>
      <c r="I69">
        <f>IF(B69&lt;&gt;B70,1,0)</f>
        <v>1</v>
      </c>
      <c r="K69" s="21">
        <f>IF(I69=1,H69,0)</f>
        <v>11854</v>
      </c>
    </row>
    <row r="70" spans="1:11" x14ac:dyDescent="0.25">
      <c r="A70" s="2">
        <v>42742</v>
      </c>
      <c r="B70" s="1" t="s">
        <v>22</v>
      </c>
      <c r="C70" t="s">
        <v>12</v>
      </c>
      <c r="D70" t="s">
        <v>8</v>
      </c>
      <c r="E70">
        <v>40</v>
      </c>
      <c r="F70">
        <v>22</v>
      </c>
      <c r="H70">
        <f t="shared" si="1"/>
        <v>10974</v>
      </c>
      <c r="I70">
        <f>IF(B70&lt;&gt;B71,1,0)</f>
        <v>0</v>
      </c>
      <c r="K70" s="21">
        <f>IF(I70=1,H70,0)</f>
        <v>0</v>
      </c>
    </row>
    <row r="71" spans="1:11" x14ac:dyDescent="0.25">
      <c r="A71" s="2">
        <v>42742</v>
      </c>
      <c r="B71" s="1" t="s">
        <v>22</v>
      </c>
      <c r="C71" t="s">
        <v>10</v>
      </c>
      <c r="D71" t="s">
        <v>8</v>
      </c>
      <c r="E71">
        <v>42</v>
      </c>
      <c r="F71">
        <v>9</v>
      </c>
      <c r="H71">
        <f t="shared" si="1"/>
        <v>10596</v>
      </c>
      <c r="I71">
        <f>IF(B71&lt;&gt;B72,1,0)</f>
        <v>0</v>
      </c>
      <c r="K71" s="21">
        <f>IF(I71=1,H71,0)</f>
        <v>0</v>
      </c>
    </row>
    <row r="72" spans="1:11" x14ac:dyDescent="0.25">
      <c r="A72" s="2">
        <v>42742</v>
      </c>
      <c r="B72" s="1" t="s">
        <v>22</v>
      </c>
      <c r="C72" t="s">
        <v>11</v>
      </c>
      <c r="D72" t="s">
        <v>8</v>
      </c>
      <c r="E72">
        <v>42</v>
      </c>
      <c r="F72">
        <v>26</v>
      </c>
      <c r="H72">
        <f t="shared" si="1"/>
        <v>9504</v>
      </c>
      <c r="I72">
        <f>IF(B72&lt;&gt;B73,1,0)</f>
        <v>0</v>
      </c>
      <c r="K72" s="21">
        <f>IF(I72=1,H72,0)</f>
        <v>0</v>
      </c>
    </row>
    <row r="73" spans="1:11" x14ac:dyDescent="0.25">
      <c r="A73" s="2">
        <v>42742</v>
      </c>
      <c r="B73" s="1" t="s">
        <v>22</v>
      </c>
      <c r="C73" t="s">
        <v>7</v>
      </c>
      <c r="D73" t="s">
        <v>8</v>
      </c>
      <c r="E73">
        <v>9</v>
      </c>
      <c r="F73">
        <v>70</v>
      </c>
      <c r="H73">
        <f t="shared" si="1"/>
        <v>8874</v>
      </c>
      <c r="I73">
        <f>IF(B73&lt;&gt;B74,1,0)</f>
        <v>0</v>
      </c>
      <c r="K73" s="21">
        <f>IF(I73=1,H73,0)</f>
        <v>0</v>
      </c>
    </row>
    <row r="74" spans="1:11" x14ac:dyDescent="0.25">
      <c r="A74" s="2">
        <v>42742</v>
      </c>
      <c r="B74" s="1" t="s">
        <v>22</v>
      </c>
      <c r="C74" t="s">
        <v>9</v>
      </c>
      <c r="D74" t="s">
        <v>8</v>
      </c>
      <c r="E74">
        <v>39</v>
      </c>
      <c r="F74">
        <v>44</v>
      </c>
      <c r="H74">
        <f t="shared" si="1"/>
        <v>7158</v>
      </c>
      <c r="I74">
        <f>IF(B74&lt;&gt;B75,1,0)</f>
        <v>1</v>
      </c>
      <c r="K74" s="21">
        <f>IF(I74=1,H74,0)</f>
        <v>7158</v>
      </c>
    </row>
    <row r="75" spans="1:11" x14ac:dyDescent="0.25">
      <c r="A75" s="2">
        <v>42759</v>
      </c>
      <c r="B75" s="1" t="s">
        <v>6</v>
      </c>
      <c r="C75" t="s">
        <v>9</v>
      </c>
      <c r="D75" t="s">
        <v>14</v>
      </c>
      <c r="E75">
        <v>112</v>
      </c>
      <c r="F75">
        <v>59</v>
      </c>
      <c r="H75">
        <f t="shared" si="1"/>
        <v>13766</v>
      </c>
      <c r="I75">
        <f>IF(B75&lt;&gt;B76,1,0)</f>
        <v>0</v>
      </c>
      <c r="K75" s="21">
        <f>IF(I75=1,H75,0)</f>
        <v>0</v>
      </c>
    </row>
    <row r="76" spans="1:11" x14ac:dyDescent="0.25">
      <c r="A76" s="2">
        <v>42759</v>
      </c>
      <c r="B76" s="1" t="s">
        <v>6</v>
      </c>
      <c r="C76" t="s">
        <v>7</v>
      </c>
      <c r="D76" t="s">
        <v>8</v>
      </c>
      <c r="E76">
        <v>34</v>
      </c>
      <c r="F76">
        <v>66</v>
      </c>
      <c r="H76">
        <f t="shared" si="1"/>
        <v>11522</v>
      </c>
      <c r="I76">
        <f>IF(B76&lt;&gt;B77,1,0)</f>
        <v>0</v>
      </c>
      <c r="K76" s="21">
        <f>IF(I76=1,H76,0)</f>
        <v>0</v>
      </c>
    </row>
    <row r="77" spans="1:11" x14ac:dyDescent="0.25">
      <c r="A77" s="2">
        <v>42759</v>
      </c>
      <c r="B77" s="1" t="s">
        <v>6</v>
      </c>
      <c r="C77" t="s">
        <v>12</v>
      </c>
      <c r="D77" t="s">
        <v>8</v>
      </c>
      <c r="E77">
        <v>5</v>
      </c>
      <c r="F77">
        <v>21</v>
      </c>
      <c r="H77">
        <f t="shared" si="1"/>
        <v>11417</v>
      </c>
      <c r="I77">
        <f>IF(B77&lt;&gt;B78,1,0)</f>
        <v>1</v>
      </c>
      <c r="K77" s="21">
        <f>IF(I77=1,H77,0)</f>
        <v>11417</v>
      </c>
    </row>
    <row r="78" spans="1:11" x14ac:dyDescent="0.25">
      <c r="A78" s="2">
        <v>42774</v>
      </c>
      <c r="B78" s="1" t="s">
        <v>13</v>
      </c>
      <c r="C78" t="s">
        <v>7</v>
      </c>
      <c r="D78" t="s">
        <v>14</v>
      </c>
      <c r="E78">
        <v>74</v>
      </c>
      <c r="F78">
        <v>92</v>
      </c>
      <c r="H78">
        <f t="shared" si="1"/>
        <v>18225</v>
      </c>
      <c r="I78">
        <f>IF(B78&lt;&gt;B79,1,0)</f>
        <v>0</v>
      </c>
      <c r="K78" s="21">
        <f>IF(I78=1,H78,0)</f>
        <v>0</v>
      </c>
    </row>
    <row r="79" spans="1:11" x14ac:dyDescent="0.25">
      <c r="A79" s="2">
        <v>42774</v>
      </c>
      <c r="B79" s="1" t="s">
        <v>13</v>
      </c>
      <c r="C79" t="s">
        <v>11</v>
      </c>
      <c r="D79" t="s">
        <v>8</v>
      </c>
      <c r="E79">
        <v>14</v>
      </c>
      <c r="F79">
        <v>26</v>
      </c>
      <c r="H79">
        <f t="shared" si="1"/>
        <v>17861</v>
      </c>
      <c r="I79">
        <f>IF(B79&lt;&gt;B80,1,0)</f>
        <v>1</v>
      </c>
      <c r="K79" s="21">
        <f>IF(I79=1,H79,0)</f>
        <v>17861</v>
      </c>
    </row>
    <row r="80" spans="1:11" x14ac:dyDescent="0.25">
      <c r="A80" s="2">
        <v>42793</v>
      </c>
      <c r="B80" s="1" t="s">
        <v>15</v>
      </c>
      <c r="C80" t="s">
        <v>9</v>
      </c>
      <c r="D80" t="s">
        <v>14</v>
      </c>
      <c r="E80">
        <v>1</v>
      </c>
      <c r="F80">
        <v>60</v>
      </c>
      <c r="H80">
        <f t="shared" si="1"/>
        <v>17921</v>
      </c>
      <c r="I80">
        <f>IF(B80&lt;&gt;B81,1,0)</f>
        <v>0</v>
      </c>
      <c r="K80" s="21">
        <f>IF(I80=1,H80,0)</f>
        <v>0</v>
      </c>
    </row>
    <row r="81" spans="1:11" x14ac:dyDescent="0.25">
      <c r="A81" s="2">
        <v>42793</v>
      </c>
      <c r="B81" s="1" t="s">
        <v>15</v>
      </c>
      <c r="C81" t="s">
        <v>11</v>
      </c>
      <c r="D81" t="s">
        <v>14</v>
      </c>
      <c r="E81">
        <v>43</v>
      </c>
      <c r="F81">
        <v>36</v>
      </c>
      <c r="H81">
        <f t="shared" si="1"/>
        <v>19469</v>
      </c>
      <c r="I81">
        <f>IF(B81&lt;&gt;B82,1,0)</f>
        <v>0</v>
      </c>
      <c r="K81" s="21">
        <f>IF(I81=1,H81,0)</f>
        <v>0</v>
      </c>
    </row>
    <row r="82" spans="1:11" x14ac:dyDescent="0.25">
      <c r="A82" s="2">
        <v>42793</v>
      </c>
      <c r="B82" s="1" t="s">
        <v>15</v>
      </c>
      <c r="C82" t="s">
        <v>10</v>
      </c>
      <c r="D82" t="s">
        <v>8</v>
      </c>
      <c r="E82">
        <v>30</v>
      </c>
      <c r="F82">
        <v>8</v>
      </c>
      <c r="H82">
        <f t="shared" si="1"/>
        <v>19229</v>
      </c>
      <c r="I82">
        <f>IF(B82&lt;&gt;B83,1,0)</f>
        <v>0</v>
      </c>
      <c r="K82" s="21">
        <f>IF(I82=1,H82,0)</f>
        <v>0</v>
      </c>
    </row>
    <row r="83" spans="1:11" x14ac:dyDescent="0.25">
      <c r="A83" s="2">
        <v>42793</v>
      </c>
      <c r="B83" s="1" t="s">
        <v>15</v>
      </c>
      <c r="C83" t="s">
        <v>12</v>
      </c>
      <c r="D83" t="s">
        <v>8</v>
      </c>
      <c r="E83">
        <v>14</v>
      </c>
      <c r="F83">
        <v>20</v>
      </c>
      <c r="H83">
        <f t="shared" si="1"/>
        <v>18949</v>
      </c>
      <c r="I83">
        <f>IF(B83&lt;&gt;B84,1,0)</f>
        <v>1</v>
      </c>
      <c r="K83" s="21">
        <f>IF(I83=1,H83,0)</f>
        <v>18949</v>
      </c>
    </row>
    <row r="84" spans="1:11" x14ac:dyDescent="0.25">
      <c r="A84" s="2">
        <v>42819</v>
      </c>
      <c r="B84" s="1" t="s">
        <v>16</v>
      </c>
      <c r="C84" t="s">
        <v>11</v>
      </c>
      <c r="D84" t="s">
        <v>14</v>
      </c>
      <c r="E84">
        <v>33</v>
      </c>
      <c r="F84">
        <v>38</v>
      </c>
      <c r="H84">
        <f t="shared" si="1"/>
        <v>20203</v>
      </c>
      <c r="I84">
        <f>IF(B84&lt;&gt;B85,1,0)</f>
        <v>0</v>
      </c>
      <c r="K84" s="21">
        <f>IF(I84=1,H84,0)</f>
        <v>0</v>
      </c>
    </row>
    <row r="85" spans="1:11" x14ac:dyDescent="0.25">
      <c r="A85" s="2">
        <v>42819</v>
      </c>
      <c r="B85" s="1" t="s">
        <v>16</v>
      </c>
      <c r="C85" t="s">
        <v>9</v>
      </c>
      <c r="D85" t="s">
        <v>8</v>
      </c>
      <c r="E85">
        <v>35</v>
      </c>
      <c r="F85">
        <v>37</v>
      </c>
      <c r="H85">
        <f t="shared" si="1"/>
        <v>18908</v>
      </c>
      <c r="I85">
        <f>IF(B85&lt;&gt;B86,1,0)</f>
        <v>0</v>
      </c>
      <c r="K85" s="21">
        <f>IF(I85=1,H85,0)</f>
        <v>0</v>
      </c>
    </row>
    <row r="86" spans="1:11" x14ac:dyDescent="0.25">
      <c r="A86" s="2">
        <v>42819</v>
      </c>
      <c r="B86" s="1" t="s">
        <v>16</v>
      </c>
      <c r="C86" t="s">
        <v>12</v>
      </c>
      <c r="D86" t="s">
        <v>8</v>
      </c>
      <c r="E86">
        <v>40</v>
      </c>
      <c r="F86">
        <v>19</v>
      </c>
      <c r="H86">
        <f t="shared" si="1"/>
        <v>18148</v>
      </c>
      <c r="I86">
        <f>IF(B86&lt;&gt;B87,1,0)</f>
        <v>1</v>
      </c>
      <c r="K86" s="21">
        <f>IF(I86=1,H86,0)</f>
        <v>18148</v>
      </c>
    </row>
    <row r="87" spans="1:11" x14ac:dyDescent="0.25">
      <c r="A87" s="2">
        <v>42840</v>
      </c>
      <c r="B87" s="1" t="s">
        <v>17</v>
      </c>
      <c r="C87" t="s">
        <v>11</v>
      </c>
      <c r="D87" t="s">
        <v>14</v>
      </c>
      <c r="E87">
        <v>21</v>
      </c>
      <c r="F87">
        <v>36</v>
      </c>
      <c r="H87">
        <f t="shared" si="1"/>
        <v>18904</v>
      </c>
      <c r="I87">
        <f>IF(B87&lt;&gt;B88,1,0)</f>
        <v>0</v>
      </c>
      <c r="K87" s="21">
        <f>IF(I87=1,H87,0)</f>
        <v>0</v>
      </c>
    </row>
    <row r="88" spans="1:11" x14ac:dyDescent="0.25">
      <c r="A88" s="2">
        <v>42840</v>
      </c>
      <c r="B88" s="1" t="s">
        <v>17</v>
      </c>
      <c r="C88" t="s">
        <v>7</v>
      </c>
      <c r="D88" t="s">
        <v>14</v>
      </c>
      <c r="E88">
        <v>2</v>
      </c>
      <c r="F88">
        <v>97</v>
      </c>
      <c r="H88">
        <f t="shared" si="1"/>
        <v>19098</v>
      </c>
      <c r="I88">
        <f>IF(B88&lt;&gt;B89,1,0)</f>
        <v>0</v>
      </c>
      <c r="K88" s="21">
        <f>IF(I88=1,H88,0)</f>
        <v>0</v>
      </c>
    </row>
    <row r="89" spans="1:11" x14ac:dyDescent="0.25">
      <c r="A89" s="2">
        <v>42840</v>
      </c>
      <c r="B89" s="1" t="s">
        <v>17</v>
      </c>
      <c r="C89" t="s">
        <v>12</v>
      </c>
      <c r="D89" t="s">
        <v>8</v>
      </c>
      <c r="E89">
        <v>12</v>
      </c>
      <c r="F89">
        <v>20</v>
      </c>
      <c r="H89">
        <f t="shared" si="1"/>
        <v>18858</v>
      </c>
      <c r="I89">
        <f>IF(B89&lt;&gt;B90,1,0)</f>
        <v>0</v>
      </c>
      <c r="K89" s="21">
        <f>IF(I89=1,H89,0)</f>
        <v>0</v>
      </c>
    </row>
    <row r="90" spans="1:11" x14ac:dyDescent="0.25">
      <c r="A90" s="2">
        <v>42840</v>
      </c>
      <c r="B90" s="1" t="s">
        <v>17</v>
      </c>
      <c r="C90" t="s">
        <v>10</v>
      </c>
      <c r="D90" t="s">
        <v>8</v>
      </c>
      <c r="E90">
        <v>15</v>
      </c>
      <c r="F90">
        <v>8</v>
      </c>
      <c r="H90">
        <f t="shared" si="1"/>
        <v>18738</v>
      </c>
      <c r="I90">
        <f>IF(B90&lt;&gt;B91,1,0)</f>
        <v>0</v>
      </c>
      <c r="K90" s="21">
        <f>IF(I90=1,H90,0)</f>
        <v>0</v>
      </c>
    </row>
    <row r="91" spans="1:11" x14ac:dyDescent="0.25">
      <c r="A91" s="2">
        <v>42840</v>
      </c>
      <c r="B91" s="1" t="s">
        <v>17</v>
      </c>
      <c r="C91" t="s">
        <v>9</v>
      </c>
      <c r="D91" t="s">
        <v>8</v>
      </c>
      <c r="E91">
        <v>1</v>
      </c>
      <c r="F91">
        <v>40</v>
      </c>
      <c r="H91">
        <f t="shared" si="1"/>
        <v>18698</v>
      </c>
      <c r="I91">
        <f>IF(B91&lt;&gt;B92,1,0)</f>
        <v>1</v>
      </c>
      <c r="K91" s="21">
        <f>IF(I91=1,H91,0)</f>
        <v>18698</v>
      </c>
    </row>
    <row r="92" spans="1:11" x14ac:dyDescent="0.25">
      <c r="A92" s="2">
        <v>42864</v>
      </c>
      <c r="B92" s="1" t="s">
        <v>18</v>
      </c>
      <c r="C92" t="s">
        <v>10</v>
      </c>
      <c r="D92" t="s">
        <v>14</v>
      </c>
      <c r="E92">
        <v>86</v>
      </c>
      <c r="F92">
        <v>12</v>
      </c>
      <c r="H92">
        <f t="shared" si="1"/>
        <v>19730</v>
      </c>
      <c r="I92">
        <f>IF(B92&lt;&gt;B93,1,0)</f>
        <v>0</v>
      </c>
      <c r="K92" s="21">
        <f>IF(I92=1,H92,0)</f>
        <v>0</v>
      </c>
    </row>
    <row r="93" spans="1:11" x14ac:dyDescent="0.25">
      <c r="A93" s="2">
        <v>42864</v>
      </c>
      <c r="B93" s="1" t="s">
        <v>18</v>
      </c>
      <c r="C93" t="s">
        <v>12</v>
      </c>
      <c r="D93" t="s">
        <v>14</v>
      </c>
      <c r="E93">
        <v>110</v>
      </c>
      <c r="F93">
        <v>31</v>
      </c>
      <c r="H93">
        <f t="shared" si="1"/>
        <v>23140</v>
      </c>
      <c r="I93">
        <f>IF(B93&lt;&gt;B94,1,0)</f>
        <v>0</v>
      </c>
      <c r="K93" s="21">
        <f>IF(I93=1,H93,0)</f>
        <v>0</v>
      </c>
    </row>
    <row r="94" spans="1:11" x14ac:dyDescent="0.25">
      <c r="A94" s="2">
        <v>42864</v>
      </c>
      <c r="B94" s="1" t="s">
        <v>18</v>
      </c>
      <c r="C94" t="s">
        <v>9</v>
      </c>
      <c r="D94" t="s">
        <v>8</v>
      </c>
      <c r="E94">
        <v>33</v>
      </c>
      <c r="F94">
        <v>38</v>
      </c>
      <c r="H94">
        <f t="shared" si="1"/>
        <v>21886</v>
      </c>
      <c r="I94">
        <f>IF(B94&lt;&gt;B95,1,0)</f>
        <v>0</v>
      </c>
      <c r="K94" s="21">
        <f>IF(I94=1,H94,0)</f>
        <v>0</v>
      </c>
    </row>
    <row r="95" spans="1:11" x14ac:dyDescent="0.25">
      <c r="A95" s="2">
        <v>42864</v>
      </c>
      <c r="B95" s="1" t="s">
        <v>18</v>
      </c>
      <c r="C95" t="s">
        <v>11</v>
      </c>
      <c r="D95" t="s">
        <v>8</v>
      </c>
      <c r="E95">
        <v>13</v>
      </c>
      <c r="F95">
        <v>23</v>
      </c>
      <c r="H95">
        <f t="shared" si="1"/>
        <v>21587</v>
      </c>
      <c r="I95">
        <f>IF(B95&lt;&gt;B96,1,0)</f>
        <v>0</v>
      </c>
      <c r="K95" s="21">
        <f>IF(I95=1,H95,0)</f>
        <v>0</v>
      </c>
    </row>
    <row r="96" spans="1:11" x14ac:dyDescent="0.25">
      <c r="A96" s="2">
        <v>42864</v>
      </c>
      <c r="B96" s="1" t="s">
        <v>18</v>
      </c>
      <c r="C96" t="s">
        <v>7</v>
      </c>
      <c r="D96" t="s">
        <v>8</v>
      </c>
      <c r="E96">
        <v>37</v>
      </c>
      <c r="F96">
        <v>61</v>
      </c>
      <c r="H96">
        <f t="shared" si="1"/>
        <v>19330</v>
      </c>
      <c r="I96">
        <f>IF(B96&lt;&gt;B97,1,0)</f>
        <v>1</v>
      </c>
      <c r="K96" s="21">
        <f>IF(I96=1,H96,0)</f>
        <v>19330</v>
      </c>
    </row>
    <row r="97" spans="1:11" x14ac:dyDescent="0.25">
      <c r="A97" s="2">
        <v>42882</v>
      </c>
      <c r="B97" s="1" t="s">
        <v>19</v>
      </c>
      <c r="C97" t="s">
        <v>10</v>
      </c>
      <c r="D97" t="s">
        <v>14</v>
      </c>
      <c r="E97">
        <v>1</v>
      </c>
      <c r="F97">
        <v>12</v>
      </c>
      <c r="H97">
        <f t="shared" si="1"/>
        <v>19342</v>
      </c>
      <c r="I97">
        <f>IF(B97&lt;&gt;B98,1,0)</f>
        <v>0</v>
      </c>
      <c r="K97" s="21">
        <f>IF(I97=1,H97,0)</f>
        <v>0</v>
      </c>
    </row>
    <row r="98" spans="1:11" x14ac:dyDescent="0.25">
      <c r="A98" s="2">
        <v>42882</v>
      </c>
      <c r="B98" s="1" t="s">
        <v>19</v>
      </c>
      <c r="C98" t="s">
        <v>9</v>
      </c>
      <c r="D98" t="s">
        <v>14</v>
      </c>
      <c r="E98">
        <v>68</v>
      </c>
      <c r="F98">
        <v>59</v>
      </c>
      <c r="H98">
        <f t="shared" si="1"/>
        <v>23354</v>
      </c>
      <c r="I98">
        <f>IF(B98&lt;&gt;B99,1,0)</f>
        <v>0</v>
      </c>
      <c r="K98" s="21">
        <f>IF(I98=1,H98,0)</f>
        <v>0</v>
      </c>
    </row>
    <row r="99" spans="1:11" x14ac:dyDescent="0.25">
      <c r="A99" s="2">
        <v>42882</v>
      </c>
      <c r="B99" s="1" t="s">
        <v>19</v>
      </c>
      <c r="C99" t="s">
        <v>7</v>
      </c>
      <c r="D99" t="s">
        <v>8</v>
      </c>
      <c r="E99">
        <v>35</v>
      </c>
      <c r="F99">
        <v>66</v>
      </c>
      <c r="H99">
        <f t="shared" si="1"/>
        <v>21044</v>
      </c>
      <c r="I99">
        <f>IF(B99&lt;&gt;B100,1,0)</f>
        <v>0</v>
      </c>
      <c r="K99" s="21">
        <f>IF(I99=1,H99,0)</f>
        <v>0</v>
      </c>
    </row>
    <row r="100" spans="1:11" x14ac:dyDescent="0.25">
      <c r="A100" s="2">
        <v>42882</v>
      </c>
      <c r="B100" s="1" t="s">
        <v>19</v>
      </c>
      <c r="C100" t="s">
        <v>12</v>
      </c>
      <c r="D100" t="s">
        <v>8</v>
      </c>
      <c r="E100">
        <v>25</v>
      </c>
      <c r="F100">
        <v>21</v>
      </c>
      <c r="H100">
        <f t="shared" si="1"/>
        <v>20519</v>
      </c>
      <c r="I100">
        <f>IF(B100&lt;&gt;B101,1,0)</f>
        <v>0</v>
      </c>
      <c r="K100" s="21">
        <f>IF(I100=1,H100,0)</f>
        <v>0</v>
      </c>
    </row>
    <row r="101" spans="1:11" x14ac:dyDescent="0.25">
      <c r="A101" s="2">
        <v>42882</v>
      </c>
      <c r="B101" s="1" t="s">
        <v>19</v>
      </c>
      <c r="C101" t="s">
        <v>11</v>
      </c>
      <c r="D101" t="s">
        <v>8</v>
      </c>
      <c r="E101">
        <v>10</v>
      </c>
      <c r="F101">
        <v>25</v>
      </c>
      <c r="H101">
        <f t="shared" si="1"/>
        <v>20269</v>
      </c>
      <c r="I101">
        <f>IF(B101&lt;&gt;B102,1,0)</f>
        <v>1</v>
      </c>
      <c r="K101" s="21">
        <f>IF(I101=1,H101,0)</f>
        <v>20269</v>
      </c>
    </row>
    <row r="102" spans="1:11" x14ac:dyDescent="0.25">
      <c r="A102" s="2">
        <v>42904</v>
      </c>
      <c r="B102" s="1" t="s">
        <v>20</v>
      </c>
      <c r="C102" t="s">
        <v>11</v>
      </c>
      <c r="D102" t="s">
        <v>14</v>
      </c>
      <c r="E102">
        <v>38</v>
      </c>
      <c r="F102">
        <v>37</v>
      </c>
      <c r="H102">
        <f t="shared" si="1"/>
        <v>21675</v>
      </c>
      <c r="I102">
        <f>IF(B102&lt;&gt;B103,1,0)</f>
        <v>0</v>
      </c>
      <c r="K102" s="21">
        <f>IF(I102=1,H102,0)</f>
        <v>0</v>
      </c>
    </row>
    <row r="103" spans="1:11" x14ac:dyDescent="0.25">
      <c r="A103" s="2">
        <v>42904</v>
      </c>
      <c r="B103" s="1" t="s">
        <v>20</v>
      </c>
      <c r="C103" t="s">
        <v>10</v>
      </c>
      <c r="D103" t="s">
        <v>8</v>
      </c>
      <c r="E103">
        <v>22</v>
      </c>
      <c r="F103">
        <v>8</v>
      </c>
      <c r="H103">
        <f t="shared" si="1"/>
        <v>21499</v>
      </c>
      <c r="I103">
        <f>IF(B103&lt;&gt;B104,1,0)</f>
        <v>0</v>
      </c>
      <c r="K103" s="21">
        <f>IF(I103=1,H103,0)</f>
        <v>0</v>
      </c>
    </row>
    <row r="104" spans="1:11" x14ac:dyDescent="0.25">
      <c r="A104" s="2">
        <v>42904</v>
      </c>
      <c r="B104" s="1" t="s">
        <v>20</v>
      </c>
      <c r="C104" t="s">
        <v>12</v>
      </c>
      <c r="D104" t="s">
        <v>8</v>
      </c>
      <c r="E104">
        <v>25</v>
      </c>
      <c r="F104">
        <v>20</v>
      </c>
      <c r="H104">
        <f t="shared" si="1"/>
        <v>20999</v>
      </c>
      <c r="I104">
        <f>IF(B104&lt;&gt;B105,1,0)</f>
        <v>0</v>
      </c>
      <c r="K104" s="21">
        <f>IF(I104=1,H104,0)</f>
        <v>0</v>
      </c>
    </row>
    <row r="105" spans="1:11" x14ac:dyDescent="0.25">
      <c r="A105" s="2">
        <v>42904</v>
      </c>
      <c r="B105" s="1" t="s">
        <v>20</v>
      </c>
      <c r="C105" t="s">
        <v>9</v>
      </c>
      <c r="D105" t="s">
        <v>8</v>
      </c>
      <c r="E105">
        <v>8</v>
      </c>
      <c r="F105">
        <v>39</v>
      </c>
      <c r="H105">
        <f t="shared" si="1"/>
        <v>20687</v>
      </c>
      <c r="I105">
        <f>IF(B105&lt;&gt;B106,1,0)</f>
        <v>0</v>
      </c>
      <c r="K105" s="21">
        <f>IF(I105=1,H105,0)</f>
        <v>0</v>
      </c>
    </row>
    <row r="106" spans="1:11" x14ac:dyDescent="0.25">
      <c r="A106" s="2">
        <v>42904</v>
      </c>
      <c r="B106" s="1" t="s">
        <v>20</v>
      </c>
      <c r="C106" t="s">
        <v>7</v>
      </c>
      <c r="D106" t="s">
        <v>8</v>
      </c>
      <c r="E106">
        <v>45</v>
      </c>
      <c r="F106">
        <v>62</v>
      </c>
      <c r="H106">
        <f t="shared" si="1"/>
        <v>17897</v>
      </c>
      <c r="I106">
        <f>IF(B106&lt;&gt;B107,1,0)</f>
        <v>1</v>
      </c>
      <c r="K106" s="21">
        <f>IF(I106=1,H106,0)</f>
        <v>17897</v>
      </c>
    </row>
    <row r="107" spans="1:11" x14ac:dyDescent="0.25">
      <c r="A107" s="2">
        <v>42929</v>
      </c>
      <c r="B107" s="1" t="s">
        <v>21</v>
      </c>
      <c r="C107" t="s">
        <v>7</v>
      </c>
      <c r="D107" t="s">
        <v>14</v>
      </c>
      <c r="E107">
        <v>116</v>
      </c>
      <c r="F107">
        <v>100</v>
      </c>
      <c r="H107">
        <f t="shared" si="1"/>
        <v>29497</v>
      </c>
      <c r="I107">
        <f>IF(B107&lt;&gt;B108,1,0)</f>
        <v>0</v>
      </c>
      <c r="K107" s="21">
        <f>IF(I107=1,H107,0)</f>
        <v>0</v>
      </c>
    </row>
    <row r="108" spans="1:11" x14ac:dyDescent="0.25">
      <c r="A108" s="2">
        <v>42929</v>
      </c>
      <c r="B108" s="1" t="s">
        <v>21</v>
      </c>
      <c r="C108" t="s">
        <v>12</v>
      </c>
      <c r="D108" t="s">
        <v>8</v>
      </c>
      <c r="E108">
        <v>29</v>
      </c>
      <c r="F108">
        <v>19</v>
      </c>
      <c r="H108">
        <f t="shared" si="1"/>
        <v>28946</v>
      </c>
      <c r="I108">
        <f>IF(B108&lt;&gt;B109,1,0)</f>
        <v>1</v>
      </c>
      <c r="K108" s="21">
        <f>IF(I108=1,H108,0)</f>
        <v>28946</v>
      </c>
    </row>
    <row r="109" spans="1:11" x14ac:dyDescent="0.25">
      <c r="A109" s="2">
        <v>42942</v>
      </c>
      <c r="B109" s="1" t="s">
        <v>22</v>
      </c>
      <c r="C109" t="s">
        <v>11</v>
      </c>
      <c r="D109" t="s">
        <v>14</v>
      </c>
      <c r="E109">
        <v>5</v>
      </c>
      <c r="F109">
        <v>34</v>
      </c>
      <c r="H109">
        <f t="shared" si="1"/>
        <v>29116</v>
      </c>
      <c r="I109">
        <f>IF(B109&lt;&gt;B110,1,0)</f>
        <v>0</v>
      </c>
      <c r="K109" s="21">
        <f>IF(I109=1,H109,0)</f>
        <v>0</v>
      </c>
    </row>
    <row r="110" spans="1:11" x14ac:dyDescent="0.25">
      <c r="A110" s="2">
        <v>42942</v>
      </c>
      <c r="B110" s="1" t="s">
        <v>22</v>
      </c>
      <c r="C110" t="s">
        <v>10</v>
      </c>
      <c r="D110" t="s">
        <v>14</v>
      </c>
      <c r="E110">
        <v>22</v>
      </c>
      <c r="F110">
        <v>11</v>
      </c>
      <c r="H110">
        <f t="shared" si="1"/>
        <v>29358</v>
      </c>
      <c r="I110">
        <f>IF(B110&lt;&gt;B111,1,0)</f>
        <v>0</v>
      </c>
      <c r="K110" s="21">
        <f>IF(I110=1,H110,0)</f>
        <v>0</v>
      </c>
    </row>
    <row r="111" spans="1:11" x14ac:dyDescent="0.25">
      <c r="A111" s="2">
        <v>42942</v>
      </c>
      <c r="B111" s="1" t="s">
        <v>22</v>
      </c>
      <c r="C111" t="s">
        <v>12</v>
      </c>
      <c r="D111" t="s">
        <v>8</v>
      </c>
      <c r="E111">
        <v>37</v>
      </c>
      <c r="F111">
        <v>22</v>
      </c>
      <c r="H111">
        <f t="shared" si="1"/>
        <v>28544</v>
      </c>
      <c r="I111">
        <f>IF(B111&lt;&gt;B112,1,0)</f>
        <v>0</v>
      </c>
      <c r="K111" s="21">
        <f>IF(I111=1,H111,0)</f>
        <v>0</v>
      </c>
    </row>
    <row r="112" spans="1:11" x14ac:dyDescent="0.25">
      <c r="A112" s="2">
        <v>42942</v>
      </c>
      <c r="B112" s="1" t="s">
        <v>22</v>
      </c>
      <c r="C112" t="s">
        <v>7</v>
      </c>
      <c r="D112" t="s">
        <v>8</v>
      </c>
      <c r="E112">
        <v>10</v>
      </c>
      <c r="F112">
        <v>70</v>
      </c>
      <c r="H112">
        <f t="shared" si="1"/>
        <v>27844</v>
      </c>
      <c r="I112">
        <f>IF(B112&lt;&gt;B113,1,0)</f>
        <v>0</v>
      </c>
      <c r="K112" s="21">
        <f>IF(I112=1,H112,0)</f>
        <v>0</v>
      </c>
    </row>
    <row r="113" spans="1:11" x14ac:dyDescent="0.25">
      <c r="A113" s="2">
        <v>42942</v>
      </c>
      <c r="B113" s="1" t="s">
        <v>22</v>
      </c>
      <c r="C113" t="s">
        <v>9</v>
      </c>
      <c r="D113" t="s">
        <v>8</v>
      </c>
      <c r="E113">
        <v>42</v>
      </c>
      <c r="F113">
        <v>44</v>
      </c>
      <c r="H113">
        <f t="shared" si="1"/>
        <v>25996</v>
      </c>
      <c r="I113">
        <f>IF(B113&lt;&gt;B114,1,0)</f>
        <v>1</v>
      </c>
      <c r="K113" s="21">
        <f>IF(I113=1,H113,0)</f>
        <v>25996</v>
      </c>
    </row>
    <row r="114" spans="1:11" x14ac:dyDescent="0.25">
      <c r="A114" s="2">
        <v>42959</v>
      </c>
      <c r="B114" s="1" t="s">
        <v>6</v>
      </c>
      <c r="C114" t="s">
        <v>7</v>
      </c>
      <c r="D114" t="s">
        <v>14</v>
      </c>
      <c r="E114">
        <v>11</v>
      </c>
      <c r="F114">
        <v>94</v>
      </c>
      <c r="H114">
        <f t="shared" si="1"/>
        <v>27030</v>
      </c>
      <c r="I114">
        <f>IF(B114&lt;&gt;B115,1,0)</f>
        <v>0</v>
      </c>
      <c r="K114" s="21">
        <f>IF(I114=1,H114,0)</f>
        <v>0</v>
      </c>
    </row>
    <row r="115" spans="1:11" x14ac:dyDescent="0.25">
      <c r="A115" s="2">
        <v>42959</v>
      </c>
      <c r="B115" s="1" t="s">
        <v>6</v>
      </c>
      <c r="C115" t="s">
        <v>9</v>
      </c>
      <c r="D115" t="s">
        <v>14</v>
      </c>
      <c r="E115">
        <v>48</v>
      </c>
      <c r="F115">
        <v>59</v>
      </c>
      <c r="H115">
        <f t="shared" si="1"/>
        <v>29862</v>
      </c>
      <c r="I115">
        <f>IF(B115&lt;&gt;B116,1,0)</f>
        <v>0</v>
      </c>
      <c r="K115" s="21">
        <f>IF(I115=1,H115,0)</f>
        <v>0</v>
      </c>
    </row>
    <row r="116" spans="1:11" x14ac:dyDescent="0.25">
      <c r="A116" s="2">
        <v>42959</v>
      </c>
      <c r="B116" s="1" t="s">
        <v>6</v>
      </c>
      <c r="C116" t="s">
        <v>12</v>
      </c>
      <c r="D116" t="s">
        <v>8</v>
      </c>
      <c r="E116">
        <v>20</v>
      </c>
      <c r="F116">
        <v>21</v>
      </c>
      <c r="H116">
        <f t="shared" si="1"/>
        <v>29442</v>
      </c>
      <c r="I116">
        <f>IF(B116&lt;&gt;B117,1,0)</f>
        <v>0</v>
      </c>
      <c r="K116" s="21">
        <f>IF(I116=1,H116,0)</f>
        <v>0</v>
      </c>
    </row>
    <row r="117" spans="1:11" x14ac:dyDescent="0.25">
      <c r="A117" s="2">
        <v>42959</v>
      </c>
      <c r="B117" s="1" t="s">
        <v>6</v>
      </c>
      <c r="C117" t="s">
        <v>11</v>
      </c>
      <c r="D117" t="s">
        <v>8</v>
      </c>
      <c r="E117">
        <v>26</v>
      </c>
      <c r="F117">
        <v>25</v>
      </c>
      <c r="H117">
        <f t="shared" si="1"/>
        <v>28792</v>
      </c>
      <c r="I117">
        <f>IF(B117&lt;&gt;B118,1,0)</f>
        <v>1</v>
      </c>
      <c r="K117" s="21">
        <f>IF(I117=1,H117,0)</f>
        <v>28792</v>
      </c>
    </row>
    <row r="118" spans="1:11" x14ac:dyDescent="0.25">
      <c r="A118" s="2">
        <v>42974</v>
      </c>
      <c r="B118" s="1" t="s">
        <v>13</v>
      </c>
      <c r="C118" t="s">
        <v>10</v>
      </c>
      <c r="D118" t="s">
        <v>8</v>
      </c>
      <c r="E118">
        <v>24</v>
      </c>
      <c r="F118">
        <v>9</v>
      </c>
      <c r="H118">
        <f t="shared" si="1"/>
        <v>28576</v>
      </c>
      <c r="I118">
        <f>IF(B118&lt;&gt;B119,1,0)</f>
        <v>0</v>
      </c>
      <c r="K118" s="21">
        <f>IF(I118=1,H118,0)</f>
        <v>0</v>
      </c>
    </row>
    <row r="119" spans="1:11" x14ac:dyDescent="0.25">
      <c r="A119" s="2">
        <v>42974</v>
      </c>
      <c r="B119" s="1" t="s">
        <v>13</v>
      </c>
      <c r="C119" t="s">
        <v>7</v>
      </c>
      <c r="D119" t="s">
        <v>8</v>
      </c>
      <c r="E119">
        <v>38</v>
      </c>
      <c r="F119">
        <v>68</v>
      </c>
      <c r="H119">
        <f t="shared" si="1"/>
        <v>25992</v>
      </c>
      <c r="I119">
        <f>IF(B119&lt;&gt;B120,1,0)</f>
        <v>0</v>
      </c>
      <c r="K119" s="21">
        <f>IF(I119=1,H119,0)</f>
        <v>0</v>
      </c>
    </row>
    <row r="120" spans="1:11" x14ac:dyDescent="0.25">
      <c r="A120" s="2">
        <v>42974</v>
      </c>
      <c r="B120" s="1" t="s">
        <v>13</v>
      </c>
      <c r="C120" t="s">
        <v>12</v>
      </c>
      <c r="D120" t="s">
        <v>8</v>
      </c>
      <c r="E120">
        <v>14</v>
      </c>
      <c r="F120">
        <v>21</v>
      </c>
      <c r="H120">
        <f t="shared" si="1"/>
        <v>25698</v>
      </c>
      <c r="I120">
        <f>IF(B120&lt;&gt;B121,1,0)</f>
        <v>0</v>
      </c>
      <c r="K120" s="21">
        <f>IF(I120=1,H120,0)</f>
        <v>0</v>
      </c>
    </row>
    <row r="121" spans="1:11" x14ac:dyDescent="0.25">
      <c r="A121" s="2">
        <v>42974</v>
      </c>
      <c r="B121" s="1" t="s">
        <v>13</v>
      </c>
      <c r="C121" t="s">
        <v>9</v>
      </c>
      <c r="D121" t="s">
        <v>8</v>
      </c>
      <c r="E121">
        <v>4</v>
      </c>
      <c r="F121">
        <v>43</v>
      </c>
      <c r="H121">
        <f t="shared" si="1"/>
        <v>25526</v>
      </c>
      <c r="I121">
        <f>IF(B121&lt;&gt;B122,1,0)</f>
        <v>1</v>
      </c>
      <c r="K121" s="21">
        <f>IF(I121=1,H121,0)</f>
        <v>25526</v>
      </c>
    </row>
    <row r="122" spans="1:11" x14ac:dyDescent="0.25">
      <c r="A122" s="2">
        <v>42993</v>
      </c>
      <c r="B122" s="1" t="s">
        <v>15</v>
      </c>
      <c r="C122" t="s">
        <v>11</v>
      </c>
      <c r="D122" t="s">
        <v>14</v>
      </c>
      <c r="E122">
        <v>19</v>
      </c>
      <c r="F122">
        <v>36</v>
      </c>
      <c r="H122">
        <f t="shared" si="1"/>
        <v>26210</v>
      </c>
      <c r="I122">
        <f>IF(B122&lt;&gt;B123,1,0)</f>
        <v>0</v>
      </c>
      <c r="K122" s="21">
        <f>IF(I122=1,H122,0)</f>
        <v>0</v>
      </c>
    </row>
    <row r="123" spans="1:11" x14ac:dyDescent="0.25">
      <c r="A123" s="2">
        <v>42993</v>
      </c>
      <c r="B123" s="1" t="s">
        <v>15</v>
      </c>
      <c r="C123" t="s">
        <v>7</v>
      </c>
      <c r="D123" t="s">
        <v>8</v>
      </c>
      <c r="E123">
        <v>30</v>
      </c>
      <c r="F123">
        <v>65</v>
      </c>
      <c r="H123">
        <f t="shared" si="1"/>
        <v>24260</v>
      </c>
      <c r="I123">
        <f>IF(B123&lt;&gt;B124,1,0)</f>
        <v>1</v>
      </c>
      <c r="K123" s="21">
        <f>IF(I123=1,H123,0)</f>
        <v>24260</v>
      </c>
    </row>
    <row r="124" spans="1:11" x14ac:dyDescent="0.25">
      <c r="A124" s="2">
        <v>43019</v>
      </c>
      <c r="B124" s="1" t="s">
        <v>16</v>
      </c>
      <c r="C124" t="s">
        <v>9</v>
      </c>
      <c r="D124" t="s">
        <v>14</v>
      </c>
      <c r="E124">
        <v>6</v>
      </c>
      <c r="F124">
        <v>63</v>
      </c>
      <c r="H124">
        <f t="shared" si="1"/>
        <v>24638</v>
      </c>
      <c r="I124">
        <f>IF(B124&lt;&gt;B125,1,0)</f>
        <v>0</v>
      </c>
      <c r="K124" s="21">
        <f>IF(I124=1,H124,0)</f>
        <v>0</v>
      </c>
    </row>
    <row r="125" spans="1:11" x14ac:dyDescent="0.25">
      <c r="A125" s="2">
        <v>43019</v>
      </c>
      <c r="B125" s="1" t="s">
        <v>16</v>
      </c>
      <c r="C125" t="s">
        <v>7</v>
      </c>
      <c r="D125" t="s">
        <v>8</v>
      </c>
      <c r="E125">
        <v>43</v>
      </c>
      <c r="F125">
        <v>59</v>
      </c>
      <c r="H125">
        <f t="shared" si="1"/>
        <v>22101</v>
      </c>
      <c r="I125">
        <f>IF(B125&lt;&gt;B126,1,0)</f>
        <v>1</v>
      </c>
      <c r="K125" s="21">
        <f>IF(I125=1,H125,0)</f>
        <v>22101</v>
      </c>
    </row>
    <row r="126" spans="1:11" x14ac:dyDescent="0.25">
      <c r="A126" s="2">
        <v>43040</v>
      </c>
      <c r="B126" s="1" t="s">
        <v>17</v>
      </c>
      <c r="C126" t="s">
        <v>9</v>
      </c>
      <c r="D126" t="s">
        <v>14</v>
      </c>
      <c r="E126">
        <v>1</v>
      </c>
      <c r="F126">
        <v>61</v>
      </c>
      <c r="H126">
        <f t="shared" si="1"/>
        <v>22162</v>
      </c>
      <c r="I126">
        <f>IF(B126&lt;&gt;B127,1,0)</f>
        <v>0</v>
      </c>
      <c r="K126" s="21">
        <f>IF(I126=1,H126,0)</f>
        <v>0</v>
      </c>
    </row>
    <row r="127" spans="1:11" x14ac:dyDescent="0.25">
      <c r="A127" s="2">
        <v>43040</v>
      </c>
      <c r="B127" s="1" t="s">
        <v>17</v>
      </c>
      <c r="C127" t="s">
        <v>12</v>
      </c>
      <c r="D127" t="s">
        <v>14</v>
      </c>
      <c r="E127">
        <v>147</v>
      </c>
      <c r="F127">
        <v>30</v>
      </c>
      <c r="H127">
        <f t="shared" si="1"/>
        <v>26572</v>
      </c>
      <c r="I127">
        <f>IF(B127&lt;&gt;B128,1,0)</f>
        <v>0</v>
      </c>
      <c r="K127" s="21">
        <f>IF(I127=1,H127,0)</f>
        <v>0</v>
      </c>
    </row>
    <row r="128" spans="1:11" x14ac:dyDescent="0.25">
      <c r="A128" s="2">
        <v>43040</v>
      </c>
      <c r="B128" s="1" t="s">
        <v>17</v>
      </c>
      <c r="C128" t="s">
        <v>10</v>
      </c>
      <c r="D128" t="s">
        <v>8</v>
      </c>
      <c r="E128">
        <v>15</v>
      </c>
      <c r="F128">
        <v>8</v>
      </c>
      <c r="H128">
        <f t="shared" si="1"/>
        <v>26452</v>
      </c>
      <c r="I128">
        <f>IF(B128&lt;&gt;B129,1,0)</f>
        <v>0</v>
      </c>
      <c r="K128" s="21">
        <f>IF(I128=1,H128,0)</f>
        <v>0</v>
      </c>
    </row>
    <row r="129" spans="1:11" x14ac:dyDescent="0.25">
      <c r="A129" s="2">
        <v>43040</v>
      </c>
      <c r="B129" s="1" t="s">
        <v>17</v>
      </c>
      <c r="C129" t="s">
        <v>7</v>
      </c>
      <c r="D129" t="s">
        <v>8</v>
      </c>
      <c r="E129">
        <v>24</v>
      </c>
      <c r="F129">
        <v>63</v>
      </c>
      <c r="H129">
        <f t="shared" si="1"/>
        <v>24940</v>
      </c>
      <c r="I129">
        <f>IF(B129&lt;&gt;B130,1,0)</f>
        <v>0</v>
      </c>
      <c r="K129" s="21">
        <f>IF(I129=1,H129,0)</f>
        <v>0</v>
      </c>
    </row>
    <row r="130" spans="1:11" x14ac:dyDescent="0.25">
      <c r="A130" s="2">
        <v>43040</v>
      </c>
      <c r="B130" s="1" t="s">
        <v>17</v>
      </c>
      <c r="C130" t="s">
        <v>11</v>
      </c>
      <c r="D130" t="s">
        <v>8</v>
      </c>
      <c r="E130">
        <v>19</v>
      </c>
      <c r="F130">
        <v>24</v>
      </c>
      <c r="H130">
        <f t="shared" si="1"/>
        <v>24484</v>
      </c>
      <c r="I130">
        <f>IF(B130&lt;&gt;B131,1,0)</f>
        <v>1</v>
      </c>
      <c r="K130" s="21">
        <f>IF(I130=1,H130,0)</f>
        <v>24484</v>
      </c>
    </row>
    <row r="131" spans="1:11" x14ac:dyDescent="0.25">
      <c r="A131" s="2">
        <v>43064</v>
      </c>
      <c r="B131" s="1" t="s">
        <v>18</v>
      </c>
      <c r="C131" t="s">
        <v>7</v>
      </c>
      <c r="D131" t="s">
        <v>14</v>
      </c>
      <c r="E131">
        <v>134</v>
      </c>
      <c r="F131">
        <v>99</v>
      </c>
      <c r="H131">
        <f t="shared" si="1"/>
        <v>37750</v>
      </c>
      <c r="I131">
        <f>IF(B131&lt;&gt;B132,1,0)</f>
        <v>0</v>
      </c>
      <c r="K131" s="21">
        <f>IF(I131=1,H131,0)</f>
        <v>0</v>
      </c>
    </row>
    <row r="132" spans="1:11" x14ac:dyDescent="0.25">
      <c r="A132" s="2">
        <v>43064</v>
      </c>
      <c r="B132" s="1" t="s">
        <v>18</v>
      </c>
      <c r="C132" t="s">
        <v>9</v>
      </c>
      <c r="D132" t="s">
        <v>8</v>
      </c>
      <c r="E132">
        <v>12</v>
      </c>
      <c r="F132">
        <v>38</v>
      </c>
      <c r="H132">
        <f t="shared" ref="H132:H195" si="2">IF(D132="Z",H131-(E132*F132),H131+(E132*F132))</f>
        <v>37294</v>
      </c>
      <c r="I132">
        <f>IF(B132&lt;&gt;B133,1,0)</f>
        <v>1</v>
      </c>
      <c r="K132" s="21">
        <f>IF(I132=1,H132,0)</f>
        <v>37294</v>
      </c>
    </row>
    <row r="133" spans="1:11" x14ac:dyDescent="0.25">
      <c r="A133" s="2">
        <v>43082</v>
      </c>
      <c r="B133" s="1" t="s">
        <v>19</v>
      </c>
      <c r="C133" t="s">
        <v>12</v>
      </c>
      <c r="D133" t="s">
        <v>14</v>
      </c>
      <c r="E133">
        <v>4</v>
      </c>
      <c r="F133">
        <v>30</v>
      </c>
      <c r="H133">
        <f t="shared" si="2"/>
        <v>37414</v>
      </c>
      <c r="I133">
        <f>IF(B133&lt;&gt;B134,1,0)</f>
        <v>0</v>
      </c>
      <c r="K133" s="21">
        <f>IF(I133=1,H133,0)</f>
        <v>0</v>
      </c>
    </row>
    <row r="134" spans="1:11" x14ac:dyDescent="0.25">
      <c r="A134" s="2">
        <v>43082</v>
      </c>
      <c r="B134" s="1" t="s">
        <v>19</v>
      </c>
      <c r="C134" t="s">
        <v>10</v>
      </c>
      <c r="D134" t="s">
        <v>8</v>
      </c>
      <c r="E134">
        <v>26</v>
      </c>
      <c r="F134">
        <v>8</v>
      </c>
      <c r="H134">
        <f t="shared" si="2"/>
        <v>37206</v>
      </c>
      <c r="I134">
        <f>IF(B134&lt;&gt;B135,1,0)</f>
        <v>0</v>
      </c>
      <c r="K134" s="21">
        <f>IF(I134=1,H134,0)</f>
        <v>0</v>
      </c>
    </row>
    <row r="135" spans="1:11" x14ac:dyDescent="0.25">
      <c r="A135" s="2">
        <v>43082</v>
      </c>
      <c r="B135" s="1" t="s">
        <v>19</v>
      </c>
      <c r="C135" t="s">
        <v>7</v>
      </c>
      <c r="D135" t="s">
        <v>8</v>
      </c>
      <c r="E135">
        <v>38</v>
      </c>
      <c r="F135">
        <v>66</v>
      </c>
      <c r="H135">
        <f t="shared" si="2"/>
        <v>34698</v>
      </c>
      <c r="I135">
        <f>IF(B135&lt;&gt;B136,1,0)</f>
        <v>1</v>
      </c>
      <c r="K135" s="21">
        <f>IF(I135=1,H135,0)</f>
        <v>34698</v>
      </c>
    </row>
    <row r="136" spans="1:11" x14ac:dyDescent="0.25">
      <c r="A136" s="2">
        <v>43104</v>
      </c>
      <c r="B136" s="1" t="s">
        <v>20</v>
      </c>
      <c r="C136" t="s">
        <v>7</v>
      </c>
      <c r="D136" t="s">
        <v>14</v>
      </c>
      <c r="E136">
        <v>38</v>
      </c>
      <c r="F136">
        <v>98</v>
      </c>
      <c r="H136">
        <f t="shared" si="2"/>
        <v>38422</v>
      </c>
      <c r="I136">
        <f>IF(B136&lt;&gt;B137,1,0)</f>
        <v>0</v>
      </c>
      <c r="K136" s="21">
        <f>IF(I136=1,H136,0)</f>
        <v>0</v>
      </c>
    </row>
    <row r="137" spans="1:11" x14ac:dyDescent="0.25">
      <c r="A137" s="2">
        <v>43104</v>
      </c>
      <c r="B137" s="1" t="s">
        <v>20</v>
      </c>
      <c r="C137" t="s">
        <v>11</v>
      </c>
      <c r="D137" t="s">
        <v>14</v>
      </c>
      <c r="E137">
        <v>44</v>
      </c>
      <c r="F137">
        <v>37</v>
      </c>
      <c r="H137">
        <f t="shared" si="2"/>
        <v>40050</v>
      </c>
      <c r="I137">
        <f>IF(B137&lt;&gt;B138,1,0)</f>
        <v>0</v>
      </c>
      <c r="K137" s="21">
        <f>IF(I137=1,H137,0)</f>
        <v>0</v>
      </c>
    </row>
    <row r="138" spans="1:11" x14ac:dyDescent="0.25">
      <c r="A138" s="2">
        <v>43104</v>
      </c>
      <c r="B138" s="1" t="s">
        <v>20</v>
      </c>
      <c r="C138" t="s">
        <v>10</v>
      </c>
      <c r="D138" t="s">
        <v>8</v>
      </c>
      <c r="E138">
        <v>21</v>
      </c>
      <c r="F138">
        <v>8</v>
      </c>
      <c r="H138">
        <f t="shared" si="2"/>
        <v>39882</v>
      </c>
      <c r="I138">
        <f>IF(B138&lt;&gt;B139,1,0)</f>
        <v>0</v>
      </c>
      <c r="K138" s="21">
        <f>IF(I138=1,H138,0)</f>
        <v>0</v>
      </c>
    </row>
    <row r="139" spans="1:11" x14ac:dyDescent="0.25">
      <c r="A139" s="2">
        <v>43104</v>
      </c>
      <c r="B139" s="1" t="s">
        <v>20</v>
      </c>
      <c r="C139" t="s">
        <v>9</v>
      </c>
      <c r="D139" t="s">
        <v>8</v>
      </c>
      <c r="E139">
        <v>10</v>
      </c>
      <c r="F139">
        <v>39</v>
      </c>
      <c r="H139">
        <f t="shared" si="2"/>
        <v>39492</v>
      </c>
      <c r="I139">
        <f>IF(B139&lt;&gt;B140,1,0)</f>
        <v>1</v>
      </c>
      <c r="K139" s="21">
        <f>IF(I139=1,H139,0)</f>
        <v>39492</v>
      </c>
    </row>
    <row r="140" spans="1:11" x14ac:dyDescent="0.25">
      <c r="A140" s="2">
        <v>43129</v>
      </c>
      <c r="B140" s="1" t="s">
        <v>21</v>
      </c>
      <c r="C140" t="s">
        <v>11</v>
      </c>
      <c r="D140" t="s">
        <v>14</v>
      </c>
      <c r="E140">
        <v>15</v>
      </c>
      <c r="F140">
        <v>38</v>
      </c>
      <c r="H140">
        <f t="shared" si="2"/>
        <v>40062</v>
      </c>
      <c r="I140">
        <f>IF(B140&lt;&gt;B141,1,0)</f>
        <v>0</v>
      </c>
      <c r="K140" s="21">
        <f>IF(I140=1,H140,0)</f>
        <v>0</v>
      </c>
    </row>
    <row r="141" spans="1:11" x14ac:dyDescent="0.25">
      <c r="A141" s="2">
        <v>43129</v>
      </c>
      <c r="B141" s="1" t="s">
        <v>21</v>
      </c>
      <c r="C141" t="s">
        <v>9</v>
      </c>
      <c r="D141" t="s">
        <v>14</v>
      </c>
      <c r="E141">
        <v>22</v>
      </c>
      <c r="F141">
        <v>63</v>
      </c>
      <c r="H141">
        <f t="shared" si="2"/>
        <v>41448</v>
      </c>
      <c r="I141">
        <f>IF(B141&lt;&gt;B142,1,0)</f>
        <v>0</v>
      </c>
      <c r="K141" s="21">
        <f>IF(I141=1,H141,0)</f>
        <v>0</v>
      </c>
    </row>
    <row r="142" spans="1:11" x14ac:dyDescent="0.25">
      <c r="A142" s="2">
        <v>43129</v>
      </c>
      <c r="B142" s="1" t="s">
        <v>21</v>
      </c>
      <c r="C142" t="s">
        <v>7</v>
      </c>
      <c r="D142" t="s">
        <v>8</v>
      </c>
      <c r="E142">
        <v>9</v>
      </c>
      <c r="F142">
        <v>60</v>
      </c>
      <c r="H142">
        <f t="shared" si="2"/>
        <v>40908</v>
      </c>
      <c r="I142">
        <f>IF(B142&lt;&gt;B143,1,0)</f>
        <v>0</v>
      </c>
      <c r="K142" s="21">
        <f>IF(I142=1,H142,0)</f>
        <v>0</v>
      </c>
    </row>
    <row r="143" spans="1:11" x14ac:dyDescent="0.25">
      <c r="A143" s="2">
        <v>43129</v>
      </c>
      <c r="B143" s="1" t="s">
        <v>21</v>
      </c>
      <c r="C143" t="s">
        <v>12</v>
      </c>
      <c r="D143" t="s">
        <v>8</v>
      </c>
      <c r="E143">
        <v>6</v>
      </c>
      <c r="F143">
        <v>19</v>
      </c>
      <c r="H143">
        <f t="shared" si="2"/>
        <v>40794</v>
      </c>
      <c r="I143">
        <f>IF(B143&lt;&gt;B144,1,0)</f>
        <v>0</v>
      </c>
      <c r="K143" s="21">
        <f>IF(I143=1,H143,0)</f>
        <v>0</v>
      </c>
    </row>
    <row r="144" spans="1:11" x14ac:dyDescent="0.25">
      <c r="A144" s="2">
        <v>43129</v>
      </c>
      <c r="B144" s="1" t="s">
        <v>21</v>
      </c>
      <c r="C144" t="s">
        <v>10</v>
      </c>
      <c r="D144" t="s">
        <v>8</v>
      </c>
      <c r="E144">
        <v>4</v>
      </c>
      <c r="F144">
        <v>8</v>
      </c>
      <c r="H144">
        <f t="shared" si="2"/>
        <v>40762</v>
      </c>
      <c r="I144">
        <f>IF(B144&lt;&gt;B145,1,0)</f>
        <v>1</v>
      </c>
      <c r="K144" s="21">
        <f>IF(I144=1,H144,0)</f>
        <v>40762</v>
      </c>
    </row>
    <row r="145" spans="1:11" x14ac:dyDescent="0.25">
      <c r="A145" s="2">
        <v>43130</v>
      </c>
      <c r="B145" s="1" t="s">
        <v>22</v>
      </c>
      <c r="C145" t="s">
        <v>12</v>
      </c>
      <c r="D145" t="s">
        <v>14</v>
      </c>
      <c r="E145">
        <v>6</v>
      </c>
      <c r="F145">
        <v>25</v>
      </c>
      <c r="H145">
        <f t="shared" si="2"/>
        <v>40912</v>
      </c>
      <c r="I145">
        <f>IF(B145&lt;&gt;B146,1,0)</f>
        <v>0</v>
      </c>
      <c r="K145" s="21">
        <f>IF(I145=1,H145,0)</f>
        <v>0</v>
      </c>
    </row>
    <row r="146" spans="1:11" x14ac:dyDescent="0.25">
      <c r="A146" s="2">
        <v>43130</v>
      </c>
      <c r="B146" s="1" t="s">
        <v>22</v>
      </c>
      <c r="C146" t="s">
        <v>7</v>
      </c>
      <c r="D146" t="s">
        <v>8</v>
      </c>
      <c r="E146">
        <v>48</v>
      </c>
      <c r="F146">
        <v>79</v>
      </c>
      <c r="H146">
        <f t="shared" si="2"/>
        <v>37120</v>
      </c>
      <c r="I146">
        <f>IF(B146&lt;&gt;B147,1,0)</f>
        <v>1</v>
      </c>
      <c r="K146" s="21">
        <f>IF(I146=1,H146,0)</f>
        <v>37120</v>
      </c>
    </row>
    <row r="147" spans="1:11" x14ac:dyDescent="0.25">
      <c r="A147" s="2">
        <v>43147</v>
      </c>
      <c r="B147" s="1" t="s">
        <v>6</v>
      </c>
      <c r="C147" t="s">
        <v>9</v>
      </c>
      <c r="D147" t="s">
        <v>8</v>
      </c>
      <c r="E147">
        <v>34</v>
      </c>
      <c r="F147">
        <v>42</v>
      </c>
      <c r="H147">
        <f t="shared" si="2"/>
        <v>35692</v>
      </c>
      <c r="I147">
        <f>IF(B147&lt;&gt;B148,1,0)</f>
        <v>0</v>
      </c>
      <c r="K147" s="21">
        <f>IF(I147=1,H147,0)</f>
        <v>0</v>
      </c>
    </row>
    <row r="148" spans="1:11" x14ac:dyDescent="0.25">
      <c r="A148" s="2">
        <v>43147</v>
      </c>
      <c r="B148" s="1" t="s">
        <v>6</v>
      </c>
      <c r="C148" t="s">
        <v>11</v>
      </c>
      <c r="D148" t="s">
        <v>14</v>
      </c>
      <c r="E148">
        <v>49</v>
      </c>
      <c r="F148">
        <v>35</v>
      </c>
      <c r="H148">
        <f t="shared" si="2"/>
        <v>37407</v>
      </c>
      <c r="I148">
        <f>IF(B148&lt;&gt;B149,1,0)</f>
        <v>0</v>
      </c>
      <c r="K148" s="21">
        <f>IF(I148=1,H148,0)</f>
        <v>0</v>
      </c>
    </row>
    <row r="149" spans="1:11" x14ac:dyDescent="0.25">
      <c r="A149" s="2">
        <v>43147</v>
      </c>
      <c r="B149" s="1" t="s">
        <v>6</v>
      </c>
      <c r="C149" t="s">
        <v>10</v>
      </c>
      <c r="D149" t="s">
        <v>8</v>
      </c>
      <c r="E149">
        <v>10</v>
      </c>
      <c r="F149">
        <v>8</v>
      </c>
      <c r="H149">
        <f t="shared" si="2"/>
        <v>37327</v>
      </c>
      <c r="I149">
        <f>IF(B149&lt;&gt;B150,1,0)</f>
        <v>0</v>
      </c>
      <c r="K149" s="21">
        <f>IF(I149=1,H149,0)</f>
        <v>0</v>
      </c>
    </row>
    <row r="150" spans="1:11" x14ac:dyDescent="0.25">
      <c r="A150" s="2">
        <v>43147</v>
      </c>
      <c r="B150" s="1" t="s">
        <v>6</v>
      </c>
      <c r="C150" t="s">
        <v>12</v>
      </c>
      <c r="D150" t="s">
        <v>8</v>
      </c>
      <c r="E150">
        <v>47</v>
      </c>
      <c r="F150">
        <v>21</v>
      </c>
      <c r="H150">
        <f t="shared" si="2"/>
        <v>36340</v>
      </c>
      <c r="I150">
        <f>IF(B150&lt;&gt;B151,1,0)</f>
        <v>0</v>
      </c>
      <c r="K150" s="21">
        <f>IF(I150=1,H150,0)</f>
        <v>0</v>
      </c>
    </row>
    <row r="151" spans="1:11" x14ac:dyDescent="0.25">
      <c r="A151" s="2">
        <v>43147</v>
      </c>
      <c r="B151" s="1" t="s">
        <v>6</v>
      </c>
      <c r="C151" t="s">
        <v>7</v>
      </c>
      <c r="D151" t="s">
        <v>8</v>
      </c>
      <c r="E151">
        <v>48</v>
      </c>
      <c r="F151">
        <v>66</v>
      </c>
      <c r="H151">
        <f t="shared" si="2"/>
        <v>33172</v>
      </c>
      <c r="I151">
        <f>IF(B151&lt;&gt;B152,1,0)</f>
        <v>1</v>
      </c>
      <c r="K151" s="21">
        <f>IF(I151=1,H151,0)</f>
        <v>33172</v>
      </c>
    </row>
    <row r="152" spans="1:11" x14ac:dyDescent="0.25">
      <c r="A152" s="2">
        <v>43162</v>
      </c>
      <c r="B152" s="1" t="s">
        <v>13</v>
      </c>
      <c r="C152" t="s">
        <v>9</v>
      </c>
      <c r="D152" t="s">
        <v>14</v>
      </c>
      <c r="E152">
        <v>34</v>
      </c>
      <c r="F152">
        <v>58</v>
      </c>
      <c r="H152">
        <f t="shared" si="2"/>
        <v>35144</v>
      </c>
      <c r="I152">
        <f>IF(B152&lt;&gt;B153,1,0)</f>
        <v>0</v>
      </c>
      <c r="K152" s="21">
        <f>IF(I152=1,H152,0)</f>
        <v>0</v>
      </c>
    </row>
    <row r="153" spans="1:11" x14ac:dyDescent="0.25">
      <c r="A153" s="2">
        <v>43162</v>
      </c>
      <c r="B153" s="1" t="s">
        <v>13</v>
      </c>
      <c r="C153" t="s">
        <v>10</v>
      </c>
      <c r="D153" t="s">
        <v>8</v>
      </c>
      <c r="E153">
        <v>5</v>
      </c>
      <c r="F153">
        <v>9</v>
      </c>
      <c r="H153">
        <f t="shared" si="2"/>
        <v>35099</v>
      </c>
      <c r="I153">
        <f>IF(B153&lt;&gt;B154,1,0)</f>
        <v>1</v>
      </c>
      <c r="K153" s="21">
        <f>IF(I153=1,H153,0)</f>
        <v>35099</v>
      </c>
    </row>
    <row r="154" spans="1:11" x14ac:dyDescent="0.25">
      <c r="A154" s="2">
        <v>43181</v>
      </c>
      <c r="B154" s="1" t="s">
        <v>15</v>
      </c>
      <c r="C154" t="s">
        <v>12</v>
      </c>
      <c r="D154" t="s">
        <v>14</v>
      </c>
      <c r="E154">
        <v>46</v>
      </c>
      <c r="F154">
        <v>30</v>
      </c>
      <c r="H154">
        <f t="shared" si="2"/>
        <v>36479</v>
      </c>
      <c r="I154">
        <f>IF(B154&lt;&gt;B155,1,0)</f>
        <v>0</v>
      </c>
      <c r="K154" s="21">
        <f>IF(I154=1,H154,0)</f>
        <v>0</v>
      </c>
    </row>
    <row r="155" spans="1:11" x14ac:dyDescent="0.25">
      <c r="A155" s="2">
        <v>43181</v>
      </c>
      <c r="B155" s="1" t="s">
        <v>15</v>
      </c>
      <c r="C155" t="s">
        <v>7</v>
      </c>
      <c r="D155" t="s">
        <v>8</v>
      </c>
      <c r="E155">
        <v>49</v>
      </c>
      <c r="F155">
        <v>65</v>
      </c>
      <c r="H155">
        <f t="shared" si="2"/>
        <v>33294</v>
      </c>
      <c r="I155">
        <f>IF(B155&lt;&gt;B156,1,0)</f>
        <v>0</v>
      </c>
      <c r="K155" s="21">
        <f>IF(I155=1,H155,0)</f>
        <v>0</v>
      </c>
    </row>
    <row r="156" spans="1:11" x14ac:dyDescent="0.25">
      <c r="A156" s="2">
        <v>43181</v>
      </c>
      <c r="B156" s="1" t="s">
        <v>15</v>
      </c>
      <c r="C156" t="s">
        <v>10</v>
      </c>
      <c r="D156" t="s">
        <v>8</v>
      </c>
      <c r="E156">
        <v>16</v>
      </c>
      <c r="F156">
        <v>8</v>
      </c>
      <c r="H156">
        <f t="shared" si="2"/>
        <v>33166</v>
      </c>
      <c r="I156">
        <f>IF(B156&lt;&gt;B157,1,0)</f>
        <v>1</v>
      </c>
      <c r="K156" s="21">
        <f>IF(I156=1,H156,0)</f>
        <v>33166</v>
      </c>
    </row>
    <row r="157" spans="1:11" x14ac:dyDescent="0.25">
      <c r="A157" s="2">
        <v>43207</v>
      </c>
      <c r="B157" s="1" t="s">
        <v>16</v>
      </c>
      <c r="C157" t="s">
        <v>9</v>
      </c>
      <c r="D157" t="s">
        <v>8</v>
      </c>
      <c r="E157">
        <v>5</v>
      </c>
      <c r="F157">
        <v>37</v>
      </c>
      <c r="H157">
        <f t="shared" si="2"/>
        <v>32981</v>
      </c>
      <c r="I157">
        <f>IF(B157&lt;&gt;B158,1,0)</f>
        <v>0</v>
      </c>
      <c r="K157" s="21">
        <f>IF(I157=1,H157,0)</f>
        <v>0</v>
      </c>
    </row>
    <row r="158" spans="1:11" x14ac:dyDescent="0.25">
      <c r="A158" s="2">
        <v>43207</v>
      </c>
      <c r="B158" s="1" t="s">
        <v>16</v>
      </c>
      <c r="C158" t="s">
        <v>12</v>
      </c>
      <c r="D158" t="s">
        <v>14</v>
      </c>
      <c r="E158">
        <v>1</v>
      </c>
      <c r="F158">
        <v>32</v>
      </c>
      <c r="H158">
        <f t="shared" si="2"/>
        <v>33013</v>
      </c>
      <c r="I158">
        <f>IF(B158&lt;&gt;B159,1,0)</f>
        <v>0</v>
      </c>
      <c r="K158" s="21">
        <f>IF(I158=1,H158,0)</f>
        <v>0</v>
      </c>
    </row>
    <row r="159" spans="1:11" x14ac:dyDescent="0.25">
      <c r="A159" s="2">
        <v>43207</v>
      </c>
      <c r="B159" s="1" t="s">
        <v>16</v>
      </c>
      <c r="C159" t="s">
        <v>10</v>
      </c>
      <c r="D159" t="s">
        <v>8</v>
      </c>
      <c r="E159">
        <v>34</v>
      </c>
      <c r="F159">
        <v>7</v>
      </c>
      <c r="H159">
        <f t="shared" si="2"/>
        <v>32775</v>
      </c>
      <c r="I159">
        <f>IF(B159&lt;&gt;B160,1,0)</f>
        <v>0</v>
      </c>
      <c r="K159" s="21">
        <f>IF(I159=1,H159,0)</f>
        <v>0</v>
      </c>
    </row>
    <row r="160" spans="1:11" x14ac:dyDescent="0.25">
      <c r="A160" s="2">
        <v>43207</v>
      </c>
      <c r="B160" s="1" t="s">
        <v>16</v>
      </c>
      <c r="C160" t="s">
        <v>7</v>
      </c>
      <c r="D160" t="s">
        <v>8</v>
      </c>
      <c r="E160">
        <v>29</v>
      </c>
      <c r="F160">
        <v>59</v>
      </c>
      <c r="H160">
        <f t="shared" si="2"/>
        <v>31064</v>
      </c>
      <c r="I160">
        <f>IF(B160&lt;&gt;B161,1,0)</f>
        <v>1</v>
      </c>
      <c r="K160" s="21">
        <f>IF(I160=1,H160,0)</f>
        <v>31064</v>
      </c>
    </row>
    <row r="161" spans="1:11" x14ac:dyDescent="0.25">
      <c r="A161" s="2">
        <v>43228</v>
      </c>
      <c r="B161" s="1" t="s">
        <v>17</v>
      </c>
      <c r="C161" t="s">
        <v>11</v>
      </c>
      <c r="D161" t="s">
        <v>8</v>
      </c>
      <c r="E161">
        <v>34</v>
      </c>
      <c r="F161">
        <v>24</v>
      </c>
      <c r="H161">
        <f t="shared" si="2"/>
        <v>30248</v>
      </c>
      <c r="I161">
        <f>IF(B161&lt;&gt;B162,1,0)</f>
        <v>0</v>
      </c>
      <c r="K161" s="21">
        <f>IF(I161=1,H161,0)</f>
        <v>0</v>
      </c>
    </row>
    <row r="162" spans="1:11" x14ac:dyDescent="0.25">
      <c r="A162" s="2">
        <v>43228</v>
      </c>
      <c r="B162" s="1" t="s">
        <v>17</v>
      </c>
      <c r="C162" t="s">
        <v>12</v>
      </c>
      <c r="D162" t="s">
        <v>8</v>
      </c>
      <c r="E162">
        <v>27</v>
      </c>
      <c r="F162">
        <v>20</v>
      </c>
      <c r="H162">
        <f t="shared" si="2"/>
        <v>29708</v>
      </c>
      <c r="I162">
        <f>IF(B162&lt;&gt;B163,1,0)</f>
        <v>0</v>
      </c>
      <c r="K162" s="21">
        <f>IF(I162=1,H162,0)</f>
        <v>0</v>
      </c>
    </row>
    <row r="163" spans="1:11" x14ac:dyDescent="0.25">
      <c r="A163" s="2">
        <v>43228</v>
      </c>
      <c r="B163" s="1" t="s">
        <v>17</v>
      </c>
      <c r="C163" t="s">
        <v>10</v>
      </c>
      <c r="D163" t="s">
        <v>8</v>
      </c>
      <c r="E163">
        <v>40</v>
      </c>
      <c r="F163">
        <v>8</v>
      </c>
      <c r="H163">
        <f t="shared" si="2"/>
        <v>29388</v>
      </c>
      <c r="I163">
        <f>IF(B163&lt;&gt;B164,1,0)</f>
        <v>1</v>
      </c>
      <c r="K163" s="21">
        <f>IF(I163=1,H163,0)</f>
        <v>29388</v>
      </c>
    </row>
    <row r="164" spans="1:11" x14ac:dyDescent="0.25">
      <c r="A164" s="2">
        <v>43252</v>
      </c>
      <c r="B164" s="1" t="s">
        <v>18</v>
      </c>
      <c r="C164" t="s">
        <v>7</v>
      </c>
      <c r="D164" t="s">
        <v>14</v>
      </c>
      <c r="E164">
        <v>184</v>
      </c>
      <c r="F164">
        <v>99</v>
      </c>
      <c r="H164">
        <f t="shared" si="2"/>
        <v>47604</v>
      </c>
      <c r="I164">
        <f>IF(B164&lt;&gt;B165,1,0)</f>
        <v>0</v>
      </c>
      <c r="K164" s="21">
        <f>IF(I164=1,H164,0)</f>
        <v>0</v>
      </c>
    </row>
    <row r="165" spans="1:11" x14ac:dyDescent="0.25">
      <c r="A165" s="2">
        <v>43252</v>
      </c>
      <c r="B165" s="1" t="s">
        <v>18</v>
      </c>
      <c r="C165" t="s">
        <v>9</v>
      </c>
      <c r="D165" t="s">
        <v>8</v>
      </c>
      <c r="E165">
        <v>48</v>
      </c>
      <c r="F165">
        <v>38</v>
      </c>
      <c r="H165">
        <f t="shared" si="2"/>
        <v>45780</v>
      </c>
      <c r="I165">
        <f>IF(B165&lt;&gt;B166,1,0)</f>
        <v>0</v>
      </c>
      <c r="K165" s="21">
        <f>IF(I165=1,H165,0)</f>
        <v>0</v>
      </c>
    </row>
    <row r="166" spans="1:11" x14ac:dyDescent="0.25">
      <c r="A166" s="2">
        <v>43252</v>
      </c>
      <c r="B166" s="1" t="s">
        <v>18</v>
      </c>
      <c r="C166" t="s">
        <v>11</v>
      </c>
      <c r="D166" t="s">
        <v>8</v>
      </c>
      <c r="E166">
        <v>21</v>
      </c>
      <c r="F166">
        <v>23</v>
      </c>
      <c r="H166">
        <f t="shared" si="2"/>
        <v>45297</v>
      </c>
      <c r="I166">
        <f>IF(B166&lt;&gt;B167,1,0)</f>
        <v>1</v>
      </c>
      <c r="K166" s="21">
        <f>IF(I166=1,H166,0)</f>
        <v>45297</v>
      </c>
    </row>
    <row r="167" spans="1:11" x14ac:dyDescent="0.25">
      <c r="A167" s="2">
        <v>43270</v>
      </c>
      <c r="B167" s="1" t="s">
        <v>19</v>
      </c>
      <c r="C167" t="s">
        <v>7</v>
      </c>
      <c r="D167" t="s">
        <v>8</v>
      </c>
      <c r="E167">
        <v>47</v>
      </c>
      <c r="F167">
        <v>66</v>
      </c>
      <c r="H167">
        <f t="shared" si="2"/>
        <v>42195</v>
      </c>
      <c r="I167">
        <f>IF(B167&lt;&gt;B168,1,0)</f>
        <v>0</v>
      </c>
      <c r="K167" s="21">
        <f>IF(I167=1,H167,0)</f>
        <v>0</v>
      </c>
    </row>
    <row r="168" spans="1:11" x14ac:dyDescent="0.25">
      <c r="A168" s="2">
        <v>43270</v>
      </c>
      <c r="B168" s="1" t="s">
        <v>19</v>
      </c>
      <c r="C168" t="s">
        <v>11</v>
      </c>
      <c r="D168" t="s">
        <v>8</v>
      </c>
      <c r="E168">
        <v>6</v>
      </c>
      <c r="F168">
        <v>25</v>
      </c>
      <c r="H168">
        <f t="shared" si="2"/>
        <v>42045</v>
      </c>
      <c r="I168">
        <f>IF(B168&lt;&gt;B169,1,0)</f>
        <v>0</v>
      </c>
      <c r="K168" s="21">
        <f>IF(I168=1,H168,0)</f>
        <v>0</v>
      </c>
    </row>
    <row r="169" spans="1:11" x14ac:dyDescent="0.25">
      <c r="A169" s="2">
        <v>43270</v>
      </c>
      <c r="B169" s="1" t="s">
        <v>19</v>
      </c>
      <c r="C169" t="s">
        <v>9</v>
      </c>
      <c r="D169" t="s">
        <v>8</v>
      </c>
      <c r="E169">
        <v>47</v>
      </c>
      <c r="F169">
        <v>41</v>
      </c>
      <c r="H169">
        <f t="shared" si="2"/>
        <v>40118</v>
      </c>
      <c r="I169">
        <f>IF(B169&lt;&gt;B170,1,0)</f>
        <v>1</v>
      </c>
      <c r="K169" s="21">
        <f>IF(I169=1,H169,0)</f>
        <v>40118</v>
      </c>
    </row>
    <row r="170" spans="1:11" x14ac:dyDescent="0.25">
      <c r="A170" s="2">
        <v>43292</v>
      </c>
      <c r="B170" s="1" t="s">
        <v>20</v>
      </c>
      <c r="C170" t="s">
        <v>10</v>
      </c>
      <c r="D170" t="s">
        <v>14</v>
      </c>
      <c r="E170">
        <v>192</v>
      </c>
      <c r="F170">
        <v>12</v>
      </c>
      <c r="H170">
        <f t="shared" si="2"/>
        <v>42422</v>
      </c>
      <c r="I170">
        <f>IF(B170&lt;&gt;B171,1,0)</f>
        <v>0</v>
      </c>
      <c r="K170" s="21">
        <f>IF(I170=1,H170,0)</f>
        <v>0</v>
      </c>
    </row>
    <row r="171" spans="1:11" x14ac:dyDescent="0.25">
      <c r="A171" s="2">
        <v>43292</v>
      </c>
      <c r="B171" s="1" t="s">
        <v>20</v>
      </c>
      <c r="C171" t="s">
        <v>11</v>
      </c>
      <c r="D171" t="s">
        <v>14</v>
      </c>
      <c r="E171">
        <v>48</v>
      </c>
      <c r="F171">
        <v>37</v>
      </c>
      <c r="H171">
        <f t="shared" si="2"/>
        <v>44198</v>
      </c>
      <c r="I171">
        <f>IF(B171&lt;&gt;B172,1,0)</f>
        <v>0</v>
      </c>
      <c r="K171" s="21">
        <f>IF(I171=1,H171,0)</f>
        <v>0</v>
      </c>
    </row>
    <row r="172" spans="1:11" x14ac:dyDescent="0.25">
      <c r="A172" s="2">
        <v>43292</v>
      </c>
      <c r="B172" s="1" t="s">
        <v>20</v>
      </c>
      <c r="C172" t="s">
        <v>7</v>
      </c>
      <c r="D172" t="s">
        <v>8</v>
      </c>
      <c r="E172">
        <v>18</v>
      </c>
      <c r="F172">
        <v>62</v>
      </c>
      <c r="H172">
        <f t="shared" si="2"/>
        <v>43082</v>
      </c>
      <c r="I172">
        <f>IF(B172&lt;&gt;B173,1,0)</f>
        <v>0</v>
      </c>
      <c r="K172" s="21">
        <f>IF(I172=1,H172,0)</f>
        <v>0</v>
      </c>
    </row>
    <row r="173" spans="1:11" x14ac:dyDescent="0.25">
      <c r="A173" s="2">
        <v>43292</v>
      </c>
      <c r="B173" s="1" t="s">
        <v>20</v>
      </c>
      <c r="C173" t="s">
        <v>9</v>
      </c>
      <c r="D173" t="s">
        <v>8</v>
      </c>
      <c r="E173">
        <v>25</v>
      </c>
      <c r="F173">
        <v>39</v>
      </c>
      <c r="H173">
        <f t="shared" si="2"/>
        <v>42107</v>
      </c>
      <c r="I173">
        <f>IF(B173&lt;&gt;B174,1,0)</f>
        <v>0</v>
      </c>
      <c r="K173" s="21">
        <f>IF(I173=1,H173,0)</f>
        <v>0</v>
      </c>
    </row>
    <row r="174" spans="1:11" x14ac:dyDescent="0.25">
      <c r="A174" s="2">
        <v>43292</v>
      </c>
      <c r="B174" s="1" t="s">
        <v>20</v>
      </c>
      <c r="C174" t="s">
        <v>12</v>
      </c>
      <c r="D174" t="s">
        <v>8</v>
      </c>
      <c r="E174">
        <v>2</v>
      </c>
      <c r="F174">
        <v>20</v>
      </c>
      <c r="H174">
        <f t="shared" si="2"/>
        <v>42067</v>
      </c>
      <c r="I174">
        <f>IF(B174&lt;&gt;B175,1,0)</f>
        <v>1</v>
      </c>
      <c r="K174" s="21">
        <f>IF(I174=1,H174,0)</f>
        <v>42067</v>
      </c>
    </row>
    <row r="175" spans="1:11" x14ac:dyDescent="0.25">
      <c r="A175" s="2">
        <v>43317</v>
      </c>
      <c r="B175" s="1" t="s">
        <v>21</v>
      </c>
      <c r="C175" t="s">
        <v>11</v>
      </c>
      <c r="D175" t="s">
        <v>14</v>
      </c>
      <c r="E175">
        <v>13</v>
      </c>
      <c r="F175">
        <v>38</v>
      </c>
      <c r="H175">
        <f t="shared" si="2"/>
        <v>42561</v>
      </c>
      <c r="I175">
        <f>IF(B175&lt;&gt;B176,1,0)</f>
        <v>0</v>
      </c>
      <c r="K175" s="21">
        <f>IF(I175=1,H175,0)</f>
        <v>0</v>
      </c>
    </row>
    <row r="176" spans="1:11" x14ac:dyDescent="0.25">
      <c r="A176" s="2">
        <v>43317</v>
      </c>
      <c r="B176" s="1" t="s">
        <v>21</v>
      </c>
      <c r="C176" t="s">
        <v>9</v>
      </c>
      <c r="D176" t="s">
        <v>14</v>
      </c>
      <c r="E176">
        <v>121</v>
      </c>
      <c r="F176">
        <v>63</v>
      </c>
      <c r="H176">
        <f t="shared" si="2"/>
        <v>50184</v>
      </c>
      <c r="I176">
        <f>IF(B176&lt;&gt;B177,1,0)</f>
        <v>0</v>
      </c>
      <c r="K176" s="21">
        <f>IF(I176=1,H176,0)</f>
        <v>0</v>
      </c>
    </row>
    <row r="177" spans="1:11" x14ac:dyDescent="0.25">
      <c r="A177" s="2">
        <v>43317</v>
      </c>
      <c r="B177" s="1" t="s">
        <v>21</v>
      </c>
      <c r="C177" t="s">
        <v>12</v>
      </c>
      <c r="D177" t="s">
        <v>8</v>
      </c>
      <c r="E177">
        <v>30</v>
      </c>
      <c r="F177">
        <v>19</v>
      </c>
      <c r="H177">
        <f t="shared" si="2"/>
        <v>49614</v>
      </c>
      <c r="I177">
        <f>IF(B177&lt;&gt;B178,1,0)</f>
        <v>0</v>
      </c>
      <c r="K177" s="21">
        <f>IF(I177=1,H177,0)</f>
        <v>0</v>
      </c>
    </row>
    <row r="178" spans="1:11" x14ac:dyDescent="0.25">
      <c r="A178" s="2">
        <v>43317</v>
      </c>
      <c r="B178" s="1" t="s">
        <v>21</v>
      </c>
      <c r="C178" t="s">
        <v>10</v>
      </c>
      <c r="D178" t="s">
        <v>8</v>
      </c>
      <c r="E178">
        <v>46</v>
      </c>
      <c r="F178">
        <v>8</v>
      </c>
      <c r="H178">
        <f t="shared" si="2"/>
        <v>49246</v>
      </c>
      <c r="I178">
        <f>IF(B178&lt;&gt;B179,1,0)</f>
        <v>1</v>
      </c>
      <c r="K178" s="21">
        <f>IF(I178=1,H178,0)</f>
        <v>49246</v>
      </c>
    </row>
    <row r="179" spans="1:11" x14ac:dyDescent="0.25">
      <c r="A179" s="2">
        <v>43330</v>
      </c>
      <c r="B179" s="1" t="s">
        <v>22</v>
      </c>
      <c r="C179" t="s">
        <v>10</v>
      </c>
      <c r="D179" t="s">
        <v>14</v>
      </c>
      <c r="E179">
        <v>49</v>
      </c>
      <c r="F179">
        <v>11</v>
      </c>
      <c r="H179">
        <f t="shared" si="2"/>
        <v>49785</v>
      </c>
      <c r="I179">
        <f>IF(B179&lt;&gt;B180,1,0)</f>
        <v>0</v>
      </c>
      <c r="K179" s="21">
        <f>IF(I179=1,H179,0)</f>
        <v>0</v>
      </c>
    </row>
    <row r="180" spans="1:11" x14ac:dyDescent="0.25">
      <c r="A180" s="2">
        <v>43330</v>
      </c>
      <c r="B180" s="1" t="s">
        <v>22</v>
      </c>
      <c r="C180" t="s">
        <v>7</v>
      </c>
      <c r="D180" t="s">
        <v>14</v>
      </c>
      <c r="E180">
        <v>61</v>
      </c>
      <c r="F180">
        <v>90</v>
      </c>
      <c r="H180">
        <f t="shared" si="2"/>
        <v>55275</v>
      </c>
      <c r="I180">
        <f>IF(B180&lt;&gt;B181,1,0)</f>
        <v>0</v>
      </c>
      <c r="K180" s="21">
        <f>IF(I180=1,H180,0)</f>
        <v>0</v>
      </c>
    </row>
    <row r="181" spans="1:11" x14ac:dyDescent="0.25">
      <c r="A181" s="2">
        <v>43330</v>
      </c>
      <c r="B181" s="1" t="s">
        <v>22</v>
      </c>
      <c r="C181" t="s">
        <v>12</v>
      </c>
      <c r="D181" t="s">
        <v>8</v>
      </c>
      <c r="E181">
        <v>19</v>
      </c>
      <c r="F181">
        <v>22</v>
      </c>
      <c r="H181">
        <f t="shared" si="2"/>
        <v>54857</v>
      </c>
      <c r="I181">
        <f>IF(B181&lt;&gt;B182,1,0)</f>
        <v>0</v>
      </c>
      <c r="K181" s="21">
        <f>IF(I181=1,H181,0)</f>
        <v>0</v>
      </c>
    </row>
    <row r="182" spans="1:11" x14ac:dyDescent="0.25">
      <c r="A182" s="2">
        <v>43330</v>
      </c>
      <c r="B182" s="1" t="s">
        <v>22</v>
      </c>
      <c r="C182" t="s">
        <v>9</v>
      </c>
      <c r="D182" t="s">
        <v>8</v>
      </c>
      <c r="E182">
        <v>22</v>
      </c>
      <c r="F182">
        <v>44</v>
      </c>
      <c r="H182">
        <f t="shared" si="2"/>
        <v>53889</v>
      </c>
      <c r="I182">
        <f>IF(B182&lt;&gt;B183,1,0)</f>
        <v>1</v>
      </c>
      <c r="K182" s="21">
        <f>IF(I182=1,H182,0)</f>
        <v>53889</v>
      </c>
    </row>
    <row r="183" spans="1:11" x14ac:dyDescent="0.25">
      <c r="A183" s="2">
        <v>43347</v>
      </c>
      <c r="B183" s="1" t="s">
        <v>6</v>
      </c>
      <c r="C183" t="s">
        <v>11</v>
      </c>
      <c r="D183" t="s">
        <v>8</v>
      </c>
      <c r="E183">
        <v>9</v>
      </c>
      <c r="F183">
        <v>25</v>
      </c>
      <c r="H183">
        <f t="shared" si="2"/>
        <v>53664</v>
      </c>
      <c r="I183">
        <f>IF(B183&lt;&gt;B184,1,0)</f>
        <v>0</v>
      </c>
      <c r="K183" s="21">
        <f>IF(I183=1,H183,0)</f>
        <v>0</v>
      </c>
    </row>
    <row r="184" spans="1:11" x14ac:dyDescent="0.25">
      <c r="A184" s="2">
        <v>43347</v>
      </c>
      <c r="B184" s="1" t="s">
        <v>6</v>
      </c>
      <c r="C184" t="s">
        <v>7</v>
      </c>
      <c r="D184" t="s">
        <v>14</v>
      </c>
      <c r="E184">
        <v>4</v>
      </c>
      <c r="F184">
        <v>94</v>
      </c>
      <c r="H184">
        <f t="shared" si="2"/>
        <v>54040</v>
      </c>
      <c r="I184">
        <f>IF(B184&lt;&gt;B185,1,0)</f>
        <v>0</v>
      </c>
      <c r="K184" s="21">
        <f>IF(I184=1,H184,0)</f>
        <v>0</v>
      </c>
    </row>
    <row r="185" spans="1:11" x14ac:dyDescent="0.25">
      <c r="A185" s="2">
        <v>43347</v>
      </c>
      <c r="B185" s="1" t="s">
        <v>6</v>
      </c>
      <c r="C185" t="s">
        <v>12</v>
      </c>
      <c r="D185" t="s">
        <v>8</v>
      </c>
      <c r="E185">
        <v>8</v>
      </c>
      <c r="F185">
        <v>21</v>
      </c>
      <c r="H185">
        <f t="shared" si="2"/>
        <v>53872</v>
      </c>
      <c r="I185">
        <f>IF(B185&lt;&gt;B186,1,0)</f>
        <v>0</v>
      </c>
      <c r="K185" s="21">
        <f>IF(I185=1,H185,0)</f>
        <v>0</v>
      </c>
    </row>
    <row r="186" spans="1:11" x14ac:dyDescent="0.25">
      <c r="A186" s="2">
        <v>43347</v>
      </c>
      <c r="B186" s="1" t="s">
        <v>6</v>
      </c>
      <c r="C186" t="s">
        <v>10</v>
      </c>
      <c r="D186" t="s">
        <v>8</v>
      </c>
      <c r="E186">
        <v>47</v>
      </c>
      <c r="F186">
        <v>8</v>
      </c>
      <c r="H186">
        <f t="shared" si="2"/>
        <v>53496</v>
      </c>
      <c r="I186">
        <f>IF(B186&lt;&gt;B187,1,0)</f>
        <v>1</v>
      </c>
      <c r="K186" s="21">
        <f>IF(I186=1,H186,0)</f>
        <v>53496</v>
      </c>
    </row>
    <row r="187" spans="1:11" x14ac:dyDescent="0.25">
      <c r="A187" s="2">
        <v>43362</v>
      </c>
      <c r="B187" s="1" t="s">
        <v>13</v>
      </c>
      <c r="C187" t="s">
        <v>12</v>
      </c>
      <c r="D187" t="s">
        <v>14</v>
      </c>
      <c r="E187">
        <v>82</v>
      </c>
      <c r="F187">
        <v>29</v>
      </c>
      <c r="H187">
        <f t="shared" si="2"/>
        <v>55874</v>
      </c>
      <c r="I187">
        <f>IF(B187&lt;&gt;B188,1,0)</f>
        <v>0</v>
      </c>
      <c r="K187" s="21">
        <f>IF(I187=1,H187,0)</f>
        <v>0</v>
      </c>
    </row>
    <row r="188" spans="1:11" x14ac:dyDescent="0.25">
      <c r="A188" s="2">
        <v>43362</v>
      </c>
      <c r="B188" s="1" t="s">
        <v>13</v>
      </c>
      <c r="C188" t="s">
        <v>9</v>
      </c>
      <c r="D188" t="s">
        <v>14</v>
      </c>
      <c r="E188">
        <v>26</v>
      </c>
      <c r="F188">
        <v>58</v>
      </c>
      <c r="H188">
        <f t="shared" si="2"/>
        <v>57382</v>
      </c>
      <c r="I188">
        <f>IF(B188&lt;&gt;B189,1,0)</f>
        <v>0</v>
      </c>
      <c r="K188" s="21">
        <f>IF(I188=1,H188,0)</f>
        <v>0</v>
      </c>
    </row>
    <row r="189" spans="1:11" x14ac:dyDescent="0.25">
      <c r="A189" s="2">
        <v>43362</v>
      </c>
      <c r="B189" s="1" t="s">
        <v>13</v>
      </c>
      <c r="C189" t="s">
        <v>10</v>
      </c>
      <c r="D189" t="s">
        <v>8</v>
      </c>
      <c r="E189">
        <v>24</v>
      </c>
      <c r="F189">
        <v>9</v>
      </c>
      <c r="H189">
        <f t="shared" si="2"/>
        <v>57166</v>
      </c>
      <c r="I189">
        <f>IF(B189&lt;&gt;B190,1,0)</f>
        <v>0</v>
      </c>
      <c r="K189" s="21">
        <f>IF(I189=1,H189,0)</f>
        <v>0</v>
      </c>
    </row>
    <row r="190" spans="1:11" x14ac:dyDescent="0.25">
      <c r="A190" s="2">
        <v>43362</v>
      </c>
      <c r="B190" s="1" t="s">
        <v>13</v>
      </c>
      <c r="C190" t="s">
        <v>11</v>
      </c>
      <c r="D190" t="s">
        <v>8</v>
      </c>
      <c r="E190">
        <v>36</v>
      </c>
      <c r="F190">
        <v>26</v>
      </c>
      <c r="H190">
        <f t="shared" si="2"/>
        <v>56230</v>
      </c>
      <c r="I190">
        <f>IF(B190&lt;&gt;B191,1,0)</f>
        <v>0</v>
      </c>
      <c r="K190" s="21">
        <f>IF(I190=1,H190,0)</f>
        <v>0</v>
      </c>
    </row>
    <row r="191" spans="1:11" x14ac:dyDescent="0.25">
      <c r="A191" s="2">
        <v>43362</v>
      </c>
      <c r="B191" s="1" t="s">
        <v>13</v>
      </c>
      <c r="C191" t="s">
        <v>7</v>
      </c>
      <c r="D191" t="s">
        <v>8</v>
      </c>
      <c r="E191">
        <v>6</v>
      </c>
      <c r="F191">
        <v>68</v>
      </c>
      <c r="H191">
        <f t="shared" si="2"/>
        <v>55822</v>
      </c>
      <c r="I191">
        <f>IF(B191&lt;&gt;B192,1,0)</f>
        <v>1</v>
      </c>
      <c r="K191" s="21">
        <f>IF(I191=1,H191,0)</f>
        <v>55822</v>
      </c>
    </row>
    <row r="192" spans="1:11" x14ac:dyDescent="0.25">
      <c r="A192" s="2">
        <v>43381</v>
      </c>
      <c r="B192" s="1" t="s">
        <v>15</v>
      </c>
      <c r="C192" t="s">
        <v>11</v>
      </c>
      <c r="D192" t="s">
        <v>14</v>
      </c>
      <c r="E192">
        <v>45</v>
      </c>
      <c r="F192">
        <v>36</v>
      </c>
      <c r="H192">
        <f t="shared" si="2"/>
        <v>57442</v>
      </c>
      <c r="I192">
        <f>IF(B192&lt;&gt;B193,1,0)</f>
        <v>0</v>
      </c>
      <c r="K192" s="21">
        <f>IF(I192=1,H192,0)</f>
        <v>0</v>
      </c>
    </row>
    <row r="193" spans="1:11" x14ac:dyDescent="0.25">
      <c r="A193" s="2">
        <v>43381</v>
      </c>
      <c r="B193" s="1" t="s">
        <v>15</v>
      </c>
      <c r="C193" t="s">
        <v>10</v>
      </c>
      <c r="D193" t="s">
        <v>8</v>
      </c>
      <c r="E193">
        <v>18</v>
      </c>
      <c r="F193">
        <v>8</v>
      </c>
      <c r="H193">
        <f t="shared" si="2"/>
        <v>57298</v>
      </c>
      <c r="I193">
        <f>IF(B193&lt;&gt;B194,1,0)</f>
        <v>0</v>
      </c>
      <c r="K193" s="21">
        <f>IF(I193=1,H193,0)</f>
        <v>0</v>
      </c>
    </row>
    <row r="194" spans="1:11" x14ac:dyDescent="0.25">
      <c r="A194" s="16">
        <v>43381</v>
      </c>
      <c r="B194" s="17" t="s">
        <v>15</v>
      </c>
      <c r="C194" s="13" t="s">
        <v>9</v>
      </c>
      <c r="D194" s="13" t="s">
        <v>8</v>
      </c>
      <c r="E194" s="13">
        <v>20</v>
      </c>
      <c r="F194" s="13">
        <v>41</v>
      </c>
      <c r="G194" s="13"/>
      <c r="H194" s="13">
        <f t="shared" si="2"/>
        <v>56478</v>
      </c>
      <c r="I194" s="13">
        <f>IF(B194&lt;&gt;B195,1,0)</f>
        <v>1</v>
      </c>
      <c r="J194" s="13"/>
      <c r="K194" s="13">
        <f>IF(I194=1,H194,0)</f>
        <v>56478</v>
      </c>
    </row>
    <row r="195" spans="1:11" x14ac:dyDescent="0.25">
      <c r="A195" s="2">
        <v>43407</v>
      </c>
      <c r="B195" s="1" t="s">
        <v>16</v>
      </c>
      <c r="C195" t="s">
        <v>12</v>
      </c>
      <c r="D195" t="s">
        <v>14</v>
      </c>
      <c r="E195">
        <v>4</v>
      </c>
      <c r="F195">
        <v>32</v>
      </c>
      <c r="H195">
        <f t="shared" si="2"/>
        <v>56606</v>
      </c>
      <c r="I195">
        <f>IF(B195&lt;&gt;B196,1,0)</f>
        <v>0</v>
      </c>
      <c r="K195" s="21">
        <f>IF(I195=1,H195,0)</f>
        <v>0</v>
      </c>
    </row>
    <row r="196" spans="1:11" x14ac:dyDescent="0.25">
      <c r="A196" s="2">
        <v>43407</v>
      </c>
      <c r="B196" s="1" t="s">
        <v>16</v>
      </c>
      <c r="C196" t="s">
        <v>9</v>
      </c>
      <c r="D196" t="s">
        <v>8</v>
      </c>
      <c r="E196">
        <v>48</v>
      </c>
      <c r="F196">
        <v>37</v>
      </c>
      <c r="H196">
        <f t="shared" ref="H196:H204" si="3">IF(D196="Z",H195-(E196*F196),H195+(E196*F196))</f>
        <v>54830</v>
      </c>
      <c r="I196">
        <f>IF(B196&lt;&gt;B197,1,0)</f>
        <v>1</v>
      </c>
      <c r="K196" s="21">
        <f>IF(I196=1,H196,0)</f>
        <v>54830</v>
      </c>
    </row>
    <row r="197" spans="1:11" x14ac:dyDescent="0.25">
      <c r="A197" s="2">
        <v>43428</v>
      </c>
      <c r="B197" s="1" t="s">
        <v>17</v>
      </c>
      <c r="C197" t="s">
        <v>9</v>
      </c>
      <c r="D197" t="s">
        <v>14</v>
      </c>
      <c r="E197">
        <v>64</v>
      </c>
      <c r="F197">
        <v>61</v>
      </c>
      <c r="H197">
        <f t="shared" si="3"/>
        <v>58734</v>
      </c>
      <c r="I197">
        <f>IF(B197&lt;&gt;B198,1,0)</f>
        <v>0</v>
      </c>
      <c r="K197" s="21">
        <f>IF(I197=1,H197,0)</f>
        <v>0</v>
      </c>
    </row>
    <row r="198" spans="1:11" x14ac:dyDescent="0.25">
      <c r="A198" s="2">
        <v>43428</v>
      </c>
      <c r="B198" s="1" t="s">
        <v>17</v>
      </c>
      <c r="C198" t="s">
        <v>7</v>
      </c>
      <c r="D198" t="s">
        <v>8</v>
      </c>
      <c r="E198">
        <v>43</v>
      </c>
      <c r="F198">
        <v>63</v>
      </c>
      <c r="H198">
        <f t="shared" si="3"/>
        <v>56025</v>
      </c>
      <c r="I198">
        <f>IF(B198&lt;&gt;B199,1,0)</f>
        <v>0</v>
      </c>
      <c r="K198" s="21">
        <f>IF(I198=1,H198,0)</f>
        <v>0</v>
      </c>
    </row>
    <row r="199" spans="1:11" x14ac:dyDescent="0.25">
      <c r="A199" s="2">
        <v>43428</v>
      </c>
      <c r="B199" s="1" t="s">
        <v>17</v>
      </c>
      <c r="C199" t="s">
        <v>11</v>
      </c>
      <c r="D199" t="s">
        <v>8</v>
      </c>
      <c r="E199">
        <v>24</v>
      </c>
      <c r="F199">
        <v>24</v>
      </c>
      <c r="H199">
        <f t="shared" si="3"/>
        <v>55449</v>
      </c>
      <c r="I199">
        <f>IF(B199&lt;&gt;B200,1,0)</f>
        <v>1</v>
      </c>
      <c r="K199" s="21">
        <f>IF(I199=1,H199,0)</f>
        <v>55449</v>
      </c>
    </row>
    <row r="200" spans="1:11" x14ac:dyDescent="0.25">
      <c r="A200" s="2">
        <v>43452</v>
      </c>
      <c r="B200" s="1" t="s">
        <v>18</v>
      </c>
      <c r="C200" t="s">
        <v>9</v>
      </c>
      <c r="D200" t="s">
        <v>14</v>
      </c>
      <c r="E200">
        <v>4</v>
      </c>
      <c r="F200">
        <v>62</v>
      </c>
      <c r="H200">
        <f t="shared" si="3"/>
        <v>55697</v>
      </c>
      <c r="I200">
        <f>IF(B200&lt;&gt;B201,1,0)</f>
        <v>0</v>
      </c>
      <c r="K200" s="21">
        <f>IF(I200=1,H200,0)</f>
        <v>0</v>
      </c>
    </row>
    <row r="201" spans="1:11" x14ac:dyDescent="0.25">
      <c r="A201" s="2">
        <v>43452</v>
      </c>
      <c r="B201" s="1" t="s">
        <v>18</v>
      </c>
      <c r="C201" t="s">
        <v>12</v>
      </c>
      <c r="D201" t="s">
        <v>8</v>
      </c>
      <c r="E201">
        <v>35</v>
      </c>
      <c r="F201">
        <v>19</v>
      </c>
      <c r="H201">
        <f t="shared" si="3"/>
        <v>55032</v>
      </c>
      <c r="I201">
        <f>IF(B201&lt;&gt;B202,1,0)</f>
        <v>0</v>
      </c>
      <c r="K201" s="21">
        <f>IF(I201=1,H201,0)</f>
        <v>0</v>
      </c>
    </row>
    <row r="202" spans="1:11" x14ac:dyDescent="0.25">
      <c r="A202" s="2">
        <v>43452</v>
      </c>
      <c r="B202" s="1" t="s">
        <v>18</v>
      </c>
      <c r="C202" t="s">
        <v>10</v>
      </c>
      <c r="D202" t="s">
        <v>8</v>
      </c>
      <c r="E202">
        <v>41</v>
      </c>
      <c r="F202">
        <v>8</v>
      </c>
      <c r="H202">
        <f t="shared" si="3"/>
        <v>54704</v>
      </c>
      <c r="I202">
        <f>IF(B202&lt;&gt;B203,1,0)</f>
        <v>0</v>
      </c>
      <c r="K202" s="21">
        <f>IF(I202=1,H202,0)</f>
        <v>0</v>
      </c>
    </row>
    <row r="203" spans="1:11" x14ac:dyDescent="0.25">
      <c r="A203" s="2">
        <v>43452</v>
      </c>
      <c r="B203" s="1" t="s">
        <v>18</v>
      </c>
      <c r="C203" t="s">
        <v>7</v>
      </c>
      <c r="D203" t="s">
        <v>8</v>
      </c>
      <c r="E203">
        <v>23</v>
      </c>
      <c r="F203">
        <v>61</v>
      </c>
      <c r="H203">
        <f t="shared" si="3"/>
        <v>53301</v>
      </c>
      <c r="I203">
        <f>IF(B203&lt;&gt;B204,1,0)</f>
        <v>0</v>
      </c>
      <c r="K203" s="21">
        <f>IF(I203=1,H203,0)</f>
        <v>0</v>
      </c>
    </row>
    <row r="204" spans="1:11" x14ac:dyDescent="0.25">
      <c r="A204" s="2">
        <v>43452</v>
      </c>
      <c r="B204" s="1" t="s">
        <v>18</v>
      </c>
      <c r="C204" t="s">
        <v>11</v>
      </c>
      <c r="D204" t="s">
        <v>8</v>
      </c>
      <c r="E204">
        <v>46</v>
      </c>
      <c r="F204">
        <v>23</v>
      </c>
      <c r="H204">
        <f t="shared" si="3"/>
        <v>52243</v>
      </c>
      <c r="I204">
        <f>IF(B204&lt;&gt;B205,1,0)</f>
        <v>1</v>
      </c>
      <c r="K204" s="21">
        <f>IF(I204=1,H204,0)</f>
        <v>52243</v>
      </c>
    </row>
  </sheetData>
  <conditionalFormatting sqref="J3">
    <cfRule type="cellIs" dxfId="1" priority="2" operator="equal">
      <formula>552335</formula>
    </cfRule>
  </conditionalFormatting>
  <conditionalFormatting sqref="K2:K204">
    <cfRule type="cellIs" dxfId="0" priority="1" operator="equal">
      <formula>550079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0D94-13AC-4342-96D7-CCAC67235237}">
  <dimension ref="A1:I203"/>
  <sheetViews>
    <sheetView zoomScale="175" zoomScaleNormal="175" workbookViewId="0">
      <selection activeCell="I1" sqref="I1"/>
    </sheetView>
  </sheetViews>
  <sheetFormatPr defaultRowHeight="15" x14ac:dyDescent="0.25"/>
  <cols>
    <col min="1" max="1" width="6.28515625" bestFit="1" customWidth="1"/>
    <col min="2" max="2" width="11.42578125" bestFit="1" customWidth="1"/>
    <col min="3" max="3" width="6.140625" bestFit="1" customWidth="1"/>
    <col min="4" max="4" width="4.7109375" bestFit="1" customWidth="1"/>
    <col min="5" max="5" width="6.7109375" bestFit="1" customWidth="1"/>
    <col min="6" max="6" width="21.85546875" bestFit="1" customWidth="1"/>
    <col min="7" max="7" width="12.42578125" bestFit="1" customWidth="1"/>
    <col min="10" max="10" width="11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</v>
      </c>
      <c r="I1" t="s">
        <v>36</v>
      </c>
    </row>
    <row r="2" spans="1:9" x14ac:dyDescent="0.25">
      <c r="A2">
        <v>42370</v>
      </c>
      <c r="B2" t="s">
        <v>6</v>
      </c>
      <c r="C2" t="s">
        <v>7</v>
      </c>
      <c r="D2" t="s">
        <v>8</v>
      </c>
      <c r="E2">
        <v>3</v>
      </c>
      <c r="F2">
        <v>80</v>
      </c>
      <c r="G2">
        <v>0</v>
      </c>
      <c r="I2" s="13">
        <f>COUNTIF(G2:G203,"&gt;20")</f>
        <v>22</v>
      </c>
    </row>
    <row r="3" spans="1:9" x14ac:dyDescent="0.25">
      <c r="A3">
        <v>42370</v>
      </c>
      <c r="B3" t="s">
        <v>6</v>
      </c>
      <c r="C3" t="s">
        <v>9</v>
      </c>
      <c r="D3" t="s">
        <v>8</v>
      </c>
      <c r="E3">
        <v>32</v>
      </c>
      <c r="F3">
        <v>50</v>
      </c>
      <c r="G3">
        <f>IF(A3&lt;&gt;A2,A3-A2-1,0)</f>
        <v>0</v>
      </c>
    </row>
    <row r="4" spans="1:9" x14ac:dyDescent="0.25">
      <c r="A4">
        <v>42370</v>
      </c>
      <c r="B4" t="s">
        <v>6</v>
      </c>
      <c r="C4" t="s">
        <v>10</v>
      </c>
      <c r="D4" t="s">
        <v>8</v>
      </c>
      <c r="E4">
        <v>38</v>
      </c>
      <c r="F4">
        <v>10</v>
      </c>
      <c r="G4">
        <f t="shared" ref="G4:G67" si="0">IF(A4&lt;&gt;A3,A4-A3-1,0)</f>
        <v>0</v>
      </c>
    </row>
    <row r="5" spans="1:9" x14ac:dyDescent="0.25">
      <c r="A5">
        <v>42370</v>
      </c>
      <c r="B5" t="s">
        <v>6</v>
      </c>
      <c r="C5" t="s">
        <v>11</v>
      </c>
      <c r="D5" t="s">
        <v>8</v>
      </c>
      <c r="E5">
        <v>33</v>
      </c>
      <c r="F5">
        <v>30</v>
      </c>
      <c r="G5">
        <f t="shared" si="0"/>
        <v>0</v>
      </c>
    </row>
    <row r="6" spans="1:9" x14ac:dyDescent="0.25">
      <c r="A6">
        <v>42370</v>
      </c>
      <c r="B6" t="s">
        <v>6</v>
      </c>
      <c r="C6" t="s">
        <v>12</v>
      </c>
      <c r="D6" t="s">
        <v>8</v>
      </c>
      <c r="E6">
        <v>43</v>
      </c>
      <c r="F6">
        <v>25</v>
      </c>
      <c r="G6">
        <f t="shared" si="0"/>
        <v>0</v>
      </c>
    </row>
    <row r="7" spans="1:9" x14ac:dyDescent="0.25">
      <c r="A7">
        <v>42385</v>
      </c>
      <c r="B7" t="s">
        <v>13</v>
      </c>
      <c r="C7" t="s">
        <v>9</v>
      </c>
      <c r="D7" t="s">
        <v>14</v>
      </c>
      <c r="E7">
        <v>32</v>
      </c>
      <c r="F7">
        <v>58</v>
      </c>
      <c r="G7">
        <f t="shared" si="0"/>
        <v>14</v>
      </c>
    </row>
    <row r="8" spans="1:9" x14ac:dyDescent="0.25">
      <c r="A8">
        <v>42385</v>
      </c>
      <c r="B8" t="s">
        <v>13</v>
      </c>
      <c r="C8" t="s">
        <v>11</v>
      </c>
      <c r="D8" t="s">
        <v>8</v>
      </c>
      <c r="E8">
        <v>14</v>
      </c>
      <c r="F8">
        <v>26</v>
      </c>
      <c r="G8">
        <f t="shared" si="0"/>
        <v>0</v>
      </c>
    </row>
    <row r="9" spans="1:9" x14ac:dyDescent="0.25">
      <c r="A9">
        <v>42393</v>
      </c>
      <c r="B9" t="s">
        <v>15</v>
      </c>
      <c r="C9" t="s">
        <v>9</v>
      </c>
      <c r="D9" t="s">
        <v>8</v>
      </c>
      <c r="E9">
        <v>44</v>
      </c>
      <c r="F9">
        <v>46</v>
      </c>
      <c r="G9">
        <f t="shared" si="0"/>
        <v>7</v>
      </c>
    </row>
    <row r="10" spans="1:9" x14ac:dyDescent="0.25">
      <c r="A10">
        <v>42393</v>
      </c>
      <c r="B10" t="s">
        <v>15</v>
      </c>
      <c r="C10" t="s">
        <v>11</v>
      </c>
      <c r="D10" t="s">
        <v>8</v>
      </c>
      <c r="E10">
        <v>1</v>
      </c>
      <c r="F10">
        <v>28</v>
      </c>
      <c r="G10">
        <f t="shared" si="0"/>
        <v>0</v>
      </c>
    </row>
    <row r="11" spans="1:9" x14ac:dyDescent="0.25">
      <c r="A11">
        <v>42393</v>
      </c>
      <c r="B11" t="s">
        <v>15</v>
      </c>
      <c r="C11" t="s">
        <v>7</v>
      </c>
      <c r="D11" t="s">
        <v>8</v>
      </c>
      <c r="E11">
        <v>21</v>
      </c>
      <c r="F11">
        <v>74</v>
      </c>
      <c r="G11">
        <f t="shared" si="0"/>
        <v>0</v>
      </c>
    </row>
    <row r="12" spans="1:9" x14ac:dyDescent="0.25">
      <c r="A12">
        <v>42419</v>
      </c>
      <c r="B12" t="s">
        <v>16</v>
      </c>
      <c r="C12" t="s">
        <v>12</v>
      </c>
      <c r="D12" t="s">
        <v>14</v>
      </c>
      <c r="E12">
        <v>43</v>
      </c>
      <c r="F12">
        <v>32</v>
      </c>
      <c r="G12">
        <f t="shared" si="0"/>
        <v>25</v>
      </c>
    </row>
    <row r="13" spans="1:9" x14ac:dyDescent="0.25">
      <c r="A13">
        <v>42419</v>
      </c>
      <c r="B13" t="s">
        <v>16</v>
      </c>
      <c r="C13" t="s">
        <v>10</v>
      </c>
      <c r="D13" t="s">
        <v>14</v>
      </c>
      <c r="E13">
        <v>38</v>
      </c>
      <c r="F13">
        <v>13</v>
      </c>
      <c r="G13">
        <f t="shared" si="0"/>
        <v>0</v>
      </c>
    </row>
    <row r="14" spans="1:9" x14ac:dyDescent="0.25">
      <c r="A14">
        <v>42419</v>
      </c>
      <c r="B14" t="s">
        <v>16</v>
      </c>
      <c r="C14" t="s">
        <v>7</v>
      </c>
      <c r="D14" t="s">
        <v>8</v>
      </c>
      <c r="E14">
        <v>9</v>
      </c>
      <c r="F14">
        <v>59</v>
      </c>
      <c r="G14">
        <f t="shared" si="0"/>
        <v>0</v>
      </c>
    </row>
    <row r="15" spans="1:9" x14ac:dyDescent="0.25">
      <c r="A15">
        <v>42419</v>
      </c>
      <c r="B15" t="s">
        <v>16</v>
      </c>
      <c r="C15" t="s">
        <v>9</v>
      </c>
      <c r="D15" t="s">
        <v>8</v>
      </c>
      <c r="E15">
        <v>8</v>
      </c>
      <c r="F15">
        <v>37</v>
      </c>
      <c r="G15">
        <f t="shared" si="0"/>
        <v>0</v>
      </c>
    </row>
    <row r="16" spans="1:9" x14ac:dyDescent="0.25">
      <c r="A16">
        <v>42440</v>
      </c>
      <c r="B16" t="s">
        <v>17</v>
      </c>
      <c r="C16" t="s">
        <v>9</v>
      </c>
      <c r="D16" t="s">
        <v>14</v>
      </c>
      <c r="E16">
        <v>50</v>
      </c>
      <c r="F16">
        <v>61</v>
      </c>
      <c r="G16">
        <f t="shared" si="0"/>
        <v>20</v>
      </c>
    </row>
    <row r="17" spans="1:7" x14ac:dyDescent="0.25">
      <c r="A17">
        <v>42440</v>
      </c>
      <c r="B17" t="s">
        <v>17</v>
      </c>
      <c r="C17" t="s">
        <v>12</v>
      </c>
      <c r="D17" t="s">
        <v>8</v>
      </c>
      <c r="E17">
        <v>32</v>
      </c>
      <c r="F17">
        <v>20</v>
      </c>
      <c r="G17">
        <f t="shared" si="0"/>
        <v>0</v>
      </c>
    </row>
    <row r="18" spans="1:7" x14ac:dyDescent="0.25">
      <c r="A18">
        <v>42440</v>
      </c>
      <c r="B18" t="s">
        <v>17</v>
      </c>
      <c r="C18" t="s">
        <v>10</v>
      </c>
      <c r="D18" t="s">
        <v>8</v>
      </c>
      <c r="E18">
        <v>7</v>
      </c>
      <c r="F18">
        <v>8</v>
      </c>
      <c r="G18">
        <f t="shared" si="0"/>
        <v>0</v>
      </c>
    </row>
    <row r="19" spans="1:7" x14ac:dyDescent="0.25">
      <c r="A19">
        <v>42440</v>
      </c>
      <c r="B19" t="s">
        <v>17</v>
      </c>
      <c r="C19" t="s">
        <v>11</v>
      </c>
      <c r="D19" t="s">
        <v>8</v>
      </c>
      <c r="E19">
        <v>10</v>
      </c>
      <c r="F19">
        <v>24</v>
      </c>
      <c r="G19">
        <f t="shared" si="0"/>
        <v>0</v>
      </c>
    </row>
    <row r="20" spans="1:7" x14ac:dyDescent="0.25">
      <c r="A20">
        <v>42464</v>
      </c>
      <c r="B20" t="s">
        <v>18</v>
      </c>
      <c r="C20" t="s">
        <v>10</v>
      </c>
      <c r="D20" t="s">
        <v>14</v>
      </c>
      <c r="E20">
        <v>7</v>
      </c>
      <c r="F20">
        <v>12</v>
      </c>
      <c r="G20">
        <f t="shared" si="0"/>
        <v>23</v>
      </c>
    </row>
    <row r="21" spans="1:7" x14ac:dyDescent="0.25">
      <c r="A21">
        <v>42464</v>
      </c>
      <c r="B21" t="s">
        <v>18</v>
      </c>
      <c r="C21" t="s">
        <v>12</v>
      </c>
      <c r="D21" t="s">
        <v>8</v>
      </c>
      <c r="E21">
        <v>25</v>
      </c>
      <c r="F21">
        <v>19</v>
      </c>
      <c r="G21">
        <f t="shared" si="0"/>
        <v>0</v>
      </c>
    </row>
    <row r="22" spans="1:7" x14ac:dyDescent="0.25">
      <c r="A22">
        <v>42464</v>
      </c>
      <c r="B22" t="s">
        <v>18</v>
      </c>
      <c r="C22" t="s">
        <v>9</v>
      </c>
      <c r="D22" t="s">
        <v>8</v>
      </c>
      <c r="E22">
        <v>33</v>
      </c>
      <c r="F22">
        <v>38</v>
      </c>
      <c r="G22">
        <f t="shared" si="0"/>
        <v>0</v>
      </c>
    </row>
    <row r="23" spans="1:7" x14ac:dyDescent="0.25">
      <c r="A23">
        <v>42482</v>
      </c>
      <c r="B23" t="s">
        <v>19</v>
      </c>
      <c r="C23" t="s">
        <v>11</v>
      </c>
      <c r="D23" t="s">
        <v>14</v>
      </c>
      <c r="E23">
        <v>36</v>
      </c>
      <c r="F23">
        <v>35</v>
      </c>
      <c r="G23">
        <f t="shared" si="0"/>
        <v>17</v>
      </c>
    </row>
    <row r="24" spans="1:7" x14ac:dyDescent="0.25">
      <c r="A24">
        <v>42482</v>
      </c>
      <c r="B24" t="s">
        <v>19</v>
      </c>
      <c r="C24" t="s">
        <v>7</v>
      </c>
      <c r="D24" t="s">
        <v>8</v>
      </c>
      <c r="E24">
        <v>5</v>
      </c>
      <c r="F24">
        <v>66</v>
      </c>
      <c r="G24">
        <f t="shared" si="0"/>
        <v>0</v>
      </c>
    </row>
    <row r="25" spans="1:7" x14ac:dyDescent="0.25">
      <c r="A25">
        <v>42482</v>
      </c>
      <c r="B25" t="s">
        <v>19</v>
      </c>
      <c r="C25" t="s">
        <v>9</v>
      </c>
      <c r="D25" t="s">
        <v>8</v>
      </c>
      <c r="E25">
        <v>35</v>
      </c>
      <c r="F25">
        <v>41</v>
      </c>
      <c r="G25">
        <f t="shared" si="0"/>
        <v>0</v>
      </c>
    </row>
    <row r="26" spans="1:7" x14ac:dyDescent="0.25">
      <c r="A26">
        <v>42504</v>
      </c>
      <c r="B26" t="s">
        <v>20</v>
      </c>
      <c r="C26" t="s">
        <v>7</v>
      </c>
      <c r="D26" t="s">
        <v>14</v>
      </c>
      <c r="E26">
        <v>38</v>
      </c>
      <c r="F26">
        <v>98</v>
      </c>
      <c r="G26">
        <f t="shared" si="0"/>
        <v>21</v>
      </c>
    </row>
    <row r="27" spans="1:7" x14ac:dyDescent="0.25">
      <c r="A27">
        <v>42504</v>
      </c>
      <c r="B27" t="s">
        <v>20</v>
      </c>
      <c r="C27" t="s">
        <v>11</v>
      </c>
      <c r="D27" t="s">
        <v>8</v>
      </c>
      <c r="E27">
        <v>10</v>
      </c>
      <c r="F27">
        <v>23</v>
      </c>
      <c r="G27">
        <f t="shared" si="0"/>
        <v>0</v>
      </c>
    </row>
    <row r="28" spans="1:7" x14ac:dyDescent="0.25">
      <c r="A28">
        <v>42529</v>
      </c>
      <c r="B28" t="s">
        <v>21</v>
      </c>
      <c r="C28" t="s">
        <v>11</v>
      </c>
      <c r="D28" t="s">
        <v>14</v>
      </c>
      <c r="E28">
        <v>4</v>
      </c>
      <c r="F28">
        <v>38</v>
      </c>
      <c r="G28">
        <f t="shared" si="0"/>
        <v>24</v>
      </c>
    </row>
    <row r="29" spans="1:7" x14ac:dyDescent="0.25">
      <c r="A29">
        <v>42529</v>
      </c>
      <c r="B29" t="s">
        <v>21</v>
      </c>
      <c r="C29" t="s">
        <v>7</v>
      </c>
      <c r="D29" t="s">
        <v>8</v>
      </c>
      <c r="E29">
        <v>42</v>
      </c>
      <c r="F29">
        <v>60</v>
      </c>
      <c r="G29">
        <f t="shared" si="0"/>
        <v>0</v>
      </c>
    </row>
    <row r="30" spans="1:7" x14ac:dyDescent="0.25">
      <c r="A30">
        <v>42529</v>
      </c>
      <c r="B30" t="s">
        <v>21</v>
      </c>
      <c r="C30" t="s">
        <v>10</v>
      </c>
      <c r="D30" t="s">
        <v>8</v>
      </c>
      <c r="E30">
        <v>28</v>
      </c>
      <c r="F30">
        <v>8</v>
      </c>
      <c r="G30">
        <f t="shared" si="0"/>
        <v>0</v>
      </c>
    </row>
    <row r="31" spans="1:7" x14ac:dyDescent="0.25">
      <c r="A31">
        <v>42529</v>
      </c>
      <c r="B31" t="s">
        <v>21</v>
      </c>
      <c r="C31" t="s">
        <v>12</v>
      </c>
      <c r="D31" t="s">
        <v>8</v>
      </c>
      <c r="E31">
        <v>19</v>
      </c>
      <c r="F31">
        <v>19</v>
      </c>
      <c r="G31">
        <f t="shared" si="0"/>
        <v>0</v>
      </c>
    </row>
    <row r="32" spans="1:7" x14ac:dyDescent="0.25">
      <c r="A32">
        <v>42542</v>
      </c>
      <c r="B32" t="s">
        <v>22</v>
      </c>
      <c r="C32" t="s">
        <v>12</v>
      </c>
      <c r="D32" t="s">
        <v>14</v>
      </c>
      <c r="E32">
        <v>72</v>
      </c>
      <c r="F32">
        <v>28</v>
      </c>
      <c r="G32">
        <f t="shared" si="0"/>
        <v>12</v>
      </c>
    </row>
    <row r="33" spans="1:7" x14ac:dyDescent="0.25">
      <c r="A33">
        <v>42542</v>
      </c>
      <c r="B33" t="s">
        <v>22</v>
      </c>
      <c r="C33" t="s">
        <v>7</v>
      </c>
      <c r="D33" t="s">
        <v>14</v>
      </c>
      <c r="E33">
        <v>42</v>
      </c>
      <c r="F33">
        <v>90</v>
      </c>
      <c r="G33">
        <f t="shared" si="0"/>
        <v>0</v>
      </c>
    </row>
    <row r="34" spans="1:7" x14ac:dyDescent="0.25">
      <c r="A34">
        <v>42542</v>
      </c>
      <c r="B34" t="s">
        <v>22</v>
      </c>
      <c r="C34" t="s">
        <v>9</v>
      </c>
      <c r="D34" t="s">
        <v>8</v>
      </c>
      <c r="E34">
        <v>42</v>
      </c>
      <c r="F34">
        <v>44</v>
      </c>
      <c r="G34">
        <f t="shared" si="0"/>
        <v>0</v>
      </c>
    </row>
    <row r="35" spans="1:7" x14ac:dyDescent="0.25">
      <c r="A35">
        <v>42542</v>
      </c>
      <c r="B35" t="s">
        <v>22</v>
      </c>
      <c r="C35" t="s">
        <v>11</v>
      </c>
      <c r="D35" t="s">
        <v>8</v>
      </c>
      <c r="E35">
        <v>33</v>
      </c>
      <c r="F35">
        <v>26</v>
      </c>
      <c r="G35">
        <f t="shared" si="0"/>
        <v>0</v>
      </c>
    </row>
    <row r="36" spans="1:7" x14ac:dyDescent="0.25">
      <c r="A36">
        <v>42542</v>
      </c>
      <c r="B36" t="s">
        <v>22</v>
      </c>
      <c r="C36" t="s">
        <v>10</v>
      </c>
      <c r="D36" t="s">
        <v>8</v>
      </c>
      <c r="E36">
        <v>9</v>
      </c>
      <c r="F36">
        <v>9</v>
      </c>
      <c r="G36">
        <f t="shared" si="0"/>
        <v>0</v>
      </c>
    </row>
    <row r="37" spans="1:7" x14ac:dyDescent="0.25">
      <c r="A37">
        <v>42559</v>
      </c>
      <c r="B37" t="s">
        <v>6</v>
      </c>
      <c r="C37" t="s">
        <v>12</v>
      </c>
      <c r="D37" t="s">
        <v>14</v>
      </c>
      <c r="E37">
        <v>4</v>
      </c>
      <c r="F37">
        <v>29</v>
      </c>
      <c r="G37">
        <f t="shared" si="0"/>
        <v>16</v>
      </c>
    </row>
    <row r="38" spans="1:7" x14ac:dyDescent="0.25">
      <c r="A38">
        <v>42559</v>
      </c>
      <c r="B38" t="s">
        <v>6</v>
      </c>
      <c r="C38" t="s">
        <v>10</v>
      </c>
      <c r="D38" t="s">
        <v>14</v>
      </c>
      <c r="E38">
        <v>37</v>
      </c>
      <c r="F38">
        <v>12</v>
      </c>
      <c r="G38">
        <f t="shared" si="0"/>
        <v>0</v>
      </c>
    </row>
    <row r="39" spans="1:7" x14ac:dyDescent="0.25">
      <c r="A39">
        <v>42559</v>
      </c>
      <c r="B39" t="s">
        <v>6</v>
      </c>
      <c r="C39" t="s">
        <v>9</v>
      </c>
      <c r="D39" t="s">
        <v>8</v>
      </c>
      <c r="E39">
        <v>35</v>
      </c>
      <c r="F39">
        <v>42</v>
      </c>
      <c r="G39">
        <f t="shared" si="0"/>
        <v>0</v>
      </c>
    </row>
    <row r="40" spans="1:7" x14ac:dyDescent="0.25">
      <c r="A40">
        <v>42559</v>
      </c>
      <c r="B40" t="s">
        <v>6</v>
      </c>
      <c r="C40" t="s">
        <v>7</v>
      </c>
      <c r="D40" t="s">
        <v>8</v>
      </c>
      <c r="E40">
        <v>32</v>
      </c>
      <c r="F40">
        <v>66</v>
      </c>
      <c r="G40">
        <f t="shared" si="0"/>
        <v>0</v>
      </c>
    </row>
    <row r="41" spans="1:7" x14ac:dyDescent="0.25">
      <c r="A41">
        <v>42574</v>
      </c>
      <c r="B41" t="s">
        <v>13</v>
      </c>
      <c r="C41" t="s">
        <v>7</v>
      </c>
      <c r="D41" t="s">
        <v>14</v>
      </c>
      <c r="E41">
        <v>32</v>
      </c>
      <c r="F41">
        <v>92</v>
      </c>
      <c r="G41">
        <f t="shared" si="0"/>
        <v>14</v>
      </c>
    </row>
    <row r="42" spans="1:7" x14ac:dyDescent="0.25">
      <c r="A42">
        <v>42574</v>
      </c>
      <c r="B42" t="s">
        <v>13</v>
      </c>
      <c r="C42" t="s">
        <v>9</v>
      </c>
      <c r="D42" t="s">
        <v>8</v>
      </c>
      <c r="E42">
        <v>48</v>
      </c>
      <c r="F42">
        <v>43</v>
      </c>
      <c r="G42">
        <f t="shared" si="0"/>
        <v>0</v>
      </c>
    </row>
    <row r="43" spans="1:7" x14ac:dyDescent="0.25">
      <c r="A43">
        <v>42593</v>
      </c>
      <c r="B43" t="s">
        <v>15</v>
      </c>
      <c r="C43" t="s">
        <v>9</v>
      </c>
      <c r="D43" t="s">
        <v>14</v>
      </c>
      <c r="E43">
        <v>191</v>
      </c>
      <c r="F43">
        <v>60</v>
      </c>
      <c r="G43">
        <f t="shared" si="0"/>
        <v>18</v>
      </c>
    </row>
    <row r="44" spans="1:7" x14ac:dyDescent="0.25">
      <c r="A44">
        <v>42593</v>
      </c>
      <c r="B44" t="s">
        <v>15</v>
      </c>
      <c r="C44" t="s">
        <v>11</v>
      </c>
      <c r="D44" t="s">
        <v>8</v>
      </c>
      <c r="E44">
        <v>9</v>
      </c>
      <c r="F44">
        <v>24</v>
      </c>
      <c r="G44">
        <f t="shared" si="0"/>
        <v>0</v>
      </c>
    </row>
    <row r="45" spans="1:7" x14ac:dyDescent="0.25">
      <c r="A45">
        <v>42593</v>
      </c>
      <c r="B45" t="s">
        <v>15</v>
      </c>
      <c r="C45" t="s">
        <v>7</v>
      </c>
      <c r="D45" t="s">
        <v>8</v>
      </c>
      <c r="E45">
        <v>36</v>
      </c>
      <c r="F45">
        <v>65</v>
      </c>
      <c r="G45">
        <f t="shared" si="0"/>
        <v>0</v>
      </c>
    </row>
    <row r="46" spans="1:7" x14ac:dyDescent="0.25">
      <c r="A46">
        <v>42619</v>
      </c>
      <c r="B46" t="s">
        <v>16</v>
      </c>
      <c r="C46" t="s">
        <v>10</v>
      </c>
      <c r="D46" t="s">
        <v>8</v>
      </c>
      <c r="E46">
        <v>47</v>
      </c>
      <c r="F46">
        <v>7</v>
      </c>
      <c r="G46">
        <f t="shared" si="0"/>
        <v>25</v>
      </c>
    </row>
    <row r="47" spans="1:7" x14ac:dyDescent="0.25">
      <c r="A47">
        <v>42619</v>
      </c>
      <c r="B47" t="s">
        <v>16</v>
      </c>
      <c r="C47" t="s">
        <v>9</v>
      </c>
      <c r="D47" t="s">
        <v>14</v>
      </c>
      <c r="E47">
        <v>4</v>
      </c>
      <c r="F47">
        <v>63</v>
      </c>
      <c r="G47">
        <f t="shared" si="0"/>
        <v>0</v>
      </c>
    </row>
    <row r="48" spans="1:7" x14ac:dyDescent="0.25">
      <c r="A48">
        <v>42619</v>
      </c>
      <c r="B48" t="s">
        <v>16</v>
      </c>
      <c r="C48" t="s">
        <v>12</v>
      </c>
      <c r="D48" t="s">
        <v>8</v>
      </c>
      <c r="E48">
        <v>8</v>
      </c>
      <c r="F48">
        <v>19</v>
      </c>
      <c r="G48">
        <f t="shared" si="0"/>
        <v>0</v>
      </c>
    </row>
    <row r="49" spans="1:7" x14ac:dyDescent="0.25">
      <c r="A49">
        <v>42619</v>
      </c>
      <c r="B49" t="s">
        <v>16</v>
      </c>
      <c r="C49" t="s">
        <v>11</v>
      </c>
      <c r="D49" t="s">
        <v>8</v>
      </c>
      <c r="E49">
        <v>3</v>
      </c>
      <c r="F49">
        <v>22</v>
      </c>
      <c r="G49">
        <f t="shared" si="0"/>
        <v>0</v>
      </c>
    </row>
    <row r="50" spans="1:7" x14ac:dyDescent="0.25">
      <c r="A50">
        <v>42619</v>
      </c>
      <c r="B50" t="s">
        <v>16</v>
      </c>
      <c r="C50" t="s">
        <v>7</v>
      </c>
      <c r="D50" t="s">
        <v>8</v>
      </c>
      <c r="E50">
        <v>41</v>
      </c>
      <c r="F50">
        <v>59</v>
      </c>
      <c r="G50">
        <f t="shared" si="0"/>
        <v>0</v>
      </c>
    </row>
    <row r="51" spans="1:7" x14ac:dyDescent="0.25">
      <c r="A51">
        <v>42640</v>
      </c>
      <c r="B51" t="s">
        <v>17</v>
      </c>
      <c r="C51" t="s">
        <v>9</v>
      </c>
      <c r="D51" t="s">
        <v>8</v>
      </c>
      <c r="E51">
        <v>44</v>
      </c>
      <c r="F51">
        <v>40</v>
      </c>
      <c r="G51">
        <f t="shared" si="0"/>
        <v>20</v>
      </c>
    </row>
    <row r="52" spans="1:7" x14ac:dyDescent="0.25">
      <c r="A52">
        <v>42640</v>
      </c>
      <c r="B52" t="s">
        <v>17</v>
      </c>
      <c r="C52" t="s">
        <v>10</v>
      </c>
      <c r="D52" t="s">
        <v>14</v>
      </c>
      <c r="E52">
        <v>45</v>
      </c>
      <c r="F52">
        <v>12</v>
      </c>
      <c r="G52">
        <f t="shared" si="0"/>
        <v>0</v>
      </c>
    </row>
    <row r="53" spans="1:7" x14ac:dyDescent="0.25">
      <c r="A53">
        <v>42640</v>
      </c>
      <c r="B53" t="s">
        <v>17</v>
      </c>
      <c r="C53" t="s">
        <v>12</v>
      </c>
      <c r="D53" t="s">
        <v>8</v>
      </c>
      <c r="E53">
        <v>40</v>
      </c>
      <c r="F53">
        <v>20</v>
      </c>
      <c r="G53">
        <f t="shared" si="0"/>
        <v>0</v>
      </c>
    </row>
    <row r="54" spans="1:7" x14ac:dyDescent="0.25">
      <c r="A54">
        <v>42640</v>
      </c>
      <c r="B54" t="s">
        <v>17</v>
      </c>
      <c r="C54" t="s">
        <v>7</v>
      </c>
      <c r="D54" t="s">
        <v>8</v>
      </c>
      <c r="E54">
        <v>3</v>
      </c>
      <c r="F54">
        <v>63</v>
      </c>
      <c r="G54">
        <f t="shared" si="0"/>
        <v>0</v>
      </c>
    </row>
    <row r="55" spans="1:7" x14ac:dyDescent="0.25">
      <c r="A55">
        <v>42640</v>
      </c>
      <c r="B55" t="s">
        <v>17</v>
      </c>
      <c r="C55" t="s">
        <v>11</v>
      </c>
      <c r="D55" t="s">
        <v>8</v>
      </c>
      <c r="E55">
        <v>17</v>
      </c>
      <c r="F55">
        <v>24</v>
      </c>
      <c r="G55">
        <f t="shared" si="0"/>
        <v>0</v>
      </c>
    </row>
    <row r="56" spans="1:7" x14ac:dyDescent="0.25">
      <c r="A56">
        <v>42664</v>
      </c>
      <c r="B56" t="s">
        <v>18</v>
      </c>
      <c r="C56" t="s">
        <v>10</v>
      </c>
      <c r="D56" t="s">
        <v>14</v>
      </c>
      <c r="E56">
        <v>2</v>
      </c>
      <c r="F56">
        <v>12</v>
      </c>
      <c r="G56">
        <f t="shared" si="0"/>
        <v>23</v>
      </c>
    </row>
    <row r="57" spans="1:7" x14ac:dyDescent="0.25">
      <c r="A57">
        <v>42664</v>
      </c>
      <c r="B57" t="s">
        <v>18</v>
      </c>
      <c r="C57" t="s">
        <v>12</v>
      </c>
      <c r="D57" t="s">
        <v>8</v>
      </c>
      <c r="E57">
        <v>14</v>
      </c>
      <c r="F57">
        <v>19</v>
      </c>
      <c r="G57">
        <f t="shared" si="0"/>
        <v>0</v>
      </c>
    </row>
    <row r="58" spans="1:7" x14ac:dyDescent="0.25">
      <c r="A58">
        <v>42664</v>
      </c>
      <c r="B58" t="s">
        <v>18</v>
      </c>
      <c r="C58" t="s">
        <v>11</v>
      </c>
      <c r="D58" t="s">
        <v>8</v>
      </c>
      <c r="E58">
        <v>23</v>
      </c>
      <c r="F58">
        <v>23</v>
      </c>
      <c r="G58">
        <f t="shared" si="0"/>
        <v>0</v>
      </c>
    </row>
    <row r="59" spans="1:7" x14ac:dyDescent="0.25">
      <c r="A59">
        <v>42682</v>
      </c>
      <c r="B59" t="s">
        <v>19</v>
      </c>
      <c r="C59" t="s">
        <v>10</v>
      </c>
      <c r="D59" t="s">
        <v>8</v>
      </c>
      <c r="E59">
        <v>11</v>
      </c>
      <c r="F59">
        <v>8</v>
      </c>
      <c r="G59">
        <f t="shared" si="0"/>
        <v>17</v>
      </c>
    </row>
    <row r="60" spans="1:7" x14ac:dyDescent="0.25">
      <c r="A60">
        <v>42682</v>
      </c>
      <c r="B60" t="s">
        <v>19</v>
      </c>
      <c r="C60" t="s">
        <v>7</v>
      </c>
      <c r="D60" t="s">
        <v>8</v>
      </c>
      <c r="E60">
        <v>17</v>
      </c>
      <c r="F60">
        <v>66</v>
      </c>
      <c r="G60">
        <f t="shared" si="0"/>
        <v>0</v>
      </c>
    </row>
    <row r="61" spans="1:7" x14ac:dyDescent="0.25">
      <c r="A61">
        <v>42682</v>
      </c>
      <c r="B61" t="s">
        <v>19</v>
      </c>
      <c r="C61" t="s">
        <v>9</v>
      </c>
      <c r="D61" t="s">
        <v>8</v>
      </c>
      <c r="E61">
        <v>30</v>
      </c>
      <c r="F61">
        <v>41</v>
      </c>
      <c r="G61">
        <f t="shared" si="0"/>
        <v>0</v>
      </c>
    </row>
    <row r="62" spans="1:7" x14ac:dyDescent="0.25">
      <c r="A62">
        <v>42704</v>
      </c>
      <c r="B62" t="s">
        <v>20</v>
      </c>
      <c r="C62" t="s">
        <v>7</v>
      </c>
      <c r="D62" t="s">
        <v>14</v>
      </c>
      <c r="E62">
        <v>97</v>
      </c>
      <c r="F62">
        <v>98</v>
      </c>
      <c r="G62">
        <f t="shared" si="0"/>
        <v>21</v>
      </c>
    </row>
    <row r="63" spans="1:7" x14ac:dyDescent="0.25">
      <c r="A63">
        <v>42704</v>
      </c>
      <c r="B63" t="s">
        <v>20</v>
      </c>
      <c r="C63" t="s">
        <v>10</v>
      </c>
      <c r="D63" t="s">
        <v>14</v>
      </c>
      <c r="E63">
        <v>11</v>
      </c>
      <c r="F63">
        <v>12</v>
      </c>
      <c r="G63">
        <f t="shared" si="0"/>
        <v>0</v>
      </c>
    </row>
    <row r="64" spans="1:7" x14ac:dyDescent="0.25">
      <c r="A64">
        <v>42704</v>
      </c>
      <c r="B64" t="s">
        <v>20</v>
      </c>
      <c r="C64" t="s">
        <v>12</v>
      </c>
      <c r="D64" t="s">
        <v>8</v>
      </c>
      <c r="E64">
        <v>17</v>
      </c>
      <c r="F64">
        <v>20</v>
      </c>
      <c r="G64">
        <f t="shared" si="0"/>
        <v>0</v>
      </c>
    </row>
    <row r="65" spans="1:7" x14ac:dyDescent="0.25">
      <c r="A65">
        <v>42704</v>
      </c>
      <c r="B65" t="s">
        <v>20</v>
      </c>
      <c r="C65" t="s">
        <v>11</v>
      </c>
      <c r="D65" t="s">
        <v>8</v>
      </c>
      <c r="E65">
        <v>4</v>
      </c>
      <c r="F65">
        <v>23</v>
      </c>
      <c r="G65">
        <f t="shared" si="0"/>
        <v>0</v>
      </c>
    </row>
    <row r="66" spans="1:7" x14ac:dyDescent="0.25">
      <c r="A66">
        <v>42729</v>
      </c>
      <c r="B66" t="s">
        <v>21</v>
      </c>
      <c r="C66" t="s">
        <v>12</v>
      </c>
      <c r="D66" t="s">
        <v>14</v>
      </c>
      <c r="E66">
        <v>79</v>
      </c>
      <c r="F66">
        <v>31</v>
      </c>
      <c r="G66">
        <f t="shared" si="0"/>
        <v>24</v>
      </c>
    </row>
    <row r="67" spans="1:7" x14ac:dyDescent="0.25">
      <c r="A67">
        <v>42729</v>
      </c>
      <c r="B67" t="s">
        <v>21</v>
      </c>
      <c r="C67" t="s">
        <v>7</v>
      </c>
      <c r="D67" t="s">
        <v>8</v>
      </c>
      <c r="E67">
        <v>33</v>
      </c>
      <c r="F67">
        <v>60</v>
      </c>
      <c r="G67">
        <f t="shared" si="0"/>
        <v>0</v>
      </c>
    </row>
    <row r="68" spans="1:7" x14ac:dyDescent="0.25">
      <c r="A68">
        <v>42729</v>
      </c>
      <c r="B68" t="s">
        <v>21</v>
      </c>
      <c r="C68" t="s">
        <v>11</v>
      </c>
      <c r="D68" t="s">
        <v>8</v>
      </c>
      <c r="E68">
        <v>26</v>
      </c>
      <c r="F68">
        <v>23</v>
      </c>
      <c r="G68">
        <f t="shared" ref="G68:G131" si="1">IF(A68&lt;&gt;A67,A68-A67-1,0)</f>
        <v>0</v>
      </c>
    </row>
    <row r="69" spans="1:7" x14ac:dyDescent="0.25">
      <c r="A69">
        <v>42742</v>
      </c>
      <c r="B69" t="s">
        <v>22</v>
      </c>
      <c r="C69" t="s">
        <v>12</v>
      </c>
      <c r="D69" t="s">
        <v>8</v>
      </c>
      <c r="E69">
        <v>40</v>
      </c>
      <c r="F69">
        <v>22</v>
      </c>
      <c r="G69">
        <f t="shared" si="1"/>
        <v>12</v>
      </c>
    </row>
    <row r="70" spans="1:7" x14ac:dyDescent="0.25">
      <c r="A70">
        <v>42742</v>
      </c>
      <c r="B70" t="s">
        <v>22</v>
      </c>
      <c r="C70" t="s">
        <v>10</v>
      </c>
      <c r="D70" t="s">
        <v>8</v>
      </c>
      <c r="E70">
        <v>42</v>
      </c>
      <c r="F70">
        <v>9</v>
      </c>
      <c r="G70">
        <f t="shared" si="1"/>
        <v>0</v>
      </c>
    </row>
    <row r="71" spans="1:7" x14ac:dyDescent="0.25">
      <c r="A71">
        <v>42742</v>
      </c>
      <c r="B71" t="s">
        <v>22</v>
      </c>
      <c r="C71" t="s">
        <v>11</v>
      </c>
      <c r="D71" t="s">
        <v>8</v>
      </c>
      <c r="E71">
        <v>42</v>
      </c>
      <c r="F71">
        <v>26</v>
      </c>
      <c r="G71">
        <f t="shared" si="1"/>
        <v>0</v>
      </c>
    </row>
    <row r="72" spans="1:7" x14ac:dyDescent="0.25">
      <c r="A72">
        <v>42742</v>
      </c>
      <c r="B72" t="s">
        <v>22</v>
      </c>
      <c r="C72" t="s">
        <v>7</v>
      </c>
      <c r="D72" t="s">
        <v>8</v>
      </c>
      <c r="E72">
        <v>9</v>
      </c>
      <c r="F72">
        <v>70</v>
      </c>
      <c r="G72">
        <f t="shared" si="1"/>
        <v>0</v>
      </c>
    </row>
    <row r="73" spans="1:7" x14ac:dyDescent="0.25">
      <c r="A73">
        <v>42742</v>
      </c>
      <c r="B73" t="s">
        <v>22</v>
      </c>
      <c r="C73" t="s">
        <v>9</v>
      </c>
      <c r="D73" t="s">
        <v>8</v>
      </c>
      <c r="E73">
        <v>39</v>
      </c>
      <c r="F73">
        <v>44</v>
      </c>
      <c r="G73">
        <f t="shared" si="1"/>
        <v>0</v>
      </c>
    </row>
    <row r="74" spans="1:7" x14ac:dyDescent="0.25">
      <c r="A74">
        <v>42759</v>
      </c>
      <c r="B74" t="s">
        <v>6</v>
      </c>
      <c r="C74" t="s">
        <v>9</v>
      </c>
      <c r="D74" t="s">
        <v>14</v>
      </c>
      <c r="E74">
        <v>112</v>
      </c>
      <c r="F74">
        <v>59</v>
      </c>
      <c r="G74">
        <f t="shared" si="1"/>
        <v>16</v>
      </c>
    </row>
    <row r="75" spans="1:7" x14ac:dyDescent="0.25">
      <c r="A75">
        <v>42759</v>
      </c>
      <c r="B75" t="s">
        <v>6</v>
      </c>
      <c r="C75" t="s">
        <v>7</v>
      </c>
      <c r="D75" t="s">
        <v>8</v>
      </c>
      <c r="E75">
        <v>34</v>
      </c>
      <c r="F75">
        <v>66</v>
      </c>
      <c r="G75">
        <f t="shared" si="1"/>
        <v>0</v>
      </c>
    </row>
    <row r="76" spans="1:7" x14ac:dyDescent="0.25">
      <c r="A76">
        <v>42759</v>
      </c>
      <c r="B76" t="s">
        <v>6</v>
      </c>
      <c r="C76" t="s">
        <v>12</v>
      </c>
      <c r="D76" t="s">
        <v>8</v>
      </c>
      <c r="E76">
        <v>5</v>
      </c>
      <c r="F76">
        <v>21</v>
      </c>
      <c r="G76">
        <f t="shared" si="1"/>
        <v>0</v>
      </c>
    </row>
    <row r="77" spans="1:7" x14ac:dyDescent="0.25">
      <c r="A77">
        <v>42774</v>
      </c>
      <c r="B77" t="s">
        <v>13</v>
      </c>
      <c r="C77" t="s">
        <v>7</v>
      </c>
      <c r="D77" t="s">
        <v>14</v>
      </c>
      <c r="E77">
        <v>74</v>
      </c>
      <c r="F77">
        <v>92</v>
      </c>
      <c r="G77">
        <f t="shared" si="1"/>
        <v>14</v>
      </c>
    </row>
    <row r="78" spans="1:7" x14ac:dyDescent="0.25">
      <c r="A78">
        <v>42774</v>
      </c>
      <c r="B78" t="s">
        <v>13</v>
      </c>
      <c r="C78" t="s">
        <v>11</v>
      </c>
      <c r="D78" t="s">
        <v>8</v>
      </c>
      <c r="E78">
        <v>14</v>
      </c>
      <c r="F78">
        <v>26</v>
      </c>
      <c r="G78">
        <f t="shared" si="1"/>
        <v>0</v>
      </c>
    </row>
    <row r="79" spans="1:7" x14ac:dyDescent="0.25">
      <c r="A79">
        <v>42793</v>
      </c>
      <c r="B79" t="s">
        <v>15</v>
      </c>
      <c r="C79" t="s">
        <v>9</v>
      </c>
      <c r="D79" t="s">
        <v>14</v>
      </c>
      <c r="E79">
        <v>1</v>
      </c>
      <c r="F79">
        <v>60</v>
      </c>
      <c r="G79">
        <f t="shared" si="1"/>
        <v>18</v>
      </c>
    </row>
    <row r="80" spans="1:7" x14ac:dyDescent="0.25">
      <c r="A80">
        <v>42793</v>
      </c>
      <c r="B80" t="s">
        <v>15</v>
      </c>
      <c r="C80" t="s">
        <v>11</v>
      </c>
      <c r="D80" t="s">
        <v>14</v>
      </c>
      <c r="E80">
        <v>43</v>
      </c>
      <c r="F80">
        <v>36</v>
      </c>
      <c r="G80">
        <f t="shared" si="1"/>
        <v>0</v>
      </c>
    </row>
    <row r="81" spans="1:7" x14ac:dyDescent="0.25">
      <c r="A81">
        <v>42793</v>
      </c>
      <c r="B81" t="s">
        <v>15</v>
      </c>
      <c r="C81" t="s">
        <v>10</v>
      </c>
      <c r="D81" t="s">
        <v>8</v>
      </c>
      <c r="E81">
        <v>30</v>
      </c>
      <c r="F81">
        <v>8</v>
      </c>
      <c r="G81">
        <f t="shared" si="1"/>
        <v>0</v>
      </c>
    </row>
    <row r="82" spans="1:7" x14ac:dyDescent="0.25">
      <c r="A82">
        <v>42793</v>
      </c>
      <c r="B82" t="s">
        <v>15</v>
      </c>
      <c r="C82" t="s">
        <v>12</v>
      </c>
      <c r="D82" t="s">
        <v>8</v>
      </c>
      <c r="E82">
        <v>14</v>
      </c>
      <c r="F82">
        <v>20</v>
      </c>
      <c r="G82">
        <f t="shared" si="1"/>
        <v>0</v>
      </c>
    </row>
    <row r="83" spans="1:7" x14ac:dyDescent="0.25">
      <c r="A83">
        <v>42819</v>
      </c>
      <c r="B83" t="s">
        <v>16</v>
      </c>
      <c r="C83" t="s">
        <v>11</v>
      </c>
      <c r="D83" t="s">
        <v>14</v>
      </c>
      <c r="E83">
        <v>33</v>
      </c>
      <c r="F83">
        <v>38</v>
      </c>
      <c r="G83">
        <f t="shared" si="1"/>
        <v>25</v>
      </c>
    </row>
    <row r="84" spans="1:7" x14ac:dyDescent="0.25">
      <c r="A84">
        <v>42819</v>
      </c>
      <c r="B84" t="s">
        <v>16</v>
      </c>
      <c r="C84" t="s">
        <v>9</v>
      </c>
      <c r="D84" t="s">
        <v>8</v>
      </c>
      <c r="E84">
        <v>35</v>
      </c>
      <c r="F84">
        <v>37</v>
      </c>
      <c r="G84">
        <f t="shared" si="1"/>
        <v>0</v>
      </c>
    </row>
    <row r="85" spans="1:7" x14ac:dyDescent="0.25">
      <c r="A85">
        <v>42819</v>
      </c>
      <c r="B85" t="s">
        <v>16</v>
      </c>
      <c r="C85" t="s">
        <v>12</v>
      </c>
      <c r="D85" t="s">
        <v>8</v>
      </c>
      <c r="E85">
        <v>40</v>
      </c>
      <c r="F85">
        <v>19</v>
      </c>
      <c r="G85">
        <f t="shared" si="1"/>
        <v>0</v>
      </c>
    </row>
    <row r="86" spans="1:7" x14ac:dyDescent="0.25">
      <c r="A86">
        <v>42840</v>
      </c>
      <c r="B86" t="s">
        <v>17</v>
      </c>
      <c r="C86" t="s">
        <v>11</v>
      </c>
      <c r="D86" t="s">
        <v>14</v>
      </c>
      <c r="E86">
        <v>21</v>
      </c>
      <c r="F86">
        <v>36</v>
      </c>
      <c r="G86">
        <f t="shared" si="1"/>
        <v>20</v>
      </c>
    </row>
    <row r="87" spans="1:7" x14ac:dyDescent="0.25">
      <c r="A87">
        <v>42840</v>
      </c>
      <c r="B87" t="s">
        <v>17</v>
      </c>
      <c r="C87" t="s">
        <v>7</v>
      </c>
      <c r="D87" t="s">
        <v>14</v>
      </c>
      <c r="E87">
        <v>2</v>
      </c>
      <c r="F87">
        <v>97</v>
      </c>
      <c r="G87">
        <f t="shared" si="1"/>
        <v>0</v>
      </c>
    </row>
    <row r="88" spans="1:7" x14ac:dyDescent="0.25">
      <c r="A88">
        <v>42840</v>
      </c>
      <c r="B88" t="s">
        <v>17</v>
      </c>
      <c r="C88" t="s">
        <v>12</v>
      </c>
      <c r="D88" t="s">
        <v>8</v>
      </c>
      <c r="E88">
        <v>12</v>
      </c>
      <c r="F88">
        <v>20</v>
      </c>
      <c r="G88">
        <f t="shared" si="1"/>
        <v>0</v>
      </c>
    </row>
    <row r="89" spans="1:7" x14ac:dyDescent="0.25">
      <c r="A89">
        <v>42840</v>
      </c>
      <c r="B89" t="s">
        <v>17</v>
      </c>
      <c r="C89" t="s">
        <v>10</v>
      </c>
      <c r="D89" t="s">
        <v>8</v>
      </c>
      <c r="E89">
        <v>15</v>
      </c>
      <c r="F89">
        <v>8</v>
      </c>
      <c r="G89">
        <f t="shared" si="1"/>
        <v>0</v>
      </c>
    </row>
    <row r="90" spans="1:7" x14ac:dyDescent="0.25">
      <c r="A90">
        <v>42840</v>
      </c>
      <c r="B90" t="s">
        <v>17</v>
      </c>
      <c r="C90" t="s">
        <v>9</v>
      </c>
      <c r="D90" t="s">
        <v>8</v>
      </c>
      <c r="E90">
        <v>1</v>
      </c>
      <c r="F90">
        <v>40</v>
      </c>
      <c r="G90">
        <f t="shared" si="1"/>
        <v>0</v>
      </c>
    </row>
    <row r="91" spans="1:7" x14ac:dyDescent="0.25">
      <c r="A91">
        <v>42864</v>
      </c>
      <c r="B91" t="s">
        <v>18</v>
      </c>
      <c r="C91" t="s">
        <v>10</v>
      </c>
      <c r="D91" t="s">
        <v>14</v>
      </c>
      <c r="E91">
        <v>86</v>
      </c>
      <c r="F91">
        <v>12</v>
      </c>
      <c r="G91">
        <f t="shared" si="1"/>
        <v>23</v>
      </c>
    </row>
    <row r="92" spans="1:7" x14ac:dyDescent="0.25">
      <c r="A92">
        <v>42864</v>
      </c>
      <c r="B92" t="s">
        <v>18</v>
      </c>
      <c r="C92" t="s">
        <v>12</v>
      </c>
      <c r="D92" t="s">
        <v>14</v>
      </c>
      <c r="E92">
        <v>110</v>
      </c>
      <c r="F92">
        <v>31</v>
      </c>
      <c r="G92">
        <f t="shared" si="1"/>
        <v>0</v>
      </c>
    </row>
    <row r="93" spans="1:7" x14ac:dyDescent="0.25">
      <c r="A93">
        <v>42864</v>
      </c>
      <c r="B93" t="s">
        <v>18</v>
      </c>
      <c r="C93" t="s">
        <v>9</v>
      </c>
      <c r="D93" t="s">
        <v>8</v>
      </c>
      <c r="E93">
        <v>33</v>
      </c>
      <c r="F93">
        <v>38</v>
      </c>
      <c r="G93">
        <f t="shared" si="1"/>
        <v>0</v>
      </c>
    </row>
    <row r="94" spans="1:7" x14ac:dyDescent="0.25">
      <c r="A94">
        <v>42864</v>
      </c>
      <c r="B94" t="s">
        <v>18</v>
      </c>
      <c r="C94" t="s">
        <v>11</v>
      </c>
      <c r="D94" t="s">
        <v>8</v>
      </c>
      <c r="E94">
        <v>13</v>
      </c>
      <c r="F94">
        <v>23</v>
      </c>
      <c r="G94">
        <f t="shared" si="1"/>
        <v>0</v>
      </c>
    </row>
    <row r="95" spans="1:7" x14ac:dyDescent="0.25">
      <c r="A95">
        <v>42864</v>
      </c>
      <c r="B95" t="s">
        <v>18</v>
      </c>
      <c r="C95" t="s">
        <v>7</v>
      </c>
      <c r="D95" t="s">
        <v>8</v>
      </c>
      <c r="E95">
        <v>37</v>
      </c>
      <c r="F95">
        <v>61</v>
      </c>
      <c r="G95">
        <f t="shared" si="1"/>
        <v>0</v>
      </c>
    </row>
    <row r="96" spans="1:7" x14ac:dyDescent="0.25">
      <c r="A96">
        <v>42882</v>
      </c>
      <c r="B96" t="s">
        <v>19</v>
      </c>
      <c r="C96" t="s">
        <v>10</v>
      </c>
      <c r="D96" t="s">
        <v>14</v>
      </c>
      <c r="E96">
        <v>1</v>
      </c>
      <c r="F96">
        <v>12</v>
      </c>
      <c r="G96">
        <f t="shared" si="1"/>
        <v>17</v>
      </c>
    </row>
    <row r="97" spans="1:7" x14ac:dyDescent="0.25">
      <c r="A97">
        <v>42882</v>
      </c>
      <c r="B97" t="s">
        <v>19</v>
      </c>
      <c r="C97" t="s">
        <v>9</v>
      </c>
      <c r="D97" t="s">
        <v>14</v>
      </c>
      <c r="E97">
        <v>68</v>
      </c>
      <c r="F97">
        <v>59</v>
      </c>
      <c r="G97">
        <f t="shared" si="1"/>
        <v>0</v>
      </c>
    </row>
    <row r="98" spans="1:7" x14ac:dyDescent="0.25">
      <c r="A98">
        <v>42882</v>
      </c>
      <c r="B98" t="s">
        <v>19</v>
      </c>
      <c r="C98" t="s">
        <v>7</v>
      </c>
      <c r="D98" t="s">
        <v>8</v>
      </c>
      <c r="E98">
        <v>35</v>
      </c>
      <c r="F98">
        <v>66</v>
      </c>
      <c r="G98">
        <f t="shared" si="1"/>
        <v>0</v>
      </c>
    </row>
    <row r="99" spans="1:7" x14ac:dyDescent="0.25">
      <c r="A99">
        <v>42882</v>
      </c>
      <c r="B99" t="s">
        <v>19</v>
      </c>
      <c r="C99" t="s">
        <v>12</v>
      </c>
      <c r="D99" t="s">
        <v>8</v>
      </c>
      <c r="E99">
        <v>25</v>
      </c>
      <c r="F99">
        <v>21</v>
      </c>
      <c r="G99">
        <f t="shared" si="1"/>
        <v>0</v>
      </c>
    </row>
    <row r="100" spans="1:7" x14ac:dyDescent="0.25">
      <c r="A100">
        <v>42882</v>
      </c>
      <c r="B100" t="s">
        <v>19</v>
      </c>
      <c r="C100" t="s">
        <v>11</v>
      </c>
      <c r="D100" t="s">
        <v>8</v>
      </c>
      <c r="E100">
        <v>10</v>
      </c>
      <c r="F100">
        <v>25</v>
      </c>
      <c r="G100">
        <f t="shared" si="1"/>
        <v>0</v>
      </c>
    </row>
    <row r="101" spans="1:7" x14ac:dyDescent="0.25">
      <c r="A101">
        <v>42904</v>
      </c>
      <c r="B101" t="s">
        <v>20</v>
      </c>
      <c r="C101" t="s">
        <v>11</v>
      </c>
      <c r="D101" t="s">
        <v>14</v>
      </c>
      <c r="E101">
        <v>38</v>
      </c>
      <c r="F101">
        <v>37</v>
      </c>
      <c r="G101">
        <f t="shared" si="1"/>
        <v>21</v>
      </c>
    </row>
    <row r="102" spans="1:7" x14ac:dyDescent="0.25">
      <c r="A102">
        <v>42904</v>
      </c>
      <c r="B102" t="s">
        <v>20</v>
      </c>
      <c r="C102" t="s">
        <v>10</v>
      </c>
      <c r="D102" t="s">
        <v>8</v>
      </c>
      <c r="E102">
        <v>22</v>
      </c>
      <c r="F102">
        <v>8</v>
      </c>
      <c r="G102">
        <f t="shared" si="1"/>
        <v>0</v>
      </c>
    </row>
    <row r="103" spans="1:7" x14ac:dyDescent="0.25">
      <c r="A103">
        <v>42904</v>
      </c>
      <c r="B103" t="s">
        <v>20</v>
      </c>
      <c r="C103" t="s">
        <v>12</v>
      </c>
      <c r="D103" t="s">
        <v>8</v>
      </c>
      <c r="E103">
        <v>25</v>
      </c>
      <c r="F103">
        <v>20</v>
      </c>
      <c r="G103">
        <f t="shared" si="1"/>
        <v>0</v>
      </c>
    </row>
    <row r="104" spans="1:7" x14ac:dyDescent="0.25">
      <c r="A104">
        <v>42904</v>
      </c>
      <c r="B104" t="s">
        <v>20</v>
      </c>
      <c r="C104" t="s">
        <v>9</v>
      </c>
      <c r="D104" t="s">
        <v>8</v>
      </c>
      <c r="E104">
        <v>8</v>
      </c>
      <c r="F104">
        <v>39</v>
      </c>
      <c r="G104">
        <f t="shared" si="1"/>
        <v>0</v>
      </c>
    </row>
    <row r="105" spans="1:7" x14ac:dyDescent="0.25">
      <c r="A105">
        <v>42904</v>
      </c>
      <c r="B105" t="s">
        <v>20</v>
      </c>
      <c r="C105" t="s">
        <v>7</v>
      </c>
      <c r="D105" t="s">
        <v>8</v>
      </c>
      <c r="E105">
        <v>45</v>
      </c>
      <c r="F105">
        <v>62</v>
      </c>
      <c r="G105">
        <f t="shared" si="1"/>
        <v>0</v>
      </c>
    </row>
    <row r="106" spans="1:7" x14ac:dyDescent="0.25">
      <c r="A106">
        <v>42929</v>
      </c>
      <c r="B106" t="s">
        <v>21</v>
      </c>
      <c r="C106" t="s">
        <v>7</v>
      </c>
      <c r="D106" t="s">
        <v>14</v>
      </c>
      <c r="E106">
        <v>116</v>
      </c>
      <c r="F106">
        <v>100</v>
      </c>
      <c r="G106">
        <f t="shared" si="1"/>
        <v>24</v>
      </c>
    </row>
    <row r="107" spans="1:7" x14ac:dyDescent="0.25">
      <c r="A107">
        <v>42929</v>
      </c>
      <c r="B107" t="s">
        <v>21</v>
      </c>
      <c r="C107" t="s">
        <v>12</v>
      </c>
      <c r="D107" t="s">
        <v>8</v>
      </c>
      <c r="E107">
        <v>29</v>
      </c>
      <c r="F107">
        <v>19</v>
      </c>
      <c r="G107">
        <f t="shared" si="1"/>
        <v>0</v>
      </c>
    </row>
    <row r="108" spans="1:7" x14ac:dyDescent="0.25">
      <c r="A108">
        <v>42942</v>
      </c>
      <c r="B108" t="s">
        <v>22</v>
      </c>
      <c r="C108" t="s">
        <v>11</v>
      </c>
      <c r="D108" t="s">
        <v>14</v>
      </c>
      <c r="E108">
        <v>5</v>
      </c>
      <c r="F108">
        <v>34</v>
      </c>
      <c r="G108">
        <f t="shared" si="1"/>
        <v>12</v>
      </c>
    </row>
    <row r="109" spans="1:7" x14ac:dyDescent="0.25">
      <c r="A109">
        <v>42942</v>
      </c>
      <c r="B109" t="s">
        <v>22</v>
      </c>
      <c r="C109" t="s">
        <v>10</v>
      </c>
      <c r="D109" t="s">
        <v>14</v>
      </c>
      <c r="E109">
        <v>22</v>
      </c>
      <c r="F109">
        <v>11</v>
      </c>
      <c r="G109">
        <f t="shared" si="1"/>
        <v>0</v>
      </c>
    </row>
    <row r="110" spans="1:7" x14ac:dyDescent="0.25">
      <c r="A110">
        <v>42942</v>
      </c>
      <c r="B110" t="s">
        <v>22</v>
      </c>
      <c r="C110" t="s">
        <v>12</v>
      </c>
      <c r="D110" t="s">
        <v>8</v>
      </c>
      <c r="E110">
        <v>37</v>
      </c>
      <c r="F110">
        <v>22</v>
      </c>
      <c r="G110">
        <f t="shared" si="1"/>
        <v>0</v>
      </c>
    </row>
    <row r="111" spans="1:7" x14ac:dyDescent="0.25">
      <c r="A111">
        <v>42942</v>
      </c>
      <c r="B111" t="s">
        <v>22</v>
      </c>
      <c r="C111" t="s">
        <v>7</v>
      </c>
      <c r="D111" t="s">
        <v>8</v>
      </c>
      <c r="E111">
        <v>10</v>
      </c>
      <c r="F111">
        <v>70</v>
      </c>
      <c r="G111">
        <f t="shared" si="1"/>
        <v>0</v>
      </c>
    </row>
    <row r="112" spans="1:7" x14ac:dyDescent="0.25">
      <c r="A112">
        <v>42942</v>
      </c>
      <c r="B112" t="s">
        <v>22</v>
      </c>
      <c r="C112" t="s">
        <v>9</v>
      </c>
      <c r="D112" t="s">
        <v>8</v>
      </c>
      <c r="E112">
        <v>42</v>
      </c>
      <c r="F112">
        <v>44</v>
      </c>
      <c r="G112">
        <f t="shared" si="1"/>
        <v>0</v>
      </c>
    </row>
    <row r="113" spans="1:7" x14ac:dyDescent="0.25">
      <c r="A113">
        <v>42959</v>
      </c>
      <c r="B113" t="s">
        <v>6</v>
      </c>
      <c r="C113" t="s">
        <v>7</v>
      </c>
      <c r="D113" t="s">
        <v>14</v>
      </c>
      <c r="E113">
        <v>11</v>
      </c>
      <c r="F113">
        <v>94</v>
      </c>
      <c r="G113">
        <f t="shared" si="1"/>
        <v>16</v>
      </c>
    </row>
    <row r="114" spans="1:7" x14ac:dyDescent="0.25">
      <c r="A114">
        <v>42959</v>
      </c>
      <c r="B114" t="s">
        <v>6</v>
      </c>
      <c r="C114" t="s">
        <v>9</v>
      </c>
      <c r="D114" t="s">
        <v>14</v>
      </c>
      <c r="E114">
        <v>48</v>
      </c>
      <c r="F114">
        <v>59</v>
      </c>
      <c r="G114">
        <f t="shared" si="1"/>
        <v>0</v>
      </c>
    </row>
    <row r="115" spans="1:7" x14ac:dyDescent="0.25">
      <c r="A115">
        <v>42959</v>
      </c>
      <c r="B115" t="s">
        <v>6</v>
      </c>
      <c r="C115" t="s">
        <v>12</v>
      </c>
      <c r="D115" t="s">
        <v>8</v>
      </c>
      <c r="E115">
        <v>20</v>
      </c>
      <c r="F115">
        <v>21</v>
      </c>
      <c r="G115">
        <f t="shared" si="1"/>
        <v>0</v>
      </c>
    </row>
    <row r="116" spans="1:7" x14ac:dyDescent="0.25">
      <c r="A116">
        <v>42959</v>
      </c>
      <c r="B116" t="s">
        <v>6</v>
      </c>
      <c r="C116" t="s">
        <v>11</v>
      </c>
      <c r="D116" t="s">
        <v>8</v>
      </c>
      <c r="E116">
        <v>26</v>
      </c>
      <c r="F116">
        <v>25</v>
      </c>
      <c r="G116">
        <f t="shared" si="1"/>
        <v>0</v>
      </c>
    </row>
    <row r="117" spans="1:7" x14ac:dyDescent="0.25">
      <c r="A117">
        <v>42974</v>
      </c>
      <c r="B117" t="s">
        <v>13</v>
      </c>
      <c r="C117" t="s">
        <v>10</v>
      </c>
      <c r="D117" t="s">
        <v>8</v>
      </c>
      <c r="E117">
        <v>24</v>
      </c>
      <c r="F117">
        <v>9</v>
      </c>
      <c r="G117">
        <f t="shared" si="1"/>
        <v>14</v>
      </c>
    </row>
    <row r="118" spans="1:7" x14ac:dyDescent="0.25">
      <c r="A118">
        <v>42974</v>
      </c>
      <c r="B118" t="s">
        <v>13</v>
      </c>
      <c r="C118" t="s">
        <v>7</v>
      </c>
      <c r="D118" t="s">
        <v>8</v>
      </c>
      <c r="E118">
        <v>38</v>
      </c>
      <c r="F118">
        <v>68</v>
      </c>
      <c r="G118">
        <f t="shared" si="1"/>
        <v>0</v>
      </c>
    </row>
    <row r="119" spans="1:7" x14ac:dyDescent="0.25">
      <c r="A119">
        <v>42974</v>
      </c>
      <c r="B119" t="s">
        <v>13</v>
      </c>
      <c r="C119" t="s">
        <v>12</v>
      </c>
      <c r="D119" t="s">
        <v>8</v>
      </c>
      <c r="E119">
        <v>14</v>
      </c>
      <c r="F119">
        <v>21</v>
      </c>
      <c r="G119">
        <f t="shared" si="1"/>
        <v>0</v>
      </c>
    </row>
    <row r="120" spans="1:7" x14ac:dyDescent="0.25">
      <c r="A120">
        <v>42974</v>
      </c>
      <c r="B120" t="s">
        <v>13</v>
      </c>
      <c r="C120" t="s">
        <v>9</v>
      </c>
      <c r="D120" t="s">
        <v>8</v>
      </c>
      <c r="E120">
        <v>4</v>
      </c>
      <c r="F120">
        <v>43</v>
      </c>
      <c r="G120">
        <f t="shared" si="1"/>
        <v>0</v>
      </c>
    </row>
    <row r="121" spans="1:7" x14ac:dyDescent="0.25">
      <c r="A121">
        <v>42993</v>
      </c>
      <c r="B121" t="s">
        <v>15</v>
      </c>
      <c r="C121" t="s">
        <v>11</v>
      </c>
      <c r="D121" t="s">
        <v>14</v>
      </c>
      <c r="E121">
        <v>19</v>
      </c>
      <c r="F121">
        <v>36</v>
      </c>
      <c r="G121">
        <f t="shared" si="1"/>
        <v>18</v>
      </c>
    </row>
    <row r="122" spans="1:7" x14ac:dyDescent="0.25">
      <c r="A122">
        <v>42993</v>
      </c>
      <c r="B122" t="s">
        <v>15</v>
      </c>
      <c r="C122" t="s">
        <v>7</v>
      </c>
      <c r="D122" t="s">
        <v>8</v>
      </c>
      <c r="E122">
        <v>30</v>
      </c>
      <c r="F122">
        <v>65</v>
      </c>
      <c r="G122">
        <f t="shared" si="1"/>
        <v>0</v>
      </c>
    </row>
    <row r="123" spans="1:7" x14ac:dyDescent="0.25">
      <c r="A123">
        <v>43019</v>
      </c>
      <c r="B123" t="s">
        <v>16</v>
      </c>
      <c r="C123" t="s">
        <v>9</v>
      </c>
      <c r="D123" t="s">
        <v>14</v>
      </c>
      <c r="E123">
        <v>6</v>
      </c>
      <c r="F123">
        <v>63</v>
      </c>
      <c r="G123">
        <f t="shared" si="1"/>
        <v>25</v>
      </c>
    </row>
    <row r="124" spans="1:7" x14ac:dyDescent="0.25">
      <c r="A124">
        <v>43019</v>
      </c>
      <c r="B124" t="s">
        <v>16</v>
      </c>
      <c r="C124" t="s">
        <v>7</v>
      </c>
      <c r="D124" t="s">
        <v>8</v>
      </c>
      <c r="E124">
        <v>43</v>
      </c>
      <c r="F124">
        <v>59</v>
      </c>
      <c r="G124">
        <f t="shared" si="1"/>
        <v>0</v>
      </c>
    </row>
    <row r="125" spans="1:7" x14ac:dyDescent="0.25">
      <c r="A125">
        <v>43040</v>
      </c>
      <c r="B125" t="s">
        <v>17</v>
      </c>
      <c r="C125" t="s">
        <v>9</v>
      </c>
      <c r="D125" t="s">
        <v>14</v>
      </c>
      <c r="E125">
        <v>1</v>
      </c>
      <c r="F125">
        <v>61</v>
      </c>
      <c r="G125">
        <f t="shared" si="1"/>
        <v>20</v>
      </c>
    </row>
    <row r="126" spans="1:7" x14ac:dyDescent="0.25">
      <c r="A126">
        <v>43040</v>
      </c>
      <c r="B126" t="s">
        <v>17</v>
      </c>
      <c r="C126" t="s">
        <v>12</v>
      </c>
      <c r="D126" t="s">
        <v>14</v>
      </c>
      <c r="E126">
        <v>147</v>
      </c>
      <c r="F126">
        <v>30</v>
      </c>
      <c r="G126">
        <f t="shared" si="1"/>
        <v>0</v>
      </c>
    </row>
    <row r="127" spans="1:7" x14ac:dyDescent="0.25">
      <c r="A127">
        <v>43040</v>
      </c>
      <c r="B127" t="s">
        <v>17</v>
      </c>
      <c r="C127" t="s">
        <v>10</v>
      </c>
      <c r="D127" t="s">
        <v>8</v>
      </c>
      <c r="E127">
        <v>15</v>
      </c>
      <c r="F127">
        <v>8</v>
      </c>
      <c r="G127">
        <f t="shared" si="1"/>
        <v>0</v>
      </c>
    </row>
    <row r="128" spans="1:7" x14ac:dyDescent="0.25">
      <c r="A128">
        <v>43040</v>
      </c>
      <c r="B128" t="s">
        <v>17</v>
      </c>
      <c r="C128" t="s">
        <v>7</v>
      </c>
      <c r="D128" t="s">
        <v>8</v>
      </c>
      <c r="E128">
        <v>24</v>
      </c>
      <c r="F128">
        <v>63</v>
      </c>
      <c r="G128">
        <f t="shared" si="1"/>
        <v>0</v>
      </c>
    </row>
    <row r="129" spans="1:7" x14ac:dyDescent="0.25">
      <c r="A129">
        <v>43040</v>
      </c>
      <c r="B129" t="s">
        <v>17</v>
      </c>
      <c r="C129" t="s">
        <v>11</v>
      </c>
      <c r="D129" t="s">
        <v>8</v>
      </c>
      <c r="E129">
        <v>19</v>
      </c>
      <c r="F129">
        <v>24</v>
      </c>
      <c r="G129">
        <f t="shared" si="1"/>
        <v>0</v>
      </c>
    </row>
    <row r="130" spans="1:7" x14ac:dyDescent="0.25">
      <c r="A130">
        <v>43064</v>
      </c>
      <c r="B130" t="s">
        <v>18</v>
      </c>
      <c r="C130" t="s">
        <v>7</v>
      </c>
      <c r="D130" t="s">
        <v>14</v>
      </c>
      <c r="E130">
        <v>134</v>
      </c>
      <c r="F130">
        <v>99</v>
      </c>
      <c r="G130">
        <f t="shared" si="1"/>
        <v>23</v>
      </c>
    </row>
    <row r="131" spans="1:7" x14ac:dyDescent="0.25">
      <c r="A131">
        <v>43064</v>
      </c>
      <c r="B131" t="s">
        <v>18</v>
      </c>
      <c r="C131" t="s">
        <v>9</v>
      </c>
      <c r="D131" t="s">
        <v>8</v>
      </c>
      <c r="E131">
        <v>12</v>
      </c>
      <c r="F131">
        <v>38</v>
      </c>
      <c r="G131">
        <f t="shared" si="1"/>
        <v>0</v>
      </c>
    </row>
    <row r="132" spans="1:7" x14ac:dyDescent="0.25">
      <c r="A132">
        <v>43082</v>
      </c>
      <c r="B132" t="s">
        <v>19</v>
      </c>
      <c r="C132" t="s">
        <v>12</v>
      </c>
      <c r="D132" t="s">
        <v>14</v>
      </c>
      <c r="E132">
        <v>4</v>
      </c>
      <c r="F132">
        <v>30</v>
      </c>
      <c r="G132">
        <f t="shared" ref="G132:G195" si="2">IF(A132&lt;&gt;A131,A132-A131-1,0)</f>
        <v>17</v>
      </c>
    </row>
    <row r="133" spans="1:7" x14ac:dyDescent="0.25">
      <c r="A133">
        <v>43082</v>
      </c>
      <c r="B133" t="s">
        <v>19</v>
      </c>
      <c r="C133" t="s">
        <v>10</v>
      </c>
      <c r="D133" t="s">
        <v>8</v>
      </c>
      <c r="E133">
        <v>26</v>
      </c>
      <c r="F133">
        <v>8</v>
      </c>
      <c r="G133">
        <f t="shared" si="2"/>
        <v>0</v>
      </c>
    </row>
    <row r="134" spans="1:7" x14ac:dyDescent="0.25">
      <c r="A134">
        <v>43082</v>
      </c>
      <c r="B134" t="s">
        <v>19</v>
      </c>
      <c r="C134" t="s">
        <v>7</v>
      </c>
      <c r="D134" t="s">
        <v>8</v>
      </c>
      <c r="E134">
        <v>38</v>
      </c>
      <c r="F134">
        <v>66</v>
      </c>
      <c r="G134">
        <f t="shared" si="2"/>
        <v>0</v>
      </c>
    </row>
    <row r="135" spans="1:7" x14ac:dyDescent="0.25">
      <c r="A135">
        <v>43104</v>
      </c>
      <c r="B135" t="s">
        <v>20</v>
      </c>
      <c r="C135" t="s">
        <v>7</v>
      </c>
      <c r="D135" t="s">
        <v>14</v>
      </c>
      <c r="E135">
        <v>38</v>
      </c>
      <c r="F135">
        <v>98</v>
      </c>
      <c r="G135">
        <f t="shared" si="2"/>
        <v>21</v>
      </c>
    </row>
    <row r="136" spans="1:7" x14ac:dyDescent="0.25">
      <c r="A136">
        <v>43104</v>
      </c>
      <c r="B136" t="s">
        <v>20</v>
      </c>
      <c r="C136" t="s">
        <v>11</v>
      </c>
      <c r="D136" t="s">
        <v>14</v>
      </c>
      <c r="E136">
        <v>44</v>
      </c>
      <c r="F136">
        <v>37</v>
      </c>
      <c r="G136">
        <f t="shared" si="2"/>
        <v>0</v>
      </c>
    </row>
    <row r="137" spans="1:7" x14ac:dyDescent="0.25">
      <c r="A137">
        <v>43104</v>
      </c>
      <c r="B137" t="s">
        <v>20</v>
      </c>
      <c r="C137" t="s">
        <v>10</v>
      </c>
      <c r="D137" t="s">
        <v>8</v>
      </c>
      <c r="E137">
        <v>21</v>
      </c>
      <c r="F137">
        <v>8</v>
      </c>
      <c r="G137">
        <f t="shared" si="2"/>
        <v>0</v>
      </c>
    </row>
    <row r="138" spans="1:7" x14ac:dyDescent="0.25">
      <c r="A138">
        <v>43104</v>
      </c>
      <c r="B138" t="s">
        <v>20</v>
      </c>
      <c r="C138" t="s">
        <v>9</v>
      </c>
      <c r="D138" t="s">
        <v>8</v>
      </c>
      <c r="E138">
        <v>10</v>
      </c>
      <c r="F138">
        <v>39</v>
      </c>
      <c r="G138">
        <f t="shared" si="2"/>
        <v>0</v>
      </c>
    </row>
    <row r="139" spans="1:7" x14ac:dyDescent="0.25">
      <c r="A139">
        <v>43129</v>
      </c>
      <c r="B139" t="s">
        <v>21</v>
      </c>
      <c r="C139" t="s">
        <v>11</v>
      </c>
      <c r="D139" t="s">
        <v>14</v>
      </c>
      <c r="E139">
        <v>15</v>
      </c>
      <c r="F139">
        <v>38</v>
      </c>
      <c r="G139">
        <f t="shared" si="2"/>
        <v>24</v>
      </c>
    </row>
    <row r="140" spans="1:7" x14ac:dyDescent="0.25">
      <c r="A140">
        <v>43129</v>
      </c>
      <c r="B140" t="s">
        <v>21</v>
      </c>
      <c r="C140" t="s">
        <v>9</v>
      </c>
      <c r="D140" t="s">
        <v>14</v>
      </c>
      <c r="E140">
        <v>22</v>
      </c>
      <c r="F140">
        <v>63</v>
      </c>
      <c r="G140">
        <f t="shared" si="2"/>
        <v>0</v>
      </c>
    </row>
    <row r="141" spans="1:7" x14ac:dyDescent="0.25">
      <c r="A141">
        <v>43129</v>
      </c>
      <c r="B141" t="s">
        <v>21</v>
      </c>
      <c r="C141" t="s">
        <v>7</v>
      </c>
      <c r="D141" t="s">
        <v>8</v>
      </c>
      <c r="E141">
        <v>9</v>
      </c>
      <c r="F141">
        <v>60</v>
      </c>
      <c r="G141">
        <f t="shared" si="2"/>
        <v>0</v>
      </c>
    </row>
    <row r="142" spans="1:7" x14ac:dyDescent="0.25">
      <c r="A142">
        <v>43129</v>
      </c>
      <c r="B142" t="s">
        <v>21</v>
      </c>
      <c r="C142" t="s">
        <v>12</v>
      </c>
      <c r="D142" t="s">
        <v>8</v>
      </c>
      <c r="E142">
        <v>6</v>
      </c>
      <c r="F142">
        <v>19</v>
      </c>
      <c r="G142">
        <f t="shared" si="2"/>
        <v>0</v>
      </c>
    </row>
    <row r="143" spans="1:7" x14ac:dyDescent="0.25">
      <c r="A143">
        <v>43129</v>
      </c>
      <c r="B143" t="s">
        <v>21</v>
      </c>
      <c r="C143" t="s">
        <v>10</v>
      </c>
      <c r="D143" t="s">
        <v>8</v>
      </c>
      <c r="E143">
        <v>4</v>
      </c>
      <c r="F143">
        <v>8</v>
      </c>
      <c r="G143">
        <f t="shared" si="2"/>
        <v>0</v>
      </c>
    </row>
    <row r="144" spans="1:7" x14ac:dyDescent="0.25">
      <c r="A144">
        <v>43130</v>
      </c>
      <c r="B144" t="s">
        <v>22</v>
      </c>
      <c r="C144" t="s">
        <v>12</v>
      </c>
      <c r="D144" t="s">
        <v>14</v>
      </c>
      <c r="E144">
        <v>6</v>
      </c>
      <c r="F144">
        <v>25</v>
      </c>
      <c r="G144">
        <f t="shared" si="2"/>
        <v>0</v>
      </c>
    </row>
    <row r="145" spans="1:7" x14ac:dyDescent="0.25">
      <c r="A145">
        <v>43130</v>
      </c>
      <c r="B145" t="s">
        <v>22</v>
      </c>
      <c r="C145" t="s">
        <v>7</v>
      </c>
      <c r="D145" t="s">
        <v>8</v>
      </c>
      <c r="E145">
        <v>48</v>
      </c>
      <c r="F145">
        <v>79</v>
      </c>
      <c r="G145">
        <f t="shared" si="2"/>
        <v>0</v>
      </c>
    </row>
    <row r="146" spans="1:7" x14ac:dyDescent="0.25">
      <c r="A146">
        <v>43147</v>
      </c>
      <c r="B146" t="s">
        <v>6</v>
      </c>
      <c r="C146" t="s">
        <v>9</v>
      </c>
      <c r="D146" t="s">
        <v>8</v>
      </c>
      <c r="E146">
        <v>34</v>
      </c>
      <c r="F146">
        <v>42</v>
      </c>
      <c r="G146">
        <f t="shared" si="2"/>
        <v>16</v>
      </c>
    </row>
    <row r="147" spans="1:7" x14ac:dyDescent="0.25">
      <c r="A147">
        <v>43147</v>
      </c>
      <c r="B147" t="s">
        <v>6</v>
      </c>
      <c r="C147" t="s">
        <v>11</v>
      </c>
      <c r="D147" t="s">
        <v>14</v>
      </c>
      <c r="E147">
        <v>49</v>
      </c>
      <c r="F147">
        <v>35</v>
      </c>
      <c r="G147">
        <f t="shared" si="2"/>
        <v>0</v>
      </c>
    </row>
    <row r="148" spans="1:7" x14ac:dyDescent="0.25">
      <c r="A148">
        <v>43147</v>
      </c>
      <c r="B148" t="s">
        <v>6</v>
      </c>
      <c r="C148" t="s">
        <v>10</v>
      </c>
      <c r="D148" t="s">
        <v>8</v>
      </c>
      <c r="E148">
        <v>10</v>
      </c>
      <c r="F148">
        <v>8</v>
      </c>
      <c r="G148">
        <f t="shared" si="2"/>
        <v>0</v>
      </c>
    </row>
    <row r="149" spans="1:7" x14ac:dyDescent="0.25">
      <c r="A149">
        <v>43147</v>
      </c>
      <c r="B149" t="s">
        <v>6</v>
      </c>
      <c r="C149" t="s">
        <v>12</v>
      </c>
      <c r="D149" t="s">
        <v>8</v>
      </c>
      <c r="E149">
        <v>47</v>
      </c>
      <c r="F149">
        <v>21</v>
      </c>
      <c r="G149">
        <f t="shared" si="2"/>
        <v>0</v>
      </c>
    </row>
    <row r="150" spans="1:7" x14ac:dyDescent="0.25">
      <c r="A150">
        <v>43147</v>
      </c>
      <c r="B150" t="s">
        <v>6</v>
      </c>
      <c r="C150" t="s">
        <v>7</v>
      </c>
      <c r="D150" t="s">
        <v>8</v>
      </c>
      <c r="E150">
        <v>48</v>
      </c>
      <c r="F150">
        <v>66</v>
      </c>
      <c r="G150">
        <f t="shared" si="2"/>
        <v>0</v>
      </c>
    </row>
    <row r="151" spans="1:7" x14ac:dyDescent="0.25">
      <c r="A151">
        <v>43162</v>
      </c>
      <c r="B151" t="s">
        <v>13</v>
      </c>
      <c r="C151" t="s">
        <v>9</v>
      </c>
      <c r="D151" t="s">
        <v>14</v>
      </c>
      <c r="E151">
        <v>34</v>
      </c>
      <c r="F151">
        <v>58</v>
      </c>
      <c r="G151">
        <f t="shared" si="2"/>
        <v>14</v>
      </c>
    </row>
    <row r="152" spans="1:7" x14ac:dyDescent="0.25">
      <c r="A152">
        <v>43162</v>
      </c>
      <c r="B152" t="s">
        <v>13</v>
      </c>
      <c r="C152" t="s">
        <v>10</v>
      </c>
      <c r="D152" t="s">
        <v>8</v>
      </c>
      <c r="E152">
        <v>5</v>
      </c>
      <c r="F152">
        <v>9</v>
      </c>
      <c r="G152">
        <f t="shared" si="2"/>
        <v>0</v>
      </c>
    </row>
    <row r="153" spans="1:7" x14ac:dyDescent="0.25">
      <c r="A153">
        <v>43181</v>
      </c>
      <c r="B153" t="s">
        <v>15</v>
      </c>
      <c r="C153" t="s">
        <v>12</v>
      </c>
      <c r="D153" t="s">
        <v>14</v>
      </c>
      <c r="E153">
        <v>46</v>
      </c>
      <c r="F153">
        <v>30</v>
      </c>
      <c r="G153">
        <f t="shared" si="2"/>
        <v>18</v>
      </c>
    </row>
    <row r="154" spans="1:7" x14ac:dyDescent="0.25">
      <c r="A154">
        <v>43181</v>
      </c>
      <c r="B154" t="s">
        <v>15</v>
      </c>
      <c r="C154" t="s">
        <v>7</v>
      </c>
      <c r="D154" t="s">
        <v>8</v>
      </c>
      <c r="E154">
        <v>49</v>
      </c>
      <c r="F154">
        <v>65</v>
      </c>
      <c r="G154">
        <f t="shared" si="2"/>
        <v>0</v>
      </c>
    </row>
    <row r="155" spans="1:7" x14ac:dyDescent="0.25">
      <c r="A155">
        <v>43181</v>
      </c>
      <c r="B155" t="s">
        <v>15</v>
      </c>
      <c r="C155" t="s">
        <v>10</v>
      </c>
      <c r="D155" t="s">
        <v>8</v>
      </c>
      <c r="E155">
        <v>16</v>
      </c>
      <c r="F155">
        <v>8</v>
      </c>
      <c r="G155">
        <f t="shared" si="2"/>
        <v>0</v>
      </c>
    </row>
    <row r="156" spans="1:7" x14ac:dyDescent="0.25">
      <c r="A156">
        <v>43207</v>
      </c>
      <c r="B156" t="s">
        <v>16</v>
      </c>
      <c r="C156" t="s">
        <v>9</v>
      </c>
      <c r="D156" t="s">
        <v>8</v>
      </c>
      <c r="E156">
        <v>5</v>
      </c>
      <c r="F156">
        <v>37</v>
      </c>
      <c r="G156">
        <f t="shared" si="2"/>
        <v>25</v>
      </c>
    </row>
    <row r="157" spans="1:7" x14ac:dyDescent="0.25">
      <c r="A157">
        <v>43207</v>
      </c>
      <c r="B157" t="s">
        <v>16</v>
      </c>
      <c r="C157" t="s">
        <v>12</v>
      </c>
      <c r="D157" t="s">
        <v>14</v>
      </c>
      <c r="E157">
        <v>1</v>
      </c>
      <c r="F157">
        <v>32</v>
      </c>
      <c r="G157">
        <f t="shared" si="2"/>
        <v>0</v>
      </c>
    </row>
    <row r="158" spans="1:7" x14ac:dyDescent="0.25">
      <c r="A158">
        <v>43207</v>
      </c>
      <c r="B158" t="s">
        <v>16</v>
      </c>
      <c r="C158" t="s">
        <v>10</v>
      </c>
      <c r="D158" t="s">
        <v>8</v>
      </c>
      <c r="E158">
        <v>34</v>
      </c>
      <c r="F158">
        <v>7</v>
      </c>
      <c r="G158">
        <f t="shared" si="2"/>
        <v>0</v>
      </c>
    </row>
    <row r="159" spans="1:7" x14ac:dyDescent="0.25">
      <c r="A159">
        <v>43207</v>
      </c>
      <c r="B159" t="s">
        <v>16</v>
      </c>
      <c r="C159" t="s">
        <v>7</v>
      </c>
      <c r="D159" t="s">
        <v>8</v>
      </c>
      <c r="E159">
        <v>29</v>
      </c>
      <c r="F159">
        <v>59</v>
      </c>
      <c r="G159">
        <f t="shared" si="2"/>
        <v>0</v>
      </c>
    </row>
    <row r="160" spans="1:7" x14ac:dyDescent="0.25">
      <c r="A160">
        <v>43228</v>
      </c>
      <c r="B160" t="s">
        <v>17</v>
      </c>
      <c r="C160" t="s">
        <v>11</v>
      </c>
      <c r="D160" t="s">
        <v>8</v>
      </c>
      <c r="E160">
        <v>34</v>
      </c>
      <c r="F160">
        <v>24</v>
      </c>
      <c r="G160">
        <f t="shared" si="2"/>
        <v>20</v>
      </c>
    </row>
    <row r="161" spans="1:7" x14ac:dyDescent="0.25">
      <c r="A161">
        <v>43228</v>
      </c>
      <c r="B161" t="s">
        <v>17</v>
      </c>
      <c r="C161" t="s">
        <v>12</v>
      </c>
      <c r="D161" t="s">
        <v>8</v>
      </c>
      <c r="E161">
        <v>27</v>
      </c>
      <c r="F161">
        <v>20</v>
      </c>
      <c r="G161">
        <f t="shared" si="2"/>
        <v>0</v>
      </c>
    </row>
    <row r="162" spans="1:7" x14ac:dyDescent="0.25">
      <c r="A162">
        <v>43228</v>
      </c>
      <c r="B162" t="s">
        <v>17</v>
      </c>
      <c r="C162" t="s">
        <v>10</v>
      </c>
      <c r="D162" t="s">
        <v>8</v>
      </c>
      <c r="E162">
        <v>40</v>
      </c>
      <c r="F162">
        <v>8</v>
      </c>
      <c r="G162">
        <f t="shared" si="2"/>
        <v>0</v>
      </c>
    </row>
    <row r="163" spans="1:7" x14ac:dyDescent="0.25">
      <c r="A163">
        <v>43252</v>
      </c>
      <c r="B163" t="s">
        <v>18</v>
      </c>
      <c r="C163" t="s">
        <v>7</v>
      </c>
      <c r="D163" t="s">
        <v>14</v>
      </c>
      <c r="E163">
        <v>184</v>
      </c>
      <c r="F163">
        <v>99</v>
      </c>
      <c r="G163">
        <f t="shared" si="2"/>
        <v>23</v>
      </c>
    </row>
    <row r="164" spans="1:7" x14ac:dyDescent="0.25">
      <c r="A164">
        <v>43252</v>
      </c>
      <c r="B164" t="s">
        <v>18</v>
      </c>
      <c r="C164" t="s">
        <v>9</v>
      </c>
      <c r="D164" t="s">
        <v>8</v>
      </c>
      <c r="E164">
        <v>48</v>
      </c>
      <c r="F164">
        <v>38</v>
      </c>
      <c r="G164">
        <f t="shared" si="2"/>
        <v>0</v>
      </c>
    </row>
    <row r="165" spans="1:7" x14ac:dyDescent="0.25">
      <c r="A165">
        <v>43252</v>
      </c>
      <c r="B165" t="s">
        <v>18</v>
      </c>
      <c r="C165" t="s">
        <v>11</v>
      </c>
      <c r="D165" t="s">
        <v>8</v>
      </c>
      <c r="E165">
        <v>21</v>
      </c>
      <c r="F165">
        <v>23</v>
      </c>
      <c r="G165">
        <f t="shared" si="2"/>
        <v>0</v>
      </c>
    </row>
    <row r="166" spans="1:7" x14ac:dyDescent="0.25">
      <c r="A166">
        <v>43270</v>
      </c>
      <c r="B166" t="s">
        <v>19</v>
      </c>
      <c r="C166" t="s">
        <v>7</v>
      </c>
      <c r="D166" t="s">
        <v>8</v>
      </c>
      <c r="E166">
        <v>47</v>
      </c>
      <c r="F166">
        <v>66</v>
      </c>
      <c r="G166">
        <f t="shared" si="2"/>
        <v>17</v>
      </c>
    </row>
    <row r="167" spans="1:7" x14ac:dyDescent="0.25">
      <c r="A167">
        <v>43270</v>
      </c>
      <c r="B167" t="s">
        <v>19</v>
      </c>
      <c r="C167" t="s">
        <v>11</v>
      </c>
      <c r="D167" t="s">
        <v>8</v>
      </c>
      <c r="E167">
        <v>6</v>
      </c>
      <c r="F167">
        <v>25</v>
      </c>
      <c r="G167">
        <f t="shared" si="2"/>
        <v>0</v>
      </c>
    </row>
    <row r="168" spans="1:7" x14ac:dyDescent="0.25">
      <c r="A168">
        <v>43270</v>
      </c>
      <c r="B168" t="s">
        <v>19</v>
      </c>
      <c r="C168" t="s">
        <v>9</v>
      </c>
      <c r="D168" t="s">
        <v>8</v>
      </c>
      <c r="E168">
        <v>47</v>
      </c>
      <c r="F168">
        <v>41</v>
      </c>
      <c r="G168">
        <f t="shared" si="2"/>
        <v>0</v>
      </c>
    </row>
    <row r="169" spans="1:7" x14ac:dyDescent="0.25">
      <c r="A169">
        <v>43292</v>
      </c>
      <c r="B169" t="s">
        <v>20</v>
      </c>
      <c r="C169" t="s">
        <v>10</v>
      </c>
      <c r="D169" t="s">
        <v>14</v>
      </c>
      <c r="E169">
        <v>192</v>
      </c>
      <c r="F169">
        <v>12</v>
      </c>
      <c r="G169">
        <f t="shared" si="2"/>
        <v>21</v>
      </c>
    </row>
    <row r="170" spans="1:7" x14ac:dyDescent="0.25">
      <c r="A170">
        <v>43292</v>
      </c>
      <c r="B170" t="s">
        <v>20</v>
      </c>
      <c r="C170" t="s">
        <v>11</v>
      </c>
      <c r="D170" t="s">
        <v>14</v>
      </c>
      <c r="E170">
        <v>48</v>
      </c>
      <c r="F170">
        <v>37</v>
      </c>
      <c r="G170">
        <f t="shared" si="2"/>
        <v>0</v>
      </c>
    </row>
    <row r="171" spans="1:7" x14ac:dyDescent="0.25">
      <c r="A171">
        <v>43292</v>
      </c>
      <c r="B171" t="s">
        <v>20</v>
      </c>
      <c r="C171" t="s">
        <v>7</v>
      </c>
      <c r="D171" t="s">
        <v>8</v>
      </c>
      <c r="E171">
        <v>18</v>
      </c>
      <c r="F171">
        <v>62</v>
      </c>
      <c r="G171">
        <f t="shared" si="2"/>
        <v>0</v>
      </c>
    </row>
    <row r="172" spans="1:7" x14ac:dyDescent="0.25">
      <c r="A172">
        <v>43292</v>
      </c>
      <c r="B172" t="s">
        <v>20</v>
      </c>
      <c r="C172" t="s">
        <v>9</v>
      </c>
      <c r="D172" t="s">
        <v>8</v>
      </c>
      <c r="E172">
        <v>25</v>
      </c>
      <c r="F172">
        <v>39</v>
      </c>
      <c r="G172">
        <f t="shared" si="2"/>
        <v>0</v>
      </c>
    </row>
    <row r="173" spans="1:7" x14ac:dyDescent="0.25">
      <c r="A173">
        <v>43292</v>
      </c>
      <c r="B173" t="s">
        <v>20</v>
      </c>
      <c r="C173" t="s">
        <v>12</v>
      </c>
      <c r="D173" t="s">
        <v>8</v>
      </c>
      <c r="E173">
        <v>2</v>
      </c>
      <c r="F173">
        <v>20</v>
      </c>
      <c r="G173">
        <f t="shared" si="2"/>
        <v>0</v>
      </c>
    </row>
    <row r="174" spans="1:7" x14ac:dyDescent="0.25">
      <c r="A174">
        <v>43317</v>
      </c>
      <c r="B174" t="s">
        <v>21</v>
      </c>
      <c r="C174" t="s">
        <v>11</v>
      </c>
      <c r="D174" t="s">
        <v>14</v>
      </c>
      <c r="E174">
        <v>13</v>
      </c>
      <c r="F174">
        <v>38</v>
      </c>
      <c r="G174">
        <f t="shared" si="2"/>
        <v>24</v>
      </c>
    </row>
    <row r="175" spans="1:7" x14ac:dyDescent="0.25">
      <c r="A175">
        <v>43317</v>
      </c>
      <c r="B175" t="s">
        <v>21</v>
      </c>
      <c r="C175" t="s">
        <v>9</v>
      </c>
      <c r="D175" t="s">
        <v>14</v>
      </c>
      <c r="E175">
        <v>121</v>
      </c>
      <c r="F175">
        <v>63</v>
      </c>
      <c r="G175">
        <f t="shared" si="2"/>
        <v>0</v>
      </c>
    </row>
    <row r="176" spans="1:7" x14ac:dyDescent="0.25">
      <c r="A176">
        <v>43317</v>
      </c>
      <c r="B176" t="s">
        <v>21</v>
      </c>
      <c r="C176" t="s">
        <v>12</v>
      </c>
      <c r="D176" t="s">
        <v>8</v>
      </c>
      <c r="E176">
        <v>30</v>
      </c>
      <c r="F176">
        <v>19</v>
      </c>
      <c r="G176">
        <f t="shared" si="2"/>
        <v>0</v>
      </c>
    </row>
    <row r="177" spans="1:7" x14ac:dyDescent="0.25">
      <c r="A177">
        <v>43317</v>
      </c>
      <c r="B177" t="s">
        <v>21</v>
      </c>
      <c r="C177" t="s">
        <v>10</v>
      </c>
      <c r="D177" t="s">
        <v>8</v>
      </c>
      <c r="E177">
        <v>46</v>
      </c>
      <c r="F177">
        <v>8</v>
      </c>
      <c r="G177">
        <f t="shared" si="2"/>
        <v>0</v>
      </c>
    </row>
    <row r="178" spans="1:7" x14ac:dyDescent="0.25">
      <c r="A178">
        <v>43330</v>
      </c>
      <c r="B178" t="s">
        <v>22</v>
      </c>
      <c r="C178" t="s">
        <v>10</v>
      </c>
      <c r="D178" t="s">
        <v>14</v>
      </c>
      <c r="E178">
        <v>49</v>
      </c>
      <c r="F178">
        <v>11</v>
      </c>
      <c r="G178">
        <f t="shared" si="2"/>
        <v>12</v>
      </c>
    </row>
    <row r="179" spans="1:7" x14ac:dyDescent="0.25">
      <c r="A179">
        <v>43330</v>
      </c>
      <c r="B179" t="s">
        <v>22</v>
      </c>
      <c r="C179" t="s">
        <v>7</v>
      </c>
      <c r="D179" t="s">
        <v>14</v>
      </c>
      <c r="E179">
        <v>61</v>
      </c>
      <c r="F179">
        <v>90</v>
      </c>
      <c r="G179">
        <f t="shared" si="2"/>
        <v>0</v>
      </c>
    </row>
    <row r="180" spans="1:7" x14ac:dyDescent="0.25">
      <c r="A180">
        <v>43330</v>
      </c>
      <c r="B180" t="s">
        <v>22</v>
      </c>
      <c r="C180" t="s">
        <v>12</v>
      </c>
      <c r="D180" t="s">
        <v>8</v>
      </c>
      <c r="E180">
        <v>19</v>
      </c>
      <c r="F180">
        <v>22</v>
      </c>
      <c r="G180">
        <f t="shared" si="2"/>
        <v>0</v>
      </c>
    </row>
    <row r="181" spans="1:7" x14ac:dyDescent="0.25">
      <c r="A181">
        <v>43330</v>
      </c>
      <c r="B181" t="s">
        <v>22</v>
      </c>
      <c r="C181" t="s">
        <v>9</v>
      </c>
      <c r="D181" t="s">
        <v>8</v>
      </c>
      <c r="E181">
        <v>22</v>
      </c>
      <c r="F181">
        <v>44</v>
      </c>
      <c r="G181">
        <f t="shared" si="2"/>
        <v>0</v>
      </c>
    </row>
    <row r="182" spans="1:7" x14ac:dyDescent="0.25">
      <c r="A182">
        <v>43347</v>
      </c>
      <c r="B182" t="s">
        <v>6</v>
      </c>
      <c r="C182" t="s">
        <v>11</v>
      </c>
      <c r="D182" t="s">
        <v>8</v>
      </c>
      <c r="E182">
        <v>9</v>
      </c>
      <c r="F182">
        <v>25</v>
      </c>
      <c r="G182">
        <f t="shared" si="2"/>
        <v>16</v>
      </c>
    </row>
    <row r="183" spans="1:7" x14ac:dyDescent="0.25">
      <c r="A183">
        <v>43347</v>
      </c>
      <c r="B183" t="s">
        <v>6</v>
      </c>
      <c r="C183" t="s">
        <v>7</v>
      </c>
      <c r="D183" t="s">
        <v>14</v>
      </c>
      <c r="E183">
        <v>4</v>
      </c>
      <c r="F183">
        <v>94</v>
      </c>
      <c r="G183">
        <f t="shared" si="2"/>
        <v>0</v>
      </c>
    </row>
    <row r="184" spans="1:7" x14ac:dyDescent="0.25">
      <c r="A184">
        <v>43347</v>
      </c>
      <c r="B184" t="s">
        <v>6</v>
      </c>
      <c r="C184" t="s">
        <v>12</v>
      </c>
      <c r="D184" t="s">
        <v>8</v>
      </c>
      <c r="E184">
        <v>8</v>
      </c>
      <c r="F184">
        <v>21</v>
      </c>
      <c r="G184">
        <f t="shared" si="2"/>
        <v>0</v>
      </c>
    </row>
    <row r="185" spans="1:7" x14ac:dyDescent="0.25">
      <c r="A185">
        <v>43347</v>
      </c>
      <c r="B185" t="s">
        <v>6</v>
      </c>
      <c r="C185" t="s">
        <v>10</v>
      </c>
      <c r="D185" t="s">
        <v>8</v>
      </c>
      <c r="E185">
        <v>47</v>
      </c>
      <c r="F185">
        <v>8</v>
      </c>
      <c r="G185">
        <f t="shared" si="2"/>
        <v>0</v>
      </c>
    </row>
    <row r="186" spans="1:7" x14ac:dyDescent="0.25">
      <c r="A186">
        <v>43362</v>
      </c>
      <c r="B186" t="s">
        <v>13</v>
      </c>
      <c r="C186" t="s">
        <v>12</v>
      </c>
      <c r="D186" t="s">
        <v>14</v>
      </c>
      <c r="E186">
        <v>82</v>
      </c>
      <c r="F186">
        <v>29</v>
      </c>
      <c r="G186">
        <f t="shared" si="2"/>
        <v>14</v>
      </c>
    </row>
    <row r="187" spans="1:7" x14ac:dyDescent="0.25">
      <c r="A187">
        <v>43362</v>
      </c>
      <c r="B187" t="s">
        <v>13</v>
      </c>
      <c r="C187" t="s">
        <v>9</v>
      </c>
      <c r="D187" t="s">
        <v>14</v>
      </c>
      <c r="E187">
        <v>26</v>
      </c>
      <c r="F187">
        <v>58</v>
      </c>
      <c r="G187">
        <f t="shared" si="2"/>
        <v>0</v>
      </c>
    </row>
    <row r="188" spans="1:7" x14ac:dyDescent="0.25">
      <c r="A188">
        <v>43362</v>
      </c>
      <c r="B188" t="s">
        <v>13</v>
      </c>
      <c r="C188" t="s">
        <v>10</v>
      </c>
      <c r="D188" t="s">
        <v>8</v>
      </c>
      <c r="E188">
        <v>24</v>
      </c>
      <c r="F188">
        <v>9</v>
      </c>
      <c r="G188">
        <f t="shared" si="2"/>
        <v>0</v>
      </c>
    </row>
    <row r="189" spans="1:7" x14ac:dyDescent="0.25">
      <c r="A189">
        <v>43362</v>
      </c>
      <c r="B189" t="s">
        <v>13</v>
      </c>
      <c r="C189" t="s">
        <v>11</v>
      </c>
      <c r="D189" t="s">
        <v>8</v>
      </c>
      <c r="E189">
        <v>36</v>
      </c>
      <c r="F189">
        <v>26</v>
      </c>
      <c r="G189">
        <f t="shared" si="2"/>
        <v>0</v>
      </c>
    </row>
    <row r="190" spans="1:7" x14ac:dyDescent="0.25">
      <c r="A190">
        <v>43362</v>
      </c>
      <c r="B190" t="s">
        <v>13</v>
      </c>
      <c r="C190" t="s">
        <v>7</v>
      </c>
      <c r="D190" t="s">
        <v>8</v>
      </c>
      <c r="E190">
        <v>6</v>
      </c>
      <c r="F190">
        <v>68</v>
      </c>
      <c r="G190">
        <f t="shared" si="2"/>
        <v>0</v>
      </c>
    </row>
    <row r="191" spans="1:7" x14ac:dyDescent="0.25">
      <c r="A191">
        <v>43381</v>
      </c>
      <c r="B191" t="s">
        <v>15</v>
      </c>
      <c r="C191" t="s">
        <v>11</v>
      </c>
      <c r="D191" t="s">
        <v>14</v>
      </c>
      <c r="E191">
        <v>45</v>
      </c>
      <c r="F191">
        <v>36</v>
      </c>
      <c r="G191">
        <f t="shared" si="2"/>
        <v>18</v>
      </c>
    </row>
    <row r="192" spans="1:7" x14ac:dyDescent="0.25">
      <c r="A192">
        <v>43381</v>
      </c>
      <c r="B192" t="s">
        <v>15</v>
      </c>
      <c r="C192" t="s">
        <v>10</v>
      </c>
      <c r="D192" t="s">
        <v>8</v>
      </c>
      <c r="E192">
        <v>18</v>
      </c>
      <c r="F192">
        <v>8</v>
      </c>
      <c r="G192">
        <f t="shared" si="2"/>
        <v>0</v>
      </c>
    </row>
    <row r="193" spans="1:7" x14ac:dyDescent="0.25">
      <c r="A193">
        <v>43381</v>
      </c>
      <c r="B193" t="s">
        <v>15</v>
      </c>
      <c r="C193" t="s">
        <v>9</v>
      </c>
      <c r="D193" t="s">
        <v>8</v>
      </c>
      <c r="E193">
        <v>20</v>
      </c>
      <c r="F193">
        <v>41</v>
      </c>
      <c r="G193">
        <f t="shared" si="2"/>
        <v>0</v>
      </c>
    </row>
    <row r="194" spans="1:7" x14ac:dyDescent="0.25">
      <c r="A194">
        <v>43407</v>
      </c>
      <c r="B194" t="s">
        <v>16</v>
      </c>
      <c r="C194" t="s">
        <v>12</v>
      </c>
      <c r="D194" t="s">
        <v>14</v>
      </c>
      <c r="E194">
        <v>4</v>
      </c>
      <c r="F194">
        <v>32</v>
      </c>
      <c r="G194">
        <f t="shared" si="2"/>
        <v>25</v>
      </c>
    </row>
    <row r="195" spans="1:7" x14ac:dyDescent="0.25">
      <c r="A195">
        <v>43407</v>
      </c>
      <c r="B195" t="s">
        <v>16</v>
      </c>
      <c r="C195" t="s">
        <v>9</v>
      </c>
      <c r="D195" t="s">
        <v>8</v>
      </c>
      <c r="E195">
        <v>48</v>
      </c>
      <c r="F195">
        <v>37</v>
      </c>
      <c r="G195">
        <f t="shared" si="2"/>
        <v>0</v>
      </c>
    </row>
    <row r="196" spans="1:7" x14ac:dyDescent="0.25">
      <c r="A196">
        <v>43428</v>
      </c>
      <c r="B196" t="s">
        <v>17</v>
      </c>
      <c r="C196" t="s">
        <v>9</v>
      </c>
      <c r="D196" t="s">
        <v>14</v>
      </c>
      <c r="E196">
        <v>64</v>
      </c>
      <c r="F196">
        <v>61</v>
      </c>
      <c r="G196">
        <f t="shared" ref="G196:G203" si="3">IF(A196&lt;&gt;A195,A196-A195-1,0)</f>
        <v>20</v>
      </c>
    </row>
    <row r="197" spans="1:7" x14ac:dyDescent="0.25">
      <c r="A197">
        <v>43428</v>
      </c>
      <c r="B197" t="s">
        <v>17</v>
      </c>
      <c r="C197" t="s">
        <v>7</v>
      </c>
      <c r="D197" t="s">
        <v>8</v>
      </c>
      <c r="E197">
        <v>43</v>
      </c>
      <c r="F197">
        <v>63</v>
      </c>
      <c r="G197">
        <f t="shared" si="3"/>
        <v>0</v>
      </c>
    </row>
    <row r="198" spans="1:7" x14ac:dyDescent="0.25">
      <c r="A198">
        <v>43428</v>
      </c>
      <c r="B198" t="s">
        <v>17</v>
      </c>
      <c r="C198" t="s">
        <v>11</v>
      </c>
      <c r="D198" t="s">
        <v>8</v>
      </c>
      <c r="E198">
        <v>24</v>
      </c>
      <c r="F198">
        <v>24</v>
      </c>
      <c r="G198">
        <f t="shared" si="3"/>
        <v>0</v>
      </c>
    </row>
    <row r="199" spans="1:7" x14ac:dyDescent="0.25">
      <c r="A199">
        <v>43452</v>
      </c>
      <c r="B199" t="s">
        <v>18</v>
      </c>
      <c r="C199" t="s">
        <v>9</v>
      </c>
      <c r="D199" t="s">
        <v>14</v>
      </c>
      <c r="E199">
        <v>4</v>
      </c>
      <c r="F199">
        <v>62</v>
      </c>
      <c r="G199">
        <f t="shared" si="3"/>
        <v>23</v>
      </c>
    </row>
    <row r="200" spans="1:7" x14ac:dyDescent="0.25">
      <c r="A200">
        <v>43452</v>
      </c>
      <c r="B200" t="s">
        <v>18</v>
      </c>
      <c r="C200" t="s">
        <v>12</v>
      </c>
      <c r="D200" t="s">
        <v>8</v>
      </c>
      <c r="E200">
        <v>35</v>
      </c>
      <c r="F200">
        <v>19</v>
      </c>
      <c r="G200">
        <f t="shared" si="3"/>
        <v>0</v>
      </c>
    </row>
    <row r="201" spans="1:7" x14ac:dyDescent="0.25">
      <c r="A201">
        <v>43452</v>
      </c>
      <c r="B201" t="s">
        <v>18</v>
      </c>
      <c r="C201" t="s">
        <v>10</v>
      </c>
      <c r="D201" t="s">
        <v>8</v>
      </c>
      <c r="E201">
        <v>41</v>
      </c>
      <c r="F201">
        <v>8</v>
      </c>
      <c r="G201">
        <f t="shared" si="3"/>
        <v>0</v>
      </c>
    </row>
    <row r="202" spans="1:7" x14ac:dyDescent="0.25">
      <c r="A202">
        <v>43452</v>
      </c>
      <c r="B202" t="s">
        <v>18</v>
      </c>
      <c r="C202" t="s">
        <v>7</v>
      </c>
      <c r="D202" t="s">
        <v>8</v>
      </c>
      <c r="E202">
        <v>23</v>
      </c>
      <c r="F202">
        <v>61</v>
      </c>
      <c r="G202">
        <f t="shared" si="3"/>
        <v>0</v>
      </c>
    </row>
    <row r="203" spans="1:7" x14ac:dyDescent="0.25">
      <c r="A203">
        <v>43452</v>
      </c>
      <c r="B203" t="s">
        <v>18</v>
      </c>
      <c r="C203" t="s">
        <v>11</v>
      </c>
      <c r="D203" t="s">
        <v>8</v>
      </c>
      <c r="E203">
        <v>46</v>
      </c>
      <c r="F203">
        <v>23</v>
      </c>
      <c r="G203">
        <f t="shared" si="3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D69B-6B72-4B06-BAEA-58144000F83C}">
  <dimension ref="A1:P203"/>
  <sheetViews>
    <sheetView zoomScale="175" zoomScaleNormal="175" workbookViewId="0">
      <selection activeCell="O3" sqref="O3:P5"/>
    </sheetView>
  </sheetViews>
  <sheetFormatPr defaultRowHeight="15" x14ac:dyDescent="0.25"/>
  <cols>
    <col min="1" max="1" width="10.5703125" bestFit="1" customWidth="1"/>
    <col min="6" max="6" width="21.85546875" bestFit="1" customWidth="1"/>
    <col min="12" max="12" width="10.85546875" bestFit="1" customWidth="1"/>
    <col min="13" max="13" width="10.28515625" bestFit="1" customWidth="1"/>
    <col min="15" max="15" width="10.85546875" bestFit="1" customWidth="1"/>
  </cols>
  <sheetData>
    <row r="1" spans="1:1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  <c r="J1" t="s">
        <v>7</v>
      </c>
      <c r="K1" t="s">
        <v>9</v>
      </c>
    </row>
    <row r="2" spans="1:16" x14ac:dyDescent="0.25">
      <c r="A2" s="2">
        <v>42370</v>
      </c>
      <c r="B2" s="1" t="s">
        <v>6</v>
      </c>
      <c r="C2" t="s">
        <v>7</v>
      </c>
      <c r="D2" t="s">
        <v>8</v>
      </c>
      <c r="E2">
        <v>3</v>
      </c>
      <c r="F2">
        <v>80</v>
      </c>
      <c r="G2">
        <v>38</v>
      </c>
      <c r="H2">
        <v>33</v>
      </c>
      <c r="I2">
        <v>43</v>
      </c>
      <c r="J2">
        <v>3</v>
      </c>
      <c r="K2">
        <v>32</v>
      </c>
    </row>
    <row r="3" spans="1:16" x14ac:dyDescent="0.25">
      <c r="A3" s="2">
        <v>42370</v>
      </c>
      <c r="B3" s="1" t="s">
        <v>6</v>
      </c>
      <c r="C3" t="s">
        <v>9</v>
      </c>
      <c r="D3" t="s">
        <v>8</v>
      </c>
      <c r="E3">
        <v>32</v>
      </c>
      <c r="F3">
        <v>50</v>
      </c>
      <c r="G3">
        <v>38</v>
      </c>
      <c r="H3">
        <v>33</v>
      </c>
      <c r="I3">
        <v>43</v>
      </c>
      <c r="J3">
        <v>3</v>
      </c>
      <c r="K3">
        <v>32</v>
      </c>
      <c r="O3" s="13" t="s">
        <v>41</v>
      </c>
      <c r="P3" s="13"/>
    </row>
    <row r="4" spans="1:16" x14ac:dyDescent="0.25">
      <c r="A4" s="2">
        <v>42370</v>
      </c>
      <c r="B4" s="1" t="s">
        <v>6</v>
      </c>
      <c r="C4" t="s">
        <v>10</v>
      </c>
      <c r="D4" t="s">
        <v>8</v>
      </c>
      <c r="E4">
        <v>38</v>
      </c>
      <c r="F4">
        <v>10</v>
      </c>
      <c r="G4">
        <v>38</v>
      </c>
      <c r="H4">
        <v>33</v>
      </c>
      <c r="I4">
        <v>43</v>
      </c>
      <c r="J4">
        <v>3</v>
      </c>
      <c r="K4">
        <v>32</v>
      </c>
      <c r="O4" s="13" t="s">
        <v>38</v>
      </c>
      <c r="P4" s="13" t="s">
        <v>37</v>
      </c>
    </row>
    <row r="5" spans="1:16" x14ac:dyDescent="0.25">
      <c r="A5" s="2">
        <v>42370</v>
      </c>
      <c r="B5" s="1" t="s">
        <v>6</v>
      </c>
      <c r="C5" t="s">
        <v>11</v>
      </c>
      <c r="D5" t="s">
        <v>8</v>
      </c>
      <c r="E5">
        <v>33</v>
      </c>
      <c r="F5">
        <v>30</v>
      </c>
      <c r="G5">
        <v>38</v>
      </c>
      <c r="H5">
        <v>33</v>
      </c>
      <c r="I5">
        <v>43</v>
      </c>
      <c r="J5">
        <v>3</v>
      </c>
      <c r="K5">
        <v>32</v>
      </c>
      <c r="O5" s="13" t="s">
        <v>40</v>
      </c>
      <c r="P5" s="13" t="s">
        <v>39</v>
      </c>
    </row>
    <row r="6" spans="1:16" x14ac:dyDescent="0.25">
      <c r="A6" s="2">
        <v>42370</v>
      </c>
      <c r="B6" s="1" t="s">
        <v>6</v>
      </c>
      <c r="C6" t="s">
        <v>12</v>
      </c>
      <c r="D6" t="s">
        <v>8</v>
      </c>
      <c r="E6">
        <v>43</v>
      </c>
      <c r="F6">
        <v>25</v>
      </c>
      <c r="G6">
        <v>38</v>
      </c>
      <c r="H6">
        <v>33</v>
      </c>
      <c r="I6">
        <v>43</v>
      </c>
      <c r="J6">
        <v>3</v>
      </c>
      <c r="K6">
        <v>32</v>
      </c>
    </row>
    <row r="7" spans="1:16" x14ac:dyDescent="0.25">
      <c r="A7" s="2">
        <v>42385</v>
      </c>
      <c r="B7" s="1" t="s">
        <v>13</v>
      </c>
      <c r="C7" t="s">
        <v>9</v>
      </c>
      <c r="D7" t="s">
        <v>14</v>
      </c>
      <c r="E7">
        <v>32</v>
      </c>
      <c r="F7">
        <v>58</v>
      </c>
      <c r="G7">
        <f>IF($C7=G$1,IF($D7="W",G6-$E7,G6+$E7),G6)</f>
        <v>38</v>
      </c>
      <c r="H7">
        <f>IF($C7=H$1,IF($D7="W",H6-$E7,H6+$E7),H6)</f>
        <v>33</v>
      </c>
      <c r="I7">
        <f>IF($C7=I$1,IF($D7="W",I6-$E7,I6+$E7),I6)</f>
        <v>43</v>
      </c>
      <c r="J7">
        <f>IF($C7=J$1,IF($D7="W",J6-$E7,J6+$E7),J6)</f>
        <v>3</v>
      </c>
      <c r="K7">
        <f>IF($C7=K$1,IF($D7="W",K6-$E7,K6+$E7),K6)</f>
        <v>0</v>
      </c>
    </row>
    <row r="8" spans="1:16" x14ac:dyDescent="0.25">
      <c r="A8" s="2">
        <v>42385</v>
      </c>
      <c r="B8" s="1" t="s">
        <v>13</v>
      </c>
      <c r="C8" t="s">
        <v>11</v>
      </c>
      <c r="D8" t="s">
        <v>8</v>
      </c>
      <c r="E8">
        <v>14</v>
      </c>
      <c r="F8">
        <v>26</v>
      </c>
      <c r="G8">
        <f t="shared" ref="G8:G71" si="0">IF($C8=G$1,IF($D8="W",G7-$E8,G7+$E8),G7)</f>
        <v>38</v>
      </c>
      <c r="H8">
        <f t="shared" ref="H8:H71" si="1">IF($C8=H$1,IF($D8="W",H7-$E8,H7+$E8),H7)</f>
        <v>47</v>
      </c>
      <c r="I8">
        <f t="shared" ref="I8:I71" si="2">IF($C8=I$1,IF($D8="W",I7-$E8,I7+$E8),I7)</f>
        <v>43</v>
      </c>
      <c r="J8">
        <f t="shared" ref="J8:J71" si="3">IF($C8=J$1,IF($D8="W",J7-$E8,J7+$E8),J7)</f>
        <v>3</v>
      </c>
      <c r="K8">
        <f t="shared" ref="K8:K71" si="4">IF($C8=K$1,IF($D8="W",K7-$E8,K7+$E8),K7)</f>
        <v>0</v>
      </c>
    </row>
    <row r="9" spans="1:16" x14ac:dyDescent="0.25">
      <c r="A9" s="2">
        <v>42393</v>
      </c>
      <c r="B9" s="1" t="s">
        <v>15</v>
      </c>
      <c r="C9" t="s">
        <v>9</v>
      </c>
      <c r="D9" t="s">
        <v>8</v>
      </c>
      <c r="E9">
        <v>44</v>
      </c>
      <c r="F9">
        <v>46</v>
      </c>
      <c r="G9">
        <f t="shared" si="0"/>
        <v>38</v>
      </c>
      <c r="H9">
        <f t="shared" si="1"/>
        <v>47</v>
      </c>
      <c r="I9">
        <f t="shared" si="2"/>
        <v>43</v>
      </c>
      <c r="J9">
        <f t="shared" si="3"/>
        <v>3</v>
      </c>
      <c r="K9">
        <f t="shared" si="4"/>
        <v>44</v>
      </c>
    </row>
    <row r="10" spans="1:16" x14ac:dyDescent="0.25">
      <c r="A10" s="2">
        <v>42393</v>
      </c>
      <c r="B10" s="1" t="s">
        <v>15</v>
      </c>
      <c r="C10" t="s">
        <v>11</v>
      </c>
      <c r="D10" t="s">
        <v>8</v>
      </c>
      <c r="E10">
        <v>1</v>
      </c>
      <c r="F10">
        <v>28</v>
      </c>
      <c r="G10">
        <f t="shared" si="0"/>
        <v>38</v>
      </c>
      <c r="H10">
        <f t="shared" si="1"/>
        <v>48</v>
      </c>
      <c r="I10">
        <f t="shared" si="2"/>
        <v>43</v>
      </c>
      <c r="J10">
        <f t="shared" si="3"/>
        <v>3</v>
      </c>
      <c r="K10">
        <f t="shared" si="4"/>
        <v>44</v>
      </c>
    </row>
    <row r="11" spans="1:16" x14ac:dyDescent="0.25">
      <c r="A11" s="16">
        <v>42393</v>
      </c>
      <c r="B11" s="17" t="s">
        <v>15</v>
      </c>
      <c r="C11" s="13" t="s">
        <v>7</v>
      </c>
      <c r="D11" s="13" t="s">
        <v>8</v>
      </c>
      <c r="E11" s="13">
        <v>21</v>
      </c>
      <c r="F11" s="13">
        <v>74</v>
      </c>
      <c r="G11" s="13">
        <f t="shared" si="0"/>
        <v>38</v>
      </c>
      <c r="H11" s="18">
        <f t="shared" si="1"/>
        <v>48</v>
      </c>
      <c r="I11" s="13">
        <f t="shared" si="2"/>
        <v>43</v>
      </c>
      <c r="J11" s="18">
        <f t="shared" si="3"/>
        <v>24</v>
      </c>
      <c r="K11" s="13">
        <f t="shared" si="4"/>
        <v>44</v>
      </c>
      <c r="L11" t="s">
        <v>38</v>
      </c>
      <c r="M11" t="s">
        <v>37</v>
      </c>
    </row>
    <row r="12" spans="1:16" x14ac:dyDescent="0.25">
      <c r="A12" s="2">
        <v>42419</v>
      </c>
      <c r="B12" s="1" t="s">
        <v>16</v>
      </c>
      <c r="C12" t="s">
        <v>12</v>
      </c>
      <c r="D12" t="s">
        <v>14</v>
      </c>
      <c r="E12">
        <v>43</v>
      </c>
      <c r="F12">
        <v>32</v>
      </c>
      <c r="G12">
        <f t="shared" si="0"/>
        <v>38</v>
      </c>
      <c r="H12">
        <f t="shared" si="1"/>
        <v>48</v>
      </c>
      <c r="I12">
        <f t="shared" si="2"/>
        <v>0</v>
      </c>
      <c r="J12">
        <f t="shared" si="3"/>
        <v>24</v>
      </c>
      <c r="K12">
        <f t="shared" si="4"/>
        <v>44</v>
      </c>
    </row>
    <row r="13" spans="1:16" x14ac:dyDescent="0.25">
      <c r="A13" s="2">
        <v>42419</v>
      </c>
      <c r="B13" s="1" t="s">
        <v>16</v>
      </c>
      <c r="C13" t="s">
        <v>10</v>
      </c>
      <c r="D13" t="s">
        <v>14</v>
      </c>
      <c r="E13">
        <v>38</v>
      </c>
      <c r="F13">
        <v>13</v>
      </c>
      <c r="G13">
        <f t="shared" si="0"/>
        <v>0</v>
      </c>
      <c r="H13">
        <f t="shared" si="1"/>
        <v>48</v>
      </c>
      <c r="I13">
        <f t="shared" si="2"/>
        <v>0</v>
      </c>
      <c r="J13">
        <f t="shared" si="3"/>
        <v>24</v>
      </c>
      <c r="K13">
        <f t="shared" si="4"/>
        <v>44</v>
      </c>
    </row>
    <row r="14" spans="1:16" x14ac:dyDescent="0.25">
      <c r="A14" s="2">
        <v>42419</v>
      </c>
      <c r="B14" s="1" t="s">
        <v>16</v>
      </c>
      <c r="C14" t="s">
        <v>7</v>
      </c>
      <c r="D14" t="s">
        <v>8</v>
      </c>
      <c r="E14">
        <v>9</v>
      </c>
      <c r="F14">
        <v>59</v>
      </c>
      <c r="G14">
        <f t="shared" si="0"/>
        <v>0</v>
      </c>
      <c r="H14">
        <f t="shared" si="1"/>
        <v>48</v>
      </c>
      <c r="I14">
        <f t="shared" si="2"/>
        <v>0</v>
      </c>
      <c r="J14">
        <f t="shared" si="3"/>
        <v>33</v>
      </c>
      <c r="K14">
        <f t="shared" si="4"/>
        <v>44</v>
      </c>
    </row>
    <row r="15" spans="1:16" x14ac:dyDescent="0.25">
      <c r="A15" s="2">
        <v>42419</v>
      </c>
      <c r="B15" s="1" t="s">
        <v>16</v>
      </c>
      <c r="C15" t="s">
        <v>9</v>
      </c>
      <c r="D15" t="s">
        <v>8</v>
      </c>
      <c r="E15">
        <v>8</v>
      </c>
      <c r="F15">
        <v>37</v>
      </c>
      <c r="G15">
        <f t="shared" si="0"/>
        <v>0</v>
      </c>
      <c r="H15">
        <f t="shared" si="1"/>
        <v>48</v>
      </c>
      <c r="I15">
        <f t="shared" si="2"/>
        <v>0</v>
      </c>
      <c r="J15">
        <f t="shared" si="3"/>
        <v>33</v>
      </c>
      <c r="K15">
        <f t="shared" si="4"/>
        <v>52</v>
      </c>
    </row>
    <row r="16" spans="1:16" x14ac:dyDescent="0.25">
      <c r="A16" s="2">
        <v>42440</v>
      </c>
      <c r="B16" s="1" t="s">
        <v>17</v>
      </c>
      <c r="C16" t="s">
        <v>9</v>
      </c>
      <c r="D16" t="s">
        <v>14</v>
      </c>
      <c r="E16">
        <v>50</v>
      </c>
      <c r="F16">
        <v>61</v>
      </c>
      <c r="G16">
        <f t="shared" si="0"/>
        <v>0</v>
      </c>
      <c r="H16">
        <f t="shared" si="1"/>
        <v>48</v>
      </c>
      <c r="I16">
        <f t="shared" si="2"/>
        <v>0</v>
      </c>
      <c r="J16">
        <f t="shared" si="3"/>
        <v>33</v>
      </c>
      <c r="K16">
        <f t="shared" si="4"/>
        <v>2</v>
      </c>
    </row>
    <row r="17" spans="1:11" x14ac:dyDescent="0.25">
      <c r="A17" s="2">
        <v>42440</v>
      </c>
      <c r="B17" s="1" t="s">
        <v>17</v>
      </c>
      <c r="C17" t="s">
        <v>12</v>
      </c>
      <c r="D17" t="s">
        <v>8</v>
      </c>
      <c r="E17">
        <v>32</v>
      </c>
      <c r="F17">
        <v>20</v>
      </c>
      <c r="G17">
        <f t="shared" si="0"/>
        <v>0</v>
      </c>
      <c r="H17">
        <f t="shared" si="1"/>
        <v>48</v>
      </c>
      <c r="I17">
        <f t="shared" si="2"/>
        <v>32</v>
      </c>
      <c r="J17">
        <f t="shared" si="3"/>
        <v>33</v>
      </c>
      <c r="K17">
        <f t="shared" si="4"/>
        <v>2</v>
      </c>
    </row>
    <row r="18" spans="1:11" x14ac:dyDescent="0.25">
      <c r="A18" s="2">
        <v>42440</v>
      </c>
      <c r="B18" s="1" t="s">
        <v>17</v>
      </c>
      <c r="C18" t="s">
        <v>10</v>
      </c>
      <c r="D18" t="s">
        <v>8</v>
      </c>
      <c r="E18">
        <v>7</v>
      </c>
      <c r="F18">
        <v>8</v>
      </c>
      <c r="G18">
        <f t="shared" si="0"/>
        <v>7</v>
      </c>
      <c r="H18">
        <f t="shared" si="1"/>
        <v>48</v>
      </c>
      <c r="I18">
        <f t="shared" si="2"/>
        <v>32</v>
      </c>
      <c r="J18">
        <f t="shared" si="3"/>
        <v>33</v>
      </c>
      <c r="K18">
        <f t="shared" si="4"/>
        <v>2</v>
      </c>
    </row>
    <row r="19" spans="1:11" x14ac:dyDescent="0.25">
      <c r="A19" s="2">
        <v>42440</v>
      </c>
      <c r="B19" s="1" t="s">
        <v>17</v>
      </c>
      <c r="C19" t="s">
        <v>11</v>
      </c>
      <c r="D19" t="s">
        <v>8</v>
      </c>
      <c r="E19">
        <v>10</v>
      </c>
      <c r="F19">
        <v>24</v>
      </c>
      <c r="G19">
        <f t="shared" si="0"/>
        <v>7</v>
      </c>
      <c r="H19">
        <f t="shared" si="1"/>
        <v>58</v>
      </c>
      <c r="I19">
        <f t="shared" si="2"/>
        <v>32</v>
      </c>
      <c r="J19">
        <f t="shared" si="3"/>
        <v>33</v>
      </c>
      <c r="K19">
        <f t="shared" si="4"/>
        <v>2</v>
      </c>
    </row>
    <row r="20" spans="1:11" x14ac:dyDescent="0.25">
      <c r="A20" s="2">
        <v>42464</v>
      </c>
      <c r="B20" s="1" t="s">
        <v>18</v>
      </c>
      <c r="C20" t="s">
        <v>10</v>
      </c>
      <c r="D20" t="s">
        <v>14</v>
      </c>
      <c r="E20">
        <v>7</v>
      </c>
      <c r="F20">
        <v>12</v>
      </c>
      <c r="G20">
        <f t="shared" si="0"/>
        <v>0</v>
      </c>
      <c r="H20">
        <f t="shared" si="1"/>
        <v>58</v>
      </c>
      <c r="I20">
        <f t="shared" si="2"/>
        <v>32</v>
      </c>
      <c r="J20">
        <f t="shared" si="3"/>
        <v>33</v>
      </c>
      <c r="K20">
        <f t="shared" si="4"/>
        <v>2</v>
      </c>
    </row>
    <row r="21" spans="1:11" x14ac:dyDescent="0.25">
      <c r="A21" s="2">
        <v>42464</v>
      </c>
      <c r="B21" s="1" t="s">
        <v>18</v>
      </c>
      <c r="C21" t="s">
        <v>12</v>
      </c>
      <c r="D21" t="s">
        <v>8</v>
      </c>
      <c r="E21">
        <v>25</v>
      </c>
      <c r="F21">
        <v>19</v>
      </c>
      <c r="G21">
        <f t="shared" si="0"/>
        <v>0</v>
      </c>
      <c r="H21">
        <f t="shared" si="1"/>
        <v>58</v>
      </c>
      <c r="I21">
        <f t="shared" si="2"/>
        <v>57</v>
      </c>
      <c r="J21">
        <f t="shared" si="3"/>
        <v>33</v>
      </c>
      <c r="K21">
        <f t="shared" si="4"/>
        <v>2</v>
      </c>
    </row>
    <row r="22" spans="1:11" x14ac:dyDescent="0.25">
      <c r="A22" s="2">
        <v>42464</v>
      </c>
      <c r="B22" s="1" t="s">
        <v>18</v>
      </c>
      <c r="C22" t="s">
        <v>9</v>
      </c>
      <c r="D22" t="s">
        <v>8</v>
      </c>
      <c r="E22">
        <v>33</v>
      </c>
      <c r="F22">
        <v>38</v>
      </c>
      <c r="G22">
        <f t="shared" si="0"/>
        <v>0</v>
      </c>
      <c r="H22">
        <f t="shared" si="1"/>
        <v>58</v>
      </c>
      <c r="I22">
        <f t="shared" si="2"/>
        <v>57</v>
      </c>
      <c r="J22">
        <f t="shared" si="3"/>
        <v>33</v>
      </c>
      <c r="K22">
        <f t="shared" si="4"/>
        <v>35</v>
      </c>
    </row>
    <row r="23" spans="1:11" x14ac:dyDescent="0.25">
      <c r="A23" s="2">
        <v>42482</v>
      </c>
      <c r="B23" s="1" t="s">
        <v>19</v>
      </c>
      <c r="C23" t="s">
        <v>11</v>
      </c>
      <c r="D23" t="s">
        <v>14</v>
      </c>
      <c r="E23">
        <v>36</v>
      </c>
      <c r="F23">
        <v>35</v>
      </c>
      <c r="G23">
        <f t="shared" si="0"/>
        <v>0</v>
      </c>
      <c r="H23">
        <f t="shared" si="1"/>
        <v>22</v>
      </c>
      <c r="I23">
        <f t="shared" si="2"/>
        <v>57</v>
      </c>
      <c r="J23">
        <f t="shared" si="3"/>
        <v>33</v>
      </c>
      <c r="K23">
        <f t="shared" si="4"/>
        <v>35</v>
      </c>
    </row>
    <row r="24" spans="1:11" x14ac:dyDescent="0.25">
      <c r="A24" s="2">
        <v>42482</v>
      </c>
      <c r="B24" s="1" t="s">
        <v>19</v>
      </c>
      <c r="C24" t="s">
        <v>7</v>
      </c>
      <c r="D24" t="s">
        <v>8</v>
      </c>
      <c r="E24">
        <v>5</v>
      </c>
      <c r="F24">
        <v>66</v>
      </c>
      <c r="G24">
        <f t="shared" si="0"/>
        <v>0</v>
      </c>
      <c r="H24">
        <f t="shared" si="1"/>
        <v>22</v>
      </c>
      <c r="I24">
        <f t="shared" si="2"/>
        <v>57</v>
      </c>
      <c r="J24">
        <f t="shared" si="3"/>
        <v>38</v>
      </c>
      <c r="K24">
        <f t="shared" si="4"/>
        <v>35</v>
      </c>
    </row>
    <row r="25" spans="1:11" x14ac:dyDescent="0.25">
      <c r="A25" s="2">
        <v>42482</v>
      </c>
      <c r="B25" s="1" t="s">
        <v>19</v>
      </c>
      <c r="C25" t="s">
        <v>9</v>
      </c>
      <c r="D25" t="s">
        <v>8</v>
      </c>
      <c r="E25">
        <v>35</v>
      </c>
      <c r="F25">
        <v>41</v>
      </c>
      <c r="G25">
        <f t="shared" si="0"/>
        <v>0</v>
      </c>
      <c r="H25">
        <f t="shared" si="1"/>
        <v>22</v>
      </c>
      <c r="I25">
        <f t="shared" si="2"/>
        <v>57</v>
      </c>
      <c r="J25">
        <f t="shared" si="3"/>
        <v>38</v>
      </c>
      <c r="K25">
        <f t="shared" si="4"/>
        <v>70</v>
      </c>
    </row>
    <row r="26" spans="1:11" x14ac:dyDescent="0.25">
      <c r="A26" s="2">
        <v>42504</v>
      </c>
      <c r="B26" s="1" t="s">
        <v>20</v>
      </c>
      <c r="C26" t="s">
        <v>7</v>
      </c>
      <c r="D26" t="s">
        <v>14</v>
      </c>
      <c r="E26">
        <v>38</v>
      </c>
      <c r="F26">
        <v>98</v>
      </c>
      <c r="G26">
        <f t="shared" si="0"/>
        <v>0</v>
      </c>
      <c r="H26">
        <f t="shared" si="1"/>
        <v>22</v>
      </c>
      <c r="I26">
        <f t="shared" si="2"/>
        <v>57</v>
      </c>
      <c r="J26">
        <f t="shared" si="3"/>
        <v>0</v>
      </c>
      <c r="K26">
        <f t="shared" si="4"/>
        <v>70</v>
      </c>
    </row>
    <row r="27" spans="1:11" x14ac:dyDescent="0.25">
      <c r="A27" s="2">
        <v>42504</v>
      </c>
      <c r="B27" s="1" t="s">
        <v>20</v>
      </c>
      <c r="C27" t="s">
        <v>11</v>
      </c>
      <c r="D27" t="s">
        <v>8</v>
      </c>
      <c r="E27">
        <v>10</v>
      </c>
      <c r="F27">
        <v>23</v>
      </c>
      <c r="G27">
        <f t="shared" si="0"/>
        <v>0</v>
      </c>
      <c r="H27">
        <f t="shared" si="1"/>
        <v>32</v>
      </c>
      <c r="I27">
        <f t="shared" si="2"/>
        <v>57</v>
      </c>
      <c r="J27">
        <f t="shared" si="3"/>
        <v>0</v>
      </c>
      <c r="K27">
        <f t="shared" si="4"/>
        <v>70</v>
      </c>
    </row>
    <row r="28" spans="1:11" x14ac:dyDescent="0.25">
      <c r="A28" s="2">
        <v>42529</v>
      </c>
      <c r="B28" s="1" t="s">
        <v>21</v>
      </c>
      <c r="C28" t="s">
        <v>11</v>
      </c>
      <c r="D28" t="s">
        <v>14</v>
      </c>
      <c r="E28">
        <v>4</v>
      </c>
      <c r="F28">
        <v>38</v>
      </c>
      <c r="G28">
        <f t="shared" si="0"/>
        <v>0</v>
      </c>
      <c r="H28">
        <f t="shared" si="1"/>
        <v>28</v>
      </c>
      <c r="I28">
        <f t="shared" si="2"/>
        <v>57</v>
      </c>
      <c r="J28">
        <f t="shared" si="3"/>
        <v>0</v>
      </c>
      <c r="K28">
        <f t="shared" si="4"/>
        <v>70</v>
      </c>
    </row>
    <row r="29" spans="1:11" x14ac:dyDescent="0.25">
      <c r="A29" s="2">
        <v>42529</v>
      </c>
      <c r="B29" s="1" t="s">
        <v>21</v>
      </c>
      <c r="C29" t="s">
        <v>7</v>
      </c>
      <c r="D29" t="s">
        <v>8</v>
      </c>
      <c r="E29">
        <v>42</v>
      </c>
      <c r="F29">
        <v>60</v>
      </c>
      <c r="G29">
        <f t="shared" si="0"/>
        <v>0</v>
      </c>
      <c r="H29">
        <f t="shared" si="1"/>
        <v>28</v>
      </c>
      <c r="I29">
        <f t="shared" si="2"/>
        <v>57</v>
      </c>
      <c r="J29">
        <f t="shared" si="3"/>
        <v>42</v>
      </c>
      <c r="K29">
        <f t="shared" si="4"/>
        <v>70</v>
      </c>
    </row>
    <row r="30" spans="1:11" x14ac:dyDescent="0.25">
      <c r="A30" s="2">
        <v>42529</v>
      </c>
      <c r="B30" s="1" t="s">
        <v>21</v>
      </c>
      <c r="C30" t="s">
        <v>10</v>
      </c>
      <c r="D30" t="s">
        <v>8</v>
      </c>
      <c r="E30">
        <v>28</v>
      </c>
      <c r="F30">
        <v>8</v>
      </c>
      <c r="G30">
        <f t="shared" si="0"/>
        <v>28</v>
      </c>
      <c r="H30">
        <f t="shared" si="1"/>
        <v>28</v>
      </c>
      <c r="I30">
        <f t="shared" si="2"/>
        <v>57</v>
      </c>
      <c r="J30">
        <f t="shared" si="3"/>
        <v>42</v>
      </c>
      <c r="K30">
        <f t="shared" si="4"/>
        <v>70</v>
      </c>
    </row>
    <row r="31" spans="1:11" x14ac:dyDescent="0.25">
      <c r="A31" s="2">
        <v>42529</v>
      </c>
      <c r="B31" s="1" t="s">
        <v>21</v>
      </c>
      <c r="C31" t="s">
        <v>12</v>
      </c>
      <c r="D31" t="s">
        <v>8</v>
      </c>
      <c r="E31">
        <v>19</v>
      </c>
      <c r="F31">
        <v>19</v>
      </c>
      <c r="G31">
        <f t="shared" si="0"/>
        <v>28</v>
      </c>
      <c r="H31">
        <f t="shared" si="1"/>
        <v>28</v>
      </c>
      <c r="I31">
        <f t="shared" si="2"/>
        <v>76</v>
      </c>
      <c r="J31">
        <f t="shared" si="3"/>
        <v>42</v>
      </c>
      <c r="K31">
        <f t="shared" si="4"/>
        <v>70</v>
      </c>
    </row>
    <row r="32" spans="1:11" x14ac:dyDescent="0.25">
      <c r="A32" s="2">
        <v>42542</v>
      </c>
      <c r="B32" s="1" t="s">
        <v>22</v>
      </c>
      <c r="C32" t="s">
        <v>12</v>
      </c>
      <c r="D32" t="s">
        <v>14</v>
      </c>
      <c r="E32">
        <v>72</v>
      </c>
      <c r="F32">
        <v>28</v>
      </c>
      <c r="G32">
        <f t="shared" si="0"/>
        <v>28</v>
      </c>
      <c r="H32">
        <f t="shared" si="1"/>
        <v>28</v>
      </c>
      <c r="I32">
        <f t="shared" si="2"/>
        <v>4</v>
      </c>
      <c r="J32">
        <f t="shared" si="3"/>
        <v>42</v>
      </c>
      <c r="K32">
        <f t="shared" si="4"/>
        <v>70</v>
      </c>
    </row>
    <row r="33" spans="1:11" x14ac:dyDescent="0.25">
      <c r="A33" s="2">
        <v>42542</v>
      </c>
      <c r="B33" s="1" t="s">
        <v>22</v>
      </c>
      <c r="C33" t="s">
        <v>7</v>
      </c>
      <c r="D33" t="s">
        <v>14</v>
      </c>
      <c r="E33">
        <v>42</v>
      </c>
      <c r="F33">
        <v>90</v>
      </c>
      <c r="G33">
        <f t="shared" si="0"/>
        <v>28</v>
      </c>
      <c r="H33">
        <f t="shared" si="1"/>
        <v>28</v>
      </c>
      <c r="I33">
        <f t="shared" si="2"/>
        <v>4</v>
      </c>
      <c r="J33">
        <f t="shared" si="3"/>
        <v>0</v>
      </c>
      <c r="K33">
        <f t="shared" si="4"/>
        <v>70</v>
      </c>
    </row>
    <row r="34" spans="1:11" x14ac:dyDescent="0.25">
      <c r="A34" s="2">
        <v>42542</v>
      </c>
      <c r="B34" s="1" t="s">
        <v>22</v>
      </c>
      <c r="C34" t="s">
        <v>9</v>
      </c>
      <c r="D34" t="s">
        <v>8</v>
      </c>
      <c r="E34">
        <v>42</v>
      </c>
      <c r="F34">
        <v>44</v>
      </c>
      <c r="G34">
        <f t="shared" si="0"/>
        <v>28</v>
      </c>
      <c r="H34">
        <f t="shared" si="1"/>
        <v>28</v>
      </c>
      <c r="I34">
        <f t="shared" si="2"/>
        <v>4</v>
      </c>
      <c r="J34">
        <f t="shared" si="3"/>
        <v>0</v>
      </c>
      <c r="K34">
        <f t="shared" si="4"/>
        <v>112</v>
      </c>
    </row>
    <row r="35" spans="1:11" x14ac:dyDescent="0.25">
      <c r="A35" s="2">
        <v>42542</v>
      </c>
      <c r="B35" s="1" t="s">
        <v>22</v>
      </c>
      <c r="C35" t="s">
        <v>11</v>
      </c>
      <c r="D35" t="s">
        <v>8</v>
      </c>
      <c r="E35">
        <v>33</v>
      </c>
      <c r="F35">
        <v>26</v>
      </c>
      <c r="G35">
        <f t="shared" si="0"/>
        <v>28</v>
      </c>
      <c r="H35">
        <f t="shared" si="1"/>
        <v>61</v>
      </c>
      <c r="I35">
        <f t="shared" si="2"/>
        <v>4</v>
      </c>
      <c r="J35">
        <f t="shared" si="3"/>
        <v>0</v>
      </c>
      <c r="K35">
        <f t="shared" si="4"/>
        <v>112</v>
      </c>
    </row>
    <row r="36" spans="1:11" x14ac:dyDescent="0.25">
      <c r="A36" s="2">
        <v>42542</v>
      </c>
      <c r="B36" s="1" t="s">
        <v>22</v>
      </c>
      <c r="C36" t="s">
        <v>10</v>
      </c>
      <c r="D36" t="s">
        <v>8</v>
      </c>
      <c r="E36">
        <v>9</v>
      </c>
      <c r="F36">
        <v>9</v>
      </c>
      <c r="G36">
        <f t="shared" si="0"/>
        <v>37</v>
      </c>
      <c r="H36">
        <f t="shared" si="1"/>
        <v>61</v>
      </c>
      <c r="I36">
        <f t="shared" si="2"/>
        <v>4</v>
      </c>
      <c r="J36">
        <f t="shared" si="3"/>
        <v>0</v>
      </c>
      <c r="K36">
        <f t="shared" si="4"/>
        <v>112</v>
      </c>
    </row>
    <row r="37" spans="1:11" x14ac:dyDescent="0.25">
      <c r="A37" s="2">
        <v>42559</v>
      </c>
      <c r="B37" s="1" t="s">
        <v>6</v>
      </c>
      <c r="C37" t="s">
        <v>12</v>
      </c>
      <c r="D37" t="s">
        <v>14</v>
      </c>
      <c r="E37">
        <v>4</v>
      </c>
      <c r="F37">
        <v>29</v>
      </c>
      <c r="G37">
        <f t="shared" si="0"/>
        <v>37</v>
      </c>
      <c r="H37">
        <f t="shared" si="1"/>
        <v>61</v>
      </c>
      <c r="I37">
        <f t="shared" si="2"/>
        <v>0</v>
      </c>
      <c r="J37">
        <f t="shared" si="3"/>
        <v>0</v>
      </c>
      <c r="K37">
        <f t="shared" si="4"/>
        <v>112</v>
      </c>
    </row>
    <row r="38" spans="1:11" x14ac:dyDescent="0.25">
      <c r="A38" s="2">
        <v>42559</v>
      </c>
      <c r="B38" s="1" t="s">
        <v>6</v>
      </c>
      <c r="C38" t="s">
        <v>10</v>
      </c>
      <c r="D38" t="s">
        <v>14</v>
      </c>
      <c r="E38">
        <v>37</v>
      </c>
      <c r="F38">
        <v>12</v>
      </c>
      <c r="G38">
        <f t="shared" si="0"/>
        <v>0</v>
      </c>
      <c r="H38">
        <f t="shared" si="1"/>
        <v>61</v>
      </c>
      <c r="I38">
        <f t="shared" si="2"/>
        <v>0</v>
      </c>
      <c r="J38">
        <f t="shared" si="3"/>
        <v>0</v>
      </c>
      <c r="K38">
        <f t="shared" si="4"/>
        <v>112</v>
      </c>
    </row>
    <row r="39" spans="1:11" x14ac:dyDescent="0.25">
      <c r="A39" s="2">
        <v>42559</v>
      </c>
      <c r="B39" s="1" t="s">
        <v>6</v>
      </c>
      <c r="C39" t="s">
        <v>9</v>
      </c>
      <c r="D39" t="s">
        <v>8</v>
      </c>
      <c r="E39">
        <v>35</v>
      </c>
      <c r="F39">
        <v>42</v>
      </c>
      <c r="G39">
        <f t="shared" si="0"/>
        <v>0</v>
      </c>
      <c r="H39">
        <f t="shared" si="1"/>
        <v>61</v>
      </c>
      <c r="I39">
        <f t="shared" si="2"/>
        <v>0</v>
      </c>
      <c r="J39">
        <f t="shared" si="3"/>
        <v>0</v>
      </c>
      <c r="K39">
        <f t="shared" si="4"/>
        <v>147</v>
      </c>
    </row>
    <row r="40" spans="1:11" x14ac:dyDescent="0.25">
      <c r="A40" s="2">
        <v>42559</v>
      </c>
      <c r="B40" s="1" t="s">
        <v>6</v>
      </c>
      <c r="C40" t="s">
        <v>7</v>
      </c>
      <c r="D40" t="s">
        <v>8</v>
      </c>
      <c r="E40">
        <v>32</v>
      </c>
      <c r="F40">
        <v>66</v>
      </c>
      <c r="G40">
        <f t="shared" si="0"/>
        <v>0</v>
      </c>
      <c r="H40">
        <f t="shared" si="1"/>
        <v>61</v>
      </c>
      <c r="I40">
        <f t="shared" si="2"/>
        <v>0</v>
      </c>
      <c r="J40">
        <f t="shared" si="3"/>
        <v>32</v>
      </c>
      <c r="K40">
        <f t="shared" si="4"/>
        <v>147</v>
      </c>
    </row>
    <row r="41" spans="1:11" x14ac:dyDescent="0.25">
      <c r="A41" s="2">
        <v>42574</v>
      </c>
      <c r="B41" s="1" t="s">
        <v>13</v>
      </c>
      <c r="C41" t="s">
        <v>7</v>
      </c>
      <c r="D41" t="s">
        <v>14</v>
      </c>
      <c r="E41">
        <v>32</v>
      </c>
      <c r="F41">
        <v>92</v>
      </c>
      <c r="G41">
        <f t="shared" si="0"/>
        <v>0</v>
      </c>
      <c r="H41">
        <f t="shared" si="1"/>
        <v>61</v>
      </c>
      <c r="I41">
        <f t="shared" si="2"/>
        <v>0</v>
      </c>
      <c r="J41">
        <f t="shared" si="3"/>
        <v>0</v>
      </c>
      <c r="K41">
        <f t="shared" si="4"/>
        <v>147</v>
      </c>
    </row>
    <row r="42" spans="1:11" x14ac:dyDescent="0.25">
      <c r="A42" s="2">
        <v>42574</v>
      </c>
      <c r="B42" s="1" t="s">
        <v>13</v>
      </c>
      <c r="C42" t="s">
        <v>9</v>
      </c>
      <c r="D42" t="s">
        <v>8</v>
      </c>
      <c r="E42">
        <v>48</v>
      </c>
      <c r="F42">
        <v>43</v>
      </c>
      <c r="G42">
        <f t="shared" si="0"/>
        <v>0</v>
      </c>
      <c r="H42">
        <f t="shared" si="1"/>
        <v>61</v>
      </c>
      <c r="I42">
        <f t="shared" si="2"/>
        <v>0</v>
      </c>
      <c r="J42">
        <f t="shared" si="3"/>
        <v>0</v>
      </c>
      <c r="K42">
        <f t="shared" si="4"/>
        <v>195</v>
      </c>
    </row>
    <row r="43" spans="1:11" x14ac:dyDescent="0.25">
      <c r="A43" s="2">
        <v>42593</v>
      </c>
      <c r="B43" s="1" t="s">
        <v>15</v>
      </c>
      <c r="C43" t="s">
        <v>9</v>
      </c>
      <c r="D43" t="s">
        <v>14</v>
      </c>
      <c r="E43">
        <v>191</v>
      </c>
      <c r="F43">
        <v>60</v>
      </c>
      <c r="G43">
        <f t="shared" si="0"/>
        <v>0</v>
      </c>
      <c r="H43">
        <f t="shared" si="1"/>
        <v>61</v>
      </c>
      <c r="I43">
        <f t="shared" si="2"/>
        <v>0</v>
      </c>
      <c r="J43">
        <f t="shared" si="3"/>
        <v>0</v>
      </c>
      <c r="K43">
        <f t="shared" si="4"/>
        <v>4</v>
      </c>
    </row>
    <row r="44" spans="1:11" x14ac:dyDescent="0.25">
      <c r="A44" s="2">
        <v>42593</v>
      </c>
      <c r="B44" s="1" t="s">
        <v>15</v>
      </c>
      <c r="C44" t="s">
        <v>11</v>
      </c>
      <c r="D44" t="s">
        <v>8</v>
      </c>
      <c r="E44">
        <v>9</v>
      </c>
      <c r="F44">
        <v>24</v>
      </c>
      <c r="G44">
        <f t="shared" si="0"/>
        <v>0</v>
      </c>
      <c r="H44">
        <f t="shared" si="1"/>
        <v>70</v>
      </c>
      <c r="I44">
        <f t="shared" si="2"/>
        <v>0</v>
      </c>
      <c r="J44">
        <f t="shared" si="3"/>
        <v>0</v>
      </c>
      <c r="K44">
        <f t="shared" si="4"/>
        <v>4</v>
      </c>
    </row>
    <row r="45" spans="1:11" x14ac:dyDescent="0.25">
      <c r="A45" s="2">
        <v>42593</v>
      </c>
      <c r="B45" s="1" t="s">
        <v>15</v>
      </c>
      <c r="C45" t="s">
        <v>7</v>
      </c>
      <c r="D45" t="s">
        <v>8</v>
      </c>
      <c r="E45">
        <v>36</v>
      </c>
      <c r="F45">
        <v>65</v>
      </c>
      <c r="G45">
        <f t="shared" si="0"/>
        <v>0</v>
      </c>
      <c r="H45">
        <f t="shared" si="1"/>
        <v>70</v>
      </c>
      <c r="I45">
        <f t="shared" si="2"/>
        <v>0</v>
      </c>
      <c r="J45">
        <f t="shared" si="3"/>
        <v>36</v>
      </c>
      <c r="K45">
        <f t="shared" si="4"/>
        <v>4</v>
      </c>
    </row>
    <row r="46" spans="1:11" x14ac:dyDescent="0.25">
      <c r="A46" s="2">
        <v>42619</v>
      </c>
      <c r="B46" s="1" t="s">
        <v>16</v>
      </c>
      <c r="C46" t="s">
        <v>10</v>
      </c>
      <c r="D46" t="s">
        <v>8</v>
      </c>
      <c r="E46">
        <v>47</v>
      </c>
      <c r="F46">
        <v>7</v>
      </c>
      <c r="G46">
        <f t="shared" si="0"/>
        <v>47</v>
      </c>
      <c r="H46">
        <f t="shared" si="1"/>
        <v>70</v>
      </c>
      <c r="I46">
        <f t="shared" si="2"/>
        <v>0</v>
      </c>
      <c r="J46">
        <f t="shared" si="3"/>
        <v>36</v>
      </c>
      <c r="K46">
        <f t="shared" si="4"/>
        <v>4</v>
      </c>
    </row>
    <row r="47" spans="1:11" x14ac:dyDescent="0.25">
      <c r="A47" s="2">
        <v>42619</v>
      </c>
      <c r="B47" s="1" t="s">
        <v>16</v>
      </c>
      <c r="C47" t="s">
        <v>9</v>
      </c>
      <c r="D47" t="s">
        <v>14</v>
      </c>
      <c r="E47">
        <v>4</v>
      </c>
      <c r="F47">
        <v>63</v>
      </c>
      <c r="G47">
        <f t="shared" si="0"/>
        <v>47</v>
      </c>
      <c r="H47">
        <f t="shared" si="1"/>
        <v>70</v>
      </c>
      <c r="I47">
        <f t="shared" si="2"/>
        <v>0</v>
      </c>
      <c r="J47">
        <f t="shared" si="3"/>
        <v>36</v>
      </c>
      <c r="K47">
        <f t="shared" si="4"/>
        <v>0</v>
      </c>
    </row>
    <row r="48" spans="1:11" x14ac:dyDescent="0.25">
      <c r="A48" s="2">
        <v>42619</v>
      </c>
      <c r="B48" s="1" t="s">
        <v>16</v>
      </c>
      <c r="C48" t="s">
        <v>12</v>
      </c>
      <c r="D48" t="s">
        <v>8</v>
      </c>
      <c r="E48">
        <v>8</v>
      </c>
      <c r="F48">
        <v>19</v>
      </c>
      <c r="G48">
        <f t="shared" si="0"/>
        <v>47</v>
      </c>
      <c r="H48">
        <f t="shared" si="1"/>
        <v>70</v>
      </c>
      <c r="I48">
        <f t="shared" si="2"/>
        <v>8</v>
      </c>
      <c r="J48">
        <f t="shared" si="3"/>
        <v>36</v>
      </c>
      <c r="K48">
        <f t="shared" si="4"/>
        <v>0</v>
      </c>
    </row>
    <row r="49" spans="1:11" x14ac:dyDescent="0.25">
      <c r="A49" s="2">
        <v>42619</v>
      </c>
      <c r="B49" s="1" t="s">
        <v>16</v>
      </c>
      <c r="C49" t="s">
        <v>11</v>
      </c>
      <c r="D49" t="s">
        <v>8</v>
      </c>
      <c r="E49">
        <v>3</v>
      </c>
      <c r="F49">
        <v>22</v>
      </c>
      <c r="G49">
        <f t="shared" si="0"/>
        <v>47</v>
      </c>
      <c r="H49">
        <f t="shared" si="1"/>
        <v>73</v>
      </c>
      <c r="I49">
        <f t="shared" si="2"/>
        <v>8</v>
      </c>
      <c r="J49">
        <f t="shared" si="3"/>
        <v>36</v>
      </c>
      <c r="K49">
        <f t="shared" si="4"/>
        <v>0</v>
      </c>
    </row>
    <row r="50" spans="1:11" x14ac:dyDescent="0.25">
      <c r="A50" s="2">
        <v>42619</v>
      </c>
      <c r="B50" s="1" t="s">
        <v>16</v>
      </c>
      <c r="C50" t="s">
        <v>7</v>
      </c>
      <c r="D50" t="s">
        <v>8</v>
      </c>
      <c r="E50">
        <v>41</v>
      </c>
      <c r="F50">
        <v>59</v>
      </c>
      <c r="G50">
        <f t="shared" si="0"/>
        <v>47</v>
      </c>
      <c r="H50">
        <f t="shared" si="1"/>
        <v>73</v>
      </c>
      <c r="I50">
        <f t="shared" si="2"/>
        <v>8</v>
      </c>
      <c r="J50">
        <f t="shared" si="3"/>
        <v>77</v>
      </c>
      <c r="K50">
        <f t="shared" si="4"/>
        <v>0</v>
      </c>
    </row>
    <row r="51" spans="1:11" x14ac:dyDescent="0.25">
      <c r="A51" s="2">
        <v>42640</v>
      </c>
      <c r="B51" s="1" t="s">
        <v>17</v>
      </c>
      <c r="C51" t="s">
        <v>9</v>
      </c>
      <c r="D51" t="s">
        <v>8</v>
      </c>
      <c r="E51">
        <v>44</v>
      </c>
      <c r="F51">
        <v>40</v>
      </c>
      <c r="G51">
        <f t="shared" si="0"/>
        <v>47</v>
      </c>
      <c r="H51">
        <f t="shared" si="1"/>
        <v>73</v>
      </c>
      <c r="I51">
        <f t="shared" si="2"/>
        <v>8</v>
      </c>
      <c r="J51">
        <f t="shared" si="3"/>
        <v>77</v>
      </c>
      <c r="K51">
        <f t="shared" si="4"/>
        <v>44</v>
      </c>
    </row>
    <row r="52" spans="1:11" x14ac:dyDescent="0.25">
      <c r="A52" s="2">
        <v>42640</v>
      </c>
      <c r="B52" s="1" t="s">
        <v>17</v>
      </c>
      <c r="C52" t="s">
        <v>10</v>
      </c>
      <c r="D52" t="s">
        <v>14</v>
      </c>
      <c r="E52">
        <v>45</v>
      </c>
      <c r="F52">
        <v>12</v>
      </c>
      <c r="G52">
        <f t="shared" si="0"/>
        <v>2</v>
      </c>
      <c r="H52">
        <f t="shared" si="1"/>
        <v>73</v>
      </c>
      <c r="I52">
        <f t="shared" si="2"/>
        <v>8</v>
      </c>
      <c r="J52">
        <f t="shared" si="3"/>
        <v>77</v>
      </c>
      <c r="K52">
        <f t="shared" si="4"/>
        <v>44</v>
      </c>
    </row>
    <row r="53" spans="1:11" x14ac:dyDescent="0.25">
      <c r="A53" s="2">
        <v>42640</v>
      </c>
      <c r="B53" s="1" t="s">
        <v>17</v>
      </c>
      <c r="C53" t="s">
        <v>12</v>
      </c>
      <c r="D53" t="s">
        <v>8</v>
      </c>
      <c r="E53">
        <v>40</v>
      </c>
      <c r="F53">
        <v>20</v>
      </c>
      <c r="G53">
        <f t="shared" si="0"/>
        <v>2</v>
      </c>
      <c r="H53">
        <f t="shared" si="1"/>
        <v>73</v>
      </c>
      <c r="I53">
        <f t="shared" si="2"/>
        <v>48</v>
      </c>
      <c r="J53">
        <f t="shared" si="3"/>
        <v>77</v>
      </c>
      <c r="K53">
        <f t="shared" si="4"/>
        <v>44</v>
      </c>
    </row>
    <row r="54" spans="1:11" x14ac:dyDescent="0.25">
      <c r="A54" s="2">
        <v>42640</v>
      </c>
      <c r="B54" s="1" t="s">
        <v>17</v>
      </c>
      <c r="C54" t="s">
        <v>7</v>
      </c>
      <c r="D54" t="s">
        <v>8</v>
      </c>
      <c r="E54">
        <v>3</v>
      </c>
      <c r="F54">
        <v>63</v>
      </c>
      <c r="G54">
        <f t="shared" si="0"/>
        <v>2</v>
      </c>
      <c r="H54">
        <f t="shared" si="1"/>
        <v>73</v>
      </c>
      <c r="I54">
        <f t="shared" si="2"/>
        <v>48</v>
      </c>
      <c r="J54">
        <f t="shared" si="3"/>
        <v>80</v>
      </c>
      <c r="K54">
        <f t="shared" si="4"/>
        <v>44</v>
      </c>
    </row>
    <row r="55" spans="1:11" x14ac:dyDescent="0.25">
      <c r="A55" s="2">
        <v>42640</v>
      </c>
      <c r="B55" s="1" t="s">
        <v>17</v>
      </c>
      <c r="C55" t="s">
        <v>11</v>
      </c>
      <c r="D55" t="s">
        <v>8</v>
      </c>
      <c r="E55">
        <v>17</v>
      </c>
      <c r="F55">
        <v>24</v>
      </c>
      <c r="G55">
        <f t="shared" si="0"/>
        <v>2</v>
      </c>
      <c r="H55">
        <f t="shared" si="1"/>
        <v>90</v>
      </c>
      <c r="I55">
        <f t="shared" si="2"/>
        <v>48</v>
      </c>
      <c r="J55">
        <f t="shared" si="3"/>
        <v>80</v>
      </c>
      <c r="K55">
        <f t="shared" si="4"/>
        <v>44</v>
      </c>
    </row>
    <row r="56" spans="1:11" x14ac:dyDescent="0.25">
      <c r="A56" s="2">
        <v>42664</v>
      </c>
      <c r="B56" s="1" t="s">
        <v>18</v>
      </c>
      <c r="C56" t="s">
        <v>10</v>
      </c>
      <c r="D56" t="s">
        <v>14</v>
      </c>
      <c r="E56">
        <v>2</v>
      </c>
      <c r="F56">
        <v>12</v>
      </c>
      <c r="G56">
        <f t="shared" si="0"/>
        <v>0</v>
      </c>
      <c r="H56">
        <f t="shared" si="1"/>
        <v>90</v>
      </c>
      <c r="I56">
        <f t="shared" si="2"/>
        <v>48</v>
      </c>
      <c r="J56">
        <f t="shared" si="3"/>
        <v>80</v>
      </c>
      <c r="K56">
        <f t="shared" si="4"/>
        <v>44</v>
      </c>
    </row>
    <row r="57" spans="1:11" x14ac:dyDescent="0.25">
      <c r="A57" s="2">
        <v>42664</v>
      </c>
      <c r="B57" s="1" t="s">
        <v>18</v>
      </c>
      <c r="C57" t="s">
        <v>12</v>
      </c>
      <c r="D57" t="s">
        <v>8</v>
      </c>
      <c r="E57">
        <v>14</v>
      </c>
      <c r="F57">
        <v>19</v>
      </c>
      <c r="G57">
        <f t="shared" si="0"/>
        <v>0</v>
      </c>
      <c r="H57">
        <f t="shared" si="1"/>
        <v>90</v>
      </c>
      <c r="I57">
        <f t="shared" si="2"/>
        <v>62</v>
      </c>
      <c r="J57">
        <f t="shared" si="3"/>
        <v>80</v>
      </c>
      <c r="K57">
        <f t="shared" si="4"/>
        <v>44</v>
      </c>
    </row>
    <row r="58" spans="1:11" x14ac:dyDescent="0.25">
      <c r="A58" s="2">
        <v>42664</v>
      </c>
      <c r="B58" s="1" t="s">
        <v>18</v>
      </c>
      <c r="C58" t="s">
        <v>11</v>
      </c>
      <c r="D58" t="s">
        <v>8</v>
      </c>
      <c r="E58">
        <v>23</v>
      </c>
      <c r="F58">
        <v>23</v>
      </c>
      <c r="G58">
        <f t="shared" si="0"/>
        <v>0</v>
      </c>
      <c r="H58">
        <f t="shared" si="1"/>
        <v>113</v>
      </c>
      <c r="I58">
        <f t="shared" si="2"/>
        <v>62</v>
      </c>
      <c r="J58">
        <f t="shared" si="3"/>
        <v>80</v>
      </c>
      <c r="K58">
        <f t="shared" si="4"/>
        <v>44</v>
      </c>
    </row>
    <row r="59" spans="1:11" x14ac:dyDescent="0.25">
      <c r="A59" s="2">
        <v>42682</v>
      </c>
      <c r="B59" s="1" t="s">
        <v>19</v>
      </c>
      <c r="C59" t="s">
        <v>10</v>
      </c>
      <c r="D59" t="s">
        <v>8</v>
      </c>
      <c r="E59">
        <v>11</v>
      </c>
      <c r="F59">
        <v>8</v>
      </c>
      <c r="G59">
        <f t="shared" si="0"/>
        <v>11</v>
      </c>
      <c r="H59">
        <f t="shared" si="1"/>
        <v>113</v>
      </c>
      <c r="I59">
        <f t="shared" si="2"/>
        <v>62</v>
      </c>
      <c r="J59">
        <f t="shared" si="3"/>
        <v>80</v>
      </c>
      <c r="K59">
        <f t="shared" si="4"/>
        <v>44</v>
      </c>
    </row>
    <row r="60" spans="1:11" x14ac:dyDescent="0.25">
      <c r="A60" s="2">
        <v>42682</v>
      </c>
      <c r="B60" s="1" t="s">
        <v>19</v>
      </c>
      <c r="C60" t="s">
        <v>7</v>
      </c>
      <c r="D60" t="s">
        <v>8</v>
      </c>
      <c r="E60">
        <v>17</v>
      </c>
      <c r="F60">
        <v>66</v>
      </c>
      <c r="G60">
        <f t="shared" si="0"/>
        <v>11</v>
      </c>
      <c r="H60">
        <f t="shared" si="1"/>
        <v>113</v>
      </c>
      <c r="I60">
        <f t="shared" si="2"/>
        <v>62</v>
      </c>
      <c r="J60">
        <f t="shared" si="3"/>
        <v>97</v>
      </c>
      <c r="K60">
        <f t="shared" si="4"/>
        <v>44</v>
      </c>
    </row>
    <row r="61" spans="1:11" x14ac:dyDescent="0.25">
      <c r="A61" s="2">
        <v>42682</v>
      </c>
      <c r="B61" s="1" t="s">
        <v>19</v>
      </c>
      <c r="C61" t="s">
        <v>9</v>
      </c>
      <c r="D61" t="s">
        <v>8</v>
      </c>
      <c r="E61">
        <v>30</v>
      </c>
      <c r="F61">
        <v>41</v>
      </c>
      <c r="G61">
        <f t="shared" si="0"/>
        <v>11</v>
      </c>
      <c r="H61">
        <f t="shared" si="1"/>
        <v>113</v>
      </c>
      <c r="I61">
        <f t="shared" si="2"/>
        <v>62</v>
      </c>
      <c r="J61">
        <f t="shared" si="3"/>
        <v>97</v>
      </c>
      <c r="K61">
        <f t="shared" si="4"/>
        <v>74</v>
      </c>
    </row>
    <row r="62" spans="1:11" x14ac:dyDescent="0.25">
      <c r="A62" s="2">
        <v>42704</v>
      </c>
      <c r="B62" s="1" t="s">
        <v>20</v>
      </c>
      <c r="C62" t="s">
        <v>7</v>
      </c>
      <c r="D62" t="s">
        <v>14</v>
      </c>
      <c r="E62">
        <v>97</v>
      </c>
      <c r="F62">
        <v>98</v>
      </c>
      <c r="G62">
        <f t="shared" si="0"/>
        <v>11</v>
      </c>
      <c r="H62">
        <f t="shared" si="1"/>
        <v>113</v>
      </c>
      <c r="I62">
        <f t="shared" si="2"/>
        <v>62</v>
      </c>
      <c r="J62">
        <f t="shared" si="3"/>
        <v>0</v>
      </c>
      <c r="K62">
        <f t="shared" si="4"/>
        <v>74</v>
      </c>
    </row>
    <row r="63" spans="1:11" x14ac:dyDescent="0.25">
      <c r="A63" s="2">
        <v>42704</v>
      </c>
      <c r="B63" s="1" t="s">
        <v>20</v>
      </c>
      <c r="C63" t="s">
        <v>10</v>
      </c>
      <c r="D63" t="s">
        <v>14</v>
      </c>
      <c r="E63">
        <v>11</v>
      </c>
      <c r="F63">
        <v>12</v>
      </c>
      <c r="G63">
        <f t="shared" si="0"/>
        <v>0</v>
      </c>
      <c r="H63">
        <f t="shared" si="1"/>
        <v>113</v>
      </c>
      <c r="I63">
        <f t="shared" si="2"/>
        <v>62</v>
      </c>
      <c r="J63">
        <f t="shared" si="3"/>
        <v>0</v>
      </c>
      <c r="K63">
        <f t="shared" si="4"/>
        <v>74</v>
      </c>
    </row>
    <row r="64" spans="1:11" x14ac:dyDescent="0.25">
      <c r="A64" s="2">
        <v>42704</v>
      </c>
      <c r="B64" s="1" t="s">
        <v>20</v>
      </c>
      <c r="C64" t="s">
        <v>12</v>
      </c>
      <c r="D64" t="s">
        <v>8</v>
      </c>
      <c r="E64">
        <v>17</v>
      </c>
      <c r="F64">
        <v>20</v>
      </c>
      <c r="G64">
        <f t="shared" si="0"/>
        <v>0</v>
      </c>
      <c r="H64">
        <f t="shared" si="1"/>
        <v>113</v>
      </c>
      <c r="I64">
        <f t="shared" si="2"/>
        <v>79</v>
      </c>
      <c r="J64">
        <f t="shared" si="3"/>
        <v>0</v>
      </c>
      <c r="K64">
        <f t="shared" si="4"/>
        <v>74</v>
      </c>
    </row>
    <row r="65" spans="1:11" x14ac:dyDescent="0.25">
      <c r="A65" s="2">
        <v>42704</v>
      </c>
      <c r="B65" s="1" t="s">
        <v>20</v>
      </c>
      <c r="C65" t="s">
        <v>11</v>
      </c>
      <c r="D65" t="s">
        <v>8</v>
      </c>
      <c r="E65">
        <v>4</v>
      </c>
      <c r="F65">
        <v>23</v>
      </c>
      <c r="G65">
        <f t="shared" si="0"/>
        <v>0</v>
      </c>
      <c r="H65">
        <f t="shared" si="1"/>
        <v>117</v>
      </c>
      <c r="I65">
        <f t="shared" si="2"/>
        <v>79</v>
      </c>
      <c r="J65">
        <f t="shared" si="3"/>
        <v>0</v>
      </c>
      <c r="K65">
        <f t="shared" si="4"/>
        <v>74</v>
      </c>
    </row>
    <row r="66" spans="1:11" x14ac:dyDescent="0.25">
      <c r="A66" s="2">
        <v>42729</v>
      </c>
      <c r="B66" s="1" t="s">
        <v>21</v>
      </c>
      <c r="C66" t="s">
        <v>12</v>
      </c>
      <c r="D66" t="s">
        <v>14</v>
      </c>
      <c r="E66">
        <v>79</v>
      </c>
      <c r="F66">
        <v>31</v>
      </c>
      <c r="G66">
        <f t="shared" si="0"/>
        <v>0</v>
      </c>
      <c r="H66">
        <f t="shared" si="1"/>
        <v>117</v>
      </c>
      <c r="I66">
        <f t="shared" si="2"/>
        <v>0</v>
      </c>
      <c r="J66">
        <f t="shared" si="3"/>
        <v>0</v>
      </c>
      <c r="K66">
        <f t="shared" si="4"/>
        <v>74</v>
      </c>
    </row>
    <row r="67" spans="1:11" x14ac:dyDescent="0.25">
      <c r="A67" s="2">
        <v>42729</v>
      </c>
      <c r="B67" s="1" t="s">
        <v>21</v>
      </c>
      <c r="C67" t="s">
        <v>7</v>
      </c>
      <c r="D67" t="s">
        <v>8</v>
      </c>
      <c r="E67">
        <v>33</v>
      </c>
      <c r="F67">
        <v>60</v>
      </c>
      <c r="G67">
        <f t="shared" si="0"/>
        <v>0</v>
      </c>
      <c r="H67">
        <f t="shared" si="1"/>
        <v>117</v>
      </c>
      <c r="I67">
        <f t="shared" si="2"/>
        <v>0</v>
      </c>
      <c r="J67">
        <f t="shared" si="3"/>
        <v>33</v>
      </c>
      <c r="K67">
        <f t="shared" si="4"/>
        <v>74</v>
      </c>
    </row>
    <row r="68" spans="1:11" x14ac:dyDescent="0.25">
      <c r="A68" s="2">
        <v>42729</v>
      </c>
      <c r="B68" s="1" t="s">
        <v>21</v>
      </c>
      <c r="C68" t="s">
        <v>11</v>
      </c>
      <c r="D68" t="s">
        <v>8</v>
      </c>
      <c r="E68">
        <v>26</v>
      </c>
      <c r="F68">
        <v>23</v>
      </c>
      <c r="G68">
        <f t="shared" si="0"/>
        <v>0</v>
      </c>
      <c r="H68">
        <f t="shared" si="1"/>
        <v>143</v>
      </c>
      <c r="I68">
        <f t="shared" si="2"/>
        <v>0</v>
      </c>
      <c r="J68">
        <f t="shared" si="3"/>
        <v>33</v>
      </c>
      <c r="K68">
        <f t="shared" si="4"/>
        <v>74</v>
      </c>
    </row>
    <row r="69" spans="1:11" x14ac:dyDescent="0.25">
      <c r="A69" s="2">
        <v>42742</v>
      </c>
      <c r="B69" s="1" t="s">
        <v>22</v>
      </c>
      <c r="C69" t="s">
        <v>12</v>
      </c>
      <c r="D69" t="s">
        <v>8</v>
      </c>
      <c r="E69">
        <v>40</v>
      </c>
      <c r="F69">
        <v>22</v>
      </c>
      <c r="G69">
        <f t="shared" si="0"/>
        <v>0</v>
      </c>
      <c r="H69">
        <f t="shared" si="1"/>
        <v>143</v>
      </c>
      <c r="I69">
        <f t="shared" si="2"/>
        <v>40</v>
      </c>
      <c r="J69">
        <f t="shared" si="3"/>
        <v>33</v>
      </c>
      <c r="K69">
        <f t="shared" si="4"/>
        <v>74</v>
      </c>
    </row>
    <row r="70" spans="1:11" x14ac:dyDescent="0.25">
      <c r="A70" s="2">
        <v>42742</v>
      </c>
      <c r="B70" s="1" t="s">
        <v>22</v>
      </c>
      <c r="C70" t="s">
        <v>10</v>
      </c>
      <c r="D70" t="s">
        <v>8</v>
      </c>
      <c r="E70">
        <v>42</v>
      </c>
      <c r="F70">
        <v>9</v>
      </c>
      <c r="G70">
        <f t="shared" si="0"/>
        <v>42</v>
      </c>
      <c r="H70">
        <f t="shared" si="1"/>
        <v>143</v>
      </c>
      <c r="I70">
        <f t="shared" si="2"/>
        <v>40</v>
      </c>
      <c r="J70">
        <f t="shared" si="3"/>
        <v>33</v>
      </c>
      <c r="K70">
        <f t="shared" si="4"/>
        <v>74</v>
      </c>
    </row>
    <row r="71" spans="1:11" x14ac:dyDescent="0.25">
      <c r="A71" s="2">
        <v>42742</v>
      </c>
      <c r="B71" s="1" t="s">
        <v>22</v>
      </c>
      <c r="C71" t="s">
        <v>11</v>
      </c>
      <c r="D71" t="s">
        <v>8</v>
      </c>
      <c r="E71">
        <v>42</v>
      </c>
      <c r="F71">
        <v>26</v>
      </c>
      <c r="G71">
        <f t="shared" si="0"/>
        <v>42</v>
      </c>
      <c r="H71">
        <f t="shared" si="1"/>
        <v>185</v>
      </c>
      <c r="I71">
        <f t="shared" si="2"/>
        <v>40</v>
      </c>
      <c r="J71">
        <f t="shared" si="3"/>
        <v>33</v>
      </c>
      <c r="K71">
        <f t="shared" si="4"/>
        <v>74</v>
      </c>
    </row>
    <row r="72" spans="1:11" x14ac:dyDescent="0.25">
      <c r="A72" s="2">
        <v>42742</v>
      </c>
      <c r="B72" s="1" t="s">
        <v>22</v>
      </c>
      <c r="C72" t="s">
        <v>7</v>
      </c>
      <c r="D72" t="s">
        <v>8</v>
      </c>
      <c r="E72">
        <v>9</v>
      </c>
      <c r="F72">
        <v>70</v>
      </c>
      <c r="G72">
        <f t="shared" ref="G72:G135" si="5">IF($C72=G$1,IF($D72="W",G71-$E72,G71+$E72),G71)</f>
        <v>42</v>
      </c>
      <c r="H72">
        <f t="shared" ref="H72:H135" si="6">IF($C72=H$1,IF($D72="W",H71-$E72,H71+$E72),H71)</f>
        <v>185</v>
      </c>
      <c r="I72">
        <f t="shared" ref="I72:I135" si="7">IF($C72=I$1,IF($D72="W",I71-$E72,I71+$E72),I71)</f>
        <v>40</v>
      </c>
      <c r="J72">
        <f t="shared" ref="J72:J135" si="8">IF($C72=J$1,IF($D72="W",J71-$E72,J71+$E72),J71)</f>
        <v>42</v>
      </c>
      <c r="K72">
        <f t="shared" ref="K72:K135" si="9">IF($C72=K$1,IF($D72="W",K71-$E72,K71+$E72),K71)</f>
        <v>74</v>
      </c>
    </row>
    <row r="73" spans="1:11" x14ac:dyDescent="0.25">
      <c r="A73" s="2">
        <v>42742</v>
      </c>
      <c r="B73" s="1" t="s">
        <v>22</v>
      </c>
      <c r="C73" t="s">
        <v>9</v>
      </c>
      <c r="D73" t="s">
        <v>8</v>
      </c>
      <c r="E73">
        <v>39</v>
      </c>
      <c r="F73">
        <v>44</v>
      </c>
      <c r="G73">
        <f t="shared" si="5"/>
        <v>42</v>
      </c>
      <c r="H73">
        <f t="shared" si="6"/>
        <v>185</v>
      </c>
      <c r="I73">
        <f t="shared" si="7"/>
        <v>40</v>
      </c>
      <c r="J73">
        <f t="shared" si="8"/>
        <v>42</v>
      </c>
      <c r="K73">
        <f t="shared" si="9"/>
        <v>113</v>
      </c>
    </row>
    <row r="74" spans="1:11" x14ac:dyDescent="0.25">
      <c r="A74" s="2">
        <v>42759</v>
      </c>
      <c r="B74" s="1" t="s">
        <v>6</v>
      </c>
      <c r="C74" t="s">
        <v>9</v>
      </c>
      <c r="D74" t="s">
        <v>14</v>
      </c>
      <c r="E74">
        <v>112</v>
      </c>
      <c r="F74">
        <v>59</v>
      </c>
      <c r="G74">
        <f t="shared" si="5"/>
        <v>42</v>
      </c>
      <c r="H74">
        <f t="shared" si="6"/>
        <v>185</v>
      </c>
      <c r="I74">
        <f t="shared" si="7"/>
        <v>40</v>
      </c>
      <c r="J74">
        <f t="shared" si="8"/>
        <v>42</v>
      </c>
      <c r="K74">
        <f t="shared" si="9"/>
        <v>1</v>
      </c>
    </row>
    <row r="75" spans="1:11" x14ac:dyDescent="0.25">
      <c r="A75" s="2">
        <v>42759</v>
      </c>
      <c r="B75" s="1" t="s">
        <v>6</v>
      </c>
      <c r="C75" t="s">
        <v>7</v>
      </c>
      <c r="D75" t="s">
        <v>8</v>
      </c>
      <c r="E75">
        <v>34</v>
      </c>
      <c r="F75">
        <v>66</v>
      </c>
      <c r="G75">
        <f t="shared" si="5"/>
        <v>42</v>
      </c>
      <c r="H75">
        <f t="shared" si="6"/>
        <v>185</v>
      </c>
      <c r="I75">
        <f t="shared" si="7"/>
        <v>40</v>
      </c>
      <c r="J75">
        <f t="shared" si="8"/>
        <v>76</v>
      </c>
      <c r="K75">
        <f t="shared" si="9"/>
        <v>1</v>
      </c>
    </row>
    <row r="76" spans="1:11" x14ac:dyDescent="0.25">
      <c r="A76" s="2">
        <v>42759</v>
      </c>
      <c r="B76" s="1" t="s">
        <v>6</v>
      </c>
      <c r="C76" t="s">
        <v>12</v>
      </c>
      <c r="D76" t="s">
        <v>8</v>
      </c>
      <c r="E76">
        <v>5</v>
      </c>
      <c r="F76">
        <v>21</v>
      </c>
      <c r="G76">
        <f t="shared" si="5"/>
        <v>42</v>
      </c>
      <c r="H76">
        <f t="shared" si="6"/>
        <v>185</v>
      </c>
      <c r="I76">
        <f t="shared" si="7"/>
        <v>45</v>
      </c>
      <c r="J76">
        <f t="shared" si="8"/>
        <v>76</v>
      </c>
      <c r="K76">
        <f t="shared" si="9"/>
        <v>1</v>
      </c>
    </row>
    <row r="77" spans="1:11" x14ac:dyDescent="0.25">
      <c r="A77" s="2">
        <v>42774</v>
      </c>
      <c r="B77" s="1" t="s">
        <v>13</v>
      </c>
      <c r="C77" t="s">
        <v>7</v>
      </c>
      <c r="D77" t="s">
        <v>14</v>
      </c>
      <c r="E77">
        <v>74</v>
      </c>
      <c r="F77">
        <v>92</v>
      </c>
      <c r="G77">
        <f t="shared" si="5"/>
        <v>42</v>
      </c>
      <c r="H77">
        <f t="shared" si="6"/>
        <v>185</v>
      </c>
      <c r="I77">
        <f t="shared" si="7"/>
        <v>45</v>
      </c>
      <c r="J77">
        <f t="shared" si="8"/>
        <v>2</v>
      </c>
      <c r="K77">
        <f t="shared" si="9"/>
        <v>1</v>
      </c>
    </row>
    <row r="78" spans="1:11" x14ac:dyDescent="0.25">
      <c r="A78" s="2">
        <v>42774</v>
      </c>
      <c r="B78" s="1" t="s">
        <v>13</v>
      </c>
      <c r="C78" t="s">
        <v>11</v>
      </c>
      <c r="D78" t="s">
        <v>8</v>
      </c>
      <c r="E78">
        <v>14</v>
      </c>
      <c r="F78">
        <v>26</v>
      </c>
      <c r="G78">
        <f t="shared" si="5"/>
        <v>42</v>
      </c>
      <c r="H78">
        <f t="shared" si="6"/>
        <v>199</v>
      </c>
      <c r="I78">
        <f t="shared" si="7"/>
        <v>45</v>
      </c>
      <c r="J78">
        <f t="shared" si="8"/>
        <v>2</v>
      </c>
      <c r="K78">
        <f t="shared" si="9"/>
        <v>1</v>
      </c>
    </row>
    <row r="79" spans="1:11" x14ac:dyDescent="0.25">
      <c r="A79" s="2">
        <v>42793</v>
      </c>
      <c r="B79" s="1" t="s">
        <v>15</v>
      </c>
      <c r="C79" t="s">
        <v>9</v>
      </c>
      <c r="D79" t="s">
        <v>14</v>
      </c>
      <c r="E79">
        <v>1</v>
      </c>
      <c r="F79">
        <v>60</v>
      </c>
      <c r="G79">
        <f t="shared" si="5"/>
        <v>42</v>
      </c>
      <c r="H79">
        <f t="shared" si="6"/>
        <v>199</v>
      </c>
      <c r="I79">
        <f t="shared" si="7"/>
        <v>45</v>
      </c>
      <c r="J79">
        <f t="shared" si="8"/>
        <v>2</v>
      </c>
      <c r="K79">
        <f t="shared" si="9"/>
        <v>0</v>
      </c>
    </row>
    <row r="80" spans="1:11" x14ac:dyDescent="0.25">
      <c r="A80" s="2">
        <v>42793</v>
      </c>
      <c r="B80" s="1" t="s">
        <v>15</v>
      </c>
      <c r="C80" t="s">
        <v>11</v>
      </c>
      <c r="D80" t="s">
        <v>14</v>
      </c>
      <c r="E80">
        <v>43</v>
      </c>
      <c r="F80">
        <v>36</v>
      </c>
      <c r="G80">
        <f t="shared" si="5"/>
        <v>42</v>
      </c>
      <c r="H80">
        <f t="shared" si="6"/>
        <v>156</v>
      </c>
      <c r="I80">
        <f t="shared" si="7"/>
        <v>45</v>
      </c>
      <c r="J80">
        <f t="shared" si="8"/>
        <v>2</v>
      </c>
      <c r="K80">
        <f t="shared" si="9"/>
        <v>0</v>
      </c>
    </row>
    <row r="81" spans="1:11" x14ac:dyDescent="0.25">
      <c r="A81" s="2">
        <v>42793</v>
      </c>
      <c r="B81" s="1" t="s">
        <v>15</v>
      </c>
      <c r="C81" t="s">
        <v>10</v>
      </c>
      <c r="D81" t="s">
        <v>8</v>
      </c>
      <c r="E81">
        <v>30</v>
      </c>
      <c r="F81">
        <v>8</v>
      </c>
      <c r="G81">
        <f t="shared" si="5"/>
        <v>72</v>
      </c>
      <c r="H81">
        <f t="shared" si="6"/>
        <v>156</v>
      </c>
      <c r="I81">
        <f t="shared" si="7"/>
        <v>45</v>
      </c>
      <c r="J81">
        <f t="shared" si="8"/>
        <v>2</v>
      </c>
      <c r="K81">
        <f t="shared" si="9"/>
        <v>0</v>
      </c>
    </row>
    <row r="82" spans="1:11" x14ac:dyDescent="0.25">
      <c r="A82" s="2">
        <v>42793</v>
      </c>
      <c r="B82" s="1" t="s">
        <v>15</v>
      </c>
      <c r="C82" t="s">
        <v>12</v>
      </c>
      <c r="D82" t="s">
        <v>8</v>
      </c>
      <c r="E82">
        <v>14</v>
      </c>
      <c r="F82">
        <v>20</v>
      </c>
      <c r="G82">
        <f t="shared" si="5"/>
        <v>72</v>
      </c>
      <c r="H82">
        <f t="shared" si="6"/>
        <v>156</v>
      </c>
      <c r="I82">
        <f t="shared" si="7"/>
        <v>59</v>
      </c>
      <c r="J82">
        <f t="shared" si="8"/>
        <v>2</v>
      </c>
      <c r="K82">
        <f t="shared" si="9"/>
        <v>0</v>
      </c>
    </row>
    <row r="83" spans="1:11" x14ac:dyDescent="0.25">
      <c r="A83" s="2">
        <v>42819</v>
      </c>
      <c r="B83" s="1" t="s">
        <v>16</v>
      </c>
      <c r="C83" t="s">
        <v>11</v>
      </c>
      <c r="D83" t="s">
        <v>14</v>
      </c>
      <c r="E83">
        <v>33</v>
      </c>
      <c r="F83">
        <v>38</v>
      </c>
      <c r="G83">
        <f t="shared" si="5"/>
        <v>72</v>
      </c>
      <c r="H83">
        <f t="shared" si="6"/>
        <v>123</v>
      </c>
      <c r="I83">
        <f t="shared" si="7"/>
        <v>59</v>
      </c>
      <c r="J83">
        <f t="shared" si="8"/>
        <v>2</v>
      </c>
      <c r="K83">
        <f t="shared" si="9"/>
        <v>0</v>
      </c>
    </row>
    <row r="84" spans="1:11" x14ac:dyDescent="0.25">
      <c r="A84" s="2">
        <v>42819</v>
      </c>
      <c r="B84" s="1" t="s">
        <v>16</v>
      </c>
      <c r="C84" t="s">
        <v>9</v>
      </c>
      <c r="D84" t="s">
        <v>8</v>
      </c>
      <c r="E84">
        <v>35</v>
      </c>
      <c r="F84">
        <v>37</v>
      </c>
      <c r="G84">
        <f t="shared" si="5"/>
        <v>72</v>
      </c>
      <c r="H84">
        <f t="shared" si="6"/>
        <v>123</v>
      </c>
      <c r="I84">
        <f t="shared" si="7"/>
        <v>59</v>
      </c>
      <c r="J84">
        <f t="shared" si="8"/>
        <v>2</v>
      </c>
      <c r="K84">
        <f t="shared" si="9"/>
        <v>35</v>
      </c>
    </row>
    <row r="85" spans="1:11" x14ac:dyDescent="0.25">
      <c r="A85" s="2">
        <v>42819</v>
      </c>
      <c r="B85" s="1" t="s">
        <v>16</v>
      </c>
      <c r="C85" t="s">
        <v>12</v>
      </c>
      <c r="D85" t="s">
        <v>8</v>
      </c>
      <c r="E85">
        <v>40</v>
      </c>
      <c r="F85">
        <v>19</v>
      </c>
      <c r="G85">
        <f t="shared" si="5"/>
        <v>72</v>
      </c>
      <c r="H85">
        <f t="shared" si="6"/>
        <v>123</v>
      </c>
      <c r="I85">
        <f t="shared" si="7"/>
        <v>99</v>
      </c>
      <c r="J85">
        <f t="shared" si="8"/>
        <v>2</v>
      </c>
      <c r="K85">
        <f t="shared" si="9"/>
        <v>35</v>
      </c>
    </row>
    <row r="86" spans="1:11" x14ac:dyDescent="0.25">
      <c r="A86" s="2">
        <v>42840</v>
      </c>
      <c r="B86" s="1" t="s">
        <v>17</v>
      </c>
      <c r="C86" t="s">
        <v>11</v>
      </c>
      <c r="D86" t="s">
        <v>14</v>
      </c>
      <c r="E86">
        <v>21</v>
      </c>
      <c r="F86">
        <v>36</v>
      </c>
      <c r="G86">
        <f t="shared" si="5"/>
        <v>72</v>
      </c>
      <c r="H86">
        <f t="shared" si="6"/>
        <v>102</v>
      </c>
      <c r="I86">
        <f t="shared" si="7"/>
        <v>99</v>
      </c>
      <c r="J86">
        <f t="shared" si="8"/>
        <v>2</v>
      </c>
      <c r="K86">
        <f t="shared" si="9"/>
        <v>35</v>
      </c>
    </row>
    <row r="87" spans="1:11" x14ac:dyDescent="0.25">
      <c r="A87" s="2">
        <v>42840</v>
      </c>
      <c r="B87" s="1" t="s">
        <v>17</v>
      </c>
      <c r="C87" t="s">
        <v>7</v>
      </c>
      <c r="D87" t="s">
        <v>14</v>
      </c>
      <c r="E87">
        <v>2</v>
      </c>
      <c r="F87">
        <v>97</v>
      </c>
      <c r="G87">
        <f t="shared" si="5"/>
        <v>72</v>
      </c>
      <c r="H87">
        <f t="shared" si="6"/>
        <v>102</v>
      </c>
      <c r="I87">
        <f t="shared" si="7"/>
        <v>99</v>
      </c>
      <c r="J87">
        <f t="shared" si="8"/>
        <v>0</v>
      </c>
      <c r="K87">
        <f t="shared" si="9"/>
        <v>35</v>
      </c>
    </row>
    <row r="88" spans="1:11" x14ac:dyDescent="0.25">
      <c r="A88" s="2">
        <v>42840</v>
      </c>
      <c r="B88" s="1" t="s">
        <v>17</v>
      </c>
      <c r="C88" t="s">
        <v>12</v>
      </c>
      <c r="D88" t="s">
        <v>8</v>
      </c>
      <c r="E88">
        <v>12</v>
      </c>
      <c r="F88">
        <v>20</v>
      </c>
      <c r="G88">
        <f t="shared" si="5"/>
        <v>72</v>
      </c>
      <c r="H88">
        <f t="shared" si="6"/>
        <v>102</v>
      </c>
      <c r="I88">
        <f t="shared" si="7"/>
        <v>111</v>
      </c>
      <c r="J88">
        <f t="shared" si="8"/>
        <v>0</v>
      </c>
      <c r="K88">
        <f t="shared" si="9"/>
        <v>35</v>
      </c>
    </row>
    <row r="89" spans="1:11" x14ac:dyDescent="0.25">
      <c r="A89" s="2">
        <v>42840</v>
      </c>
      <c r="B89" s="1" t="s">
        <v>17</v>
      </c>
      <c r="C89" t="s">
        <v>10</v>
      </c>
      <c r="D89" t="s">
        <v>8</v>
      </c>
      <c r="E89">
        <v>15</v>
      </c>
      <c r="F89">
        <v>8</v>
      </c>
      <c r="G89">
        <f t="shared" si="5"/>
        <v>87</v>
      </c>
      <c r="H89">
        <f t="shared" si="6"/>
        <v>102</v>
      </c>
      <c r="I89">
        <f t="shared" si="7"/>
        <v>111</v>
      </c>
      <c r="J89">
        <f t="shared" si="8"/>
        <v>0</v>
      </c>
      <c r="K89">
        <f t="shared" si="9"/>
        <v>35</v>
      </c>
    </row>
    <row r="90" spans="1:11" x14ac:dyDescent="0.25">
      <c r="A90" s="2">
        <v>42840</v>
      </c>
      <c r="B90" s="1" t="s">
        <v>17</v>
      </c>
      <c r="C90" t="s">
        <v>9</v>
      </c>
      <c r="D90" t="s">
        <v>8</v>
      </c>
      <c r="E90">
        <v>1</v>
      </c>
      <c r="F90">
        <v>40</v>
      </c>
      <c r="G90">
        <f t="shared" si="5"/>
        <v>87</v>
      </c>
      <c r="H90">
        <f t="shared" si="6"/>
        <v>102</v>
      </c>
      <c r="I90">
        <f t="shared" si="7"/>
        <v>111</v>
      </c>
      <c r="J90">
        <f t="shared" si="8"/>
        <v>0</v>
      </c>
      <c r="K90">
        <f t="shared" si="9"/>
        <v>36</v>
      </c>
    </row>
    <row r="91" spans="1:11" x14ac:dyDescent="0.25">
      <c r="A91" s="2">
        <v>42864</v>
      </c>
      <c r="B91" s="1" t="s">
        <v>18</v>
      </c>
      <c r="C91" t="s">
        <v>10</v>
      </c>
      <c r="D91" t="s">
        <v>14</v>
      </c>
      <c r="E91">
        <v>86</v>
      </c>
      <c r="F91">
        <v>12</v>
      </c>
      <c r="G91">
        <f t="shared" si="5"/>
        <v>1</v>
      </c>
      <c r="H91">
        <f t="shared" si="6"/>
        <v>102</v>
      </c>
      <c r="I91">
        <f t="shared" si="7"/>
        <v>111</v>
      </c>
      <c r="J91">
        <f t="shared" si="8"/>
        <v>0</v>
      </c>
      <c r="K91">
        <f t="shared" si="9"/>
        <v>36</v>
      </c>
    </row>
    <row r="92" spans="1:11" x14ac:dyDescent="0.25">
      <c r="A92" s="2">
        <v>42864</v>
      </c>
      <c r="B92" s="1" t="s">
        <v>18</v>
      </c>
      <c r="C92" t="s">
        <v>12</v>
      </c>
      <c r="D92" t="s">
        <v>14</v>
      </c>
      <c r="E92">
        <v>110</v>
      </c>
      <c r="F92">
        <v>31</v>
      </c>
      <c r="G92">
        <f t="shared" si="5"/>
        <v>1</v>
      </c>
      <c r="H92">
        <f t="shared" si="6"/>
        <v>102</v>
      </c>
      <c r="I92">
        <f t="shared" si="7"/>
        <v>1</v>
      </c>
      <c r="J92">
        <f t="shared" si="8"/>
        <v>0</v>
      </c>
      <c r="K92">
        <f t="shared" si="9"/>
        <v>36</v>
      </c>
    </row>
    <row r="93" spans="1:11" x14ac:dyDescent="0.25">
      <c r="A93" s="2">
        <v>42864</v>
      </c>
      <c r="B93" s="1" t="s">
        <v>18</v>
      </c>
      <c r="C93" t="s">
        <v>9</v>
      </c>
      <c r="D93" t="s">
        <v>8</v>
      </c>
      <c r="E93">
        <v>33</v>
      </c>
      <c r="F93">
        <v>38</v>
      </c>
      <c r="G93">
        <f t="shared" si="5"/>
        <v>1</v>
      </c>
      <c r="H93">
        <f t="shared" si="6"/>
        <v>102</v>
      </c>
      <c r="I93">
        <f t="shared" si="7"/>
        <v>1</v>
      </c>
      <c r="J93">
        <f t="shared" si="8"/>
        <v>0</v>
      </c>
      <c r="K93">
        <f t="shared" si="9"/>
        <v>69</v>
      </c>
    </row>
    <row r="94" spans="1:11" x14ac:dyDescent="0.25">
      <c r="A94" s="2">
        <v>42864</v>
      </c>
      <c r="B94" s="1" t="s">
        <v>18</v>
      </c>
      <c r="C94" t="s">
        <v>11</v>
      </c>
      <c r="D94" t="s">
        <v>8</v>
      </c>
      <c r="E94">
        <v>13</v>
      </c>
      <c r="F94">
        <v>23</v>
      </c>
      <c r="G94">
        <f t="shared" si="5"/>
        <v>1</v>
      </c>
      <c r="H94">
        <f t="shared" si="6"/>
        <v>115</v>
      </c>
      <c r="I94">
        <f t="shared" si="7"/>
        <v>1</v>
      </c>
      <c r="J94">
        <f t="shared" si="8"/>
        <v>0</v>
      </c>
      <c r="K94">
        <f t="shared" si="9"/>
        <v>69</v>
      </c>
    </row>
    <row r="95" spans="1:11" x14ac:dyDescent="0.25">
      <c r="A95" s="2">
        <v>42864</v>
      </c>
      <c r="B95" s="1" t="s">
        <v>18</v>
      </c>
      <c r="C95" t="s">
        <v>7</v>
      </c>
      <c r="D95" t="s">
        <v>8</v>
      </c>
      <c r="E95">
        <v>37</v>
      </c>
      <c r="F95">
        <v>61</v>
      </c>
      <c r="G95">
        <f t="shared" si="5"/>
        <v>1</v>
      </c>
      <c r="H95">
        <f t="shared" si="6"/>
        <v>115</v>
      </c>
      <c r="I95">
        <f t="shared" si="7"/>
        <v>1</v>
      </c>
      <c r="J95">
        <f t="shared" si="8"/>
        <v>37</v>
      </c>
      <c r="K95">
        <f t="shared" si="9"/>
        <v>69</v>
      </c>
    </row>
    <row r="96" spans="1:11" x14ac:dyDescent="0.25">
      <c r="A96" s="2">
        <v>42882</v>
      </c>
      <c r="B96" s="1" t="s">
        <v>19</v>
      </c>
      <c r="C96" t="s">
        <v>10</v>
      </c>
      <c r="D96" t="s">
        <v>14</v>
      </c>
      <c r="E96">
        <v>1</v>
      </c>
      <c r="F96">
        <v>12</v>
      </c>
      <c r="G96">
        <f t="shared" si="5"/>
        <v>0</v>
      </c>
      <c r="H96">
        <f t="shared" si="6"/>
        <v>115</v>
      </c>
      <c r="I96">
        <f t="shared" si="7"/>
        <v>1</v>
      </c>
      <c r="J96">
        <f t="shared" si="8"/>
        <v>37</v>
      </c>
      <c r="K96">
        <f t="shared" si="9"/>
        <v>69</v>
      </c>
    </row>
    <row r="97" spans="1:11" x14ac:dyDescent="0.25">
      <c r="A97" s="2">
        <v>42882</v>
      </c>
      <c r="B97" s="1" t="s">
        <v>19</v>
      </c>
      <c r="C97" t="s">
        <v>9</v>
      </c>
      <c r="D97" t="s">
        <v>14</v>
      </c>
      <c r="E97">
        <v>68</v>
      </c>
      <c r="F97">
        <v>59</v>
      </c>
      <c r="G97">
        <f t="shared" si="5"/>
        <v>0</v>
      </c>
      <c r="H97">
        <f t="shared" si="6"/>
        <v>115</v>
      </c>
      <c r="I97">
        <f t="shared" si="7"/>
        <v>1</v>
      </c>
      <c r="J97">
        <f t="shared" si="8"/>
        <v>37</v>
      </c>
      <c r="K97">
        <f t="shared" si="9"/>
        <v>1</v>
      </c>
    </row>
    <row r="98" spans="1:11" x14ac:dyDescent="0.25">
      <c r="A98" s="2">
        <v>42882</v>
      </c>
      <c r="B98" s="1" t="s">
        <v>19</v>
      </c>
      <c r="C98" t="s">
        <v>7</v>
      </c>
      <c r="D98" t="s">
        <v>8</v>
      </c>
      <c r="E98">
        <v>35</v>
      </c>
      <c r="F98">
        <v>66</v>
      </c>
      <c r="G98">
        <f t="shared" si="5"/>
        <v>0</v>
      </c>
      <c r="H98">
        <f t="shared" si="6"/>
        <v>115</v>
      </c>
      <c r="I98">
        <f t="shared" si="7"/>
        <v>1</v>
      </c>
      <c r="J98">
        <f t="shared" si="8"/>
        <v>72</v>
      </c>
      <c r="K98">
        <f t="shared" si="9"/>
        <v>1</v>
      </c>
    </row>
    <row r="99" spans="1:11" x14ac:dyDescent="0.25">
      <c r="A99" s="2">
        <v>42882</v>
      </c>
      <c r="B99" s="1" t="s">
        <v>19</v>
      </c>
      <c r="C99" t="s">
        <v>12</v>
      </c>
      <c r="D99" t="s">
        <v>8</v>
      </c>
      <c r="E99">
        <v>25</v>
      </c>
      <c r="F99">
        <v>21</v>
      </c>
      <c r="G99">
        <f t="shared" si="5"/>
        <v>0</v>
      </c>
      <c r="H99">
        <f t="shared" si="6"/>
        <v>115</v>
      </c>
      <c r="I99">
        <f t="shared" si="7"/>
        <v>26</v>
      </c>
      <c r="J99">
        <f t="shared" si="8"/>
        <v>72</v>
      </c>
      <c r="K99">
        <f t="shared" si="9"/>
        <v>1</v>
      </c>
    </row>
    <row r="100" spans="1:11" x14ac:dyDescent="0.25">
      <c r="A100" s="2">
        <v>42882</v>
      </c>
      <c r="B100" s="1" t="s">
        <v>19</v>
      </c>
      <c r="C100" t="s">
        <v>11</v>
      </c>
      <c r="D100" t="s">
        <v>8</v>
      </c>
      <c r="E100">
        <v>10</v>
      </c>
      <c r="F100">
        <v>25</v>
      </c>
      <c r="G100">
        <f t="shared" si="5"/>
        <v>0</v>
      </c>
      <c r="H100">
        <f t="shared" si="6"/>
        <v>125</v>
      </c>
      <c r="I100">
        <f t="shared" si="7"/>
        <v>26</v>
      </c>
      <c r="J100">
        <f t="shared" si="8"/>
        <v>72</v>
      </c>
      <c r="K100">
        <f t="shared" si="9"/>
        <v>1</v>
      </c>
    </row>
    <row r="101" spans="1:11" x14ac:dyDescent="0.25">
      <c r="A101" s="2">
        <v>42904</v>
      </c>
      <c r="B101" s="1" t="s">
        <v>20</v>
      </c>
      <c r="C101" t="s">
        <v>11</v>
      </c>
      <c r="D101" t="s">
        <v>14</v>
      </c>
      <c r="E101">
        <v>38</v>
      </c>
      <c r="F101">
        <v>37</v>
      </c>
      <c r="G101">
        <f t="shared" si="5"/>
        <v>0</v>
      </c>
      <c r="H101">
        <f t="shared" si="6"/>
        <v>87</v>
      </c>
      <c r="I101">
        <f t="shared" si="7"/>
        <v>26</v>
      </c>
      <c r="J101">
        <f t="shared" si="8"/>
        <v>72</v>
      </c>
      <c r="K101">
        <f t="shared" si="9"/>
        <v>1</v>
      </c>
    </row>
    <row r="102" spans="1:11" x14ac:dyDescent="0.25">
      <c r="A102" s="2">
        <v>42904</v>
      </c>
      <c r="B102" s="1" t="s">
        <v>20</v>
      </c>
      <c r="C102" t="s">
        <v>10</v>
      </c>
      <c r="D102" t="s">
        <v>8</v>
      </c>
      <c r="E102">
        <v>22</v>
      </c>
      <c r="F102">
        <v>8</v>
      </c>
      <c r="G102">
        <f t="shared" si="5"/>
        <v>22</v>
      </c>
      <c r="H102">
        <f t="shared" si="6"/>
        <v>87</v>
      </c>
      <c r="I102">
        <f t="shared" si="7"/>
        <v>26</v>
      </c>
      <c r="J102">
        <f t="shared" si="8"/>
        <v>72</v>
      </c>
      <c r="K102">
        <f t="shared" si="9"/>
        <v>1</v>
      </c>
    </row>
    <row r="103" spans="1:11" x14ac:dyDescent="0.25">
      <c r="A103" s="2">
        <v>42904</v>
      </c>
      <c r="B103" s="1" t="s">
        <v>20</v>
      </c>
      <c r="C103" t="s">
        <v>12</v>
      </c>
      <c r="D103" t="s">
        <v>8</v>
      </c>
      <c r="E103">
        <v>25</v>
      </c>
      <c r="F103">
        <v>20</v>
      </c>
      <c r="G103">
        <f t="shared" si="5"/>
        <v>22</v>
      </c>
      <c r="H103">
        <f t="shared" si="6"/>
        <v>87</v>
      </c>
      <c r="I103">
        <f t="shared" si="7"/>
        <v>51</v>
      </c>
      <c r="J103">
        <f t="shared" si="8"/>
        <v>72</v>
      </c>
      <c r="K103">
        <f t="shared" si="9"/>
        <v>1</v>
      </c>
    </row>
    <row r="104" spans="1:11" x14ac:dyDescent="0.25">
      <c r="A104" s="2">
        <v>42904</v>
      </c>
      <c r="B104" s="1" t="s">
        <v>20</v>
      </c>
      <c r="C104" t="s">
        <v>9</v>
      </c>
      <c r="D104" t="s">
        <v>8</v>
      </c>
      <c r="E104">
        <v>8</v>
      </c>
      <c r="F104">
        <v>39</v>
      </c>
      <c r="G104">
        <f t="shared" si="5"/>
        <v>22</v>
      </c>
      <c r="H104">
        <f t="shared" si="6"/>
        <v>87</v>
      </c>
      <c r="I104">
        <f t="shared" si="7"/>
        <v>51</v>
      </c>
      <c r="J104">
        <f t="shared" si="8"/>
        <v>72</v>
      </c>
      <c r="K104">
        <f t="shared" si="9"/>
        <v>9</v>
      </c>
    </row>
    <row r="105" spans="1:11" x14ac:dyDescent="0.25">
      <c r="A105" s="2">
        <v>42904</v>
      </c>
      <c r="B105" s="1" t="s">
        <v>20</v>
      </c>
      <c r="C105" t="s">
        <v>7</v>
      </c>
      <c r="D105" t="s">
        <v>8</v>
      </c>
      <c r="E105">
        <v>45</v>
      </c>
      <c r="F105">
        <v>62</v>
      </c>
      <c r="G105">
        <f t="shared" si="5"/>
        <v>22</v>
      </c>
      <c r="H105">
        <f t="shared" si="6"/>
        <v>87</v>
      </c>
      <c r="I105">
        <f t="shared" si="7"/>
        <v>51</v>
      </c>
      <c r="J105">
        <f t="shared" si="8"/>
        <v>117</v>
      </c>
      <c r="K105">
        <f t="shared" si="9"/>
        <v>9</v>
      </c>
    </row>
    <row r="106" spans="1:11" x14ac:dyDescent="0.25">
      <c r="A106" s="2">
        <v>42929</v>
      </c>
      <c r="B106" s="1" t="s">
        <v>21</v>
      </c>
      <c r="C106" t="s">
        <v>7</v>
      </c>
      <c r="D106" t="s">
        <v>14</v>
      </c>
      <c r="E106">
        <v>116</v>
      </c>
      <c r="F106">
        <v>100</v>
      </c>
      <c r="G106">
        <f t="shared" si="5"/>
        <v>22</v>
      </c>
      <c r="H106">
        <f t="shared" si="6"/>
        <v>87</v>
      </c>
      <c r="I106">
        <f t="shared" si="7"/>
        <v>51</v>
      </c>
      <c r="J106">
        <f t="shared" si="8"/>
        <v>1</v>
      </c>
      <c r="K106">
        <f t="shared" si="9"/>
        <v>9</v>
      </c>
    </row>
    <row r="107" spans="1:11" x14ac:dyDescent="0.25">
      <c r="A107" s="2">
        <v>42929</v>
      </c>
      <c r="B107" s="1" t="s">
        <v>21</v>
      </c>
      <c r="C107" t="s">
        <v>12</v>
      </c>
      <c r="D107" t="s">
        <v>8</v>
      </c>
      <c r="E107">
        <v>29</v>
      </c>
      <c r="F107">
        <v>19</v>
      </c>
      <c r="G107">
        <f t="shared" si="5"/>
        <v>22</v>
      </c>
      <c r="H107">
        <f t="shared" si="6"/>
        <v>87</v>
      </c>
      <c r="I107">
        <f t="shared" si="7"/>
        <v>80</v>
      </c>
      <c r="J107">
        <f t="shared" si="8"/>
        <v>1</v>
      </c>
      <c r="K107">
        <f t="shared" si="9"/>
        <v>9</v>
      </c>
    </row>
    <row r="108" spans="1:11" x14ac:dyDescent="0.25">
      <c r="A108" s="2">
        <v>42942</v>
      </c>
      <c r="B108" s="1" t="s">
        <v>22</v>
      </c>
      <c r="C108" t="s">
        <v>11</v>
      </c>
      <c r="D108" t="s">
        <v>14</v>
      </c>
      <c r="E108">
        <v>5</v>
      </c>
      <c r="F108">
        <v>34</v>
      </c>
      <c r="G108">
        <f t="shared" si="5"/>
        <v>22</v>
      </c>
      <c r="H108">
        <f t="shared" si="6"/>
        <v>82</v>
      </c>
      <c r="I108">
        <f t="shared" si="7"/>
        <v>80</v>
      </c>
      <c r="J108">
        <f t="shared" si="8"/>
        <v>1</v>
      </c>
      <c r="K108">
        <f t="shared" si="9"/>
        <v>9</v>
      </c>
    </row>
    <row r="109" spans="1:11" x14ac:dyDescent="0.25">
      <c r="A109" s="2">
        <v>42942</v>
      </c>
      <c r="B109" s="1" t="s">
        <v>22</v>
      </c>
      <c r="C109" t="s">
        <v>10</v>
      </c>
      <c r="D109" t="s">
        <v>14</v>
      </c>
      <c r="E109">
        <v>22</v>
      </c>
      <c r="F109">
        <v>11</v>
      </c>
      <c r="G109">
        <f t="shared" si="5"/>
        <v>0</v>
      </c>
      <c r="H109">
        <f t="shared" si="6"/>
        <v>82</v>
      </c>
      <c r="I109">
        <f t="shared" si="7"/>
        <v>80</v>
      </c>
      <c r="J109">
        <f t="shared" si="8"/>
        <v>1</v>
      </c>
      <c r="K109">
        <f t="shared" si="9"/>
        <v>9</v>
      </c>
    </row>
    <row r="110" spans="1:11" x14ac:dyDescent="0.25">
      <c r="A110" s="2">
        <v>42942</v>
      </c>
      <c r="B110" s="1" t="s">
        <v>22</v>
      </c>
      <c r="C110" t="s">
        <v>12</v>
      </c>
      <c r="D110" t="s">
        <v>8</v>
      </c>
      <c r="E110">
        <v>37</v>
      </c>
      <c r="F110">
        <v>22</v>
      </c>
      <c r="G110">
        <f t="shared" si="5"/>
        <v>0</v>
      </c>
      <c r="H110">
        <f t="shared" si="6"/>
        <v>82</v>
      </c>
      <c r="I110">
        <f t="shared" si="7"/>
        <v>117</v>
      </c>
      <c r="J110">
        <f t="shared" si="8"/>
        <v>1</v>
      </c>
      <c r="K110">
        <f t="shared" si="9"/>
        <v>9</v>
      </c>
    </row>
    <row r="111" spans="1:11" x14ac:dyDescent="0.25">
      <c r="A111" s="2">
        <v>42942</v>
      </c>
      <c r="B111" s="1" t="s">
        <v>22</v>
      </c>
      <c r="C111" t="s">
        <v>7</v>
      </c>
      <c r="D111" t="s">
        <v>8</v>
      </c>
      <c r="E111">
        <v>10</v>
      </c>
      <c r="F111">
        <v>70</v>
      </c>
      <c r="G111">
        <f t="shared" si="5"/>
        <v>0</v>
      </c>
      <c r="H111">
        <f t="shared" si="6"/>
        <v>82</v>
      </c>
      <c r="I111">
        <f t="shared" si="7"/>
        <v>117</v>
      </c>
      <c r="J111">
        <f t="shared" si="8"/>
        <v>11</v>
      </c>
      <c r="K111">
        <f t="shared" si="9"/>
        <v>9</v>
      </c>
    </row>
    <row r="112" spans="1:11" x14ac:dyDescent="0.25">
      <c r="A112" s="2">
        <v>42942</v>
      </c>
      <c r="B112" s="1" t="s">
        <v>22</v>
      </c>
      <c r="C112" t="s">
        <v>9</v>
      </c>
      <c r="D112" t="s">
        <v>8</v>
      </c>
      <c r="E112">
        <v>42</v>
      </c>
      <c r="F112">
        <v>44</v>
      </c>
      <c r="G112">
        <f t="shared" si="5"/>
        <v>0</v>
      </c>
      <c r="H112">
        <f t="shared" si="6"/>
        <v>82</v>
      </c>
      <c r="I112">
        <f t="shared" si="7"/>
        <v>117</v>
      </c>
      <c r="J112">
        <f t="shared" si="8"/>
        <v>11</v>
      </c>
      <c r="K112">
        <f t="shared" si="9"/>
        <v>51</v>
      </c>
    </row>
    <row r="113" spans="1:11" x14ac:dyDescent="0.25">
      <c r="A113" s="2">
        <v>42959</v>
      </c>
      <c r="B113" s="1" t="s">
        <v>6</v>
      </c>
      <c r="C113" t="s">
        <v>7</v>
      </c>
      <c r="D113" t="s">
        <v>14</v>
      </c>
      <c r="E113">
        <v>11</v>
      </c>
      <c r="F113">
        <v>94</v>
      </c>
      <c r="G113">
        <f t="shared" si="5"/>
        <v>0</v>
      </c>
      <c r="H113">
        <f t="shared" si="6"/>
        <v>82</v>
      </c>
      <c r="I113">
        <f t="shared" si="7"/>
        <v>117</v>
      </c>
      <c r="J113">
        <f t="shared" si="8"/>
        <v>0</v>
      </c>
      <c r="K113">
        <f t="shared" si="9"/>
        <v>51</v>
      </c>
    </row>
    <row r="114" spans="1:11" x14ac:dyDescent="0.25">
      <c r="A114" s="2">
        <v>42959</v>
      </c>
      <c r="B114" s="1" t="s">
        <v>6</v>
      </c>
      <c r="C114" t="s">
        <v>9</v>
      </c>
      <c r="D114" t="s">
        <v>14</v>
      </c>
      <c r="E114">
        <v>48</v>
      </c>
      <c r="F114">
        <v>59</v>
      </c>
      <c r="G114">
        <f t="shared" si="5"/>
        <v>0</v>
      </c>
      <c r="H114">
        <f t="shared" si="6"/>
        <v>82</v>
      </c>
      <c r="I114">
        <f t="shared" si="7"/>
        <v>117</v>
      </c>
      <c r="J114">
        <f t="shared" si="8"/>
        <v>0</v>
      </c>
      <c r="K114">
        <f t="shared" si="9"/>
        <v>3</v>
      </c>
    </row>
    <row r="115" spans="1:11" x14ac:dyDescent="0.25">
      <c r="A115" s="2">
        <v>42959</v>
      </c>
      <c r="B115" s="1" t="s">
        <v>6</v>
      </c>
      <c r="C115" t="s">
        <v>12</v>
      </c>
      <c r="D115" t="s">
        <v>8</v>
      </c>
      <c r="E115">
        <v>20</v>
      </c>
      <c r="F115">
        <v>21</v>
      </c>
      <c r="G115">
        <f t="shared" si="5"/>
        <v>0</v>
      </c>
      <c r="H115">
        <f t="shared" si="6"/>
        <v>82</v>
      </c>
      <c r="I115">
        <f t="shared" si="7"/>
        <v>137</v>
      </c>
      <c r="J115">
        <f t="shared" si="8"/>
        <v>0</v>
      </c>
      <c r="K115">
        <f t="shared" si="9"/>
        <v>3</v>
      </c>
    </row>
    <row r="116" spans="1:11" x14ac:dyDescent="0.25">
      <c r="A116" s="2">
        <v>42959</v>
      </c>
      <c r="B116" s="1" t="s">
        <v>6</v>
      </c>
      <c r="C116" t="s">
        <v>11</v>
      </c>
      <c r="D116" t="s">
        <v>8</v>
      </c>
      <c r="E116">
        <v>26</v>
      </c>
      <c r="F116">
        <v>25</v>
      </c>
      <c r="G116">
        <f t="shared" si="5"/>
        <v>0</v>
      </c>
      <c r="H116">
        <f t="shared" si="6"/>
        <v>108</v>
      </c>
      <c r="I116">
        <f t="shared" si="7"/>
        <v>137</v>
      </c>
      <c r="J116">
        <f t="shared" si="8"/>
        <v>0</v>
      </c>
      <c r="K116">
        <f t="shared" si="9"/>
        <v>3</v>
      </c>
    </row>
    <row r="117" spans="1:11" x14ac:dyDescent="0.25">
      <c r="A117" s="2">
        <v>42974</v>
      </c>
      <c r="B117" s="1" t="s">
        <v>13</v>
      </c>
      <c r="C117" t="s">
        <v>10</v>
      </c>
      <c r="D117" t="s">
        <v>8</v>
      </c>
      <c r="E117">
        <v>24</v>
      </c>
      <c r="F117">
        <v>9</v>
      </c>
      <c r="G117">
        <f t="shared" si="5"/>
        <v>24</v>
      </c>
      <c r="H117">
        <f t="shared" si="6"/>
        <v>108</v>
      </c>
      <c r="I117">
        <f t="shared" si="7"/>
        <v>137</v>
      </c>
      <c r="J117">
        <f t="shared" si="8"/>
        <v>0</v>
      </c>
      <c r="K117">
        <f t="shared" si="9"/>
        <v>3</v>
      </c>
    </row>
    <row r="118" spans="1:11" x14ac:dyDescent="0.25">
      <c r="A118" s="2">
        <v>42974</v>
      </c>
      <c r="B118" s="1" t="s">
        <v>13</v>
      </c>
      <c r="C118" t="s">
        <v>7</v>
      </c>
      <c r="D118" t="s">
        <v>8</v>
      </c>
      <c r="E118">
        <v>38</v>
      </c>
      <c r="F118">
        <v>68</v>
      </c>
      <c r="G118">
        <f t="shared" si="5"/>
        <v>24</v>
      </c>
      <c r="H118">
        <f t="shared" si="6"/>
        <v>108</v>
      </c>
      <c r="I118">
        <f t="shared" si="7"/>
        <v>137</v>
      </c>
      <c r="J118">
        <f t="shared" si="8"/>
        <v>38</v>
      </c>
      <c r="K118">
        <f t="shared" si="9"/>
        <v>3</v>
      </c>
    </row>
    <row r="119" spans="1:11" x14ac:dyDescent="0.25">
      <c r="A119" s="2">
        <v>42974</v>
      </c>
      <c r="B119" s="1" t="s">
        <v>13</v>
      </c>
      <c r="C119" t="s">
        <v>12</v>
      </c>
      <c r="D119" t="s">
        <v>8</v>
      </c>
      <c r="E119">
        <v>14</v>
      </c>
      <c r="F119">
        <v>21</v>
      </c>
      <c r="G119">
        <f t="shared" si="5"/>
        <v>24</v>
      </c>
      <c r="H119">
        <f t="shared" si="6"/>
        <v>108</v>
      </c>
      <c r="I119">
        <f t="shared" si="7"/>
        <v>151</v>
      </c>
      <c r="J119">
        <f t="shared" si="8"/>
        <v>38</v>
      </c>
      <c r="K119">
        <f t="shared" si="9"/>
        <v>3</v>
      </c>
    </row>
    <row r="120" spans="1:11" x14ac:dyDescent="0.25">
      <c r="A120" s="2">
        <v>42974</v>
      </c>
      <c r="B120" s="1" t="s">
        <v>13</v>
      </c>
      <c r="C120" t="s">
        <v>9</v>
      </c>
      <c r="D120" t="s">
        <v>8</v>
      </c>
      <c r="E120">
        <v>4</v>
      </c>
      <c r="F120">
        <v>43</v>
      </c>
      <c r="G120">
        <f t="shared" si="5"/>
        <v>24</v>
      </c>
      <c r="H120">
        <f t="shared" si="6"/>
        <v>108</v>
      </c>
      <c r="I120">
        <f t="shared" si="7"/>
        <v>151</v>
      </c>
      <c r="J120">
        <f t="shared" si="8"/>
        <v>38</v>
      </c>
      <c r="K120">
        <f t="shared" si="9"/>
        <v>7</v>
      </c>
    </row>
    <row r="121" spans="1:11" x14ac:dyDescent="0.25">
      <c r="A121" s="2">
        <v>42993</v>
      </c>
      <c r="B121" s="1" t="s">
        <v>15</v>
      </c>
      <c r="C121" t="s">
        <v>11</v>
      </c>
      <c r="D121" t="s">
        <v>14</v>
      </c>
      <c r="E121">
        <v>19</v>
      </c>
      <c r="F121">
        <v>36</v>
      </c>
      <c r="G121">
        <f t="shared" si="5"/>
        <v>24</v>
      </c>
      <c r="H121">
        <f t="shared" si="6"/>
        <v>89</v>
      </c>
      <c r="I121">
        <f t="shared" si="7"/>
        <v>151</v>
      </c>
      <c r="J121">
        <f t="shared" si="8"/>
        <v>38</v>
      </c>
      <c r="K121">
        <f t="shared" si="9"/>
        <v>7</v>
      </c>
    </row>
    <row r="122" spans="1:11" x14ac:dyDescent="0.25">
      <c r="A122" s="2">
        <v>42993</v>
      </c>
      <c r="B122" s="1" t="s">
        <v>15</v>
      </c>
      <c r="C122" t="s">
        <v>7</v>
      </c>
      <c r="D122" t="s">
        <v>8</v>
      </c>
      <c r="E122">
        <v>30</v>
      </c>
      <c r="F122">
        <v>65</v>
      </c>
      <c r="G122">
        <f t="shared" si="5"/>
        <v>24</v>
      </c>
      <c r="H122">
        <f t="shared" si="6"/>
        <v>89</v>
      </c>
      <c r="I122">
        <f t="shared" si="7"/>
        <v>151</v>
      </c>
      <c r="J122">
        <f t="shared" si="8"/>
        <v>68</v>
      </c>
      <c r="K122">
        <f t="shared" si="9"/>
        <v>7</v>
      </c>
    </row>
    <row r="123" spans="1:11" x14ac:dyDescent="0.25">
      <c r="A123" s="2">
        <v>43019</v>
      </c>
      <c r="B123" s="1" t="s">
        <v>16</v>
      </c>
      <c r="C123" t="s">
        <v>9</v>
      </c>
      <c r="D123" t="s">
        <v>14</v>
      </c>
      <c r="E123">
        <v>6</v>
      </c>
      <c r="F123">
        <v>63</v>
      </c>
      <c r="G123">
        <f t="shared" si="5"/>
        <v>24</v>
      </c>
      <c r="H123">
        <f t="shared" si="6"/>
        <v>89</v>
      </c>
      <c r="I123">
        <f t="shared" si="7"/>
        <v>151</v>
      </c>
      <c r="J123">
        <f t="shared" si="8"/>
        <v>68</v>
      </c>
      <c r="K123">
        <f t="shared" si="9"/>
        <v>1</v>
      </c>
    </row>
    <row r="124" spans="1:11" x14ac:dyDescent="0.25">
      <c r="A124" s="2">
        <v>43019</v>
      </c>
      <c r="B124" s="1" t="s">
        <v>16</v>
      </c>
      <c r="C124" t="s">
        <v>7</v>
      </c>
      <c r="D124" t="s">
        <v>8</v>
      </c>
      <c r="E124">
        <v>43</v>
      </c>
      <c r="F124">
        <v>59</v>
      </c>
      <c r="G124">
        <f t="shared" si="5"/>
        <v>24</v>
      </c>
      <c r="H124">
        <f t="shared" si="6"/>
        <v>89</v>
      </c>
      <c r="I124">
        <f t="shared" si="7"/>
        <v>151</v>
      </c>
      <c r="J124">
        <f t="shared" si="8"/>
        <v>111</v>
      </c>
      <c r="K124">
        <f t="shared" si="9"/>
        <v>1</v>
      </c>
    </row>
    <row r="125" spans="1:11" x14ac:dyDescent="0.25">
      <c r="A125" s="2">
        <v>43040</v>
      </c>
      <c r="B125" s="1" t="s">
        <v>17</v>
      </c>
      <c r="C125" t="s">
        <v>9</v>
      </c>
      <c r="D125" t="s">
        <v>14</v>
      </c>
      <c r="E125">
        <v>1</v>
      </c>
      <c r="F125">
        <v>61</v>
      </c>
      <c r="G125">
        <f t="shared" si="5"/>
        <v>24</v>
      </c>
      <c r="H125">
        <f t="shared" si="6"/>
        <v>89</v>
      </c>
      <c r="I125">
        <f t="shared" si="7"/>
        <v>151</v>
      </c>
      <c r="J125">
        <f t="shared" si="8"/>
        <v>111</v>
      </c>
      <c r="K125">
        <f t="shared" si="9"/>
        <v>0</v>
      </c>
    </row>
    <row r="126" spans="1:11" x14ac:dyDescent="0.25">
      <c r="A126" s="2">
        <v>43040</v>
      </c>
      <c r="B126" s="1" t="s">
        <v>17</v>
      </c>
      <c r="C126" t="s">
        <v>12</v>
      </c>
      <c r="D126" t="s">
        <v>14</v>
      </c>
      <c r="E126">
        <v>147</v>
      </c>
      <c r="F126">
        <v>30</v>
      </c>
      <c r="G126">
        <f t="shared" si="5"/>
        <v>24</v>
      </c>
      <c r="H126">
        <f t="shared" si="6"/>
        <v>89</v>
      </c>
      <c r="I126">
        <f t="shared" si="7"/>
        <v>4</v>
      </c>
      <c r="J126">
        <f t="shared" si="8"/>
        <v>111</v>
      </c>
      <c r="K126">
        <f t="shared" si="9"/>
        <v>0</v>
      </c>
    </row>
    <row r="127" spans="1:11" x14ac:dyDescent="0.25">
      <c r="A127" s="2">
        <v>43040</v>
      </c>
      <c r="B127" s="1" t="s">
        <v>17</v>
      </c>
      <c r="C127" t="s">
        <v>10</v>
      </c>
      <c r="D127" t="s">
        <v>8</v>
      </c>
      <c r="E127">
        <v>15</v>
      </c>
      <c r="F127">
        <v>8</v>
      </c>
      <c r="G127">
        <f t="shared" si="5"/>
        <v>39</v>
      </c>
      <c r="H127">
        <f t="shared" si="6"/>
        <v>89</v>
      </c>
      <c r="I127">
        <f t="shared" si="7"/>
        <v>4</v>
      </c>
      <c r="J127">
        <f t="shared" si="8"/>
        <v>111</v>
      </c>
      <c r="K127">
        <f t="shared" si="9"/>
        <v>0</v>
      </c>
    </row>
    <row r="128" spans="1:11" x14ac:dyDescent="0.25">
      <c r="A128" s="2">
        <v>43040</v>
      </c>
      <c r="B128" s="1" t="s">
        <v>17</v>
      </c>
      <c r="C128" t="s">
        <v>7</v>
      </c>
      <c r="D128" t="s">
        <v>8</v>
      </c>
      <c r="E128">
        <v>24</v>
      </c>
      <c r="F128">
        <v>63</v>
      </c>
      <c r="G128">
        <f t="shared" si="5"/>
        <v>39</v>
      </c>
      <c r="H128">
        <f t="shared" si="6"/>
        <v>89</v>
      </c>
      <c r="I128">
        <f t="shared" si="7"/>
        <v>4</v>
      </c>
      <c r="J128">
        <f t="shared" si="8"/>
        <v>135</v>
      </c>
      <c r="K128">
        <f t="shared" si="9"/>
        <v>0</v>
      </c>
    </row>
    <row r="129" spans="1:11" x14ac:dyDescent="0.25">
      <c r="A129" s="2">
        <v>43040</v>
      </c>
      <c r="B129" s="1" t="s">
        <v>17</v>
      </c>
      <c r="C129" t="s">
        <v>11</v>
      </c>
      <c r="D129" t="s">
        <v>8</v>
      </c>
      <c r="E129">
        <v>19</v>
      </c>
      <c r="F129">
        <v>24</v>
      </c>
      <c r="G129">
        <f t="shared" si="5"/>
        <v>39</v>
      </c>
      <c r="H129">
        <f t="shared" si="6"/>
        <v>108</v>
      </c>
      <c r="I129">
        <f t="shared" si="7"/>
        <v>4</v>
      </c>
      <c r="J129">
        <f t="shared" si="8"/>
        <v>135</v>
      </c>
      <c r="K129">
        <f t="shared" si="9"/>
        <v>0</v>
      </c>
    </row>
    <row r="130" spans="1:11" x14ac:dyDescent="0.25">
      <c r="A130" s="2">
        <v>43064</v>
      </c>
      <c r="B130" s="1" t="s">
        <v>18</v>
      </c>
      <c r="C130" t="s">
        <v>7</v>
      </c>
      <c r="D130" t="s">
        <v>14</v>
      </c>
      <c r="E130">
        <v>134</v>
      </c>
      <c r="F130">
        <v>99</v>
      </c>
      <c r="G130">
        <f t="shared" si="5"/>
        <v>39</v>
      </c>
      <c r="H130">
        <f t="shared" si="6"/>
        <v>108</v>
      </c>
      <c r="I130">
        <f t="shared" si="7"/>
        <v>4</v>
      </c>
      <c r="J130">
        <f t="shared" si="8"/>
        <v>1</v>
      </c>
      <c r="K130">
        <f t="shared" si="9"/>
        <v>0</v>
      </c>
    </row>
    <row r="131" spans="1:11" x14ac:dyDescent="0.25">
      <c r="A131" s="2">
        <v>43064</v>
      </c>
      <c r="B131" s="1" t="s">
        <v>18</v>
      </c>
      <c r="C131" t="s">
        <v>9</v>
      </c>
      <c r="D131" t="s">
        <v>8</v>
      </c>
      <c r="E131">
        <v>12</v>
      </c>
      <c r="F131">
        <v>38</v>
      </c>
      <c r="G131">
        <f t="shared" si="5"/>
        <v>39</v>
      </c>
      <c r="H131">
        <f t="shared" si="6"/>
        <v>108</v>
      </c>
      <c r="I131">
        <f t="shared" si="7"/>
        <v>4</v>
      </c>
      <c r="J131">
        <f t="shared" si="8"/>
        <v>1</v>
      </c>
      <c r="K131">
        <f t="shared" si="9"/>
        <v>12</v>
      </c>
    </row>
    <row r="132" spans="1:11" x14ac:dyDescent="0.25">
      <c r="A132" s="2">
        <v>43082</v>
      </c>
      <c r="B132" s="1" t="s">
        <v>19</v>
      </c>
      <c r="C132" t="s">
        <v>12</v>
      </c>
      <c r="D132" t="s">
        <v>14</v>
      </c>
      <c r="E132">
        <v>4</v>
      </c>
      <c r="F132">
        <v>30</v>
      </c>
      <c r="G132">
        <f t="shared" si="5"/>
        <v>39</v>
      </c>
      <c r="H132">
        <f t="shared" si="6"/>
        <v>108</v>
      </c>
      <c r="I132">
        <f t="shared" si="7"/>
        <v>0</v>
      </c>
      <c r="J132">
        <f t="shared" si="8"/>
        <v>1</v>
      </c>
      <c r="K132">
        <f t="shared" si="9"/>
        <v>12</v>
      </c>
    </row>
    <row r="133" spans="1:11" x14ac:dyDescent="0.25">
      <c r="A133" s="2">
        <v>43082</v>
      </c>
      <c r="B133" s="1" t="s">
        <v>19</v>
      </c>
      <c r="C133" t="s">
        <v>10</v>
      </c>
      <c r="D133" t="s">
        <v>8</v>
      </c>
      <c r="E133">
        <v>26</v>
      </c>
      <c r="F133">
        <v>8</v>
      </c>
      <c r="G133">
        <f t="shared" si="5"/>
        <v>65</v>
      </c>
      <c r="H133">
        <f t="shared" si="6"/>
        <v>108</v>
      </c>
      <c r="I133">
        <f t="shared" si="7"/>
        <v>0</v>
      </c>
      <c r="J133">
        <f t="shared" si="8"/>
        <v>1</v>
      </c>
      <c r="K133">
        <f t="shared" si="9"/>
        <v>12</v>
      </c>
    </row>
    <row r="134" spans="1:11" x14ac:dyDescent="0.25">
      <c r="A134" s="2">
        <v>43082</v>
      </c>
      <c r="B134" s="1" t="s">
        <v>19</v>
      </c>
      <c r="C134" t="s">
        <v>7</v>
      </c>
      <c r="D134" t="s">
        <v>8</v>
      </c>
      <c r="E134">
        <v>38</v>
      </c>
      <c r="F134">
        <v>66</v>
      </c>
      <c r="G134">
        <f t="shared" si="5"/>
        <v>65</v>
      </c>
      <c r="H134">
        <f t="shared" si="6"/>
        <v>108</v>
      </c>
      <c r="I134">
        <f t="shared" si="7"/>
        <v>0</v>
      </c>
      <c r="J134">
        <f t="shared" si="8"/>
        <v>39</v>
      </c>
      <c r="K134">
        <f t="shared" si="9"/>
        <v>12</v>
      </c>
    </row>
    <row r="135" spans="1:11" x14ac:dyDescent="0.25">
      <c r="A135" s="2">
        <v>43104</v>
      </c>
      <c r="B135" s="1" t="s">
        <v>20</v>
      </c>
      <c r="C135" t="s">
        <v>7</v>
      </c>
      <c r="D135" t="s">
        <v>14</v>
      </c>
      <c r="E135">
        <v>38</v>
      </c>
      <c r="F135">
        <v>98</v>
      </c>
      <c r="G135">
        <f t="shared" si="5"/>
        <v>65</v>
      </c>
      <c r="H135">
        <f t="shared" si="6"/>
        <v>108</v>
      </c>
      <c r="I135">
        <f t="shared" si="7"/>
        <v>0</v>
      </c>
      <c r="J135">
        <f t="shared" si="8"/>
        <v>1</v>
      </c>
      <c r="K135">
        <f t="shared" si="9"/>
        <v>12</v>
      </c>
    </row>
    <row r="136" spans="1:11" x14ac:dyDescent="0.25">
      <c r="A136" s="2">
        <v>43104</v>
      </c>
      <c r="B136" s="1" t="s">
        <v>20</v>
      </c>
      <c r="C136" t="s">
        <v>11</v>
      </c>
      <c r="D136" t="s">
        <v>14</v>
      </c>
      <c r="E136">
        <v>44</v>
      </c>
      <c r="F136">
        <v>37</v>
      </c>
      <c r="G136">
        <f t="shared" ref="G136:G199" si="10">IF($C136=G$1,IF($D136="W",G135-$E136,G135+$E136),G135)</f>
        <v>65</v>
      </c>
      <c r="H136">
        <f t="shared" ref="H136:H199" si="11">IF($C136=H$1,IF($D136="W",H135-$E136,H135+$E136),H135)</f>
        <v>64</v>
      </c>
      <c r="I136">
        <f t="shared" ref="I136:I199" si="12">IF($C136=I$1,IF($D136="W",I135-$E136,I135+$E136),I135)</f>
        <v>0</v>
      </c>
      <c r="J136">
        <f t="shared" ref="J136:J199" si="13">IF($C136=J$1,IF($D136="W",J135-$E136,J135+$E136),J135)</f>
        <v>1</v>
      </c>
      <c r="K136">
        <f t="shared" ref="K136:K199" si="14">IF($C136=K$1,IF($D136="W",K135-$E136,K135+$E136),K135)</f>
        <v>12</v>
      </c>
    </row>
    <row r="137" spans="1:11" x14ac:dyDescent="0.25">
      <c r="A137" s="2">
        <v>43104</v>
      </c>
      <c r="B137" s="1" t="s">
        <v>20</v>
      </c>
      <c r="C137" t="s">
        <v>10</v>
      </c>
      <c r="D137" t="s">
        <v>8</v>
      </c>
      <c r="E137">
        <v>21</v>
      </c>
      <c r="F137">
        <v>8</v>
      </c>
      <c r="G137">
        <f t="shared" si="10"/>
        <v>86</v>
      </c>
      <c r="H137">
        <f t="shared" si="11"/>
        <v>64</v>
      </c>
      <c r="I137">
        <f t="shared" si="12"/>
        <v>0</v>
      </c>
      <c r="J137">
        <f t="shared" si="13"/>
        <v>1</v>
      </c>
      <c r="K137">
        <f t="shared" si="14"/>
        <v>12</v>
      </c>
    </row>
    <row r="138" spans="1:11" x14ac:dyDescent="0.25">
      <c r="A138" s="2">
        <v>43104</v>
      </c>
      <c r="B138" s="1" t="s">
        <v>20</v>
      </c>
      <c r="C138" t="s">
        <v>9</v>
      </c>
      <c r="D138" t="s">
        <v>8</v>
      </c>
      <c r="E138">
        <v>10</v>
      </c>
      <c r="F138">
        <v>39</v>
      </c>
      <c r="G138">
        <f t="shared" si="10"/>
        <v>86</v>
      </c>
      <c r="H138">
        <f t="shared" si="11"/>
        <v>64</v>
      </c>
      <c r="I138">
        <f t="shared" si="12"/>
        <v>0</v>
      </c>
      <c r="J138">
        <f t="shared" si="13"/>
        <v>1</v>
      </c>
      <c r="K138">
        <f t="shared" si="14"/>
        <v>22</v>
      </c>
    </row>
    <row r="139" spans="1:11" x14ac:dyDescent="0.25">
      <c r="A139" s="2">
        <v>43129</v>
      </c>
      <c r="B139" s="1" t="s">
        <v>21</v>
      </c>
      <c r="C139" t="s">
        <v>11</v>
      </c>
      <c r="D139" t="s">
        <v>14</v>
      </c>
      <c r="E139">
        <v>15</v>
      </c>
      <c r="F139">
        <v>38</v>
      </c>
      <c r="G139">
        <f t="shared" si="10"/>
        <v>86</v>
      </c>
      <c r="H139">
        <f t="shared" si="11"/>
        <v>49</v>
      </c>
      <c r="I139">
        <f t="shared" si="12"/>
        <v>0</v>
      </c>
      <c r="J139">
        <f t="shared" si="13"/>
        <v>1</v>
      </c>
      <c r="K139">
        <f t="shared" si="14"/>
        <v>22</v>
      </c>
    </row>
    <row r="140" spans="1:11" x14ac:dyDescent="0.25">
      <c r="A140" s="2">
        <v>43129</v>
      </c>
      <c r="B140" s="1" t="s">
        <v>21</v>
      </c>
      <c r="C140" t="s">
        <v>9</v>
      </c>
      <c r="D140" t="s">
        <v>14</v>
      </c>
      <c r="E140">
        <v>22</v>
      </c>
      <c r="F140">
        <v>63</v>
      </c>
      <c r="G140">
        <f t="shared" si="10"/>
        <v>86</v>
      </c>
      <c r="H140">
        <f t="shared" si="11"/>
        <v>49</v>
      </c>
      <c r="I140">
        <f t="shared" si="12"/>
        <v>0</v>
      </c>
      <c r="J140">
        <f t="shared" si="13"/>
        <v>1</v>
      </c>
      <c r="K140">
        <f t="shared" si="14"/>
        <v>0</v>
      </c>
    </row>
    <row r="141" spans="1:11" x14ac:dyDescent="0.25">
      <c r="A141" s="2">
        <v>43129</v>
      </c>
      <c r="B141" s="1" t="s">
        <v>21</v>
      </c>
      <c r="C141" t="s">
        <v>7</v>
      </c>
      <c r="D141" t="s">
        <v>8</v>
      </c>
      <c r="E141">
        <v>9</v>
      </c>
      <c r="F141">
        <v>60</v>
      </c>
      <c r="G141">
        <f t="shared" si="10"/>
        <v>86</v>
      </c>
      <c r="H141">
        <f t="shared" si="11"/>
        <v>49</v>
      </c>
      <c r="I141">
        <f t="shared" si="12"/>
        <v>0</v>
      </c>
      <c r="J141">
        <f t="shared" si="13"/>
        <v>10</v>
      </c>
      <c r="K141">
        <f t="shared" si="14"/>
        <v>0</v>
      </c>
    </row>
    <row r="142" spans="1:11" x14ac:dyDescent="0.25">
      <c r="A142" s="2">
        <v>43129</v>
      </c>
      <c r="B142" s="1" t="s">
        <v>21</v>
      </c>
      <c r="C142" t="s">
        <v>12</v>
      </c>
      <c r="D142" t="s">
        <v>8</v>
      </c>
      <c r="E142">
        <v>6</v>
      </c>
      <c r="F142">
        <v>19</v>
      </c>
      <c r="G142">
        <f t="shared" si="10"/>
        <v>86</v>
      </c>
      <c r="H142">
        <f t="shared" si="11"/>
        <v>49</v>
      </c>
      <c r="I142">
        <f t="shared" si="12"/>
        <v>6</v>
      </c>
      <c r="J142">
        <f t="shared" si="13"/>
        <v>10</v>
      </c>
      <c r="K142">
        <f t="shared" si="14"/>
        <v>0</v>
      </c>
    </row>
    <row r="143" spans="1:11" x14ac:dyDescent="0.25">
      <c r="A143" s="2">
        <v>43129</v>
      </c>
      <c r="B143" s="1" t="s">
        <v>21</v>
      </c>
      <c r="C143" t="s">
        <v>10</v>
      </c>
      <c r="D143" t="s">
        <v>8</v>
      </c>
      <c r="E143">
        <v>4</v>
      </c>
      <c r="F143">
        <v>8</v>
      </c>
      <c r="G143">
        <f t="shared" si="10"/>
        <v>90</v>
      </c>
      <c r="H143">
        <f t="shared" si="11"/>
        <v>49</v>
      </c>
      <c r="I143">
        <f t="shared" si="12"/>
        <v>6</v>
      </c>
      <c r="J143">
        <f t="shared" si="13"/>
        <v>10</v>
      </c>
      <c r="K143">
        <f t="shared" si="14"/>
        <v>0</v>
      </c>
    </row>
    <row r="144" spans="1:11" x14ac:dyDescent="0.25">
      <c r="A144" s="2">
        <v>43130</v>
      </c>
      <c r="B144" s="1" t="s">
        <v>22</v>
      </c>
      <c r="C144" t="s">
        <v>12</v>
      </c>
      <c r="D144" t="s">
        <v>14</v>
      </c>
      <c r="E144">
        <v>6</v>
      </c>
      <c r="F144">
        <v>25</v>
      </c>
      <c r="G144">
        <f t="shared" si="10"/>
        <v>90</v>
      </c>
      <c r="H144">
        <f t="shared" si="11"/>
        <v>49</v>
      </c>
      <c r="I144">
        <f t="shared" si="12"/>
        <v>0</v>
      </c>
      <c r="J144">
        <f t="shared" si="13"/>
        <v>10</v>
      </c>
      <c r="K144">
        <f t="shared" si="14"/>
        <v>0</v>
      </c>
    </row>
    <row r="145" spans="1:11" x14ac:dyDescent="0.25">
      <c r="A145" s="2">
        <v>43130</v>
      </c>
      <c r="B145" s="1" t="s">
        <v>22</v>
      </c>
      <c r="C145" t="s">
        <v>7</v>
      </c>
      <c r="D145" t="s">
        <v>8</v>
      </c>
      <c r="E145">
        <v>48</v>
      </c>
      <c r="F145">
        <v>79</v>
      </c>
      <c r="G145">
        <f t="shared" si="10"/>
        <v>90</v>
      </c>
      <c r="H145">
        <f t="shared" si="11"/>
        <v>49</v>
      </c>
      <c r="I145">
        <f t="shared" si="12"/>
        <v>0</v>
      </c>
      <c r="J145">
        <f t="shared" si="13"/>
        <v>58</v>
      </c>
      <c r="K145">
        <f t="shared" si="14"/>
        <v>0</v>
      </c>
    </row>
    <row r="146" spans="1:11" x14ac:dyDescent="0.25">
      <c r="A146" s="2">
        <v>43147</v>
      </c>
      <c r="B146" s="1" t="s">
        <v>6</v>
      </c>
      <c r="C146" t="s">
        <v>9</v>
      </c>
      <c r="D146" t="s">
        <v>8</v>
      </c>
      <c r="E146">
        <v>34</v>
      </c>
      <c r="F146">
        <v>42</v>
      </c>
      <c r="G146">
        <f t="shared" si="10"/>
        <v>90</v>
      </c>
      <c r="H146">
        <f t="shared" si="11"/>
        <v>49</v>
      </c>
      <c r="I146">
        <f t="shared" si="12"/>
        <v>0</v>
      </c>
      <c r="J146">
        <f t="shared" si="13"/>
        <v>58</v>
      </c>
      <c r="K146">
        <f t="shared" si="14"/>
        <v>34</v>
      </c>
    </row>
    <row r="147" spans="1:11" x14ac:dyDescent="0.25">
      <c r="A147" s="2">
        <v>43147</v>
      </c>
      <c r="B147" s="1" t="s">
        <v>6</v>
      </c>
      <c r="C147" t="s">
        <v>11</v>
      </c>
      <c r="D147" t="s">
        <v>14</v>
      </c>
      <c r="E147">
        <v>49</v>
      </c>
      <c r="F147">
        <v>35</v>
      </c>
      <c r="G147">
        <f t="shared" si="10"/>
        <v>90</v>
      </c>
      <c r="H147">
        <f t="shared" si="11"/>
        <v>0</v>
      </c>
      <c r="I147">
        <f t="shared" si="12"/>
        <v>0</v>
      </c>
      <c r="J147">
        <f t="shared" si="13"/>
        <v>58</v>
      </c>
      <c r="K147">
        <f t="shared" si="14"/>
        <v>34</v>
      </c>
    </row>
    <row r="148" spans="1:11" x14ac:dyDescent="0.25">
      <c r="A148" s="2">
        <v>43147</v>
      </c>
      <c r="B148" s="1" t="s">
        <v>6</v>
      </c>
      <c r="C148" t="s">
        <v>10</v>
      </c>
      <c r="D148" t="s">
        <v>8</v>
      </c>
      <c r="E148">
        <v>10</v>
      </c>
      <c r="F148">
        <v>8</v>
      </c>
      <c r="G148">
        <f t="shared" si="10"/>
        <v>100</v>
      </c>
      <c r="H148">
        <f t="shared" si="11"/>
        <v>0</v>
      </c>
      <c r="I148">
        <f t="shared" si="12"/>
        <v>0</v>
      </c>
      <c r="J148">
        <f t="shared" si="13"/>
        <v>58</v>
      </c>
      <c r="K148">
        <f t="shared" si="14"/>
        <v>34</v>
      </c>
    </row>
    <row r="149" spans="1:11" x14ac:dyDescent="0.25">
      <c r="A149" s="2">
        <v>43147</v>
      </c>
      <c r="B149" s="1" t="s">
        <v>6</v>
      </c>
      <c r="C149" t="s">
        <v>12</v>
      </c>
      <c r="D149" t="s">
        <v>8</v>
      </c>
      <c r="E149">
        <v>47</v>
      </c>
      <c r="F149">
        <v>21</v>
      </c>
      <c r="G149">
        <f t="shared" si="10"/>
        <v>100</v>
      </c>
      <c r="H149">
        <f t="shared" si="11"/>
        <v>0</v>
      </c>
      <c r="I149">
        <f t="shared" si="12"/>
        <v>47</v>
      </c>
      <c r="J149">
        <f t="shared" si="13"/>
        <v>58</v>
      </c>
      <c r="K149">
        <f t="shared" si="14"/>
        <v>34</v>
      </c>
    </row>
    <row r="150" spans="1:11" x14ac:dyDescent="0.25">
      <c r="A150" s="2">
        <v>43147</v>
      </c>
      <c r="B150" s="1" t="s">
        <v>6</v>
      </c>
      <c r="C150" t="s">
        <v>7</v>
      </c>
      <c r="D150" t="s">
        <v>8</v>
      </c>
      <c r="E150">
        <v>48</v>
      </c>
      <c r="F150">
        <v>66</v>
      </c>
      <c r="G150">
        <f t="shared" si="10"/>
        <v>100</v>
      </c>
      <c r="H150">
        <f t="shared" si="11"/>
        <v>0</v>
      </c>
      <c r="I150">
        <f t="shared" si="12"/>
        <v>47</v>
      </c>
      <c r="J150">
        <f t="shared" si="13"/>
        <v>106</v>
      </c>
      <c r="K150">
        <f t="shared" si="14"/>
        <v>34</v>
      </c>
    </row>
    <row r="151" spans="1:11" x14ac:dyDescent="0.25">
      <c r="A151" s="2">
        <v>43162</v>
      </c>
      <c r="B151" s="1" t="s">
        <v>13</v>
      </c>
      <c r="C151" t="s">
        <v>9</v>
      </c>
      <c r="D151" t="s">
        <v>14</v>
      </c>
      <c r="E151">
        <v>34</v>
      </c>
      <c r="F151">
        <v>58</v>
      </c>
      <c r="G151">
        <f t="shared" si="10"/>
        <v>100</v>
      </c>
      <c r="H151">
        <f t="shared" si="11"/>
        <v>0</v>
      </c>
      <c r="I151">
        <f t="shared" si="12"/>
        <v>47</v>
      </c>
      <c r="J151">
        <f t="shared" si="13"/>
        <v>106</v>
      </c>
      <c r="K151">
        <f t="shared" si="14"/>
        <v>0</v>
      </c>
    </row>
    <row r="152" spans="1:11" x14ac:dyDescent="0.25">
      <c r="A152" s="2">
        <v>43162</v>
      </c>
      <c r="B152" s="1" t="s">
        <v>13</v>
      </c>
      <c r="C152" t="s">
        <v>10</v>
      </c>
      <c r="D152" t="s">
        <v>8</v>
      </c>
      <c r="E152">
        <v>5</v>
      </c>
      <c r="F152">
        <v>9</v>
      </c>
      <c r="G152">
        <f t="shared" si="10"/>
        <v>105</v>
      </c>
      <c r="H152">
        <f t="shared" si="11"/>
        <v>0</v>
      </c>
      <c r="I152">
        <f t="shared" si="12"/>
        <v>47</v>
      </c>
      <c r="J152">
        <f t="shared" si="13"/>
        <v>106</v>
      </c>
      <c r="K152">
        <f t="shared" si="14"/>
        <v>0</v>
      </c>
    </row>
    <row r="153" spans="1:11" x14ac:dyDescent="0.25">
      <c r="A153" s="2">
        <v>43181</v>
      </c>
      <c r="B153" s="1" t="s">
        <v>15</v>
      </c>
      <c r="C153" t="s">
        <v>12</v>
      </c>
      <c r="D153" t="s">
        <v>14</v>
      </c>
      <c r="E153">
        <v>46</v>
      </c>
      <c r="F153">
        <v>30</v>
      </c>
      <c r="G153">
        <f t="shared" si="10"/>
        <v>105</v>
      </c>
      <c r="H153">
        <f t="shared" si="11"/>
        <v>0</v>
      </c>
      <c r="I153">
        <f t="shared" si="12"/>
        <v>1</v>
      </c>
      <c r="J153">
        <f t="shared" si="13"/>
        <v>106</v>
      </c>
      <c r="K153">
        <f t="shared" si="14"/>
        <v>0</v>
      </c>
    </row>
    <row r="154" spans="1:11" x14ac:dyDescent="0.25">
      <c r="A154" s="2">
        <v>43181</v>
      </c>
      <c r="B154" s="1" t="s">
        <v>15</v>
      </c>
      <c r="C154" t="s">
        <v>7</v>
      </c>
      <c r="D154" t="s">
        <v>8</v>
      </c>
      <c r="E154">
        <v>49</v>
      </c>
      <c r="F154">
        <v>65</v>
      </c>
      <c r="G154">
        <f t="shared" si="10"/>
        <v>105</v>
      </c>
      <c r="H154">
        <f t="shared" si="11"/>
        <v>0</v>
      </c>
      <c r="I154">
        <f t="shared" si="12"/>
        <v>1</v>
      </c>
      <c r="J154">
        <f t="shared" si="13"/>
        <v>155</v>
      </c>
      <c r="K154">
        <f t="shared" si="14"/>
        <v>0</v>
      </c>
    </row>
    <row r="155" spans="1:11" x14ac:dyDescent="0.25">
      <c r="A155" s="2">
        <v>43181</v>
      </c>
      <c r="B155" s="1" t="s">
        <v>15</v>
      </c>
      <c r="C155" t="s">
        <v>10</v>
      </c>
      <c r="D155" t="s">
        <v>8</v>
      </c>
      <c r="E155">
        <v>16</v>
      </c>
      <c r="F155">
        <v>8</v>
      </c>
      <c r="G155">
        <f t="shared" si="10"/>
        <v>121</v>
      </c>
      <c r="H155">
        <f t="shared" si="11"/>
        <v>0</v>
      </c>
      <c r="I155">
        <f t="shared" si="12"/>
        <v>1</v>
      </c>
      <c r="J155">
        <f t="shared" si="13"/>
        <v>155</v>
      </c>
      <c r="K155">
        <f t="shared" si="14"/>
        <v>0</v>
      </c>
    </row>
    <row r="156" spans="1:11" x14ac:dyDescent="0.25">
      <c r="A156" s="2">
        <v>43207</v>
      </c>
      <c r="B156" s="1" t="s">
        <v>16</v>
      </c>
      <c r="C156" t="s">
        <v>9</v>
      </c>
      <c r="D156" t="s">
        <v>8</v>
      </c>
      <c r="E156">
        <v>5</v>
      </c>
      <c r="F156">
        <v>37</v>
      </c>
      <c r="G156">
        <f t="shared" si="10"/>
        <v>121</v>
      </c>
      <c r="H156">
        <f t="shared" si="11"/>
        <v>0</v>
      </c>
      <c r="I156">
        <f t="shared" si="12"/>
        <v>1</v>
      </c>
      <c r="J156">
        <f t="shared" si="13"/>
        <v>155</v>
      </c>
      <c r="K156">
        <f t="shared" si="14"/>
        <v>5</v>
      </c>
    </row>
    <row r="157" spans="1:11" x14ac:dyDescent="0.25">
      <c r="A157" s="2">
        <v>43207</v>
      </c>
      <c r="B157" s="1" t="s">
        <v>16</v>
      </c>
      <c r="C157" t="s">
        <v>12</v>
      </c>
      <c r="D157" t="s">
        <v>14</v>
      </c>
      <c r="E157">
        <v>1</v>
      </c>
      <c r="F157">
        <v>32</v>
      </c>
      <c r="G157">
        <f t="shared" si="10"/>
        <v>121</v>
      </c>
      <c r="H157">
        <f t="shared" si="11"/>
        <v>0</v>
      </c>
      <c r="I157">
        <f t="shared" si="12"/>
        <v>0</v>
      </c>
      <c r="J157">
        <f t="shared" si="13"/>
        <v>155</v>
      </c>
      <c r="K157">
        <f t="shared" si="14"/>
        <v>5</v>
      </c>
    </row>
    <row r="158" spans="1:11" x14ac:dyDescent="0.25">
      <c r="A158" s="2">
        <v>43207</v>
      </c>
      <c r="B158" s="1" t="s">
        <v>16</v>
      </c>
      <c r="C158" t="s">
        <v>10</v>
      </c>
      <c r="D158" t="s">
        <v>8</v>
      </c>
      <c r="E158">
        <v>34</v>
      </c>
      <c r="F158">
        <v>7</v>
      </c>
      <c r="G158">
        <f t="shared" si="10"/>
        <v>155</v>
      </c>
      <c r="H158">
        <f t="shared" si="11"/>
        <v>0</v>
      </c>
      <c r="I158">
        <f t="shared" si="12"/>
        <v>0</v>
      </c>
      <c r="J158">
        <f t="shared" si="13"/>
        <v>155</v>
      </c>
      <c r="K158">
        <f t="shared" si="14"/>
        <v>5</v>
      </c>
    </row>
    <row r="159" spans="1:11" x14ac:dyDescent="0.25">
      <c r="A159" s="2">
        <v>43207</v>
      </c>
      <c r="B159" s="1" t="s">
        <v>16</v>
      </c>
      <c r="C159" t="s">
        <v>7</v>
      </c>
      <c r="D159" t="s">
        <v>8</v>
      </c>
      <c r="E159">
        <v>29</v>
      </c>
      <c r="F159">
        <v>59</v>
      </c>
      <c r="G159">
        <f t="shared" si="10"/>
        <v>155</v>
      </c>
      <c r="H159">
        <f t="shared" si="11"/>
        <v>0</v>
      </c>
      <c r="I159">
        <f t="shared" si="12"/>
        <v>0</v>
      </c>
      <c r="J159">
        <f t="shared" si="13"/>
        <v>184</v>
      </c>
      <c r="K159">
        <f t="shared" si="14"/>
        <v>5</v>
      </c>
    </row>
    <row r="160" spans="1:11" x14ac:dyDescent="0.25">
      <c r="A160" s="2">
        <v>43228</v>
      </c>
      <c r="B160" s="1" t="s">
        <v>17</v>
      </c>
      <c r="C160" t="s">
        <v>11</v>
      </c>
      <c r="D160" t="s">
        <v>8</v>
      </c>
      <c r="E160">
        <v>34</v>
      </c>
      <c r="F160">
        <v>24</v>
      </c>
      <c r="G160">
        <f t="shared" si="10"/>
        <v>155</v>
      </c>
      <c r="H160">
        <f t="shared" si="11"/>
        <v>34</v>
      </c>
      <c r="I160">
        <f t="shared" si="12"/>
        <v>0</v>
      </c>
      <c r="J160">
        <f t="shared" si="13"/>
        <v>184</v>
      </c>
      <c r="K160">
        <f t="shared" si="14"/>
        <v>5</v>
      </c>
    </row>
    <row r="161" spans="1:13" x14ac:dyDescent="0.25">
      <c r="A161" s="2">
        <v>43228</v>
      </c>
      <c r="B161" s="1" t="s">
        <v>17</v>
      </c>
      <c r="C161" t="s">
        <v>12</v>
      </c>
      <c r="D161" t="s">
        <v>8</v>
      </c>
      <c r="E161">
        <v>27</v>
      </c>
      <c r="F161">
        <v>20</v>
      </c>
      <c r="G161">
        <f t="shared" si="10"/>
        <v>155</v>
      </c>
      <c r="H161">
        <f t="shared" si="11"/>
        <v>34</v>
      </c>
      <c r="I161">
        <f t="shared" si="12"/>
        <v>27</v>
      </c>
      <c r="J161">
        <f t="shared" si="13"/>
        <v>184</v>
      </c>
      <c r="K161">
        <f t="shared" si="14"/>
        <v>5</v>
      </c>
    </row>
    <row r="162" spans="1:13" x14ac:dyDescent="0.25">
      <c r="A162" s="2">
        <v>43228</v>
      </c>
      <c r="B162" s="1" t="s">
        <v>17</v>
      </c>
      <c r="C162" t="s">
        <v>10</v>
      </c>
      <c r="D162" t="s">
        <v>8</v>
      </c>
      <c r="E162">
        <v>40</v>
      </c>
      <c r="F162">
        <v>8</v>
      </c>
      <c r="G162">
        <f t="shared" si="10"/>
        <v>195</v>
      </c>
      <c r="H162">
        <f t="shared" si="11"/>
        <v>34</v>
      </c>
      <c r="I162">
        <f t="shared" si="12"/>
        <v>27</v>
      </c>
      <c r="J162">
        <f t="shared" si="13"/>
        <v>184</v>
      </c>
      <c r="K162">
        <f t="shared" si="14"/>
        <v>5</v>
      </c>
    </row>
    <row r="163" spans="1:13" x14ac:dyDescent="0.25">
      <c r="A163" s="2">
        <v>43252</v>
      </c>
      <c r="B163" s="1" t="s">
        <v>18</v>
      </c>
      <c r="C163" t="s">
        <v>7</v>
      </c>
      <c r="D163" t="s">
        <v>14</v>
      </c>
      <c r="E163">
        <v>184</v>
      </c>
      <c r="F163">
        <v>99</v>
      </c>
      <c r="G163">
        <f t="shared" si="10"/>
        <v>195</v>
      </c>
      <c r="H163">
        <f t="shared" si="11"/>
        <v>34</v>
      </c>
      <c r="I163">
        <f t="shared" si="12"/>
        <v>27</v>
      </c>
      <c r="J163">
        <f t="shared" si="13"/>
        <v>0</v>
      </c>
      <c r="K163">
        <f t="shared" si="14"/>
        <v>5</v>
      </c>
    </row>
    <row r="164" spans="1:13" x14ac:dyDescent="0.25">
      <c r="A164" s="2">
        <v>43252</v>
      </c>
      <c r="B164" s="1" t="s">
        <v>18</v>
      </c>
      <c r="C164" t="s">
        <v>9</v>
      </c>
      <c r="D164" t="s">
        <v>8</v>
      </c>
      <c r="E164">
        <v>48</v>
      </c>
      <c r="F164">
        <v>38</v>
      </c>
      <c r="G164">
        <f t="shared" si="10"/>
        <v>195</v>
      </c>
      <c r="H164">
        <f t="shared" si="11"/>
        <v>34</v>
      </c>
      <c r="I164">
        <f t="shared" si="12"/>
        <v>27</v>
      </c>
      <c r="J164">
        <f t="shared" si="13"/>
        <v>0</v>
      </c>
      <c r="K164">
        <f t="shared" si="14"/>
        <v>53</v>
      </c>
    </row>
    <row r="165" spans="1:13" x14ac:dyDescent="0.25">
      <c r="A165" s="2">
        <v>43252</v>
      </c>
      <c r="B165" s="1" t="s">
        <v>18</v>
      </c>
      <c r="C165" t="s">
        <v>11</v>
      </c>
      <c r="D165" t="s">
        <v>8</v>
      </c>
      <c r="E165">
        <v>21</v>
      </c>
      <c r="F165">
        <v>23</v>
      </c>
      <c r="G165">
        <f t="shared" si="10"/>
        <v>195</v>
      </c>
      <c r="H165">
        <f t="shared" si="11"/>
        <v>55</v>
      </c>
      <c r="I165">
        <f t="shared" si="12"/>
        <v>27</v>
      </c>
      <c r="J165">
        <f t="shared" si="13"/>
        <v>0</v>
      </c>
      <c r="K165">
        <f t="shared" si="14"/>
        <v>53</v>
      </c>
    </row>
    <row r="166" spans="1:13" x14ac:dyDescent="0.25">
      <c r="A166" s="2">
        <v>43270</v>
      </c>
      <c r="B166" s="1" t="s">
        <v>19</v>
      </c>
      <c r="C166" t="s">
        <v>7</v>
      </c>
      <c r="D166" t="s">
        <v>8</v>
      </c>
      <c r="E166">
        <v>47</v>
      </c>
      <c r="F166">
        <v>66</v>
      </c>
      <c r="G166">
        <f t="shared" si="10"/>
        <v>195</v>
      </c>
      <c r="H166">
        <f t="shared" si="11"/>
        <v>55</v>
      </c>
      <c r="I166">
        <f t="shared" si="12"/>
        <v>27</v>
      </c>
      <c r="J166">
        <f t="shared" si="13"/>
        <v>47</v>
      </c>
      <c r="K166">
        <f t="shared" si="14"/>
        <v>53</v>
      </c>
    </row>
    <row r="167" spans="1:13" x14ac:dyDescent="0.25">
      <c r="A167" s="2">
        <v>43270</v>
      </c>
      <c r="B167" s="1" t="s">
        <v>19</v>
      </c>
      <c r="C167" t="s">
        <v>11</v>
      </c>
      <c r="D167" t="s">
        <v>8</v>
      </c>
      <c r="E167">
        <v>6</v>
      </c>
      <c r="F167">
        <v>25</v>
      </c>
      <c r="G167">
        <f t="shared" si="10"/>
        <v>195</v>
      </c>
      <c r="H167">
        <f t="shared" si="11"/>
        <v>61</v>
      </c>
      <c r="I167">
        <f t="shared" si="12"/>
        <v>27</v>
      </c>
      <c r="J167">
        <f t="shared" si="13"/>
        <v>47</v>
      </c>
      <c r="K167">
        <f t="shared" si="14"/>
        <v>53</v>
      </c>
    </row>
    <row r="168" spans="1:13" x14ac:dyDescent="0.25">
      <c r="A168" s="2">
        <v>43270</v>
      </c>
      <c r="B168" s="1" t="s">
        <v>19</v>
      </c>
      <c r="C168" t="s">
        <v>9</v>
      </c>
      <c r="D168" t="s">
        <v>8</v>
      </c>
      <c r="E168">
        <v>47</v>
      </c>
      <c r="F168">
        <v>41</v>
      </c>
      <c r="G168">
        <f t="shared" si="10"/>
        <v>195</v>
      </c>
      <c r="H168">
        <f t="shared" si="11"/>
        <v>61</v>
      </c>
      <c r="I168">
        <f t="shared" si="12"/>
        <v>27</v>
      </c>
      <c r="J168">
        <f t="shared" si="13"/>
        <v>47</v>
      </c>
      <c r="K168">
        <f t="shared" si="14"/>
        <v>100</v>
      </c>
    </row>
    <row r="169" spans="1:13" x14ac:dyDescent="0.25">
      <c r="A169" s="2">
        <v>43292</v>
      </c>
      <c r="B169" s="1" t="s">
        <v>20</v>
      </c>
      <c r="C169" t="s">
        <v>10</v>
      </c>
      <c r="D169" t="s">
        <v>14</v>
      </c>
      <c r="E169">
        <v>192</v>
      </c>
      <c r="F169">
        <v>12</v>
      </c>
      <c r="G169">
        <f t="shared" si="10"/>
        <v>3</v>
      </c>
      <c r="H169">
        <f t="shared" si="11"/>
        <v>61</v>
      </c>
      <c r="I169">
        <f t="shared" si="12"/>
        <v>27</v>
      </c>
      <c r="J169">
        <f t="shared" si="13"/>
        <v>47</v>
      </c>
      <c r="K169">
        <f t="shared" si="14"/>
        <v>100</v>
      </c>
    </row>
    <row r="170" spans="1:13" x14ac:dyDescent="0.25">
      <c r="A170" s="2">
        <v>43292</v>
      </c>
      <c r="B170" s="1" t="s">
        <v>20</v>
      </c>
      <c r="C170" t="s">
        <v>11</v>
      </c>
      <c r="D170" t="s">
        <v>14</v>
      </c>
      <c r="E170">
        <v>48</v>
      </c>
      <c r="F170">
        <v>37</v>
      </c>
      <c r="G170">
        <f t="shared" si="10"/>
        <v>3</v>
      </c>
      <c r="H170">
        <f t="shared" si="11"/>
        <v>13</v>
      </c>
      <c r="I170">
        <f t="shared" si="12"/>
        <v>27</v>
      </c>
      <c r="J170">
        <f t="shared" si="13"/>
        <v>47</v>
      </c>
      <c r="K170">
        <f t="shared" si="14"/>
        <v>100</v>
      </c>
    </row>
    <row r="171" spans="1:13" x14ac:dyDescent="0.25">
      <c r="A171" s="2">
        <v>43292</v>
      </c>
      <c r="B171" s="1" t="s">
        <v>20</v>
      </c>
      <c r="C171" t="s">
        <v>7</v>
      </c>
      <c r="D171" t="s">
        <v>8</v>
      </c>
      <c r="E171">
        <v>18</v>
      </c>
      <c r="F171">
        <v>62</v>
      </c>
      <c r="G171">
        <f t="shared" si="10"/>
        <v>3</v>
      </c>
      <c r="H171">
        <f t="shared" si="11"/>
        <v>13</v>
      </c>
      <c r="I171">
        <f t="shared" si="12"/>
        <v>27</v>
      </c>
      <c r="J171">
        <f t="shared" si="13"/>
        <v>65</v>
      </c>
      <c r="K171">
        <f t="shared" si="14"/>
        <v>100</v>
      </c>
    </row>
    <row r="172" spans="1:13" x14ac:dyDescent="0.25">
      <c r="A172" s="2">
        <v>43292</v>
      </c>
      <c r="B172" s="1" t="s">
        <v>20</v>
      </c>
      <c r="C172" t="s">
        <v>9</v>
      </c>
      <c r="D172" t="s">
        <v>8</v>
      </c>
      <c r="E172">
        <v>25</v>
      </c>
      <c r="F172">
        <v>39</v>
      </c>
      <c r="G172">
        <f t="shared" si="10"/>
        <v>3</v>
      </c>
      <c r="H172">
        <f t="shared" si="11"/>
        <v>13</v>
      </c>
      <c r="I172">
        <f t="shared" si="12"/>
        <v>27</v>
      </c>
      <c r="J172">
        <f t="shared" si="13"/>
        <v>65</v>
      </c>
      <c r="K172">
        <f t="shared" si="14"/>
        <v>125</v>
      </c>
    </row>
    <row r="173" spans="1:13" x14ac:dyDescent="0.25">
      <c r="A173" s="16">
        <v>43292</v>
      </c>
      <c r="B173" s="17" t="s">
        <v>20</v>
      </c>
      <c r="C173" s="13" t="s">
        <v>12</v>
      </c>
      <c r="D173" s="13" t="s">
        <v>8</v>
      </c>
      <c r="E173" s="13">
        <v>2</v>
      </c>
      <c r="F173" s="13">
        <v>20</v>
      </c>
      <c r="G173" s="18">
        <f t="shared" si="10"/>
        <v>3</v>
      </c>
      <c r="H173" s="13">
        <f t="shared" si="11"/>
        <v>13</v>
      </c>
      <c r="I173" s="13">
        <f t="shared" si="12"/>
        <v>29</v>
      </c>
      <c r="J173" s="13">
        <f t="shared" si="13"/>
        <v>65</v>
      </c>
      <c r="K173" s="18">
        <f t="shared" si="14"/>
        <v>125</v>
      </c>
      <c r="L173" t="s">
        <v>40</v>
      </c>
      <c r="M173" t="s">
        <v>39</v>
      </c>
    </row>
    <row r="174" spans="1:13" x14ac:dyDescent="0.25">
      <c r="A174" s="2">
        <v>43317</v>
      </c>
      <c r="B174" s="1" t="s">
        <v>21</v>
      </c>
      <c r="C174" t="s">
        <v>11</v>
      </c>
      <c r="D174" t="s">
        <v>14</v>
      </c>
      <c r="E174">
        <v>13</v>
      </c>
      <c r="F174">
        <v>38</v>
      </c>
      <c r="G174">
        <f t="shared" si="10"/>
        <v>3</v>
      </c>
      <c r="H174">
        <f t="shared" si="11"/>
        <v>0</v>
      </c>
      <c r="I174">
        <f t="shared" si="12"/>
        <v>29</v>
      </c>
      <c r="J174">
        <f t="shared" si="13"/>
        <v>65</v>
      </c>
      <c r="K174">
        <f t="shared" si="14"/>
        <v>125</v>
      </c>
    </row>
    <row r="175" spans="1:13" x14ac:dyDescent="0.25">
      <c r="A175" s="2">
        <v>43317</v>
      </c>
      <c r="B175" s="1" t="s">
        <v>21</v>
      </c>
      <c r="C175" t="s">
        <v>9</v>
      </c>
      <c r="D175" t="s">
        <v>14</v>
      </c>
      <c r="E175">
        <v>121</v>
      </c>
      <c r="F175">
        <v>63</v>
      </c>
      <c r="G175">
        <f t="shared" si="10"/>
        <v>3</v>
      </c>
      <c r="H175">
        <f t="shared" si="11"/>
        <v>0</v>
      </c>
      <c r="I175">
        <f t="shared" si="12"/>
        <v>29</v>
      </c>
      <c r="J175">
        <f t="shared" si="13"/>
        <v>65</v>
      </c>
      <c r="K175">
        <f t="shared" si="14"/>
        <v>4</v>
      </c>
    </row>
    <row r="176" spans="1:13" x14ac:dyDescent="0.25">
      <c r="A176" s="2">
        <v>43317</v>
      </c>
      <c r="B176" s="1" t="s">
        <v>21</v>
      </c>
      <c r="C176" t="s">
        <v>12</v>
      </c>
      <c r="D176" t="s">
        <v>8</v>
      </c>
      <c r="E176">
        <v>30</v>
      </c>
      <c r="F176">
        <v>19</v>
      </c>
      <c r="G176">
        <f t="shared" si="10"/>
        <v>3</v>
      </c>
      <c r="H176">
        <f t="shared" si="11"/>
        <v>0</v>
      </c>
      <c r="I176">
        <f t="shared" si="12"/>
        <v>59</v>
      </c>
      <c r="J176">
        <f t="shared" si="13"/>
        <v>65</v>
      </c>
      <c r="K176">
        <f t="shared" si="14"/>
        <v>4</v>
      </c>
    </row>
    <row r="177" spans="1:11" x14ac:dyDescent="0.25">
      <c r="A177" s="2">
        <v>43317</v>
      </c>
      <c r="B177" s="1" t="s">
        <v>21</v>
      </c>
      <c r="C177" t="s">
        <v>10</v>
      </c>
      <c r="D177" t="s">
        <v>8</v>
      </c>
      <c r="E177">
        <v>46</v>
      </c>
      <c r="F177">
        <v>8</v>
      </c>
      <c r="G177">
        <f t="shared" si="10"/>
        <v>49</v>
      </c>
      <c r="H177">
        <f t="shared" si="11"/>
        <v>0</v>
      </c>
      <c r="I177">
        <f t="shared" si="12"/>
        <v>59</v>
      </c>
      <c r="J177">
        <f t="shared" si="13"/>
        <v>65</v>
      </c>
      <c r="K177">
        <f t="shared" si="14"/>
        <v>4</v>
      </c>
    </row>
    <row r="178" spans="1:11" x14ac:dyDescent="0.25">
      <c r="A178" s="2">
        <v>43330</v>
      </c>
      <c r="B178" s="1" t="s">
        <v>22</v>
      </c>
      <c r="C178" t="s">
        <v>10</v>
      </c>
      <c r="D178" t="s">
        <v>14</v>
      </c>
      <c r="E178">
        <v>49</v>
      </c>
      <c r="F178">
        <v>11</v>
      </c>
      <c r="G178">
        <f t="shared" si="10"/>
        <v>0</v>
      </c>
      <c r="H178">
        <f t="shared" si="11"/>
        <v>0</v>
      </c>
      <c r="I178">
        <f t="shared" si="12"/>
        <v>59</v>
      </c>
      <c r="J178">
        <f t="shared" si="13"/>
        <v>65</v>
      </c>
      <c r="K178">
        <f t="shared" si="14"/>
        <v>4</v>
      </c>
    </row>
    <row r="179" spans="1:11" x14ac:dyDescent="0.25">
      <c r="A179" s="2">
        <v>43330</v>
      </c>
      <c r="B179" s="1" t="s">
        <v>22</v>
      </c>
      <c r="C179" t="s">
        <v>7</v>
      </c>
      <c r="D179" t="s">
        <v>14</v>
      </c>
      <c r="E179">
        <v>61</v>
      </c>
      <c r="F179">
        <v>90</v>
      </c>
      <c r="G179">
        <f t="shared" si="10"/>
        <v>0</v>
      </c>
      <c r="H179">
        <f t="shared" si="11"/>
        <v>0</v>
      </c>
      <c r="I179">
        <f t="shared" si="12"/>
        <v>59</v>
      </c>
      <c r="J179">
        <f t="shared" si="13"/>
        <v>4</v>
      </c>
      <c r="K179">
        <f t="shared" si="14"/>
        <v>4</v>
      </c>
    </row>
    <row r="180" spans="1:11" x14ac:dyDescent="0.25">
      <c r="A180" s="2">
        <v>43330</v>
      </c>
      <c r="B180" s="1" t="s">
        <v>22</v>
      </c>
      <c r="C180" t="s">
        <v>12</v>
      </c>
      <c r="D180" t="s">
        <v>8</v>
      </c>
      <c r="E180">
        <v>19</v>
      </c>
      <c r="F180">
        <v>22</v>
      </c>
      <c r="G180">
        <f t="shared" si="10"/>
        <v>0</v>
      </c>
      <c r="H180">
        <f t="shared" si="11"/>
        <v>0</v>
      </c>
      <c r="I180">
        <f t="shared" si="12"/>
        <v>78</v>
      </c>
      <c r="J180">
        <f t="shared" si="13"/>
        <v>4</v>
      </c>
      <c r="K180">
        <f t="shared" si="14"/>
        <v>4</v>
      </c>
    </row>
    <row r="181" spans="1:11" x14ac:dyDescent="0.25">
      <c r="A181" s="2">
        <v>43330</v>
      </c>
      <c r="B181" s="1" t="s">
        <v>22</v>
      </c>
      <c r="C181" t="s">
        <v>9</v>
      </c>
      <c r="D181" t="s">
        <v>8</v>
      </c>
      <c r="E181">
        <v>22</v>
      </c>
      <c r="F181">
        <v>44</v>
      </c>
      <c r="G181">
        <f t="shared" si="10"/>
        <v>0</v>
      </c>
      <c r="H181">
        <f t="shared" si="11"/>
        <v>0</v>
      </c>
      <c r="I181">
        <f t="shared" si="12"/>
        <v>78</v>
      </c>
      <c r="J181">
        <f t="shared" si="13"/>
        <v>4</v>
      </c>
      <c r="K181">
        <f t="shared" si="14"/>
        <v>26</v>
      </c>
    </row>
    <row r="182" spans="1:11" x14ac:dyDescent="0.25">
      <c r="A182" s="2">
        <v>43347</v>
      </c>
      <c r="B182" s="1" t="s">
        <v>6</v>
      </c>
      <c r="C182" t="s">
        <v>11</v>
      </c>
      <c r="D182" t="s">
        <v>8</v>
      </c>
      <c r="E182">
        <v>9</v>
      </c>
      <c r="F182">
        <v>25</v>
      </c>
      <c r="G182">
        <f t="shared" si="10"/>
        <v>0</v>
      </c>
      <c r="H182">
        <f t="shared" si="11"/>
        <v>9</v>
      </c>
      <c r="I182">
        <f t="shared" si="12"/>
        <v>78</v>
      </c>
      <c r="J182">
        <f t="shared" si="13"/>
        <v>4</v>
      </c>
      <c r="K182">
        <f t="shared" si="14"/>
        <v>26</v>
      </c>
    </row>
    <row r="183" spans="1:11" x14ac:dyDescent="0.25">
      <c r="A183" s="2">
        <v>43347</v>
      </c>
      <c r="B183" s="1" t="s">
        <v>6</v>
      </c>
      <c r="C183" t="s">
        <v>7</v>
      </c>
      <c r="D183" t="s">
        <v>14</v>
      </c>
      <c r="E183">
        <v>4</v>
      </c>
      <c r="F183">
        <v>94</v>
      </c>
      <c r="G183">
        <f t="shared" si="10"/>
        <v>0</v>
      </c>
      <c r="H183">
        <f t="shared" si="11"/>
        <v>9</v>
      </c>
      <c r="I183">
        <f t="shared" si="12"/>
        <v>78</v>
      </c>
      <c r="J183">
        <f t="shared" si="13"/>
        <v>0</v>
      </c>
      <c r="K183">
        <f t="shared" si="14"/>
        <v>26</v>
      </c>
    </row>
    <row r="184" spans="1:11" x14ac:dyDescent="0.25">
      <c r="A184" s="2">
        <v>43347</v>
      </c>
      <c r="B184" s="1" t="s">
        <v>6</v>
      </c>
      <c r="C184" t="s">
        <v>12</v>
      </c>
      <c r="D184" t="s">
        <v>8</v>
      </c>
      <c r="E184">
        <v>8</v>
      </c>
      <c r="F184">
        <v>21</v>
      </c>
      <c r="G184">
        <f t="shared" si="10"/>
        <v>0</v>
      </c>
      <c r="H184">
        <f t="shared" si="11"/>
        <v>9</v>
      </c>
      <c r="I184">
        <f t="shared" si="12"/>
        <v>86</v>
      </c>
      <c r="J184">
        <f t="shared" si="13"/>
        <v>0</v>
      </c>
      <c r="K184">
        <f t="shared" si="14"/>
        <v>26</v>
      </c>
    </row>
    <row r="185" spans="1:11" x14ac:dyDescent="0.25">
      <c r="A185" s="2">
        <v>43347</v>
      </c>
      <c r="B185" s="1" t="s">
        <v>6</v>
      </c>
      <c r="C185" t="s">
        <v>10</v>
      </c>
      <c r="D185" t="s">
        <v>8</v>
      </c>
      <c r="E185">
        <v>47</v>
      </c>
      <c r="F185">
        <v>8</v>
      </c>
      <c r="G185">
        <f t="shared" si="10"/>
        <v>47</v>
      </c>
      <c r="H185">
        <f t="shared" si="11"/>
        <v>9</v>
      </c>
      <c r="I185">
        <f t="shared" si="12"/>
        <v>86</v>
      </c>
      <c r="J185">
        <f t="shared" si="13"/>
        <v>0</v>
      </c>
      <c r="K185">
        <f t="shared" si="14"/>
        <v>26</v>
      </c>
    </row>
    <row r="186" spans="1:11" x14ac:dyDescent="0.25">
      <c r="A186" s="2">
        <v>43362</v>
      </c>
      <c r="B186" s="1" t="s">
        <v>13</v>
      </c>
      <c r="C186" t="s">
        <v>12</v>
      </c>
      <c r="D186" t="s">
        <v>14</v>
      </c>
      <c r="E186">
        <v>82</v>
      </c>
      <c r="F186">
        <v>29</v>
      </c>
      <c r="G186">
        <f t="shared" si="10"/>
        <v>47</v>
      </c>
      <c r="H186">
        <f t="shared" si="11"/>
        <v>9</v>
      </c>
      <c r="I186">
        <f t="shared" si="12"/>
        <v>4</v>
      </c>
      <c r="J186">
        <f t="shared" si="13"/>
        <v>0</v>
      </c>
      <c r="K186">
        <f t="shared" si="14"/>
        <v>26</v>
      </c>
    </row>
    <row r="187" spans="1:11" x14ac:dyDescent="0.25">
      <c r="A187" s="2">
        <v>43362</v>
      </c>
      <c r="B187" s="1" t="s">
        <v>13</v>
      </c>
      <c r="C187" t="s">
        <v>9</v>
      </c>
      <c r="D187" t="s">
        <v>14</v>
      </c>
      <c r="E187">
        <v>26</v>
      </c>
      <c r="F187">
        <v>58</v>
      </c>
      <c r="G187">
        <f t="shared" si="10"/>
        <v>47</v>
      </c>
      <c r="H187">
        <f t="shared" si="11"/>
        <v>9</v>
      </c>
      <c r="I187">
        <f t="shared" si="12"/>
        <v>4</v>
      </c>
      <c r="J187">
        <f t="shared" si="13"/>
        <v>0</v>
      </c>
      <c r="K187">
        <f t="shared" si="14"/>
        <v>0</v>
      </c>
    </row>
    <row r="188" spans="1:11" x14ac:dyDescent="0.25">
      <c r="A188" s="2">
        <v>43362</v>
      </c>
      <c r="B188" s="1" t="s">
        <v>13</v>
      </c>
      <c r="C188" t="s">
        <v>10</v>
      </c>
      <c r="D188" t="s">
        <v>8</v>
      </c>
      <c r="E188">
        <v>24</v>
      </c>
      <c r="F188">
        <v>9</v>
      </c>
      <c r="G188">
        <f t="shared" si="10"/>
        <v>71</v>
      </c>
      <c r="H188">
        <f t="shared" si="11"/>
        <v>9</v>
      </c>
      <c r="I188">
        <f t="shared" si="12"/>
        <v>4</v>
      </c>
      <c r="J188">
        <f t="shared" si="13"/>
        <v>0</v>
      </c>
      <c r="K188">
        <f t="shared" si="14"/>
        <v>0</v>
      </c>
    </row>
    <row r="189" spans="1:11" x14ac:dyDescent="0.25">
      <c r="A189" s="2">
        <v>43362</v>
      </c>
      <c r="B189" s="1" t="s">
        <v>13</v>
      </c>
      <c r="C189" t="s">
        <v>11</v>
      </c>
      <c r="D189" t="s">
        <v>8</v>
      </c>
      <c r="E189">
        <v>36</v>
      </c>
      <c r="F189">
        <v>26</v>
      </c>
      <c r="G189">
        <f t="shared" si="10"/>
        <v>71</v>
      </c>
      <c r="H189">
        <f t="shared" si="11"/>
        <v>45</v>
      </c>
      <c r="I189">
        <f t="shared" si="12"/>
        <v>4</v>
      </c>
      <c r="J189">
        <f t="shared" si="13"/>
        <v>0</v>
      </c>
      <c r="K189">
        <f t="shared" si="14"/>
        <v>0</v>
      </c>
    </row>
    <row r="190" spans="1:11" x14ac:dyDescent="0.25">
      <c r="A190" s="2">
        <v>43362</v>
      </c>
      <c r="B190" s="1" t="s">
        <v>13</v>
      </c>
      <c r="C190" t="s">
        <v>7</v>
      </c>
      <c r="D190" t="s">
        <v>8</v>
      </c>
      <c r="E190">
        <v>6</v>
      </c>
      <c r="F190">
        <v>68</v>
      </c>
      <c r="G190">
        <f t="shared" si="10"/>
        <v>71</v>
      </c>
      <c r="H190">
        <f t="shared" si="11"/>
        <v>45</v>
      </c>
      <c r="I190">
        <f t="shared" si="12"/>
        <v>4</v>
      </c>
      <c r="J190">
        <f t="shared" si="13"/>
        <v>6</v>
      </c>
      <c r="K190">
        <f t="shared" si="14"/>
        <v>0</v>
      </c>
    </row>
    <row r="191" spans="1:11" x14ac:dyDescent="0.25">
      <c r="A191" s="2">
        <v>43381</v>
      </c>
      <c r="B191" s="1" t="s">
        <v>15</v>
      </c>
      <c r="C191" t="s">
        <v>11</v>
      </c>
      <c r="D191" t="s">
        <v>14</v>
      </c>
      <c r="E191">
        <v>45</v>
      </c>
      <c r="F191">
        <v>36</v>
      </c>
      <c r="G191">
        <f t="shared" si="10"/>
        <v>71</v>
      </c>
      <c r="H191">
        <f t="shared" si="11"/>
        <v>0</v>
      </c>
      <c r="I191">
        <f t="shared" si="12"/>
        <v>4</v>
      </c>
      <c r="J191">
        <f t="shared" si="13"/>
        <v>6</v>
      </c>
      <c r="K191">
        <f t="shared" si="14"/>
        <v>0</v>
      </c>
    </row>
    <row r="192" spans="1:11" x14ac:dyDescent="0.25">
      <c r="A192" s="2">
        <v>43381</v>
      </c>
      <c r="B192" s="1" t="s">
        <v>15</v>
      </c>
      <c r="C192" t="s">
        <v>10</v>
      </c>
      <c r="D192" t="s">
        <v>8</v>
      </c>
      <c r="E192">
        <v>18</v>
      </c>
      <c r="F192">
        <v>8</v>
      </c>
      <c r="G192">
        <f t="shared" si="10"/>
        <v>89</v>
      </c>
      <c r="H192">
        <f t="shared" si="11"/>
        <v>0</v>
      </c>
      <c r="I192">
        <f t="shared" si="12"/>
        <v>4</v>
      </c>
      <c r="J192">
        <f t="shared" si="13"/>
        <v>6</v>
      </c>
      <c r="K192">
        <f t="shared" si="14"/>
        <v>0</v>
      </c>
    </row>
    <row r="193" spans="1:11" x14ac:dyDescent="0.25">
      <c r="A193" s="2">
        <v>43381</v>
      </c>
      <c r="B193" s="1" t="s">
        <v>15</v>
      </c>
      <c r="C193" t="s">
        <v>9</v>
      </c>
      <c r="D193" t="s">
        <v>8</v>
      </c>
      <c r="E193">
        <v>20</v>
      </c>
      <c r="F193">
        <v>41</v>
      </c>
      <c r="G193">
        <f t="shared" si="10"/>
        <v>89</v>
      </c>
      <c r="H193">
        <f t="shared" si="11"/>
        <v>0</v>
      </c>
      <c r="I193">
        <f t="shared" si="12"/>
        <v>4</v>
      </c>
      <c r="J193">
        <f t="shared" si="13"/>
        <v>6</v>
      </c>
      <c r="K193">
        <f t="shared" si="14"/>
        <v>20</v>
      </c>
    </row>
    <row r="194" spans="1:11" x14ac:dyDescent="0.25">
      <c r="A194" s="2">
        <v>43407</v>
      </c>
      <c r="B194" s="1" t="s">
        <v>16</v>
      </c>
      <c r="C194" t="s">
        <v>12</v>
      </c>
      <c r="D194" t="s">
        <v>14</v>
      </c>
      <c r="E194">
        <v>4</v>
      </c>
      <c r="F194">
        <v>32</v>
      </c>
      <c r="G194">
        <f t="shared" si="10"/>
        <v>89</v>
      </c>
      <c r="H194">
        <f t="shared" si="11"/>
        <v>0</v>
      </c>
      <c r="I194">
        <f t="shared" si="12"/>
        <v>0</v>
      </c>
      <c r="J194">
        <f t="shared" si="13"/>
        <v>6</v>
      </c>
      <c r="K194">
        <f t="shared" si="14"/>
        <v>20</v>
      </c>
    </row>
    <row r="195" spans="1:11" x14ac:dyDescent="0.25">
      <c r="A195" s="2">
        <v>43407</v>
      </c>
      <c r="B195" s="1" t="s">
        <v>16</v>
      </c>
      <c r="C195" t="s">
        <v>9</v>
      </c>
      <c r="D195" t="s">
        <v>8</v>
      </c>
      <c r="E195">
        <v>48</v>
      </c>
      <c r="F195">
        <v>37</v>
      </c>
      <c r="G195">
        <f t="shared" si="10"/>
        <v>89</v>
      </c>
      <c r="H195">
        <f t="shared" si="11"/>
        <v>0</v>
      </c>
      <c r="I195">
        <f t="shared" si="12"/>
        <v>0</v>
      </c>
      <c r="J195">
        <f t="shared" si="13"/>
        <v>6</v>
      </c>
      <c r="K195">
        <f t="shared" si="14"/>
        <v>68</v>
      </c>
    </row>
    <row r="196" spans="1:11" x14ac:dyDescent="0.25">
      <c r="A196" s="2">
        <v>43428</v>
      </c>
      <c r="B196" s="1" t="s">
        <v>17</v>
      </c>
      <c r="C196" t="s">
        <v>9</v>
      </c>
      <c r="D196" t="s">
        <v>14</v>
      </c>
      <c r="E196">
        <v>64</v>
      </c>
      <c r="F196">
        <v>61</v>
      </c>
      <c r="G196">
        <f t="shared" si="10"/>
        <v>89</v>
      </c>
      <c r="H196">
        <f t="shared" si="11"/>
        <v>0</v>
      </c>
      <c r="I196">
        <f t="shared" si="12"/>
        <v>0</v>
      </c>
      <c r="J196">
        <f t="shared" si="13"/>
        <v>6</v>
      </c>
      <c r="K196">
        <f t="shared" si="14"/>
        <v>4</v>
      </c>
    </row>
    <row r="197" spans="1:11" x14ac:dyDescent="0.25">
      <c r="A197" s="2">
        <v>43428</v>
      </c>
      <c r="B197" s="1" t="s">
        <v>17</v>
      </c>
      <c r="C197" t="s">
        <v>7</v>
      </c>
      <c r="D197" t="s">
        <v>8</v>
      </c>
      <c r="E197">
        <v>43</v>
      </c>
      <c r="F197">
        <v>63</v>
      </c>
      <c r="G197">
        <f t="shared" si="10"/>
        <v>89</v>
      </c>
      <c r="H197">
        <f t="shared" si="11"/>
        <v>0</v>
      </c>
      <c r="I197">
        <f t="shared" si="12"/>
        <v>0</v>
      </c>
      <c r="J197">
        <f t="shared" si="13"/>
        <v>49</v>
      </c>
      <c r="K197">
        <f t="shared" si="14"/>
        <v>4</v>
      </c>
    </row>
    <row r="198" spans="1:11" x14ac:dyDescent="0.25">
      <c r="A198" s="2">
        <v>43428</v>
      </c>
      <c r="B198" s="1" t="s">
        <v>17</v>
      </c>
      <c r="C198" t="s">
        <v>11</v>
      </c>
      <c r="D198" t="s">
        <v>8</v>
      </c>
      <c r="E198">
        <v>24</v>
      </c>
      <c r="F198">
        <v>24</v>
      </c>
      <c r="G198">
        <f t="shared" si="10"/>
        <v>89</v>
      </c>
      <c r="H198">
        <f t="shared" si="11"/>
        <v>24</v>
      </c>
      <c r="I198">
        <f t="shared" si="12"/>
        <v>0</v>
      </c>
      <c r="J198">
        <f t="shared" si="13"/>
        <v>49</v>
      </c>
      <c r="K198">
        <f t="shared" si="14"/>
        <v>4</v>
      </c>
    </row>
    <row r="199" spans="1:11" x14ac:dyDescent="0.25">
      <c r="A199" s="2">
        <v>43452</v>
      </c>
      <c r="B199" s="1" t="s">
        <v>18</v>
      </c>
      <c r="C199" t="s">
        <v>9</v>
      </c>
      <c r="D199" t="s">
        <v>14</v>
      </c>
      <c r="E199">
        <v>4</v>
      </c>
      <c r="F199">
        <v>62</v>
      </c>
      <c r="G199">
        <f t="shared" si="10"/>
        <v>89</v>
      </c>
      <c r="H199">
        <f t="shared" si="11"/>
        <v>24</v>
      </c>
      <c r="I199">
        <f t="shared" si="12"/>
        <v>0</v>
      </c>
      <c r="J199">
        <f t="shared" si="13"/>
        <v>49</v>
      </c>
      <c r="K199">
        <f t="shared" si="14"/>
        <v>0</v>
      </c>
    </row>
    <row r="200" spans="1:11" x14ac:dyDescent="0.25">
      <c r="A200" s="2">
        <v>43452</v>
      </c>
      <c r="B200" s="1" t="s">
        <v>18</v>
      </c>
      <c r="C200" t="s">
        <v>12</v>
      </c>
      <c r="D200" t="s">
        <v>8</v>
      </c>
      <c r="E200">
        <v>35</v>
      </c>
      <c r="F200">
        <v>19</v>
      </c>
      <c r="G200">
        <f t="shared" ref="G200:G203" si="15">IF($C200=G$1,IF($D200="W",G199-$E200,G199+$E200),G199)</f>
        <v>89</v>
      </c>
      <c r="H200">
        <f t="shared" ref="H200:H203" si="16">IF($C200=H$1,IF($D200="W",H199-$E200,H199+$E200),H199)</f>
        <v>24</v>
      </c>
      <c r="I200">
        <f t="shared" ref="I200:I203" si="17">IF($C200=I$1,IF($D200="W",I199-$E200,I199+$E200),I199)</f>
        <v>35</v>
      </c>
      <c r="J200">
        <f t="shared" ref="J200:J203" si="18">IF($C200=J$1,IF($D200="W",J199-$E200,J199+$E200),J199)</f>
        <v>49</v>
      </c>
      <c r="K200">
        <f t="shared" ref="K200:K203" si="19">IF($C200=K$1,IF($D200="W",K199-$E200,K199+$E200),K199)</f>
        <v>0</v>
      </c>
    </row>
    <row r="201" spans="1:11" x14ac:dyDescent="0.25">
      <c r="A201" s="2">
        <v>43452</v>
      </c>
      <c r="B201" s="1" t="s">
        <v>18</v>
      </c>
      <c r="C201" t="s">
        <v>10</v>
      </c>
      <c r="D201" t="s">
        <v>8</v>
      </c>
      <c r="E201">
        <v>41</v>
      </c>
      <c r="F201">
        <v>8</v>
      </c>
      <c r="G201">
        <f t="shared" si="15"/>
        <v>130</v>
      </c>
      <c r="H201">
        <f t="shared" si="16"/>
        <v>24</v>
      </c>
      <c r="I201">
        <f t="shared" si="17"/>
        <v>35</v>
      </c>
      <c r="J201">
        <f t="shared" si="18"/>
        <v>49</v>
      </c>
      <c r="K201">
        <f t="shared" si="19"/>
        <v>0</v>
      </c>
    </row>
    <row r="202" spans="1:11" x14ac:dyDescent="0.25">
      <c r="A202" s="2">
        <v>43452</v>
      </c>
      <c r="B202" s="1" t="s">
        <v>18</v>
      </c>
      <c r="C202" t="s">
        <v>7</v>
      </c>
      <c r="D202" t="s">
        <v>8</v>
      </c>
      <c r="E202">
        <v>23</v>
      </c>
      <c r="F202">
        <v>61</v>
      </c>
      <c r="G202">
        <f t="shared" si="15"/>
        <v>130</v>
      </c>
      <c r="H202">
        <f t="shared" si="16"/>
        <v>24</v>
      </c>
      <c r="I202">
        <f t="shared" si="17"/>
        <v>35</v>
      </c>
      <c r="J202">
        <f t="shared" si="18"/>
        <v>72</v>
      </c>
      <c r="K202">
        <f t="shared" si="19"/>
        <v>0</v>
      </c>
    </row>
    <row r="203" spans="1:11" x14ac:dyDescent="0.25">
      <c r="A203" s="2">
        <v>43452</v>
      </c>
      <c r="B203" s="1" t="s">
        <v>18</v>
      </c>
      <c r="C203" t="s">
        <v>11</v>
      </c>
      <c r="D203" t="s">
        <v>8</v>
      </c>
      <c r="E203">
        <v>46</v>
      </c>
      <c r="F203">
        <v>23</v>
      </c>
      <c r="G203">
        <f t="shared" si="15"/>
        <v>130</v>
      </c>
      <c r="H203">
        <f t="shared" si="16"/>
        <v>70</v>
      </c>
      <c r="I203">
        <f t="shared" si="17"/>
        <v>35</v>
      </c>
      <c r="J203">
        <f t="shared" si="18"/>
        <v>72</v>
      </c>
      <c r="K203">
        <f t="shared" si="19"/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A8B4-C162-4D06-889C-D2FBCE10B580}">
  <sheetPr>
    <outlinePr summaryBelow="0"/>
  </sheetPr>
  <dimension ref="A1:K203"/>
  <sheetViews>
    <sheetView zoomScale="160" zoomScaleNormal="160" workbookViewId="0">
      <selection activeCell="H73" sqref="H73"/>
    </sheetView>
  </sheetViews>
  <sheetFormatPr defaultRowHeight="15" x14ac:dyDescent="0.25"/>
  <cols>
    <col min="1" max="1" width="10.5703125" bestFit="1" customWidth="1"/>
    <col min="6" max="6" width="21.85546875" bestFit="1" customWidth="1"/>
    <col min="9" max="9" width="10.5703125" bestFit="1" customWidth="1"/>
    <col min="11" max="11" width="6.140625" bestFit="1" customWidth="1"/>
    <col min="12" max="12" width="13" bestFit="1" customWidth="1"/>
    <col min="13" max="13" width="17.7109375" bestFit="1" customWidth="1"/>
    <col min="14" max="14" width="8.5703125" bestFit="1" customWidth="1"/>
    <col min="15" max="15" width="9.5703125" bestFit="1" customWidth="1"/>
    <col min="16" max="18" width="5" bestFit="1" customWidth="1"/>
    <col min="19" max="19" width="7.28515625" bestFit="1" customWidth="1"/>
    <col min="20" max="20" width="14.28515625" bestFit="1" customWidth="1"/>
    <col min="21" max="60" width="10.140625" bestFit="1" customWidth="1"/>
    <col min="61" max="61" width="8.28515625" bestFit="1" customWidth="1"/>
    <col min="62" max="117" width="10.140625" bestFit="1" customWidth="1"/>
    <col min="118" max="118" width="7.28515625" bestFit="1" customWidth="1"/>
    <col min="119" max="119" width="14.28515625" bestFit="1" customWidth="1"/>
  </cols>
  <sheetData>
    <row r="1" spans="1:1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I1" t="s">
        <v>0</v>
      </c>
      <c r="J1" t="s">
        <v>8</v>
      </c>
      <c r="K1" t="s">
        <v>14</v>
      </c>
    </row>
    <row r="2" spans="1:11" x14ac:dyDescent="0.25">
      <c r="A2" s="2">
        <v>42370</v>
      </c>
      <c r="B2" s="1" t="s">
        <v>6</v>
      </c>
      <c r="C2" t="s">
        <v>9</v>
      </c>
      <c r="D2" t="s">
        <v>8</v>
      </c>
      <c r="E2">
        <v>32</v>
      </c>
      <c r="F2">
        <v>50</v>
      </c>
      <c r="I2" s="19">
        <v>42370</v>
      </c>
      <c r="J2">
        <v>32</v>
      </c>
      <c r="K2">
        <v>0</v>
      </c>
    </row>
    <row r="3" spans="1:11" x14ac:dyDescent="0.25">
      <c r="A3" s="2">
        <v>42385</v>
      </c>
      <c r="B3" s="1" t="s">
        <v>13</v>
      </c>
      <c r="C3" t="s">
        <v>9</v>
      </c>
      <c r="D3" t="s">
        <v>14</v>
      </c>
      <c r="E3">
        <v>32</v>
      </c>
      <c r="F3">
        <v>58</v>
      </c>
      <c r="I3" s="19">
        <v>42370</v>
      </c>
      <c r="J3">
        <v>0</v>
      </c>
      <c r="K3">
        <v>0</v>
      </c>
    </row>
    <row r="4" spans="1:11" x14ac:dyDescent="0.25">
      <c r="A4" s="2">
        <v>42393</v>
      </c>
      <c r="B4" s="1" t="s">
        <v>15</v>
      </c>
      <c r="C4" t="s">
        <v>9</v>
      </c>
      <c r="D4" t="s">
        <v>8</v>
      </c>
      <c r="E4">
        <v>44</v>
      </c>
      <c r="F4">
        <v>46</v>
      </c>
      <c r="I4" s="19">
        <v>42385</v>
      </c>
      <c r="J4">
        <v>0</v>
      </c>
      <c r="K4">
        <v>32</v>
      </c>
    </row>
    <row r="5" spans="1:11" x14ac:dyDescent="0.25">
      <c r="A5" s="2">
        <v>42419</v>
      </c>
      <c r="B5" s="1" t="s">
        <v>16</v>
      </c>
      <c r="C5" t="s">
        <v>9</v>
      </c>
      <c r="D5" t="s">
        <v>8</v>
      </c>
      <c r="E5">
        <v>8</v>
      </c>
      <c r="F5">
        <v>37</v>
      </c>
      <c r="I5" s="19">
        <v>42393</v>
      </c>
      <c r="J5">
        <v>44</v>
      </c>
      <c r="K5">
        <v>0</v>
      </c>
    </row>
    <row r="6" spans="1:11" x14ac:dyDescent="0.25">
      <c r="A6" s="2">
        <v>42440</v>
      </c>
      <c r="B6" s="1" t="s">
        <v>17</v>
      </c>
      <c r="C6" t="s">
        <v>9</v>
      </c>
      <c r="D6" t="s">
        <v>14</v>
      </c>
      <c r="E6">
        <v>50</v>
      </c>
      <c r="F6">
        <v>61</v>
      </c>
      <c r="I6" s="19">
        <v>42401</v>
      </c>
      <c r="J6">
        <v>0</v>
      </c>
      <c r="K6">
        <v>0</v>
      </c>
    </row>
    <row r="7" spans="1:11" x14ac:dyDescent="0.25">
      <c r="A7" s="2">
        <v>42464</v>
      </c>
      <c r="B7" s="1" t="s">
        <v>18</v>
      </c>
      <c r="C7" t="s">
        <v>9</v>
      </c>
      <c r="D7" t="s">
        <v>8</v>
      </c>
      <c r="E7">
        <v>33</v>
      </c>
      <c r="F7">
        <v>38</v>
      </c>
      <c r="I7" s="19">
        <v>42419</v>
      </c>
      <c r="J7">
        <v>8</v>
      </c>
      <c r="K7">
        <v>0</v>
      </c>
    </row>
    <row r="8" spans="1:11" x14ac:dyDescent="0.25">
      <c r="A8" s="2">
        <v>42482</v>
      </c>
      <c r="B8" s="1" t="s">
        <v>19</v>
      </c>
      <c r="C8" t="s">
        <v>9</v>
      </c>
      <c r="D8" t="s">
        <v>8</v>
      </c>
      <c r="E8">
        <v>35</v>
      </c>
      <c r="F8">
        <v>41</v>
      </c>
      <c r="I8" s="19">
        <v>42430</v>
      </c>
      <c r="J8">
        <v>0</v>
      </c>
      <c r="K8">
        <v>0</v>
      </c>
    </row>
    <row r="9" spans="1:11" x14ac:dyDescent="0.25">
      <c r="A9" s="2">
        <v>42542</v>
      </c>
      <c r="B9" s="1" t="s">
        <v>22</v>
      </c>
      <c r="C9" t="s">
        <v>9</v>
      </c>
      <c r="D9" t="s">
        <v>8</v>
      </c>
      <c r="E9">
        <v>42</v>
      </c>
      <c r="F9">
        <v>44</v>
      </c>
      <c r="I9" s="19">
        <v>42440</v>
      </c>
      <c r="J9">
        <v>0</v>
      </c>
      <c r="K9">
        <v>50</v>
      </c>
    </row>
    <row r="10" spans="1:11" x14ac:dyDescent="0.25">
      <c r="A10" s="2">
        <v>42559</v>
      </c>
      <c r="B10" s="1" t="s">
        <v>6</v>
      </c>
      <c r="C10" t="s">
        <v>9</v>
      </c>
      <c r="D10" t="s">
        <v>8</v>
      </c>
      <c r="E10">
        <v>35</v>
      </c>
      <c r="F10">
        <v>42</v>
      </c>
      <c r="I10" s="19">
        <v>42461</v>
      </c>
      <c r="J10">
        <v>0</v>
      </c>
      <c r="K10">
        <v>0</v>
      </c>
    </row>
    <row r="11" spans="1:11" x14ac:dyDescent="0.25">
      <c r="A11" s="2">
        <v>42574</v>
      </c>
      <c r="B11" s="1" t="s">
        <v>13</v>
      </c>
      <c r="C11" t="s">
        <v>9</v>
      </c>
      <c r="D11" t="s">
        <v>8</v>
      </c>
      <c r="E11">
        <v>48</v>
      </c>
      <c r="F11">
        <v>43</v>
      </c>
      <c r="I11" s="19">
        <v>42464</v>
      </c>
      <c r="J11">
        <v>33</v>
      </c>
      <c r="K11">
        <v>0</v>
      </c>
    </row>
    <row r="12" spans="1:11" x14ac:dyDescent="0.25">
      <c r="A12" s="2">
        <v>42593</v>
      </c>
      <c r="B12" s="1" t="s">
        <v>15</v>
      </c>
      <c r="C12" t="s">
        <v>9</v>
      </c>
      <c r="D12" t="s">
        <v>14</v>
      </c>
      <c r="E12">
        <v>191</v>
      </c>
      <c r="F12">
        <v>60</v>
      </c>
      <c r="I12" s="19">
        <v>42482</v>
      </c>
      <c r="J12">
        <v>35</v>
      </c>
      <c r="K12">
        <v>0</v>
      </c>
    </row>
    <row r="13" spans="1:11" x14ac:dyDescent="0.25">
      <c r="A13" s="2">
        <v>42619</v>
      </c>
      <c r="B13" s="1" t="s">
        <v>16</v>
      </c>
      <c r="C13" t="s">
        <v>9</v>
      </c>
      <c r="D13" t="s">
        <v>14</v>
      </c>
      <c r="E13">
        <v>4</v>
      </c>
      <c r="F13">
        <v>63</v>
      </c>
      <c r="I13" s="19">
        <v>42491</v>
      </c>
      <c r="J13">
        <v>0</v>
      </c>
      <c r="K13">
        <v>0</v>
      </c>
    </row>
    <row r="14" spans="1:11" x14ac:dyDescent="0.25">
      <c r="A14" s="2">
        <v>42640</v>
      </c>
      <c r="B14" s="1" t="s">
        <v>17</v>
      </c>
      <c r="C14" t="s">
        <v>9</v>
      </c>
      <c r="D14" t="s">
        <v>8</v>
      </c>
      <c r="E14">
        <v>44</v>
      </c>
      <c r="F14">
        <v>40</v>
      </c>
      <c r="I14" s="19">
        <v>42522</v>
      </c>
      <c r="J14">
        <v>0</v>
      </c>
      <c r="K14">
        <v>0</v>
      </c>
    </row>
    <row r="15" spans="1:11" x14ac:dyDescent="0.25">
      <c r="A15" s="2">
        <v>42682</v>
      </c>
      <c r="B15" s="1" t="s">
        <v>19</v>
      </c>
      <c r="C15" t="s">
        <v>9</v>
      </c>
      <c r="D15" t="s">
        <v>8</v>
      </c>
      <c r="E15">
        <v>30</v>
      </c>
      <c r="F15">
        <v>41</v>
      </c>
      <c r="I15" s="19">
        <v>42542</v>
      </c>
      <c r="J15">
        <v>42</v>
      </c>
      <c r="K15">
        <v>0</v>
      </c>
    </row>
    <row r="16" spans="1:11" x14ac:dyDescent="0.25">
      <c r="A16" s="2">
        <v>42742</v>
      </c>
      <c r="B16" s="1" t="s">
        <v>22</v>
      </c>
      <c r="C16" t="s">
        <v>9</v>
      </c>
      <c r="D16" t="s">
        <v>8</v>
      </c>
      <c r="E16">
        <v>39</v>
      </c>
      <c r="F16">
        <v>44</v>
      </c>
      <c r="I16" s="19">
        <v>42552</v>
      </c>
      <c r="J16">
        <v>0</v>
      </c>
      <c r="K16">
        <v>0</v>
      </c>
    </row>
    <row r="17" spans="1:11" x14ac:dyDescent="0.25">
      <c r="A17" s="2">
        <v>42759</v>
      </c>
      <c r="B17" s="1" t="s">
        <v>6</v>
      </c>
      <c r="C17" t="s">
        <v>9</v>
      </c>
      <c r="D17" t="s">
        <v>14</v>
      </c>
      <c r="E17">
        <v>112</v>
      </c>
      <c r="F17">
        <v>59</v>
      </c>
      <c r="I17" s="19">
        <v>42559</v>
      </c>
      <c r="J17">
        <v>35</v>
      </c>
      <c r="K17">
        <v>0</v>
      </c>
    </row>
    <row r="18" spans="1:11" x14ac:dyDescent="0.25">
      <c r="A18" s="2">
        <v>42793</v>
      </c>
      <c r="B18" s="1" t="s">
        <v>15</v>
      </c>
      <c r="C18" t="s">
        <v>9</v>
      </c>
      <c r="D18" t="s">
        <v>14</v>
      </c>
      <c r="E18">
        <v>1</v>
      </c>
      <c r="F18">
        <v>60</v>
      </c>
      <c r="I18" s="19">
        <v>42574</v>
      </c>
      <c r="J18">
        <v>48</v>
      </c>
      <c r="K18">
        <v>0</v>
      </c>
    </row>
    <row r="19" spans="1:11" x14ac:dyDescent="0.25">
      <c r="A19" s="2">
        <v>42819</v>
      </c>
      <c r="B19" s="1" t="s">
        <v>16</v>
      </c>
      <c r="C19" t="s">
        <v>9</v>
      </c>
      <c r="D19" t="s">
        <v>8</v>
      </c>
      <c r="E19">
        <v>35</v>
      </c>
      <c r="F19">
        <v>37</v>
      </c>
      <c r="I19" s="19">
        <v>42583</v>
      </c>
      <c r="J19">
        <v>0</v>
      </c>
      <c r="K19">
        <v>0</v>
      </c>
    </row>
    <row r="20" spans="1:11" x14ac:dyDescent="0.25">
      <c r="A20" s="2">
        <v>42840</v>
      </c>
      <c r="B20" s="1" t="s">
        <v>17</v>
      </c>
      <c r="C20" t="s">
        <v>9</v>
      </c>
      <c r="D20" t="s">
        <v>8</v>
      </c>
      <c r="E20">
        <v>1</v>
      </c>
      <c r="F20">
        <v>40</v>
      </c>
      <c r="I20" s="19">
        <v>42593</v>
      </c>
      <c r="J20">
        <v>0</v>
      </c>
      <c r="K20">
        <v>191</v>
      </c>
    </row>
    <row r="21" spans="1:11" x14ac:dyDescent="0.25">
      <c r="A21" s="2">
        <v>42864</v>
      </c>
      <c r="B21" s="1" t="s">
        <v>18</v>
      </c>
      <c r="C21" t="s">
        <v>9</v>
      </c>
      <c r="D21" t="s">
        <v>8</v>
      </c>
      <c r="E21">
        <v>33</v>
      </c>
      <c r="F21">
        <v>38</v>
      </c>
      <c r="I21" s="19">
        <v>42614</v>
      </c>
      <c r="J21">
        <v>0</v>
      </c>
      <c r="K21">
        <v>0</v>
      </c>
    </row>
    <row r="22" spans="1:11" x14ac:dyDescent="0.25">
      <c r="A22" s="2">
        <v>42882</v>
      </c>
      <c r="B22" s="1" t="s">
        <v>19</v>
      </c>
      <c r="C22" t="s">
        <v>9</v>
      </c>
      <c r="D22" t="s">
        <v>14</v>
      </c>
      <c r="E22">
        <v>68</v>
      </c>
      <c r="F22">
        <v>59</v>
      </c>
      <c r="I22" s="19">
        <v>42619</v>
      </c>
      <c r="J22">
        <v>0</v>
      </c>
      <c r="K22">
        <v>4</v>
      </c>
    </row>
    <row r="23" spans="1:11" x14ac:dyDescent="0.25">
      <c r="A23" s="2">
        <v>42904</v>
      </c>
      <c r="B23" s="1" t="s">
        <v>20</v>
      </c>
      <c r="C23" t="s">
        <v>9</v>
      </c>
      <c r="D23" t="s">
        <v>8</v>
      </c>
      <c r="E23">
        <v>8</v>
      </c>
      <c r="F23">
        <v>39</v>
      </c>
      <c r="I23" s="19">
        <v>42640</v>
      </c>
      <c r="J23">
        <v>44</v>
      </c>
      <c r="K23">
        <v>0</v>
      </c>
    </row>
    <row r="24" spans="1:11" x14ac:dyDescent="0.25">
      <c r="A24" s="2">
        <v>42942</v>
      </c>
      <c r="B24" s="1" t="s">
        <v>22</v>
      </c>
      <c r="C24" t="s">
        <v>9</v>
      </c>
      <c r="D24" t="s">
        <v>8</v>
      </c>
      <c r="E24">
        <v>42</v>
      </c>
      <c r="F24">
        <v>44</v>
      </c>
      <c r="I24" s="19">
        <v>42644</v>
      </c>
      <c r="J24">
        <v>0</v>
      </c>
      <c r="K24">
        <v>0</v>
      </c>
    </row>
    <row r="25" spans="1:11" x14ac:dyDescent="0.25">
      <c r="A25" s="2">
        <v>42959</v>
      </c>
      <c r="B25" s="1" t="s">
        <v>6</v>
      </c>
      <c r="C25" t="s">
        <v>9</v>
      </c>
      <c r="D25" t="s">
        <v>14</v>
      </c>
      <c r="E25">
        <v>48</v>
      </c>
      <c r="F25">
        <v>59</v>
      </c>
      <c r="I25" s="19">
        <v>42675</v>
      </c>
      <c r="J25">
        <v>0</v>
      </c>
      <c r="K25">
        <v>0</v>
      </c>
    </row>
    <row r="26" spans="1:11" x14ac:dyDescent="0.25">
      <c r="A26" s="2">
        <v>42974</v>
      </c>
      <c r="B26" s="1" t="s">
        <v>13</v>
      </c>
      <c r="C26" t="s">
        <v>9</v>
      </c>
      <c r="D26" t="s">
        <v>8</v>
      </c>
      <c r="E26">
        <v>4</v>
      </c>
      <c r="F26">
        <v>43</v>
      </c>
      <c r="I26" s="19">
        <v>42682</v>
      </c>
      <c r="J26">
        <v>30</v>
      </c>
      <c r="K26">
        <v>0</v>
      </c>
    </row>
    <row r="27" spans="1:11" x14ac:dyDescent="0.25">
      <c r="A27" s="2">
        <v>43019</v>
      </c>
      <c r="B27" s="1" t="s">
        <v>16</v>
      </c>
      <c r="C27" t="s">
        <v>9</v>
      </c>
      <c r="D27" t="s">
        <v>14</v>
      </c>
      <c r="E27">
        <v>6</v>
      </c>
      <c r="F27">
        <v>63</v>
      </c>
      <c r="I27" s="19">
        <v>42705</v>
      </c>
      <c r="J27">
        <v>0</v>
      </c>
      <c r="K27">
        <v>0</v>
      </c>
    </row>
    <row r="28" spans="1:11" x14ac:dyDescent="0.25">
      <c r="A28" s="2">
        <v>43040</v>
      </c>
      <c r="B28" s="1" t="s">
        <v>17</v>
      </c>
      <c r="C28" t="s">
        <v>9</v>
      </c>
      <c r="D28" t="s">
        <v>14</v>
      </c>
      <c r="E28">
        <v>1</v>
      </c>
      <c r="F28">
        <v>61</v>
      </c>
      <c r="I28" s="19">
        <v>42736</v>
      </c>
      <c r="J28">
        <v>0</v>
      </c>
      <c r="K28">
        <v>0</v>
      </c>
    </row>
    <row r="29" spans="1:11" x14ac:dyDescent="0.25">
      <c r="A29" s="2">
        <v>43064</v>
      </c>
      <c r="B29" s="1" t="s">
        <v>18</v>
      </c>
      <c r="C29" t="s">
        <v>9</v>
      </c>
      <c r="D29" t="s">
        <v>8</v>
      </c>
      <c r="E29">
        <v>12</v>
      </c>
      <c r="F29">
        <v>38</v>
      </c>
      <c r="I29" s="19">
        <v>42742</v>
      </c>
      <c r="J29">
        <v>39</v>
      </c>
      <c r="K29">
        <v>0</v>
      </c>
    </row>
    <row r="30" spans="1:11" x14ac:dyDescent="0.25">
      <c r="A30" s="2">
        <v>43104</v>
      </c>
      <c r="B30" s="1" t="s">
        <v>20</v>
      </c>
      <c r="C30" t="s">
        <v>9</v>
      </c>
      <c r="D30" t="s">
        <v>8</v>
      </c>
      <c r="E30">
        <v>10</v>
      </c>
      <c r="F30">
        <v>39</v>
      </c>
      <c r="I30" s="19">
        <v>42759</v>
      </c>
      <c r="J30">
        <v>0</v>
      </c>
      <c r="K30">
        <v>112</v>
      </c>
    </row>
    <row r="31" spans="1:11" x14ac:dyDescent="0.25">
      <c r="A31" s="2">
        <v>43129</v>
      </c>
      <c r="B31" s="1" t="s">
        <v>21</v>
      </c>
      <c r="C31" t="s">
        <v>9</v>
      </c>
      <c r="D31" t="s">
        <v>14</v>
      </c>
      <c r="E31">
        <v>22</v>
      </c>
      <c r="F31">
        <v>63</v>
      </c>
      <c r="I31" s="19">
        <v>42767</v>
      </c>
      <c r="J31">
        <v>0</v>
      </c>
      <c r="K31">
        <v>0</v>
      </c>
    </row>
    <row r="32" spans="1:11" x14ac:dyDescent="0.25">
      <c r="A32" s="2">
        <v>43147</v>
      </c>
      <c r="B32" s="1" t="s">
        <v>6</v>
      </c>
      <c r="C32" t="s">
        <v>9</v>
      </c>
      <c r="D32" t="s">
        <v>8</v>
      </c>
      <c r="E32">
        <v>34</v>
      </c>
      <c r="F32">
        <v>42</v>
      </c>
      <c r="I32" s="19">
        <v>42793</v>
      </c>
      <c r="J32">
        <v>0</v>
      </c>
      <c r="K32">
        <v>1</v>
      </c>
    </row>
    <row r="33" spans="1:11" x14ac:dyDescent="0.25">
      <c r="A33" s="2">
        <v>43162</v>
      </c>
      <c r="B33" s="1" t="s">
        <v>13</v>
      </c>
      <c r="C33" t="s">
        <v>9</v>
      </c>
      <c r="D33" t="s">
        <v>14</v>
      </c>
      <c r="E33">
        <v>34</v>
      </c>
      <c r="F33">
        <v>58</v>
      </c>
      <c r="I33" s="19">
        <v>42795</v>
      </c>
      <c r="J33">
        <v>0</v>
      </c>
      <c r="K33">
        <v>0</v>
      </c>
    </row>
    <row r="34" spans="1:11" x14ac:dyDescent="0.25">
      <c r="A34" s="2">
        <v>43207</v>
      </c>
      <c r="B34" s="1" t="s">
        <v>16</v>
      </c>
      <c r="C34" t="s">
        <v>9</v>
      </c>
      <c r="D34" t="s">
        <v>8</v>
      </c>
      <c r="E34">
        <v>5</v>
      </c>
      <c r="F34">
        <v>37</v>
      </c>
      <c r="I34" s="19">
        <v>42819</v>
      </c>
      <c r="J34">
        <v>35</v>
      </c>
      <c r="K34">
        <v>0</v>
      </c>
    </row>
    <row r="35" spans="1:11" x14ac:dyDescent="0.25">
      <c r="A35" s="2">
        <v>43252</v>
      </c>
      <c r="B35" s="1" t="s">
        <v>18</v>
      </c>
      <c r="C35" t="s">
        <v>9</v>
      </c>
      <c r="D35" t="s">
        <v>8</v>
      </c>
      <c r="E35">
        <v>48</v>
      </c>
      <c r="F35">
        <v>38</v>
      </c>
      <c r="I35" s="19">
        <v>42826</v>
      </c>
      <c r="J35">
        <v>0</v>
      </c>
      <c r="K35">
        <v>0</v>
      </c>
    </row>
    <row r="36" spans="1:11" x14ac:dyDescent="0.25">
      <c r="A36" s="2">
        <v>43270</v>
      </c>
      <c r="B36" s="1" t="s">
        <v>19</v>
      </c>
      <c r="C36" t="s">
        <v>9</v>
      </c>
      <c r="D36" t="s">
        <v>8</v>
      </c>
      <c r="E36">
        <v>47</v>
      </c>
      <c r="F36">
        <v>41</v>
      </c>
      <c r="I36" s="19">
        <v>42840</v>
      </c>
      <c r="J36">
        <v>1</v>
      </c>
      <c r="K36">
        <v>0</v>
      </c>
    </row>
    <row r="37" spans="1:11" x14ac:dyDescent="0.25">
      <c r="A37" s="2">
        <v>43292</v>
      </c>
      <c r="B37" s="1" t="s">
        <v>20</v>
      </c>
      <c r="C37" t="s">
        <v>9</v>
      </c>
      <c r="D37" t="s">
        <v>8</v>
      </c>
      <c r="E37">
        <v>25</v>
      </c>
      <c r="F37">
        <v>39</v>
      </c>
      <c r="I37" s="19">
        <v>42856</v>
      </c>
      <c r="J37">
        <v>0</v>
      </c>
      <c r="K37">
        <v>0</v>
      </c>
    </row>
    <row r="38" spans="1:11" x14ac:dyDescent="0.25">
      <c r="A38" s="2">
        <v>43317</v>
      </c>
      <c r="B38" s="1" t="s">
        <v>21</v>
      </c>
      <c r="C38" t="s">
        <v>9</v>
      </c>
      <c r="D38" t="s">
        <v>14</v>
      </c>
      <c r="E38">
        <v>121</v>
      </c>
      <c r="F38">
        <v>63</v>
      </c>
      <c r="I38" s="19">
        <v>42864</v>
      </c>
      <c r="J38">
        <v>33</v>
      </c>
      <c r="K38">
        <v>0</v>
      </c>
    </row>
    <row r="39" spans="1:11" x14ac:dyDescent="0.25">
      <c r="A39" s="2">
        <v>43330</v>
      </c>
      <c r="B39" s="1" t="s">
        <v>22</v>
      </c>
      <c r="C39" t="s">
        <v>9</v>
      </c>
      <c r="D39" t="s">
        <v>8</v>
      </c>
      <c r="E39">
        <v>22</v>
      </c>
      <c r="F39">
        <v>44</v>
      </c>
      <c r="I39" s="19">
        <v>42882</v>
      </c>
      <c r="J39">
        <v>0</v>
      </c>
      <c r="K39">
        <v>68</v>
      </c>
    </row>
    <row r="40" spans="1:11" x14ac:dyDescent="0.25">
      <c r="A40" s="2">
        <v>43362</v>
      </c>
      <c r="B40" s="1" t="s">
        <v>13</v>
      </c>
      <c r="C40" t="s">
        <v>9</v>
      </c>
      <c r="D40" t="s">
        <v>14</v>
      </c>
      <c r="E40">
        <v>26</v>
      </c>
      <c r="F40">
        <v>58</v>
      </c>
      <c r="I40" s="19">
        <v>42887</v>
      </c>
      <c r="J40">
        <v>0</v>
      </c>
      <c r="K40">
        <v>0</v>
      </c>
    </row>
    <row r="41" spans="1:11" x14ac:dyDescent="0.25">
      <c r="A41" s="2">
        <v>43381</v>
      </c>
      <c r="B41" s="1" t="s">
        <v>15</v>
      </c>
      <c r="C41" t="s">
        <v>9</v>
      </c>
      <c r="D41" t="s">
        <v>8</v>
      </c>
      <c r="E41">
        <v>20</v>
      </c>
      <c r="F41">
        <v>41</v>
      </c>
      <c r="I41" s="19">
        <v>42904</v>
      </c>
      <c r="J41">
        <v>8</v>
      </c>
      <c r="K41">
        <v>0</v>
      </c>
    </row>
    <row r="42" spans="1:11" x14ac:dyDescent="0.25">
      <c r="A42" s="2">
        <v>43407</v>
      </c>
      <c r="B42" s="1" t="s">
        <v>16</v>
      </c>
      <c r="C42" t="s">
        <v>9</v>
      </c>
      <c r="D42" t="s">
        <v>8</v>
      </c>
      <c r="E42">
        <v>48</v>
      </c>
      <c r="F42">
        <v>37</v>
      </c>
      <c r="I42" s="19">
        <v>42917</v>
      </c>
      <c r="J42">
        <v>0</v>
      </c>
      <c r="K42">
        <v>0</v>
      </c>
    </row>
    <row r="43" spans="1:11" x14ac:dyDescent="0.25">
      <c r="A43" s="2">
        <v>43428</v>
      </c>
      <c r="B43" s="1" t="s">
        <v>17</v>
      </c>
      <c r="C43" t="s">
        <v>9</v>
      </c>
      <c r="D43" t="s">
        <v>14</v>
      </c>
      <c r="E43">
        <v>64</v>
      </c>
      <c r="F43">
        <v>61</v>
      </c>
      <c r="I43" s="19">
        <v>42942</v>
      </c>
      <c r="J43">
        <v>42</v>
      </c>
      <c r="K43">
        <v>0</v>
      </c>
    </row>
    <row r="44" spans="1:11" x14ac:dyDescent="0.25">
      <c r="A44" s="2">
        <v>43452</v>
      </c>
      <c r="B44" s="1" t="s">
        <v>18</v>
      </c>
      <c r="C44" t="s">
        <v>9</v>
      </c>
      <c r="D44" t="s">
        <v>14</v>
      </c>
      <c r="E44">
        <v>4</v>
      </c>
      <c r="F44">
        <v>62</v>
      </c>
      <c r="I44" s="19">
        <v>42948</v>
      </c>
      <c r="J44">
        <v>0</v>
      </c>
      <c r="K44">
        <v>0</v>
      </c>
    </row>
    <row r="45" spans="1:11" x14ac:dyDescent="0.25">
      <c r="A45" s="2">
        <v>42370</v>
      </c>
      <c r="B45" s="1" t="s">
        <v>6</v>
      </c>
      <c r="C45" t="s">
        <v>7</v>
      </c>
      <c r="D45" t="s">
        <v>8</v>
      </c>
      <c r="E45">
        <v>3</v>
      </c>
      <c r="F45">
        <v>80</v>
      </c>
      <c r="I45" s="19">
        <v>42959</v>
      </c>
      <c r="J45">
        <v>0</v>
      </c>
      <c r="K45">
        <v>48</v>
      </c>
    </row>
    <row r="46" spans="1:11" x14ac:dyDescent="0.25">
      <c r="A46" s="2">
        <v>42393</v>
      </c>
      <c r="B46" s="1" t="s">
        <v>15</v>
      </c>
      <c r="C46" t="s">
        <v>7</v>
      </c>
      <c r="D46" t="s">
        <v>8</v>
      </c>
      <c r="E46">
        <v>21</v>
      </c>
      <c r="F46">
        <v>74</v>
      </c>
      <c r="I46" s="19">
        <v>42974</v>
      </c>
      <c r="J46">
        <v>4</v>
      </c>
      <c r="K46">
        <v>0</v>
      </c>
    </row>
    <row r="47" spans="1:11" x14ac:dyDescent="0.25">
      <c r="A47" s="2">
        <v>42419</v>
      </c>
      <c r="B47" s="1" t="s">
        <v>16</v>
      </c>
      <c r="C47" t="s">
        <v>7</v>
      </c>
      <c r="D47" t="s">
        <v>8</v>
      </c>
      <c r="E47">
        <v>9</v>
      </c>
      <c r="F47">
        <v>59</v>
      </c>
      <c r="I47" s="19">
        <v>42979</v>
      </c>
      <c r="J47">
        <v>0</v>
      </c>
      <c r="K47">
        <v>0</v>
      </c>
    </row>
    <row r="48" spans="1:11" x14ac:dyDescent="0.25">
      <c r="A48" s="2">
        <v>42482</v>
      </c>
      <c r="B48" s="1" t="s">
        <v>19</v>
      </c>
      <c r="C48" t="s">
        <v>7</v>
      </c>
      <c r="D48" t="s">
        <v>8</v>
      </c>
      <c r="E48">
        <v>5</v>
      </c>
      <c r="F48">
        <v>66</v>
      </c>
      <c r="I48" s="19">
        <v>43009</v>
      </c>
      <c r="J48">
        <v>0</v>
      </c>
      <c r="K48">
        <v>0</v>
      </c>
    </row>
    <row r="49" spans="1:11" x14ac:dyDescent="0.25">
      <c r="A49" s="2">
        <v>42504</v>
      </c>
      <c r="B49" s="1" t="s">
        <v>20</v>
      </c>
      <c r="C49" t="s">
        <v>7</v>
      </c>
      <c r="D49" t="s">
        <v>14</v>
      </c>
      <c r="E49">
        <v>38</v>
      </c>
      <c r="F49">
        <v>98</v>
      </c>
      <c r="I49" s="19">
        <v>43019</v>
      </c>
      <c r="J49">
        <v>0</v>
      </c>
      <c r="K49">
        <v>6</v>
      </c>
    </row>
    <row r="50" spans="1:11" x14ac:dyDescent="0.25">
      <c r="A50" s="2">
        <v>42529</v>
      </c>
      <c r="B50" s="1" t="s">
        <v>21</v>
      </c>
      <c r="C50" t="s">
        <v>7</v>
      </c>
      <c r="D50" t="s">
        <v>8</v>
      </c>
      <c r="E50">
        <v>42</v>
      </c>
      <c r="F50">
        <v>60</v>
      </c>
      <c r="I50" s="19">
        <v>43040</v>
      </c>
      <c r="J50">
        <v>0</v>
      </c>
      <c r="K50">
        <v>1</v>
      </c>
    </row>
    <row r="51" spans="1:11" x14ac:dyDescent="0.25">
      <c r="A51" s="2">
        <v>42542</v>
      </c>
      <c r="B51" s="1" t="s">
        <v>22</v>
      </c>
      <c r="C51" t="s">
        <v>7</v>
      </c>
      <c r="D51" t="s">
        <v>14</v>
      </c>
      <c r="E51">
        <v>42</v>
      </c>
      <c r="F51">
        <v>90</v>
      </c>
      <c r="I51" s="19">
        <v>43040</v>
      </c>
      <c r="J51">
        <v>0</v>
      </c>
      <c r="K51">
        <v>0</v>
      </c>
    </row>
    <row r="52" spans="1:11" x14ac:dyDescent="0.25">
      <c r="A52" s="2">
        <v>42559</v>
      </c>
      <c r="B52" s="1" t="s">
        <v>6</v>
      </c>
      <c r="C52" t="s">
        <v>7</v>
      </c>
      <c r="D52" t="s">
        <v>8</v>
      </c>
      <c r="E52">
        <v>32</v>
      </c>
      <c r="F52">
        <v>66</v>
      </c>
      <c r="I52" s="19">
        <v>43064</v>
      </c>
      <c r="J52">
        <v>12</v>
      </c>
      <c r="K52">
        <v>0</v>
      </c>
    </row>
    <row r="53" spans="1:11" x14ac:dyDescent="0.25">
      <c r="A53" s="2">
        <v>42574</v>
      </c>
      <c r="B53" s="1" t="s">
        <v>13</v>
      </c>
      <c r="C53" t="s">
        <v>7</v>
      </c>
      <c r="D53" t="s">
        <v>14</v>
      </c>
      <c r="E53">
        <v>32</v>
      </c>
      <c r="F53">
        <v>92</v>
      </c>
      <c r="I53" s="19">
        <v>43070</v>
      </c>
      <c r="J53">
        <v>0</v>
      </c>
      <c r="K53">
        <v>0</v>
      </c>
    </row>
    <row r="54" spans="1:11" x14ac:dyDescent="0.25">
      <c r="A54" s="2">
        <v>42593</v>
      </c>
      <c r="B54" s="1" t="s">
        <v>15</v>
      </c>
      <c r="C54" t="s">
        <v>7</v>
      </c>
      <c r="D54" t="s">
        <v>8</v>
      </c>
      <c r="E54">
        <v>36</v>
      </c>
      <c r="F54">
        <v>65</v>
      </c>
      <c r="I54" s="19">
        <v>43101</v>
      </c>
      <c r="J54">
        <v>0</v>
      </c>
      <c r="K54">
        <v>0</v>
      </c>
    </row>
    <row r="55" spans="1:11" x14ac:dyDescent="0.25">
      <c r="A55" s="2">
        <v>42619</v>
      </c>
      <c r="B55" s="1" t="s">
        <v>16</v>
      </c>
      <c r="C55" t="s">
        <v>7</v>
      </c>
      <c r="D55" t="s">
        <v>8</v>
      </c>
      <c r="E55">
        <v>41</v>
      </c>
      <c r="F55">
        <v>59</v>
      </c>
      <c r="I55" s="19">
        <v>43104</v>
      </c>
      <c r="J55">
        <v>10</v>
      </c>
      <c r="K55">
        <v>0</v>
      </c>
    </row>
    <row r="56" spans="1:11" x14ac:dyDescent="0.25">
      <c r="A56" s="2">
        <v>42640</v>
      </c>
      <c r="B56" s="1" t="s">
        <v>17</v>
      </c>
      <c r="C56" t="s">
        <v>7</v>
      </c>
      <c r="D56" t="s">
        <v>8</v>
      </c>
      <c r="E56">
        <v>3</v>
      </c>
      <c r="F56">
        <v>63</v>
      </c>
      <c r="I56" s="19">
        <v>43129</v>
      </c>
      <c r="J56">
        <v>0</v>
      </c>
      <c r="K56">
        <v>22</v>
      </c>
    </row>
    <row r="57" spans="1:11" x14ac:dyDescent="0.25">
      <c r="A57" s="2">
        <v>42682</v>
      </c>
      <c r="B57" s="1" t="s">
        <v>19</v>
      </c>
      <c r="C57" t="s">
        <v>7</v>
      </c>
      <c r="D57" t="s">
        <v>8</v>
      </c>
      <c r="E57">
        <v>17</v>
      </c>
      <c r="F57">
        <v>66</v>
      </c>
      <c r="I57" s="19">
        <v>43132</v>
      </c>
      <c r="J57">
        <v>0</v>
      </c>
      <c r="K57">
        <v>0</v>
      </c>
    </row>
    <row r="58" spans="1:11" x14ac:dyDescent="0.25">
      <c r="A58" s="2">
        <v>42704</v>
      </c>
      <c r="B58" s="1" t="s">
        <v>20</v>
      </c>
      <c r="C58" t="s">
        <v>7</v>
      </c>
      <c r="D58" t="s">
        <v>14</v>
      </c>
      <c r="E58">
        <v>97</v>
      </c>
      <c r="F58">
        <v>98</v>
      </c>
      <c r="I58" s="19">
        <v>43147</v>
      </c>
      <c r="J58">
        <v>34</v>
      </c>
      <c r="K58">
        <v>0</v>
      </c>
    </row>
    <row r="59" spans="1:11" x14ac:dyDescent="0.25">
      <c r="A59" s="2">
        <v>42729</v>
      </c>
      <c r="B59" s="1" t="s">
        <v>21</v>
      </c>
      <c r="C59" t="s">
        <v>7</v>
      </c>
      <c r="D59" t="s">
        <v>8</v>
      </c>
      <c r="E59">
        <v>33</v>
      </c>
      <c r="F59">
        <v>60</v>
      </c>
      <c r="I59" s="19">
        <v>43160</v>
      </c>
      <c r="J59">
        <v>0</v>
      </c>
      <c r="K59">
        <v>0</v>
      </c>
    </row>
    <row r="60" spans="1:11" x14ac:dyDescent="0.25">
      <c r="A60" s="2">
        <v>42742</v>
      </c>
      <c r="B60" s="1" t="s">
        <v>22</v>
      </c>
      <c r="C60" t="s">
        <v>7</v>
      </c>
      <c r="D60" t="s">
        <v>8</v>
      </c>
      <c r="E60">
        <v>9</v>
      </c>
      <c r="F60">
        <v>70</v>
      </c>
      <c r="I60" s="19">
        <v>43162</v>
      </c>
      <c r="J60">
        <v>0</v>
      </c>
      <c r="K60">
        <v>34</v>
      </c>
    </row>
    <row r="61" spans="1:11" x14ac:dyDescent="0.25">
      <c r="A61" s="2">
        <v>42759</v>
      </c>
      <c r="B61" s="1" t="s">
        <v>6</v>
      </c>
      <c r="C61" t="s">
        <v>7</v>
      </c>
      <c r="D61" t="s">
        <v>8</v>
      </c>
      <c r="E61">
        <v>34</v>
      </c>
      <c r="F61">
        <v>66</v>
      </c>
      <c r="I61" s="19">
        <v>43191</v>
      </c>
      <c r="J61">
        <v>0</v>
      </c>
      <c r="K61">
        <v>0</v>
      </c>
    </row>
    <row r="62" spans="1:11" x14ac:dyDescent="0.25">
      <c r="A62" s="2">
        <v>42774</v>
      </c>
      <c r="B62" s="1" t="s">
        <v>13</v>
      </c>
      <c r="C62" t="s">
        <v>7</v>
      </c>
      <c r="D62" t="s">
        <v>14</v>
      </c>
      <c r="E62">
        <v>74</v>
      </c>
      <c r="F62">
        <v>92</v>
      </c>
      <c r="I62" s="19">
        <v>43207</v>
      </c>
      <c r="J62">
        <v>5</v>
      </c>
      <c r="K62">
        <v>0</v>
      </c>
    </row>
    <row r="63" spans="1:11" x14ac:dyDescent="0.25">
      <c r="A63" s="2">
        <v>42840</v>
      </c>
      <c r="B63" s="1" t="s">
        <v>17</v>
      </c>
      <c r="C63" t="s">
        <v>7</v>
      </c>
      <c r="D63" t="s">
        <v>14</v>
      </c>
      <c r="E63">
        <v>2</v>
      </c>
      <c r="F63">
        <v>97</v>
      </c>
      <c r="I63" s="19">
        <v>43221</v>
      </c>
      <c r="J63">
        <v>0</v>
      </c>
      <c r="K63">
        <v>0</v>
      </c>
    </row>
    <row r="64" spans="1:11" x14ac:dyDescent="0.25">
      <c r="A64" s="2">
        <v>42864</v>
      </c>
      <c r="B64" s="1" t="s">
        <v>18</v>
      </c>
      <c r="C64" t="s">
        <v>7</v>
      </c>
      <c r="D64" t="s">
        <v>8</v>
      </c>
      <c r="E64">
        <v>37</v>
      </c>
      <c r="F64">
        <v>61</v>
      </c>
      <c r="I64" s="19">
        <v>43252</v>
      </c>
      <c r="J64">
        <v>48</v>
      </c>
      <c r="K64">
        <v>0</v>
      </c>
    </row>
    <row r="65" spans="1:11" x14ac:dyDescent="0.25">
      <c r="A65" s="2">
        <v>42882</v>
      </c>
      <c r="B65" s="1" t="s">
        <v>19</v>
      </c>
      <c r="C65" t="s">
        <v>7</v>
      </c>
      <c r="D65" t="s">
        <v>8</v>
      </c>
      <c r="E65">
        <v>35</v>
      </c>
      <c r="F65">
        <v>66</v>
      </c>
      <c r="I65" s="19">
        <v>43252</v>
      </c>
      <c r="J65">
        <v>0</v>
      </c>
      <c r="K65">
        <v>0</v>
      </c>
    </row>
    <row r="66" spans="1:11" x14ac:dyDescent="0.25">
      <c r="A66" s="2">
        <v>42904</v>
      </c>
      <c r="B66" s="1" t="s">
        <v>20</v>
      </c>
      <c r="C66" t="s">
        <v>7</v>
      </c>
      <c r="D66" t="s">
        <v>8</v>
      </c>
      <c r="E66">
        <v>45</v>
      </c>
      <c r="F66">
        <v>62</v>
      </c>
      <c r="I66" s="19">
        <v>43270</v>
      </c>
      <c r="J66">
        <v>47</v>
      </c>
      <c r="K66">
        <v>0</v>
      </c>
    </row>
    <row r="67" spans="1:11" x14ac:dyDescent="0.25">
      <c r="A67" s="2">
        <v>42929</v>
      </c>
      <c r="B67" s="1" t="s">
        <v>21</v>
      </c>
      <c r="C67" t="s">
        <v>7</v>
      </c>
      <c r="D67" t="s">
        <v>14</v>
      </c>
      <c r="E67">
        <v>116</v>
      </c>
      <c r="F67">
        <v>100</v>
      </c>
      <c r="I67" s="19">
        <v>43282</v>
      </c>
      <c r="J67">
        <v>0</v>
      </c>
      <c r="K67">
        <v>0</v>
      </c>
    </row>
    <row r="68" spans="1:11" x14ac:dyDescent="0.25">
      <c r="A68" s="2">
        <v>42942</v>
      </c>
      <c r="B68" s="1" t="s">
        <v>22</v>
      </c>
      <c r="C68" t="s">
        <v>7</v>
      </c>
      <c r="D68" t="s">
        <v>8</v>
      </c>
      <c r="E68">
        <v>10</v>
      </c>
      <c r="F68">
        <v>70</v>
      </c>
      <c r="I68" s="19">
        <v>43292</v>
      </c>
      <c r="J68">
        <v>25</v>
      </c>
      <c r="K68">
        <v>0</v>
      </c>
    </row>
    <row r="69" spans="1:11" x14ac:dyDescent="0.25">
      <c r="A69" s="2">
        <v>42959</v>
      </c>
      <c r="B69" s="1" t="s">
        <v>6</v>
      </c>
      <c r="C69" t="s">
        <v>7</v>
      </c>
      <c r="D69" t="s">
        <v>14</v>
      </c>
      <c r="E69">
        <v>11</v>
      </c>
      <c r="F69">
        <v>94</v>
      </c>
      <c r="I69" s="19">
        <v>43313</v>
      </c>
      <c r="J69">
        <v>0</v>
      </c>
      <c r="K69">
        <v>0</v>
      </c>
    </row>
    <row r="70" spans="1:11" x14ac:dyDescent="0.25">
      <c r="A70" s="2">
        <v>42974</v>
      </c>
      <c r="B70" s="1" t="s">
        <v>13</v>
      </c>
      <c r="C70" t="s">
        <v>7</v>
      </c>
      <c r="D70" t="s">
        <v>8</v>
      </c>
      <c r="E70">
        <v>38</v>
      </c>
      <c r="F70">
        <v>68</v>
      </c>
      <c r="I70" s="19">
        <v>43317</v>
      </c>
      <c r="J70">
        <v>0</v>
      </c>
      <c r="K70">
        <v>121</v>
      </c>
    </row>
    <row r="71" spans="1:11" x14ac:dyDescent="0.25">
      <c r="A71" s="2">
        <v>42993</v>
      </c>
      <c r="B71" s="1" t="s">
        <v>15</v>
      </c>
      <c r="C71" t="s">
        <v>7</v>
      </c>
      <c r="D71" t="s">
        <v>8</v>
      </c>
      <c r="E71">
        <v>30</v>
      </c>
      <c r="F71">
        <v>65</v>
      </c>
      <c r="I71" s="19">
        <v>43330</v>
      </c>
      <c r="J71">
        <v>22</v>
      </c>
      <c r="K71">
        <v>0</v>
      </c>
    </row>
    <row r="72" spans="1:11" x14ac:dyDescent="0.25">
      <c r="A72" s="2">
        <v>43019</v>
      </c>
      <c r="B72" s="1" t="s">
        <v>16</v>
      </c>
      <c r="C72" t="s">
        <v>7</v>
      </c>
      <c r="D72" t="s">
        <v>8</v>
      </c>
      <c r="E72">
        <v>43</v>
      </c>
      <c r="F72">
        <v>59</v>
      </c>
      <c r="I72" s="19">
        <v>43344</v>
      </c>
      <c r="J72">
        <v>0</v>
      </c>
      <c r="K72">
        <v>0</v>
      </c>
    </row>
    <row r="73" spans="1:11" x14ac:dyDescent="0.25">
      <c r="A73" s="2">
        <v>43040</v>
      </c>
      <c r="B73" s="1" t="s">
        <v>17</v>
      </c>
      <c r="C73" t="s">
        <v>7</v>
      </c>
      <c r="D73" t="s">
        <v>8</v>
      </c>
      <c r="E73">
        <v>24</v>
      </c>
      <c r="F73">
        <v>63</v>
      </c>
      <c r="I73" s="19">
        <v>43362</v>
      </c>
      <c r="J73">
        <v>0</v>
      </c>
      <c r="K73">
        <v>26</v>
      </c>
    </row>
    <row r="74" spans="1:11" x14ac:dyDescent="0.25">
      <c r="A74" s="2">
        <v>43064</v>
      </c>
      <c r="B74" s="1" t="s">
        <v>18</v>
      </c>
      <c r="C74" t="s">
        <v>7</v>
      </c>
      <c r="D74" t="s">
        <v>14</v>
      </c>
      <c r="E74">
        <v>134</v>
      </c>
      <c r="F74">
        <v>99</v>
      </c>
      <c r="I74" s="19">
        <v>43374</v>
      </c>
      <c r="J74">
        <v>0</v>
      </c>
      <c r="K74">
        <v>0</v>
      </c>
    </row>
    <row r="75" spans="1:11" x14ac:dyDescent="0.25">
      <c r="A75" s="2">
        <v>43082</v>
      </c>
      <c r="B75" s="1" t="s">
        <v>19</v>
      </c>
      <c r="C75" t="s">
        <v>7</v>
      </c>
      <c r="D75" t="s">
        <v>8</v>
      </c>
      <c r="E75">
        <v>38</v>
      </c>
      <c r="F75">
        <v>66</v>
      </c>
      <c r="I75" s="19">
        <v>43381</v>
      </c>
      <c r="J75">
        <v>20</v>
      </c>
      <c r="K75">
        <v>0</v>
      </c>
    </row>
    <row r="76" spans="1:11" x14ac:dyDescent="0.25">
      <c r="A76" s="2">
        <v>43104</v>
      </c>
      <c r="B76" s="1" t="s">
        <v>20</v>
      </c>
      <c r="C76" t="s">
        <v>7</v>
      </c>
      <c r="D76" t="s">
        <v>14</v>
      </c>
      <c r="E76">
        <v>38</v>
      </c>
      <c r="F76">
        <v>98</v>
      </c>
      <c r="I76" s="19">
        <v>43405</v>
      </c>
      <c r="J76">
        <v>0</v>
      </c>
      <c r="K76">
        <v>0</v>
      </c>
    </row>
    <row r="77" spans="1:11" x14ac:dyDescent="0.25">
      <c r="A77" s="2">
        <v>43129</v>
      </c>
      <c r="B77" s="1" t="s">
        <v>21</v>
      </c>
      <c r="C77" t="s">
        <v>7</v>
      </c>
      <c r="D77" t="s">
        <v>8</v>
      </c>
      <c r="E77">
        <v>9</v>
      </c>
      <c r="F77">
        <v>60</v>
      </c>
      <c r="I77" s="19">
        <v>43407</v>
      </c>
      <c r="J77">
        <v>48</v>
      </c>
      <c r="K77">
        <v>0</v>
      </c>
    </row>
    <row r="78" spans="1:11" x14ac:dyDescent="0.25">
      <c r="A78" s="2">
        <v>43130</v>
      </c>
      <c r="B78" s="1" t="s">
        <v>22</v>
      </c>
      <c r="C78" t="s">
        <v>7</v>
      </c>
      <c r="D78" t="s">
        <v>8</v>
      </c>
      <c r="E78">
        <v>48</v>
      </c>
      <c r="F78">
        <v>79</v>
      </c>
      <c r="I78" s="19">
        <v>43428</v>
      </c>
      <c r="J78">
        <v>0</v>
      </c>
      <c r="K78">
        <v>64</v>
      </c>
    </row>
    <row r="79" spans="1:11" x14ac:dyDescent="0.25">
      <c r="A79" s="2">
        <v>43147</v>
      </c>
      <c r="B79" s="1" t="s">
        <v>6</v>
      </c>
      <c r="C79" t="s">
        <v>7</v>
      </c>
      <c r="D79" t="s">
        <v>8</v>
      </c>
      <c r="E79">
        <v>48</v>
      </c>
      <c r="F79">
        <v>66</v>
      </c>
      <c r="I79" s="19">
        <v>43435</v>
      </c>
      <c r="J79">
        <v>0</v>
      </c>
      <c r="K79">
        <v>0</v>
      </c>
    </row>
    <row r="80" spans="1:11" x14ac:dyDescent="0.25">
      <c r="A80" s="2">
        <v>43181</v>
      </c>
      <c r="B80" s="1" t="s">
        <v>15</v>
      </c>
      <c r="C80" t="s">
        <v>7</v>
      </c>
      <c r="D80" t="s">
        <v>8</v>
      </c>
      <c r="E80">
        <v>49</v>
      </c>
      <c r="F80">
        <v>65</v>
      </c>
      <c r="I80" s="19">
        <v>43452</v>
      </c>
      <c r="J80">
        <v>0</v>
      </c>
      <c r="K80">
        <v>4</v>
      </c>
    </row>
    <row r="81" spans="1:6" x14ac:dyDescent="0.25">
      <c r="A81" s="2">
        <v>43207</v>
      </c>
      <c r="B81" s="1" t="s">
        <v>16</v>
      </c>
      <c r="C81" t="s">
        <v>7</v>
      </c>
      <c r="D81" t="s">
        <v>8</v>
      </c>
      <c r="E81">
        <v>29</v>
      </c>
      <c r="F81">
        <v>59</v>
      </c>
    </row>
    <row r="82" spans="1:6" x14ac:dyDescent="0.25">
      <c r="A82" s="2">
        <v>43252</v>
      </c>
      <c r="B82" s="1" t="s">
        <v>18</v>
      </c>
      <c r="C82" t="s">
        <v>7</v>
      </c>
      <c r="D82" t="s">
        <v>14</v>
      </c>
      <c r="E82">
        <v>184</v>
      </c>
      <c r="F82">
        <v>99</v>
      </c>
    </row>
    <row r="83" spans="1:6" x14ac:dyDescent="0.25">
      <c r="A83" s="2">
        <v>43270</v>
      </c>
      <c r="B83" s="1" t="s">
        <v>19</v>
      </c>
      <c r="C83" t="s">
        <v>7</v>
      </c>
      <c r="D83" t="s">
        <v>8</v>
      </c>
      <c r="E83">
        <v>47</v>
      </c>
      <c r="F83">
        <v>66</v>
      </c>
    </row>
    <row r="84" spans="1:6" x14ac:dyDescent="0.25">
      <c r="A84" s="2">
        <v>43292</v>
      </c>
      <c r="B84" s="1" t="s">
        <v>20</v>
      </c>
      <c r="C84" t="s">
        <v>7</v>
      </c>
      <c r="D84" t="s">
        <v>8</v>
      </c>
      <c r="E84">
        <v>18</v>
      </c>
      <c r="F84">
        <v>62</v>
      </c>
    </row>
    <row r="85" spans="1:6" x14ac:dyDescent="0.25">
      <c r="A85" s="2">
        <v>43330</v>
      </c>
      <c r="B85" s="1" t="s">
        <v>22</v>
      </c>
      <c r="C85" t="s">
        <v>7</v>
      </c>
      <c r="D85" t="s">
        <v>14</v>
      </c>
      <c r="E85">
        <v>61</v>
      </c>
      <c r="F85">
        <v>90</v>
      </c>
    </row>
    <row r="86" spans="1:6" x14ac:dyDescent="0.25">
      <c r="A86" s="2">
        <v>43347</v>
      </c>
      <c r="B86" s="1" t="s">
        <v>6</v>
      </c>
      <c r="C86" t="s">
        <v>7</v>
      </c>
      <c r="D86" t="s">
        <v>14</v>
      </c>
      <c r="E86">
        <v>4</v>
      </c>
      <c r="F86">
        <v>94</v>
      </c>
    </row>
    <row r="87" spans="1:6" x14ac:dyDescent="0.25">
      <c r="A87" s="2">
        <v>43362</v>
      </c>
      <c r="B87" s="1" t="s">
        <v>13</v>
      </c>
      <c r="C87" t="s">
        <v>7</v>
      </c>
      <c r="D87" t="s">
        <v>8</v>
      </c>
      <c r="E87">
        <v>6</v>
      </c>
      <c r="F87">
        <v>68</v>
      </c>
    </row>
    <row r="88" spans="1:6" x14ac:dyDescent="0.25">
      <c r="A88" s="2">
        <v>43428</v>
      </c>
      <c r="B88" s="1" t="s">
        <v>17</v>
      </c>
      <c r="C88" t="s">
        <v>7</v>
      </c>
      <c r="D88" t="s">
        <v>8</v>
      </c>
      <c r="E88">
        <v>43</v>
      </c>
      <c r="F88">
        <v>63</v>
      </c>
    </row>
    <row r="89" spans="1:6" x14ac:dyDescent="0.25">
      <c r="A89" s="2">
        <v>43452</v>
      </c>
      <c r="B89" s="1" t="s">
        <v>18</v>
      </c>
      <c r="C89" t="s">
        <v>7</v>
      </c>
      <c r="D89" t="s">
        <v>8</v>
      </c>
      <c r="E89">
        <v>23</v>
      </c>
      <c r="F89">
        <v>61</v>
      </c>
    </row>
    <row r="90" spans="1:6" x14ac:dyDescent="0.25">
      <c r="A90" s="2">
        <v>42370</v>
      </c>
      <c r="B90" s="1" t="s">
        <v>6</v>
      </c>
      <c r="C90" t="s">
        <v>12</v>
      </c>
      <c r="D90" t="s">
        <v>8</v>
      </c>
      <c r="E90">
        <v>43</v>
      </c>
      <c r="F90">
        <v>25</v>
      </c>
    </row>
    <row r="91" spans="1:6" x14ac:dyDescent="0.25">
      <c r="A91" s="2">
        <v>42419</v>
      </c>
      <c r="B91" s="1" t="s">
        <v>16</v>
      </c>
      <c r="C91" t="s">
        <v>12</v>
      </c>
      <c r="D91" t="s">
        <v>14</v>
      </c>
      <c r="E91">
        <v>43</v>
      </c>
      <c r="F91">
        <v>32</v>
      </c>
    </row>
    <row r="92" spans="1:6" x14ac:dyDescent="0.25">
      <c r="A92" s="2">
        <v>42440</v>
      </c>
      <c r="B92" s="1" t="s">
        <v>17</v>
      </c>
      <c r="C92" t="s">
        <v>12</v>
      </c>
      <c r="D92" t="s">
        <v>8</v>
      </c>
      <c r="E92">
        <v>32</v>
      </c>
      <c r="F92">
        <v>20</v>
      </c>
    </row>
    <row r="93" spans="1:6" x14ac:dyDescent="0.25">
      <c r="A93" s="2">
        <v>42464</v>
      </c>
      <c r="B93" s="1" t="s">
        <v>18</v>
      </c>
      <c r="C93" t="s">
        <v>12</v>
      </c>
      <c r="D93" t="s">
        <v>8</v>
      </c>
      <c r="E93">
        <v>25</v>
      </c>
      <c r="F93">
        <v>19</v>
      </c>
    </row>
    <row r="94" spans="1:6" x14ac:dyDescent="0.25">
      <c r="A94" s="2">
        <v>42529</v>
      </c>
      <c r="B94" s="1" t="s">
        <v>21</v>
      </c>
      <c r="C94" t="s">
        <v>12</v>
      </c>
      <c r="D94" t="s">
        <v>8</v>
      </c>
      <c r="E94">
        <v>19</v>
      </c>
      <c r="F94">
        <v>19</v>
      </c>
    </row>
    <row r="95" spans="1:6" x14ac:dyDescent="0.25">
      <c r="A95" s="2">
        <v>42542</v>
      </c>
      <c r="B95" s="1" t="s">
        <v>22</v>
      </c>
      <c r="C95" t="s">
        <v>12</v>
      </c>
      <c r="D95" t="s">
        <v>14</v>
      </c>
      <c r="E95">
        <v>72</v>
      </c>
      <c r="F95">
        <v>28</v>
      </c>
    </row>
    <row r="96" spans="1:6" x14ac:dyDescent="0.25">
      <c r="A96" s="2">
        <v>42559</v>
      </c>
      <c r="B96" s="1" t="s">
        <v>6</v>
      </c>
      <c r="C96" t="s">
        <v>12</v>
      </c>
      <c r="D96" t="s">
        <v>14</v>
      </c>
      <c r="E96">
        <v>4</v>
      </c>
      <c r="F96">
        <v>29</v>
      </c>
    </row>
    <row r="97" spans="1:6" x14ac:dyDescent="0.25">
      <c r="A97" s="2">
        <v>42619</v>
      </c>
      <c r="B97" s="1" t="s">
        <v>16</v>
      </c>
      <c r="C97" t="s">
        <v>12</v>
      </c>
      <c r="D97" t="s">
        <v>8</v>
      </c>
      <c r="E97">
        <v>8</v>
      </c>
      <c r="F97">
        <v>19</v>
      </c>
    </row>
    <row r="98" spans="1:6" x14ac:dyDescent="0.25">
      <c r="A98" s="2">
        <v>42640</v>
      </c>
      <c r="B98" s="1" t="s">
        <v>17</v>
      </c>
      <c r="C98" t="s">
        <v>12</v>
      </c>
      <c r="D98" t="s">
        <v>8</v>
      </c>
      <c r="E98">
        <v>40</v>
      </c>
      <c r="F98">
        <v>20</v>
      </c>
    </row>
    <row r="99" spans="1:6" x14ac:dyDescent="0.25">
      <c r="A99" s="2">
        <v>42664</v>
      </c>
      <c r="B99" s="1" t="s">
        <v>18</v>
      </c>
      <c r="C99" t="s">
        <v>12</v>
      </c>
      <c r="D99" t="s">
        <v>8</v>
      </c>
      <c r="E99">
        <v>14</v>
      </c>
      <c r="F99">
        <v>19</v>
      </c>
    </row>
    <row r="100" spans="1:6" x14ac:dyDescent="0.25">
      <c r="A100" s="2">
        <v>42704</v>
      </c>
      <c r="B100" s="1" t="s">
        <v>20</v>
      </c>
      <c r="C100" t="s">
        <v>12</v>
      </c>
      <c r="D100" t="s">
        <v>8</v>
      </c>
      <c r="E100">
        <v>17</v>
      </c>
      <c r="F100">
        <v>20</v>
      </c>
    </row>
    <row r="101" spans="1:6" x14ac:dyDescent="0.25">
      <c r="A101" s="2">
        <v>42729</v>
      </c>
      <c r="B101" s="1" t="s">
        <v>21</v>
      </c>
      <c r="C101" t="s">
        <v>12</v>
      </c>
      <c r="D101" t="s">
        <v>14</v>
      </c>
      <c r="E101">
        <v>79</v>
      </c>
      <c r="F101">
        <v>31</v>
      </c>
    </row>
    <row r="102" spans="1:6" x14ac:dyDescent="0.25">
      <c r="A102" s="2">
        <v>42742</v>
      </c>
      <c r="B102" s="1" t="s">
        <v>22</v>
      </c>
      <c r="C102" t="s">
        <v>12</v>
      </c>
      <c r="D102" t="s">
        <v>8</v>
      </c>
      <c r="E102">
        <v>40</v>
      </c>
      <c r="F102">
        <v>22</v>
      </c>
    </row>
    <row r="103" spans="1:6" x14ac:dyDescent="0.25">
      <c r="A103" s="2">
        <v>42759</v>
      </c>
      <c r="B103" s="1" t="s">
        <v>6</v>
      </c>
      <c r="C103" t="s">
        <v>12</v>
      </c>
      <c r="D103" t="s">
        <v>8</v>
      </c>
      <c r="E103">
        <v>5</v>
      </c>
      <c r="F103">
        <v>21</v>
      </c>
    </row>
    <row r="104" spans="1:6" x14ac:dyDescent="0.25">
      <c r="A104" s="2">
        <v>42793</v>
      </c>
      <c r="B104" s="1" t="s">
        <v>15</v>
      </c>
      <c r="C104" t="s">
        <v>12</v>
      </c>
      <c r="D104" t="s">
        <v>8</v>
      </c>
      <c r="E104">
        <v>14</v>
      </c>
      <c r="F104">
        <v>20</v>
      </c>
    </row>
    <row r="105" spans="1:6" x14ac:dyDescent="0.25">
      <c r="A105" s="2">
        <v>42819</v>
      </c>
      <c r="B105" s="1" t="s">
        <v>16</v>
      </c>
      <c r="C105" t="s">
        <v>12</v>
      </c>
      <c r="D105" t="s">
        <v>8</v>
      </c>
      <c r="E105">
        <v>40</v>
      </c>
      <c r="F105">
        <v>19</v>
      </c>
    </row>
    <row r="106" spans="1:6" x14ac:dyDescent="0.25">
      <c r="A106" s="2">
        <v>42840</v>
      </c>
      <c r="B106" s="1" t="s">
        <v>17</v>
      </c>
      <c r="C106" t="s">
        <v>12</v>
      </c>
      <c r="D106" t="s">
        <v>8</v>
      </c>
      <c r="E106">
        <v>12</v>
      </c>
      <c r="F106">
        <v>20</v>
      </c>
    </row>
    <row r="107" spans="1:6" x14ac:dyDescent="0.25">
      <c r="A107" s="2">
        <v>42864</v>
      </c>
      <c r="B107" s="1" t="s">
        <v>18</v>
      </c>
      <c r="C107" t="s">
        <v>12</v>
      </c>
      <c r="D107" t="s">
        <v>14</v>
      </c>
      <c r="E107">
        <v>110</v>
      </c>
      <c r="F107">
        <v>31</v>
      </c>
    </row>
    <row r="108" spans="1:6" x14ac:dyDescent="0.25">
      <c r="A108" s="2">
        <v>42882</v>
      </c>
      <c r="B108" s="1" t="s">
        <v>19</v>
      </c>
      <c r="C108" t="s">
        <v>12</v>
      </c>
      <c r="D108" t="s">
        <v>8</v>
      </c>
      <c r="E108">
        <v>25</v>
      </c>
      <c r="F108">
        <v>21</v>
      </c>
    </row>
    <row r="109" spans="1:6" x14ac:dyDescent="0.25">
      <c r="A109" s="2">
        <v>42904</v>
      </c>
      <c r="B109" s="1" t="s">
        <v>20</v>
      </c>
      <c r="C109" t="s">
        <v>12</v>
      </c>
      <c r="D109" t="s">
        <v>8</v>
      </c>
      <c r="E109">
        <v>25</v>
      </c>
      <c r="F109">
        <v>20</v>
      </c>
    </row>
    <row r="110" spans="1:6" x14ac:dyDescent="0.25">
      <c r="A110" s="2">
        <v>42929</v>
      </c>
      <c r="B110" s="1" t="s">
        <v>21</v>
      </c>
      <c r="C110" t="s">
        <v>12</v>
      </c>
      <c r="D110" t="s">
        <v>8</v>
      </c>
      <c r="E110">
        <v>29</v>
      </c>
      <c r="F110">
        <v>19</v>
      </c>
    </row>
    <row r="111" spans="1:6" x14ac:dyDescent="0.25">
      <c r="A111" s="2">
        <v>42942</v>
      </c>
      <c r="B111" s="1" t="s">
        <v>22</v>
      </c>
      <c r="C111" t="s">
        <v>12</v>
      </c>
      <c r="D111" t="s">
        <v>8</v>
      </c>
      <c r="E111">
        <v>37</v>
      </c>
      <c r="F111">
        <v>22</v>
      </c>
    </row>
    <row r="112" spans="1:6" x14ac:dyDescent="0.25">
      <c r="A112" s="2">
        <v>42959</v>
      </c>
      <c r="B112" s="1" t="s">
        <v>6</v>
      </c>
      <c r="C112" t="s">
        <v>12</v>
      </c>
      <c r="D112" t="s">
        <v>8</v>
      </c>
      <c r="E112">
        <v>20</v>
      </c>
      <c r="F112">
        <v>21</v>
      </c>
    </row>
    <row r="113" spans="1:6" x14ac:dyDescent="0.25">
      <c r="A113" s="2">
        <v>42974</v>
      </c>
      <c r="B113" s="1" t="s">
        <v>13</v>
      </c>
      <c r="C113" t="s">
        <v>12</v>
      </c>
      <c r="D113" t="s">
        <v>8</v>
      </c>
      <c r="E113">
        <v>14</v>
      </c>
      <c r="F113">
        <v>21</v>
      </c>
    </row>
    <row r="114" spans="1:6" x14ac:dyDescent="0.25">
      <c r="A114" s="2">
        <v>43040</v>
      </c>
      <c r="B114" s="1" t="s">
        <v>17</v>
      </c>
      <c r="C114" t="s">
        <v>12</v>
      </c>
      <c r="D114" t="s">
        <v>14</v>
      </c>
      <c r="E114">
        <v>147</v>
      </c>
      <c r="F114">
        <v>30</v>
      </c>
    </row>
    <row r="115" spans="1:6" x14ac:dyDescent="0.25">
      <c r="A115" s="2">
        <v>43082</v>
      </c>
      <c r="B115" s="1" t="s">
        <v>19</v>
      </c>
      <c r="C115" t="s">
        <v>12</v>
      </c>
      <c r="D115" t="s">
        <v>14</v>
      </c>
      <c r="E115">
        <v>4</v>
      </c>
      <c r="F115">
        <v>30</v>
      </c>
    </row>
    <row r="116" spans="1:6" x14ac:dyDescent="0.25">
      <c r="A116" s="2">
        <v>43129</v>
      </c>
      <c r="B116" s="1" t="s">
        <v>21</v>
      </c>
      <c r="C116" t="s">
        <v>12</v>
      </c>
      <c r="D116" t="s">
        <v>8</v>
      </c>
      <c r="E116">
        <v>6</v>
      </c>
      <c r="F116">
        <v>19</v>
      </c>
    </row>
    <row r="117" spans="1:6" x14ac:dyDescent="0.25">
      <c r="A117" s="2">
        <v>43130</v>
      </c>
      <c r="B117" s="1" t="s">
        <v>22</v>
      </c>
      <c r="C117" t="s">
        <v>12</v>
      </c>
      <c r="D117" t="s">
        <v>14</v>
      </c>
      <c r="E117">
        <v>6</v>
      </c>
      <c r="F117">
        <v>25</v>
      </c>
    </row>
    <row r="118" spans="1:6" x14ac:dyDescent="0.25">
      <c r="A118" s="2">
        <v>43147</v>
      </c>
      <c r="B118" s="1" t="s">
        <v>6</v>
      </c>
      <c r="C118" t="s">
        <v>12</v>
      </c>
      <c r="D118" t="s">
        <v>8</v>
      </c>
      <c r="E118">
        <v>47</v>
      </c>
      <c r="F118">
        <v>21</v>
      </c>
    </row>
    <row r="119" spans="1:6" x14ac:dyDescent="0.25">
      <c r="A119" s="2">
        <v>43181</v>
      </c>
      <c r="B119" s="1" t="s">
        <v>15</v>
      </c>
      <c r="C119" t="s">
        <v>12</v>
      </c>
      <c r="D119" t="s">
        <v>14</v>
      </c>
      <c r="E119">
        <v>46</v>
      </c>
      <c r="F119">
        <v>30</v>
      </c>
    </row>
    <row r="120" spans="1:6" x14ac:dyDescent="0.25">
      <c r="A120" s="2">
        <v>43207</v>
      </c>
      <c r="B120" s="1" t="s">
        <v>16</v>
      </c>
      <c r="C120" t="s">
        <v>12</v>
      </c>
      <c r="D120" t="s">
        <v>14</v>
      </c>
      <c r="E120">
        <v>1</v>
      </c>
      <c r="F120">
        <v>32</v>
      </c>
    </row>
    <row r="121" spans="1:6" x14ac:dyDescent="0.25">
      <c r="A121" s="2">
        <v>43228</v>
      </c>
      <c r="B121" s="1" t="s">
        <v>17</v>
      </c>
      <c r="C121" t="s">
        <v>12</v>
      </c>
      <c r="D121" t="s">
        <v>8</v>
      </c>
      <c r="E121">
        <v>27</v>
      </c>
      <c r="F121">
        <v>20</v>
      </c>
    </row>
    <row r="122" spans="1:6" x14ac:dyDescent="0.25">
      <c r="A122" s="2">
        <v>43292</v>
      </c>
      <c r="B122" s="1" t="s">
        <v>20</v>
      </c>
      <c r="C122" t="s">
        <v>12</v>
      </c>
      <c r="D122" t="s">
        <v>8</v>
      </c>
      <c r="E122">
        <v>2</v>
      </c>
      <c r="F122">
        <v>20</v>
      </c>
    </row>
    <row r="123" spans="1:6" x14ac:dyDescent="0.25">
      <c r="A123" s="2">
        <v>43317</v>
      </c>
      <c r="B123" s="1" t="s">
        <v>21</v>
      </c>
      <c r="C123" t="s">
        <v>12</v>
      </c>
      <c r="D123" t="s">
        <v>8</v>
      </c>
      <c r="E123">
        <v>30</v>
      </c>
      <c r="F123">
        <v>19</v>
      </c>
    </row>
    <row r="124" spans="1:6" x14ac:dyDescent="0.25">
      <c r="A124" s="2">
        <v>43330</v>
      </c>
      <c r="B124" s="1" t="s">
        <v>22</v>
      </c>
      <c r="C124" t="s">
        <v>12</v>
      </c>
      <c r="D124" t="s">
        <v>8</v>
      </c>
      <c r="E124">
        <v>19</v>
      </c>
      <c r="F124">
        <v>22</v>
      </c>
    </row>
    <row r="125" spans="1:6" x14ac:dyDescent="0.25">
      <c r="A125" s="2">
        <v>43347</v>
      </c>
      <c r="B125" s="1" t="s">
        <v>6</v>
      </c>
      <c r="C125" t="s">
        <v>12</v>
      </c>
      <c r="D125" t="s">
        <v>8</v>
      </c>
      <c r="E125">
        <v>8</v>
      </c>
      <c r="F125">
        <v>21</v>
      </c>
    </row>
    <row r="126" spans="1:6" x14ac:dyDescent="0.25">
      <c r="A126" s="2">
        <v>43362</v>
      </c>
      <c r="B126" s="1" t="s">
        <v>13</v>
      </c>
      <c r="C126" t="s">
        <v>12</v>
      </c>
      <c r="D126" t="s">
        <v>14</v>
      </c>
      <c r="E126">
        <v>82</v>
      </c>
      <c r="F126">
        <v>29</v>
      </c>
    </row>
    <row r="127" spans="1:6" x14ac:dyDescent="0.25">
      <c r="A127" s="2">
        <v>43407</v>
      </c>
      <c r="B127" s="1" t="s">
        <v>16</v>
      </c>
      <c r="C127" t="s">
        <v>12</v>
      </c>
      <c r="D127" t="s">
        <v>14</v>
      </c>
      <c r="E127">
        <v>4</v>
      </c>
      <c r="F127">
        <v>32</v>
      </c>
    </row>
    <row r="128" spans="1:6" x14ac:dyDescent="0.25">
      <c r="A128" s="2">
        <v>43452</v>
      </c>
      <c r="B128" s="1" t="s">
        <v>18</v>
      </c>
      <c r="C128" t="s">
        <v>12</v>
      </c>
      <c r="D128" t="s">
        <v>8</v>
      </c>
      <c r="E128">
        <v>35</v>
      </c>
      <c r="F128">
        <v>19</v>
      </c>
    </row>
    <row r="129" spans="1:6" x14ac:dyDescent="0.25">
      <c r="A129" s="2">
        <v>42370</v>
      </c>
      <c r="B129" s="1" t="s">
        <v>6</v>
      </c>
      <c r="C129" t="s">
        <v>11</v>
      </c>
      <c r="D129" t="s">
        <v>8</v>
      </c>
      <c r="E129">
        <v>33</v>
      </c>
      <c r="F129">
        <v>30</v>
      </c>
    </row>
    <row r="130" spans="1:6" x14ac:dyDescent="0.25">
      <c r="A130" s="2">
        <v>42385</v>
      </c>
      <c r="B130" s="1" t="s">
        <v>13</v>
      </c>
      <c r="C130" t="s">
        <v>11</v>
      </c>
      <c r="D130" t="s">
        <v>8</v>
      </c>
      <c r="E130">
        <v>14</v>
      </c>
      <c r="F130">
        <v>26</v>
      </c>
    </row>
    <row r="131" spans="1:6" x14ac:dyDescent="0.25">
      <c r="A131" s="2">
        <v>42393</v>
      </c>
      <c r="B131" s="1" t="s">
        <v>15</v>
      </c>
      <c r="C131" t="s">
        <v>11</v>
      </c>
      <c r="D131" t="s">
        <v>8</v>
      </c>
      <c r="E131">
        <v>1</v>
      </c>
      <c r="F131">
        <v>28</v>
      </c>
    </row>
    <row r="132" spans="1:6" x14ac:dyDescent="0.25">
      <c r="A132" s="2">
        <v>42440</v>
      </c>
      <c r="B132" s="1" t="s">
        <v>17</v>
      </c>
      <c r="C132" t="s">
        <v>11</v>
      </c>
      <c r="D132" t="s">
        <v>8</v>
      </c>
      <c r="E132">
        <v>10</v>
      </c>
      <c r="F132">
        <v>24</v>
      </c>
    </row>
    <row r="133" spans="1:6" x14ac:dyDescent="0.25">
      <c r="A133" s="2">
        <v>42482</v>
      </c>
      <c r="B133" s="1" t="s">
        <v>19</v>
      </c>
      <c r="C133" t="s">
        <v>11</v>
      </c>
      <c r="D133" t="s">
        <v>14</v>
      </c>
      <c r="E133">
        <v>36</v>
      </c>
      <c r="F133">
        <v>35</v>
      </c>
    </row>
    <row r="134" spans="1:6" x14ac:dyDescent="0.25">
      <c r="A134" s="2">
        <v>42504</v>
      </c>
      <c r="B134" s="1" t="s">
        <v>20</v>
      </c>
      <c r="C134" t="s">
        <v>11</v>
      </c>
      <c r="D134" t="s">
        <v>8</v>
      </c>
      <c r="E134">
        <v>10</v>
      </c>
      <c r="F134">
        <v>23</v>
      </c>
    </row>
    <row r="135" spans="1:6" x14ac:dyDescent="0.25">
      <c r="A135" s="2">
        <v>42529</v>
      </c>
      <c r="B135" s="1" t="s">
        <v>21</v>
      </c>
      <c r="C135" t="s">
        <v>11</v>
      </c>
      <c r="D135" t="s">
        <v>14</v>
      </c>
      <c r="E135">
        <v>4</v>
      </c>
      <c r="F135">
        <v>38</v>
      </c>
    </row>
    <row r="136" spans="1:6" x14ac:dyDescent="0.25">
      <c r="A136" s="2">
        <v>42542</v>
      </c>
      <c r="B136" s="1" t="s">
        <v>22</v>
      </c>
      <c r="C136" t="s">
        <v>11</v>
      </c>
      <c r="D136" t="s">
        <v>8</v>
      </c>
      <c r="E136">
        <v>33</v>
      </c>
      <c r="F136">
        <v>26</v>
      </c>
    </row>
    <row r="137" spans="1:6" x14ac:dyDescent="0.25">
      <c r="A137" s="2">
        <v>42593</v>
      </c>
      <c r="B137" s="1" t="s">
        <v>15</v>
      </c>
      <c r="C137" t="s">
        <v>11</v>
      </c>
      <c r="D137" t="s">
        <v>8</v>
      </c>
      <c r="E137">
        <v>9</v>
      </c>
      <c r="F137">
        <v>24</v>
      </c>
    </row>
    <row r="138" spans="1:6" x14ac:dyDescent="0.25">
      <c r="A138" s="2">
        <v>42619</v>
      </c>
      <c r="B138" s="1" t="s">
        <v>16</v>
      </c>
      <c r="C138" t="s">
        <v>11</v>
      </c>
      <c r="D138" t="s">
        <v>8</v>
      </c>
      <c r="E138">
        <v>3</v>
      </c>
      <c r="F138">
        <v>22</v>
      </c>
    </row>
    <row r="139" spans="1:6" x14ac:dyDescent="0.25">
      <c r="A139" s="2">
        <v>42640</v>
      </c>
      <c r="B139" s="1" t="s">
        <v>17</v>
      </c>
      <c r="C139" t="s">
        <v>11</v>
      </c>
      <c r="D139" t="s">
        <v>8</v>
      </c>
      <c r="E139">
        <v>17</v>
      </c>
      <c r="F139">
        <v>24</v>
      </c>
    </row>
    <row r="140" spans="1:6" x14ac:dyDescent="0.25">
      <c r="A140" s="2">
        <v>42664</v>
      </c>
      <c r="B140" s="1" t="s">
        <v>18</v>
      </c>
      <c r="C140" t="s">
        <v>11</v>
      </c>
      <c r="D140" t="s">
        <v>8</v>
      </c>
      <c r="E140">
        <v>23</v>
      </c>
      <c r="F140">
        <v>23</v>
      </c>
    </row>
    <row r="141" spans="1:6" x14ac:dyDescent="0.25">
      <c r="A141" s="2">
        <v>42704</v>
      </c>
      <c r="B141" s="1" t="s">
        <v>20</v>
      </c>
      <c r="C141" t="s">
        <v>11</v>
      </c>
      <c r="D141" t="s">
        <v>8</v>
      </c>
      <c r="E141">
        <v>4</v>
      </c>
      <c r="F141">
        <v>23</v>
      </c>
    </row>
    <row r="142" spans="1:6" x14ac:dyDescent="0.25">
      <c r="A142" s="2">
        <v>42729</v>
      </c>
      <c r="B142" s="1" t="s">
        <v>21</v>
      </c>
      <c r="C142" t="s">
        <v>11</v>
      </c>
      <c r="D142" t="s">
        <v>8</v>
      </c>
      <c r="E142">
        <v>26</v>
      </c>
      <c r="F142">
        <v>23</v>
      </c>
    </row>
    <row r="143" spans="1:6" x14ac:dyDescent="0.25">
      <c r="A143" s="2">
        <v>42742</v>
      </c>
      <c r="B143" s="1" t="s">
        <v>22</v>
      </c>
      <c r="C143" t="s">
        <v>11</v>
      </c>
      <c r="D143" t="s">
        <v>8</v>
      </c>
      <c r="E143">
        <v>42</v>
      </c>
      <c r="F143">
        <v>26</v>
      </c>
    </row>
    <row r="144" spans="1:6" x14ac:dyDescent="0.25">
      <c r="A144" s="2">
        <v>42774</v>
      </c>
      <c r="B144" s="1" t="s">
        <v>13</v>
      </c>
      <c r="C144" t="s">
        <v>11</v>
      </c>
      <c r="D144" t="s">
        <v>8</v>
      </c>
      <c r="E144">
        <v>14</v>
      </c>
      <c r="F144">
        <v>26</v>
      </c>
    </row>
    <row r="145" spans="1:6" x14ac:dyDescent="0.25">
      <c r="A145" s="2">
        <v>42793</v>
      </c>
      <c r="B145" s="1" t="s">
        <v>15</v>
      </c>
      <c r="C145" t="s">
        <v>11</v>
      </c>
      <c r="D145" t="s">
        <v>14</v>
      </c>
      <c r="E145">
        <v>43</v>
      </c>
      <c r="F145">
        <v>36</v>
      </c>
    </row>
    <row r="146" spans="1:6" x14ac:dyDescent="0.25">
      <c r="A146" s="2">
        <v>42819</v>
      </c>
      <c r="B146" s="1" t="s">
        <v>16</v>
      </c>
      <c r="C146" t="s">
        <v>11</v>
      </c>
      <c r="D146" t="s">
        <v>14</v>
      </c>
      <c r="E146">
        <v>33</v>
      </c>
      <c r="F146">
        <v>38</v>
      </c>
    </row>
    <row r="147" spans="1:6" x14ac:dyDescent="0.25">
      <c r="A147" s="2">
        <v>42840</v>
      </c>
      <c r="B147" s="1" t="s">
        <v>17</v>
      </c>
      <c r="C147" t="s">
        <v>11</v>
      </c>
      <c r="D147" t="s">
        <v>14</v>
      </c>
      <c r="E147">
        <v>21</v>
      </c>
      <c r="F147">
        <v>36</v>
      </c>
    </row>
    <row r="148" spans="1:6" x14ac:dyDescent="0.25">
      <c r="A148" s="2">
        <v>42864</v>
      </c>
      <c r="B148" s="1" t="s">
        <v>18</v>
      </c>
      <c r="C148" t="s">
        <v>11</v>
      </c>
      <c r="D148" t="s">
        <v>8</v>
      </c>
      <c r="E148">
        <v>13</v>
      </c>
      <c r="F148">
        <v>23</v>
      </c>
    </row>
    <row r="149" spans="1:6" x14ac:dyDescent="0.25">
      <c r="A149" s="2">
        <v>42882</v>
      </c>
      <c r="B149" s="1" t="s">
        <v>19</v>
      </c>
      <c r="C149" t="s">
        <v>11</v>
      </c>
      <c r="D149" t="s">
        <v>8</v>
      </c>
      <c r="E149">
        <v>10</v>
      </c>
      <c r="F149">
        <v>25</v>
      </c>
    </row>
    <row r="150" spans="1:6" x14ac:dyDescent="0.25">
      <c r="A150" s="2">
        <v>42904</v>
      </c>
      <c r="B150" s="1" t="s">
        <v>20</v>
      </c>
      <c r="C150" t="s">
        <v>11</v>
      </c>
      <c r="D150" t="s">
        <v>14</v>
      </c>
      <c r="E150">
        <v>38</v>
      </c>
      <c r="F150">
        <v>37</v>
      </c>
    </row>
    <row r="151" spans="1:6" x14ac:dyDescent="0.25">
      <c r="A151" s="2">
        <v>42942</v>
      </c>
      <c r="B151" s="1" t="s">
        <v>22</v>
      </c>
      <c r="C151" t="s">
        <v>11</v>
      </c>
      <c r="D151" t="s">
        <v>14</v>
      </c>
      <c r="E151">
        <v>5</v>
      </c>
      <c r="F151">
        <v>34</v>
      </c>
    </row>
    <row r="152" spans="1:6" x14ac:dyDescent="0.25">
      <c r="A152" s="2">
        <v>42959</v>
      </c>
      <c r="B152" s="1" t="s">
        <v>6</v>
      </c>
      <c r="C152" t="s">
        <v>11</v>
      </c>
      <c r="D152" t="s">
        <v>8</v>
      </c>
      <c r="E152">
        <v>26</v>
      </c>
      <c r="F152">
        <v>25</v>
      </c>
    </row>
    <row r="153" spans="1:6" x14ac:dyDescent="0.25">
      <c r="A153" s="2">
        <v>42993</v>
      </c>
      <c r="B153" s="1" t="s">
        <v>15</v>
      </c>
      <c r="C153" t="s">
        <v>11</v>
      </c>
      <c r="D153" t="s">
        <v>14</v>
      </c>
      <c r="E153">
        <v>19</v>
      </c>
      <c r="F153">
        <v>36</v>
      </c>
    </row>
    <row r="154" spans="1:6" x14ac:dyDescent="0.25">
      <c r="A154" s="2">
        <v>43040</v>
      </c>
      <c r="B154" s="1" t="s">
        <v>17</v>
      </c>
      <c r="C154" t="s">
        <v>11</v>
      </c>
      <c r="D154" t="s">
        <v>8</v>
      </c>
      <c r="E154">
        <v>19</v>
      </c>
      <c r="F154">
        <v>24</v>
      </c>
    </row>
    <row r="155" spans="1:6" x14ac:dyDescent="0.25">
      <c r="A155" s="2">
        <v>43104</v>
      </c>
      <c r="B155" s="1" t="s">
        <v>20</v>
      </c>
      <c r="C155" t="s">
        <v>11</v>
      </c>
      <c r="D155" t="s">
        <v>14</v>
      </c>
      <c r="E155">
        <v>44</v>
      </c>
      <c r="F155">
        <v>37</v>
      </c>
    </row>
    <row r="156" spans="1:6" x14ac:dyDescent="0.25">
      <c r="A156" s="2">
        <v>43129</v>
      </c>
      <c r="B156" s="1" t="s">
        <v>21</v>
      </c>
      <c r="C156" t="s">
        <v>11</v>
      </c>
      <c r="D156" t="s">
        <v>14</v>
      </c>
      <c r="E156">
        <v>15</v>
      </c>
      <c r="F156">
        <v>38</v>
      </c>
    </row>
    <row r="157" spans="1:6" x14ac:dyDescent="0.25">
      <c r="A157" s="2">
        <v>43147</v>
      </c>
      <c r="B157" s="1" t="s">
        <v>6</v>
      </c>
      <c r="C157" t="s">
        <v>11</v>
      </c>
      <c r="D157" t="s">
        <v>14</v>
      </c>
      <c r="E157">
        <v>49</v>
      </c>
      <c r="F157">
        <v>35</v>
      </c>
    </row>
    <row r="158" spans="1:6" x14ac:dyDescent="0.25">
      <c r="A158" s="2">
        <v>43228</v>
      </c>
      <c r="B158" s="1" t="s">
        <v>17</v>
      </c>
      <c r="C158" t="s">
        <v>11</v>
      </c>
      <c r="D158" t="s">
        <v>8</v>
      </c>
      <c r="E158">
        <v>34</v>
      </c>
      <c r="F158">
        <v>24</v>
      </c>
    </row>
    <row r="159" spans="1:6" x14ac:dyDescent="0.25">
      <c r="A159" s="2">
        <v>43252</v>
      </c>
      <c r="B159" s="1" t="s">
        <v>18</v>
      </c>
      <c r="C159" t="s">
        <v>11</v>
      </c>
      <c r="D159" t="s">
        <v>8</v>
      </c>
      <c r="E159">
        <v>21</v>
      </c>
      <c r="F159">
        <v>23</v>
      </c>
    </row>
    <row r="160" spans="1:6" x14ac:dyDescent="0.25">
      <c r="A160" s="2">
        <v>43270</v>
      </c>
      <c r="B160" s="1" t="s">
        <v>19</v>
      </c>
      <c r="C160" t="s">
        <v>11</v>
      </c>
      <c r="D160" t="s">
        <v>8</v>
      </c>
      <c r="E160">
        <v>6</v>
      </c>
      <c r="F160">
        <v>25</v>
      </c>
    </row>
    <row r="161" spans="1:6" x14ac:dyDescent="0.25">
      <c r="A161" s="2">
        <v>43292</v>
      </c>
      <c r="B161" s="1" t="s">
        <v>20</v>
      </c>
      <c r="C161" t="s">
        <v>11</v>
      </c>
      <c r="D161" t="s">
        <v>14</v>
      </c>
      <c r="E161">
        <v>48</v>
      </c>
      <c r="F161">
        <v>37</v>
      </c>
    </row>
    <row r="162" spans="1:6" x14ac:dyDescent="0.25">
      <c r="A162" s="2">
        <v>43317</v>
      </c>
      <c r="B162" s="1" t="s">
        <v>21</v>
      </c>
      <c r="C162" t="s">
        <v>11</v>
      </c>
      <c r="D162" t="s">
        <v>14</v>
      </c>
      <c r="E162">
        <v>13</v>
      </c>
      <c r="F162">
        <v>38</v>
      </c>
    </row>
    <row r="163" spans="1:6" x14ac:dyDescent="0.25">
      <c r="A163" s="2">
        <v>43347</v>
      </c>
      <c r="B163" s="1" t="s">
        <v>6</v>
      </c>
      <c r="C163" t="s">
        <v>11</v>
      </c>
      <c r="D163" t="s">
        <v>8</v>
      </c>
      <c r="E163">
        <v>9</v>
      </c>
      <c r="F163">
        <v>25</v>
      </c>
    </row>
    <row r="164" spans="1:6" x14ac:dyDescent="0.25">
      <c r="A164" s="2">
        <v>43362</v>
      </c>
      <c r="B164" s="1" t="s">
        <v>13</v>
      </c>
      <c r="C164" t="s">
        <v>11</v>
      </c>
      <c r="D164" t="s">
        <v>8</v>
      </c>
      <c r="E164">
        <v>36</v>
      </c>
      <c r="F164">
        <v>26</v>
      </c>
    </row>
    <row r="165" spans="1:6" x14ac:dyDescent="0.25">
      <c r="A165" s="2">
        <v>43381</v>
      </c>
      <c r="B165" s="1" t="s">
        <v>15</v>
      </c>
      <c r="C165" t="s">
        <v>11</v>
      </c>
      <c r="D165" t="s">
        <v>14</v>
      </c>
      <c r="E165">
        <v>45</v>
      </c>
      <c r="F165">
        <v>36</v>
      </c>
    </row>
    <row r="166" spans="1:6" x14ac:dyDescent="0.25">
      <c r="A166" s="2">
        <v>43428</v>
      </c>
      <c r="B166" s="1" t="s">
        <v>17</v>
      </c>
      <c r="C166" t="s">
        <v>11</v>
      </c>
      <c r="D166" t="s">
        <v>8</v>
      </c>
      <c r="E166">
        <v>24</v>
      </c>
      <c r="F166">
        <v>24</v>
      </c>
    </row>
    <row r="167" spans="1:6" x14ac:dyDescent="0.25">
      <c r="A167" s="2">
        <v>43452</v>
      </c>
      <c r="B167" s="1" t="s">
        <v>18</v>
      </c>
      <c r="C167" t="s">
        <v>11</v>
      </c>
      <c r="D167" t="s">
        <v>8</v>
      </c>
      <c r="E167">
        <v>46</v>
      </c>
      <c r="F167">
        <v>23</v>
      </c>
    </row>
    <row r="168" spans="1:6" x14ac:dyDescent="0.25">
      <c r="A168" s="2">
        <v>42370</v>
      </c>
      <c r="B168" s="1" t="s">
        <v>6</v>
      </c>
      <c r="C168" t="s">
        <v>10</v>
      </c>
      <c r="D168" t="s">
        <v>8</v>
      </c>
      <c r="E168">
        <v>38</v>
      </c>
      <c r="F168">
        <v>10</v>
      </c>
    </row>
    <row r="169" spans="1:6" x14ac:dyDescent="0.25">
      <c r="A169" s="2">
        <v>42419</v>
      </c>
      <c r="B169" s="1" t="s">
        <v>16</v>
      </c>
      <c r="C169" t="s">
        <v>10</v>
      </c>
      <c r="D169" t="s">
        <v>14</v>
      </c>
      <c r="E169">
        <v>38</v>
      </c>
      <c r="F169">
        <v>13</v>
      </c>
    </row>
    <row r="170" spans="1:6" x14ac:dyDescent="0.25">
      <c r="A170" s="2">
        <v>42440</v>
      </c>
      <c r="B170" s="1" t="s">
        <v>17</v>
      </c>
      <c r="C170" t="s">
        <v>10</v>
      </c>
      <c r="D170" t="s">
        <v>8</v>
      </c>
      <c r="E170">
        <v>7</v>
      </c>
      <c r="F170">
        <v>8</v>
      </c>
    </row>
    <row r="171" spans="1:6" x14ac:dyDescent="0.25">
      <c r="A171" s="2">
        <v>42464</v>
      </c>
      <c r="B171" s="1" t="s">
        <v>18</v>
      </c>
      <c r="C171" t="s">
        <v>10</v>
      </c>
      <c r="D171" t="s">
        <v>14</v>
      </c>
      <c r="E171">
        <v>7</v>
      </c>
      <c r="F171">
        <v>12</v>
      </c>
    </row>
    <row r="172" spans="1:6" x14ac:dyDescent="0.25">
      <c r="A172" s="2">
        <v>42529</v>
      </c>
      <c r="B172" s="1" t="s">
        <v>21</v>
      </c>
      <c r="C172" t="s">
        <v>10</v>
      </c>
      <c r="D172" t="s">
        <v>8</v>
      </c>
      <c r="E172">
        <v>28</v>
      </c>
      <c r="F172">
        <v>8</v>
      </c>
    </row>
    <row r="173" spans="1:6" x14ac:dyDescent="0.25">
      <c r="A173" s="2">
        <v>42542</v>
      </c>
      <c r="B173" s="1" t="s">
        <v>22</v>
      </c>
      <c r="C173" t="s">
        <v>10</v>
      </c>
      <c r="D173" t="s">
        <v>8</v>
      </c>
      <c r="E173">
        <v>9</v>
      </c>
      <c r="F173">
        <v>9</v>
      </c>
    </row>
    <row r="174" spans="1:6" x14ac:dyDescent="0.25">
      <c r="A174" s="2">
        <v>42559</v>
      </c>
      <c r="B174" s="1" t="s">
        <v>6</v>
      </c>
      <c r="C174" t="s">
        <v>10</v>
      </c>
      <c r="D174" t="s">
        <v>14</v>
      </c>
      <c r="E174">
        <v>37</v>
      </c>
      <c r="F174">
        <v>12</v>
      </c>
    </row>
    <row r="175" spans="1:6" x14ac:dyDescent="0.25">
      <c r="A175" s="2">
        <v>42619</v>
      </c>
      <c r="B175" s="1" t="s">
        <v>16</v>
      </c>
      <c r="C175" t="s">
        <v>10</v>
      </c>
      <c r="D175" t="s">
        <v>8</v>
      </c>
      <c r="E175">
        <v>47</v>
      </c>
      <c r="F175">
        <v>7</v>
      </c>
    </row>
    <row r="176" spans="1:6" x14ac:dyDescent="0.25">
      <c r="A176" s="2">
        <v>42640</v>
      </c>
      <c r="B176" s="1" t="s">
        <v>17</v>
      </c>
      <c r="C176" t="s">
        <v>10</v>
      </c>
      <c r="D176" t="s">
        <v>14</v>
      </c>
      <c r="E176">
        <v>45</v>
      </c>
      <c r="F176">
        <v>12</v>
      </c>
    </row>
    <row r="177" spans="1:6" x14ac:dyDescent="0.25">
      <c r="A177" s="2">
        <v>42664</v>
      </c>
      <c r="B177" s="1" t="s">
        <v>18</v>
      </c>
      <c r="C177" t="s">
        <v>10</v>
      </c>
      <c r="D177" t="s">
        <v>14</v>
      </c>
      <c r="E177">
        <v>2</v>
      </c>
      <c r="F177">
        <v>12</v>
      </c>
    </row>
    <row r="178" spans="1:6" x14ac:dyDescent="0.25">
      <c r="A178" s="2">
        <v>42682</v>
      </c>
      <c r="B178" s="1" t="s">
        <v>19</v>
      </c>
      <c r="C178" t="s">
        <v>10</v>
      </c>
      <c r="D178" t="s">
        <v>8</v>
      </c>
      <c r="E178">
        <v>11</v>
      </c>
      <c r="F178">
        <v>8</v>
      </c>
    </row>
    <row r="179" spans="1:6" x14ac:dyDescent="0.25">
      <c r="A179" s="2">
        <v>42704</v>
      </c>
      <c r="B179" s="1" t="s">
        <v>20</v>
      </c>
      <c r="C179" t="s">
        <v>10</v>
      </c>
      <c r="D179" t="s">
        <v>14</v>
      </c>
      <c r="E179">
        <v>11</v>
      </c>
      <c r="F179">
        <v>12</v>
      </c>
    </row>
    <row r="180" spans="1:6" x14ac:dyDescent="0.25">
      <c r="A180" s="2">
        <v>42742</v>
      </c>
      <c r="B180" s="1" t="s">
        <v>22</v>
      </c>
      <c r="C180" t="s">
        <v>10</v>
      </c>
      <c r="D180" t="s">
        <v>8</v>
      </c>
      <c r="E180">
        <v>42</v>
      </c>
      <c r="F180">
        <v>9</v>
      </c>
    </row>
    <row r="181" spans="1:6" x14ac:dyDescent="0.25">
      <c r="A181" s="2">
        <v>42793</v>
      </c>
      <c r="B181" s="1" t="s">
        <v>15</v>
      </c>
      <c r="C181" t="s">
        <v>10</v>
      </c>
      <c r="D181" t="s">
        <v>8</v>
      </c>
      <c r="E181">
        <v>30</v>
      </c>
      <c r="F181">
        <v>8</v>
      </c>
    </row>
    <row r="182" spans="1:6" x14ac:dyDescent="0.25">
      <c r="A182" s="2">
        <v>42840</v>
      </c>
      <c r="B182" s="1" t="s">
        <v>17</v>
      </c>
      <c r="C182" t="s">
        <v>10</v>
      </c>
      <c r="D182" t="s">
        <v>8</v>
      </c>
      <c r="E182">
        <v>15</v>
      </c>
      <c r="F182">
        <v>8</v>
      </c>
    </row>
    <row r="183" spans="1:6" x14ac:dyDescent="0.25">
      <c r="A183" s="2">
        <v>42864</v>
      </c>
      <c r="B183" s="1" t="s">
        <v>18</v>
      </c>
      <c r="C183" t="s">
        <v>10</v>
      </c>
      <c r="D183" t="s">
        <v>14</v>
      </c>
      <c r="E183">
        <v>86</v>
      </c>
      <c r="F183">
        <v>12</v>
      </c>
    </row>
    <row r="184" spans="1:6" x14ac:dyDescent="0.25">
      <c r="A184" s="2">
        <v>42882</v>
      </c>
      <c r="B184" s="1" t="s">
        <v>19</v>
      </c>
      <c r="C184" t="s">
        <v>10</v>
      </c>
      <c r="D184" t="s">
        <v>14</v>
      </c>
      <c r="E184">
        <v>1</v>
      </c>
      <c r="F184">
        <v>12</v>
      </c>
    </row>
    <row r="185" spans="1:6" x14ac:dyDescent="0.25">
      <c r="A185" s="2">
        <v>42904</v>
      </c>
      <c r="B185" s="1" t="s">
        <v>20</v>
      </c>
      <c r="C185" t="s">
        <v>10</v>
      </c>
      <c r="D185" t="s">
        <v>8</v>
      </c>
      <c r="E185">
        <v>22</v>
      </c>
      <c r="F185">
        <v>8</v>
      </c>
    </row>
    <row r="186" spans="1:6" x14ac:dyDescent="0.25">
      <c r="A186" s="2">
        <v>42942</v>
      </c>
      <c r="B186" s="1" t="s">
        <v>22</v>
      </c>
      <c r="C186" t="s">
        <v>10</v>
      </c>
      <c r="D186" t="s">
        <v>14</v>
      </c>
      <c r="E186">
        <v>22</v>
      </c>
      <c r="F186">
        <v>11</v>
      </c>
    </row>
    <row r="187" spans="1:6" x14ac:dyDescent="0.25">
      <c r="A187" s="2">
        <v>42974</v>
      </c>
      <c r="B187" s="1" t="s">
        <v>13</v>
      </c>
      <c r="C187" t="s">
        <v>10</v>
      </c>
      <c r="D187" t="s">
        <v>8</v>
      </c>
      <c r="E187">
        <v>24</v>
      </c>
      <c r="F187">
        <v>9</v>
      </c>
    </row>
    <row r="188" spans="1:6" x14ac:dyDescent="0.25">
      <c r="A188" s="2">
        <v>43040</v>
      </c>
      <c r="B188" s="1" t="s">
        <v>17</v>
      </c>
      <c r="C188" t="s">
        <v>10</v>
      </c>
      <c r="D188" t="s">
        <v>8</v>
      </c>
      <c r="E188">
        <v>15</v>
      </c>
      <c r="F188">
        <v>8</v>
      </c>
    </row>
    <row r="189" spans="1:6" x14ac:dyDescent="0.25">
      <c r="A189" s="2">
        <v>43082</v>
      </c>
      <c r="B189" s="1" t="s">
        <v>19</v>
      </c>
      <c r="C189" t="s">
        <v>10</v>
      </c>
      <c r="D189" t="s">
        <v>8</v>
      </c>
      <c r="E189">
        <v>26</v>
      </c>
      <c r="F189">
        <v>8</v>
      </c>
    </row>
    <row r="190" spans="1:6" x14ac:dyDescent="0.25">
      <c r="A190" s="2">
        <v>43104</v>
      </c>
      <c r="B190" s="1" t="s">
        <v>20</v>
      </c>
      <c r="C190" t="s">
        <v>10</v>
      </c>
      <c r="D190" t="s">
        <v>8</v>
      </c>
      <c r="E190">
        <v>21</v>
      </c>
      <c r="F190">
        <v>8</v>
      </c>
    </row>
    <row r="191" spans="1:6" x14ac:dyDescent="0.25">
      <c r="A191" s="2">
        <v>43129</v>
      </c>
      <c r="B191" s="1" t="s">
        <v>21</v>
      </c>
      <c r="C191" t="s">
        <v>10</v>
      </c>
      <c r="D191" t="s">
        <v>8</v>
      </c>
      <c r="E191">
        <v>4</v>
      </c>
      <c r="F191">
        <v>8</v>
      </c>
    </row>
    <row r="192" spans="1:6" x14ac:dyDescent="0.25">
      <c r="A192" s="2">
        <v>43147</v>
      </c>
      <c r="B192" s="1" t="s">
        <v>6</v>
      </c>
      <c r="C192" t="s">
        <v>10</v>
      </c>
      <c r="D192" t="s">
        <v>8</v>
      </c>
      <c r="E192">
        <v>10</v>
      </c>
      <c r="F192">
        <v>8</v>
      </c>
    </row>
    <row r="193" spans="1:6" x14ac:dyDescent="0.25">
      <c r="A193" s="2">
        <v>43162</v>
      </c>
      <c r="B193" s="1" t="s">
        <v>13</v>
      </c>
      <c r="C193" t="s">
        <v>10</v>
      </c>
      <c r="D193" t="s">
        <v>8</v>
      </c>
      <c r="E193">
        <v>5</v>
      </c>
      <c r="F193">
        <v>9</v>
      </c>
    </row>
    <row r="194" spans="1:6" x14ac:dyDescent="0.25">
      <c r="A194" s="2">
        <v>43181</v>
      </c>
      <c r="B194" s="1" t="s">
        <v>15</v>
      </c>
      <c r="C194" t="s">
        <v>10</v>
      </c>
      <c r="D194" t="s">
        <v>8</v>
      </c>
      <c r="E194">
        <v>16</v>
      </c>
      <c r="F194">
        <v>8</v>
      </c>
    </row>
    <row r="195" spans="1:6" x14ac:dyDescent="0.25">
      <c r="A195" s="2">
        <v>43207</v>
      </c>
      <c r="B195" s="1" t="s">
        <v>16</v>
      </c>
      <c r="C195" t="s">
        <v>10</v>
      </c>
      <c r="D195" t="s">
        <v>8</v>
      </c>
      <c r="E195">
        <v>34</v>
      </c>
      <c r="F195">
        <v>7</v>
      </c>
    </row>
    <row r="196" spans="1:6" x14ac:dyDescent="0.25">
      <c r="A196" s="2">
        <v>43228</v>
      </c>
      <c r="B196" s="1" t="s">
        <v>17</v>
      </c>
      <c r="C196" t="s">
        <v>10</v>
      </c>
      <c r="D196" t="s">
        <v>8</v>
      </c>
      <c r="E196">
        <v>40</v>
      </c>
      <c r="F196">
        <v>8</v>
      </c>
    </row>
    <row r="197" spans="1:6" x14ac:dyDescent="0.25">
      <c r="A197" s="2">
        <v>43292</v>
      </c>
      <c r="B197" s="1" t="s">
        <v>20</v>
      </c>
      <c r="C197" t="s">
        <v>10</v>
      </c>
      <c r="D197" t="s">
        <v>14</v>
      </c>
      <c r="E197">
        <v>192</v>
      </c>
      <c r="F197">
        <v>12</v>
      </c>
    </row>
    <row r="198" spans="1:6" x14ac:dyDescent="0.25">
      <c r="A198" s="2">
        <v>43317</v>
      </c>
      <c r="B198" s="1" t="s">
        <v>21</v>
      </c>
      <c r="C198" t="s">
        <v>10</v>
      </c>
      <c r="D198" t="s">
        <v>8</v>
      </c>
      <c r="E198">
        <v>46</v>
      </c>
      <c r="F198">
        <v>8</v>
      </c>
    </row>
    <row r="199" spans="1:6" x14ac:dyDescent="0.25">
      <c r="A199" s="2">
        <v>43330</v>
      </c>
      <c r="B199" s="1" t="s">
        <v>22</v>
      </c>
      <c r="C199" t="s">
        <v>10</v>
      </c>
      <c r="D199" t="s">
        <v>14</v>
      </c>
      <c r="E199">
        <v>49</v>
      </c>
      <c r="F199">
        <v>11</v>
      </c>
    </row>
    <row r="200" spans="1:6" x14ac:dyDescent="0.25">
      <c r="A200" s="2">
        <v>43347</v>
      </c>
      <c r="B200" s="1" t="s">
        <v>6</v>
      </c>
      <c r="C200" t="s">
        <v>10</v>
      </c>
      <c r="D200" t="s">
        <v>8</v>
      </c>
      <c r="E200">
        <v>47</v>
      </c>
      <c r="F200">
        <v>8</v>
      </c>
    </row>
    <row r="201" spans="1:6" x14ac:dyDescent="0.25">
      <c r="A201" s="2">
        <v>43362</v>
      </c>
      <c r="B201" s="1" t="s">
        <v>13</v>
      </c>
      <c r="C201" t="s">
        <v>10</v>
      </c>
      <c r="D201" t="s">
        <v>8</v>
      </c>
      <c r="E201">
        <v>24</v>
      </c>
      <c r="F201">
        <v>9</v>
      </c>
    </row>
    <row r="202" spans="1:6" x14ac:dyDescent="0.25">
      <c r="A202" s="2">
        <v>43381</v>
      </c>
      <c r="B202" s="1" t="s">
        <v>15</v>
      </c>
      <c r="C202" t="s">
        <v>10</v>
      </c>
      <c r="D202" t="s">
        <v>8</v>
      </c>
      <c r="E202">
        <v>18</v>
      </c>
      <c r="F202">
        <v>8</v>
      </c>
    </row>
    <row r="203" spans="1:6" x14ac:dyDescent="0.25">
      <c r="A203" s="2">
        <v>43452</v>
      </c>
      <c r="B203" s="1" t="s">
        <v>18</v>
      </c>
      <c r="C203" t="s">
        <v>10</v>
      </c>
      <c r="D203" t="s">
        <v>8</v>
      </c>
      <c r="E203">
        <v>41</v>
      </c>
      <c r="F203">
        <v>8</v>
      </c>
    </row>
  </sheetData>
  <autoFilter ref="I1:K80" xr:uid="{B122A8B4-C162-4D06-889C-D2FBCE10B580}">
    <sortState xmlns:xlrd2="http://schemas.microsoft.com/office/spreadsheetml/2017/richdata2" ref="I2:K80">
      <sortCondition ref="I1:I80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8CF7-54E7-45BA-8E2C-BF8F551BA43A}">
  <dimension ref="A1:H117"/>
  <sheetViews>
    <sheetView topLeftCell="E1" zoomScale="160" zoomScaleNormal="160" workbookViewId="0">
      <selection activeCell="L87" sqref="L87"/>
    </sheetView>
  </sheetViews>
  <sheetFormatPr defaultRowHeight="15" outlineLevelRow="2" x14ac:dyDescent="0.25"/>
  <cols>
    <col min="1" max="1" width="14.28515625" bestFit="1" customWidth="1"/>
    <col min="6" max="6" width="13.28515625" bestFit="1" customWidth="1"/>
    <col min="8" max="8" width="11" bestFit="1" customWidth="1"/>
  </cols>
  <sheetData>
    <row r="1" spans="1:8" x14ac:dyDescent="0.25">
      <c r="A1" t="s">
        <v>0</v>
      </c>
      <c r="B1" t="s">
        <v>8</v>
      </c>
      <c r="C1" t="s">
        <v>14</v>
      </c>
      <c r="F1" t="s">
        <v>0</v>
      </c>
      <c r="G1" t="s">
        <v>78</v>
      </c>
      <c r="H1" t="s">
        <v>79</v>
      </c>
    </row>
    <row r="2" spans="1:8" hidden="1" outlineLevel="2" x14ac:dyDescent="0.25">
      <c r="A2" s="19">
        <v>42370</v>
      </c>
      <c r="B2">
        <v>32</v>
      </c>
      <c r="C2">
        <v>0</v>
      </c>
      <c r="F2" s="19">
        <v>42370</v>
      </c>
      <c r="G2">
        <v>32</v>
      </c>
      <c r="H2">
        <v>0</v>
      </c>
    </row>
    <row r="3" spans="1:8" hidden="1" outlineLevel="2" x14ac:dyDescent="0.25">
      <c r="A3" s="19">
        <v>42370</v>
      </c>
      <c r="B3">
        <v>0</v>
      </c>
      <c r="C3">
        <v>0</v>
      </c>
      <c r="F3" s="19">
        <v>42370</v>
      </c>
      <c r="G3">
        <v>0</v>
      </c>
      <c r="H3">
        <v>0</v>
      </c>
    </row>
    <row r="4" spans="1:8" hidden="1" outlineLevel="2" x14ac:dyDescent="0.25">
      <c r="A4" s="19">
        <v>42385</v>
      </c>
      <c r="B4">
        <v>0</v>
      </c>
      <c r="C4">
        <v>32</v>
      </c>
      <c r="F4" s="19">
        <v>42385</v>
      </c>
      <c r="G4">
        <v>0</v>
      </c>
      <c r="H4">
        <v>32</v>
      </c>
    </row>
    <row r="5" spans="1:8" hidden="1" outlineLevel="2" x14ac:dyDescent="0.25">
      <c r="A5" s="19">
        <v>42393</v>
      </c>
      <c r="B5">
        <v>44</v>
      </c>
      <c r="C5">
        <v>0</v>
      </c>
      <c r="F5" s="19">
        <v>42393</v>
      </c>
      <c r="G5">
        <v>44</v>
      </c>
      <c r="H5">
        <v>0</v>
      </c>
    </row>
    <row r="6" spans="1:8" outlineLevel="1" collapsed="1" x14ac:dyDescent="0.25">
      <c r="A6" s="20" t="s">
        <v>42</v>
      </c>
      <c r="B6">
        <f>SUBTOTAL(9,B2:B5)</f>
        <v>76</v>
      </c>
      <c r="C6">
        <f>SUBTOTAL(9,C2:C5)</f>
        <v>32</v>
      </c>
      <c r="F6" s="20" t="str">
        <f>LEFT(A6,7)</f>
        <v>2016-01</v>
      </c>
      <c r="G6">
        <f>SUBTOTAL(9,G2:G5)</f>
        <v>76</v>
      </c>
      <c r="H6">
        <f>SUBTOTAL(9,H2:H5)</f>
        <v>32</v>
      </c>
    </row>
    <row r="7" spans="1:8" hidden="1" outlineLevel="2" x14ac:dyDescent="0.25">
      <c r="A7" s="19">
        <v>42401</v>
      </c>
      <c r="B7">
        <v>0</v>
      </c>
      <c r="C7">
        <v>0</v>
      </c>
      <c r="F7" s="20" t="str">
        <f t="shared" ref="F7:F70" si="0">LEFT(A7,7)</f>
        <v>42401</v>
      </c>
      <c r="G7">
        <v>0</v>
      </c>
      <c r="H7">
        <v>0</v>
      </c>
    </row>
    <row r="8" spans="1:8" hidden="1" outlineLevel="2" x14ac:dyDescent="0.25">
      <c r="A8" s="19">
        <v>42419</v>
      </c>
      <c r="B8">
        <v>8</v>
      </c>
      <c r="C8">
        <v>0</v>
      </c>
      <c r="F8" s="20" t="str">
        <f t="shared" si="0"/>
        <v>42419</v>
      </c>
      <c r="G8">
        <v>8</v>
      </c>
      <c r="H8">
        <v>0</v>
      </c>
    </row>
    <row r="9" spans="1:8" outlineLevel="1" collapsed="1" x14ac:dyDescent="0.25">
      <c r="A9" s="20" t="s">
        <v>43</v>
      </c>
      <c r="B9">
        <f>SUBTOTAL(9,B7:B8)</f>
        <v>8</v>
      </c>
      <c r="C9">
        <f>SUBTOTAL(9,C7:C8)</f>
        <v>0</v>
      </c>
      <c r="F9" s="20" t="str">
        <f t="shared" si="0"/>
        <v>2016-02</v>
      </c>
      <c r="G9">
        <f>SUBTOTAL(9,G7:G8)</f>
        <v>8</v>
      </c>
      <c r="H9">
        <f>SUBTOTAL(9,H7:H8)</f>
        <v>0</v>
      </c>
    </row>
    <row r="10" spans="1:8" hidden="1" outlineLevel="2" x14ac:dyDescent="0.25">
      <c r="A10" s="19">
        <v>42430</v>
      </c>
      <c r="B10">
        <v>0</v>
      </c>
      <c r="C10">
        <v>0</v>
      </c>
      <c r="F10" s="20" t="str">
        <f t="shared" si="0"/>
        <v>42430</v>
      </c>
      <c r="G10">
        <v>0</v>
      </c>
      <c r="H10">
        <v>0</v>
      </c>
    </row>
    <row r="11" spans="1:8" hidden="1" outlineLevel="2" x14ac:dyDescent="0.25">
      <c r="A11" s="19">
        <v>42440</v>
      </c>
      <c r="B11">
        <v>0</v>
      </c>
      <c r="C11">
        <v>50</v>
      </c>
      <c r="F11" s="20" t="str">
        <f t="shared" si="0"/>
        <v>42440</v>
      </c>
      <c r="G11">
        <v>0</v>
      </c>
      <c r="H11">
        <v>50</v>
      </c>
    </row>
    <row r="12" spans="1:8" outlineLevel="1" collapsed="1" x14ac:dyDescent="0.25">
      <c r="A12" s="20" t="s">
        <v>44</v>
      </c>
      <c r="B12">
        <f>SUBTOTAL(9,B10:B11)</f>
        <v>0</v>
      </c>
      <c r="C12">
        <f>SUBTOTAL(9,C10:C11)</f>
        <v>50</v>
      </c>
      <c r="F12" s="20" t="str">
        <f t="shared" si="0"/>
        <v>2016-03</v>
      </c>
      <c r="G12">
        <f>SUBTOTAL(9,G10:G11)</f>
        <v>0</v>
      </c>
      <c r="H12">
        <f>SUBTOTAL(9,H10:H11)</f>
        <v>50</v>
      </c>
    </row>
    <row r="13" spans="1:8" hidden="1" outlineLevel="2" x14ac:dyDescent="0.25">
      <c r="A13" s="19">
        <v>42461</v>
      </c>
      <c r="B13">
        <v>0</v>
      </c>
      <c r="C13">
        <v>0</v>
      </c>
      <c r="F13" s="20" t="str">
        <f t="shared" si="0"/>
        <v>42461</v>
      </c>
      <c r="G13">
        <v>0</v>
      </c>
      <c r="H13">
        <v>0</v>
      </c>
    </row>
    <row r="14" spans="1:8" hidden="1" outlineLevel="2" x14ac:dyDescent="0.25">
      <c r="A14" s="19">
        <v>42464</v>
      </c>
      <c r="B14">
        <v>33</v>
      </c>
      <c r="C14">
        <v>0</v>
      </c>
      <c r="F14" s="20" t="str">
        <f t="shared" si="0"/>
        <v>42464</v>
      </c>
      <c r="G14">
        <v>33</v>
      </c>
      <c r="H14">
        <v>0</v>
      </c>
    </row>
    <row r="15" spans="1:8" hidden="1" outlineLevel="2" x14ac:dyDescent="0.25">
      <c r="A15" s="19">
        <v>42482</v>
      </c>
      <c r="B15">
        <v>35</v>
      </c>
      <c r="C15">
        <v>0</v>
      </c>
      <c r="F15" s="20" t="str">
        <f t="shared" si="0"/>
        <v>42482</v>
      </c>
      <c r="G15">
        <v>35</v>
      </c>
      <c r="H15">
        <v>0</v>
      </c>
    </row>
    <row r="16" spans="1:8" outlineLevel="1" collapsed="1" x14ac:dyDescent="0.25">
      <c r="A16" s="20" t="s">
        <v>45</v>
      </c>
      <c r="B16">
        <f>SUBTOTAL(9,B13:B15)</f>
        <v>68</v>
      </c>
      <c r="C16">
        <f>SUBTOTAL(9,C13:C15)</f>
        <v>0</v>
      </c>
      <c r="F16" s="20" t="str">
        <f t="shared" si="0"/>
        <v>2016-04</v>
      </c>
      <c r="G16">
        <f>SUBTOTAL(9,G13:G15)</f>
        <v>68</v>
      </c>
      <c r="H16">
        <f>SUBTOTAL(9,H13:H15)</f>
        <v>0</v>
      </c>
    </row>
    <row r="17" spans="1:8" hidden="1" outlineLevel="2" x14ac:dyDescent="0.25">
      <c r="A17" s="19">
        <v>42491</v>
      </c>
      <c r="B17">
        <v>0</v>
      </c>
      <c r="C17">
        <v>0</v>
      </c>
      <c r="F17" s="20" t="str">
        <f t="shared" si="0"/>
        <v>42491</v>
      </c>
      <c r="G17">
        <v>0</v>
      </c>
      <c r="H17">
        <v>0</v>
      </c>
    </row>
    <row r="18" spans="1:8" outlineLevel="1" collapsed="1" x14ac:dyDescent="0.25">
      <c r="A18" s="20" t="s">
        <v>72</v>
      </c>
      <c r="B18">
        <f>SUBTOTAL(9,B17:B17)</f>
        <v>0</v>
      </c>
      <c r="C18">
        <f>SUBTOTAL(9,C17:C17)</f>
        <v>0</v>
      </c>
      <c r="F18" s="20" t="str">
        <f t="shared" si="0"/>
        <v>2016-05</v>
      </c>
      <c r="G18">
        <f>SUBTOTAL(9,G17:G17)</f>
        <v>0</v>
      </c>
      <c r="H18">
        <f>SUBTOTAL(9,H17:H17)</f>
        <v>0</v>
      </c>
    </row>
    <row r="19" spans="1:8" hidden="1" outlineLevel="2" x14ac:dyDescent="0.25">
      <c r="A19" s="19">
        <v>42522</v>
      </c>
      <c r="B19">
        <v>0</v>
      </c>
      <c r="C19">
        <v>0</v>
      </c>
      <c r="F19" s="20" t="str">
        <f t="shared" si="0"/>
        <v>42522</v>
      </c>
      <c r="G19">
        <v>0</v>
      </c>
      <c r="H19">
        <v>0</v>
      </c>
    </row>
    <row r="20" spans="1:8" hidden="1" outlineLevel="2" x14ac:dyDescent="0.25">
      <c r="A20" s="19">
        <v>42542</v>
      </c>
      <c r="B20">
        <v>42</v>
      </c>
      <c r="C20">
        <v>0</v>
      </c>
      <c r="F20" s="20" t="str">
        <f t="shared" si="0"/>
        <v>42542</v>
      </c>
      <c r="G20">
        <v>42</v>
      </c>
      <c r="H20">
        <v>0</v>
      </c>
    </row>
    <row r="21" spans="1:8" outlineLevel="1" collapsed="1" x14ac:dyDescent="0.25">
      <c r="A21" s="20" t="s">
        <v>46</v>
      </c>
      <c r="B21">
        <f>SUBTOTAL(9,B19:B20)</f>
        <v>42</v>
      </c>
      <c r="C21">
        <f>SUBTOTAL(9,C19:C20)</f>
        <v>0</v>
      </c>
      <c r="F21" s="20" t="str">
        <f t="shared" si="0"/>
        <v>2016-06</v>
      </c>
      <c r="G21">
        <f>SUBTOTAL(9,G19:G20)</f>
        <v>42</v>
      </c>
      <c r="H21">
        <f>SUBTOTAL(9,H19:H20)</f>
        <v>0</v>
      </c>
    </row>
    <row r="22" spans="1:8" hidden="1" outlineLevel="2" x14ac:dyDescent="0.25">
      <c r="A22" s="19">
        <v>42552</v>
      </c>
      <c r="B22">
        <v>0</v>
      </c>
      <c r="C22">
        <v>0</v>
      </c>
      <c r="F22" s="20" t="str">
        <f t="shared" si="0"/>
        <v>42552</v>
      </c>
      <c r="G22">
        <v>0</v>
      </c>
      <c r="H22">
        <v>0</v>
      </c>
    </row>
    <row r="23" spans="1:8" hidden="1" outlineLevel="2" x14ac:dyDescent="0.25">
      <c r="A23" s="19">
        <v>42559</v>
      </c>
      <c r="B23">
        <v>35</v>
      </c>
      <c r="C23">
        <v>0</v>
      </c>
      <c r="F23" s="20" t="str">
        <f t="shared" si="0"/>
        <v>42559</v>
      </c>
      <c r="G23">
        <v>35</v>
      </c>
      <c r="H23">
        <v>0</v>
      </c>
    </row>
    <row r="24" spans="1:8" hidden="1" outlineLevel="2" x14ac:dyDescent="0.25">
      <c r="A24" s="19">
        <v>42574</v>
      </c>
      <c r="B24">
        <v>48</v>
      </c>
      <c r="C24">
        <v>0</v>
      </c>
      <c r="F24" s="20" t="str">
        <f t="shared" si="0"/>
        <v>42574</v>
      </c>
      <c r="G24">
        <v>48</v>
      </c>
      <c r="H24">
        <v>0</v>
      </c>
    </row>
    <row r="25" spans="1:8" outlineLevel="1" collapsed="1" x14ac:dyDescent="0.25">
      <c r="A25" s="20" t="s">
        <v>47</v>
      </c>
      <c r="B25">
        <f>SUBTOTAL(9,B22:B24)</f>
        <v>83</v>
      </c>
      <c r="C25">
        <f>SUBTOTAL(9,C22:C24)</f>
        <v>0</v>
      </c>
      <c r="F25" s="20" t="str">
        <f t="shared" si="0"/>
        <v>2016-07</v>
      </c>
      <c r="G25">
        <f>SUBTOTAL(9,G22:G24)</f>
        <v>83</v>
      </c>
      <c r="H25">
        <f>SUBTOTAL(9,H22:H24)</f>
        <v>0</v>
      </c>
    </row>
    <row r="26" spans="1:8" hidden="1" outlineLevel="2" x14ac:dyDescent="0.25">
      <c r="A26" s="19">
        <v>42583</v>
      </c>
      <c r="B26">
        <v>0</v>
      </c>
      <c r="C26">
        <v>0</v>
      </c>
      <c r="F26" s="20" t="str">
        <f t="shared" si="0"/>
        <v>42583</v>
      </c>
      <c r="G26">
        <v>0</v>
      </c>
      <c r="H26">
        <v>0</v>
      </c>
    </row>
    <row r="27" spans="1:8" hidden="1" outlineLevel="2" x14ac:dyDescent="0.25">
      <c r="A27" s="19">
        <v>42593</v>
      </c>
      <c r="B27">
        <v>0</v>
      </c>
      <c r="C27">
        <v>191</v>
      </c>
      <c r="F27" s="20" t="str">
        <f t="shared" si="0"/>
        <v>42593</v>
      </c>
      <c r="G27">
        <v>0</v>
      </c>
      <c r="H27">
        <v>191</v>
      </c>
    </row>
    <row r="28" spans="1:8" outlineLevel="1" collapsed="1" x14ac:dyDescent="0.25">
      <c r="A28" s="20" t="s">
        <v>48</v>
      </c>
      <c r="B28">
        <f>SUBTOTAL(9,B26:B27)</f>
        <v>0</v>
      </c>
      <c r="C28">
        <f>SUBTOTAL(9,C26:C27)</f>
        <v>191</v>
      </c>
      <c r="F28" s="20" t="str">
        <f t="shared" si="0"/>
        <v>2016-08</v>
      </c>
      <c r="G28">
        <f>SUBTOTAL(9,G26:G27)</f>
        <v>0</v>
      </c>
      <c r="H28">
        <f>SUBTOTAL(9,H26:H27)</f>
        <v>191</v>
      </c>
    </row>
    <row r="29" spans="1:8" hidden="1" outlineLevel="2" x14ac:dyDescent="0.25">
      <c r="A29" s="19">
        <v>42614</v>
      </c>
      <c r="B29">
        <v>0</v>
      </c>
      <c r="C29">
        <v>0</v>
      </c>
      <c r="F29" s="20" t="str">
        <f t="shared" si="0"/>
        <v>42614</v>
      </c>
      <c r="G29">
        <v>0</v>
      </c>
      <c r="H29">
        <v>0</v>
      </c>
    </row>
    <row r="30" spans="1:8" hidden="1" outlineLevel="2" x14ac:dyDescent="0.25">
      <c r="A30" s="19">
        <v>42619</v>
      </c>
      <c r="B30">
        <v>0</v>
      </c>
      <c r="C30">
        <v>4</v>
      </c>
      <c r="F30" s="20" t="str">
        <f t="shared" si="0"/>
        <v>42619</v>
      </c>
      <c r="G30">
        <v>0</v>
      </c>
      <c r="H30">
        <v>4</v>
      </c>
    </row>
    <row r="31" spans="1:8" hidden="1" outlineLevel="2" x14ac:dyDescent="0.25">
      <c r="A31" s="19">
        <v>42640</v>
      </c>
      <c r="B31">
        <v>44</v>
      </c>
      <c r="C31">
        <v>0</v>
      </c>
      <c r="F31" s="20" t="str">
        <f t="shared" si="0"/>
        <v>42640</v>
      </c>
      <c r="G31">
        <v>44</v>
      </c>
      <c r="H31">
        <v>0</v>
      </c>
    </row>
    <row r="32" spans="1:8" outlineLevel="1" collapsed="1" x14ac:dyDescent="0.25">
      <c r="A32" s="20" t="s">
        <v>49</v>
      </c>
      <c r="B32">
        <f>SUBTOTAL(9,B29:B31)</f>
        <v>44</v>
      </c>
      <c r="C32">
        <f>SUBTOTAL(9,C29:C31)</f>
        <v>4</v>
      </c>
      <c r="F32" s="20" t="str">
        <f t="shared" si="0"/>
        <v>2016-09</v>
      </c>
      <c r="G32">
        <f>SUBTOTAL(9,G29:G31)</f>
        <v>44</v>
      </c>
      <c r="H32">
        <f>SUBTOTAL(9,H29:H31)</f>
        <v>4</v>
      </c>
    </row>
    <row r="33" spans="1:8" hidden="1" outlineLevel="2" x14ac:dyDescent="0.25">
      <c r="A33" s="19">
        <v>42644</v>
      </c>
      <c r="B33">
        <v>0</v>
      </c>
      <c r="C33">
        <v>0</v>
      </c>
      <c r="F33" s="20" t="str">
        <f t="shared" si="0"/>
        <v>42644</v>
      </c>
      <c r="G33">
        <v>0</v>
      </c>
      <c r="H33">
        <v>0</v>
      </c>
    </row>
    <row r="34" spans="1:8" outlineLevel="1" collapsed="1" x14ac:dyDescent="0.25">
      <c r="A34" s="20" t="s">
        <v>73</v>
      </c>
      <c r="B34">
        <f>SUBTOTAL(9,B33:B33)</f>
        <v>0</v>
      </c>
      <c r="C34">
        <f>SUBTOTAL(9,C33:C33)</f>
        <v>0</v>
      </c>
      <c r="F34" s="20" t="str">
        <f t="shared" si="0"/>
        <v>2016-10</v>
      </c>
      <c r="G34">
        <f>SUBTOTAL(9,G33:G33)</f>
        <v>0</v>
      </c>
      <c r="H34">
        <f>SUBTOTAL(9,H33:H33)</f>
        <v>0</v>
      </c>
    </row>
    <row r="35" spans="1:8" hidden="1" outlineLevel="2" x14ac:dyDescent="0.25">
      <c r="A35" s="19">
        <v>42675</v>
      </c>
      <c r="B35">
        <v>0</v>
      </c>
      <c r="C35">
        <v>0</v>
      </c>
      <c r="F35" s="20" t="str">
        <f t="shared" si="0"/>
        <v>42675</v>
      </c>
      <c r="G35">
        <v>0</v>
      </c>
      <c r="H35">
        <v>0</v>
      </c>
    </row>
    <row r="36" spans="1:8" hidden="1" outlineLevel="2" x14ac:dyDescent="0.25">
      <c r="A36" s="19">
        <v>42682</v>
      </c>
      <c r="B36">
        <v>30</v>
      </c>
      <c r="C36">
        <v>0</v>
      </c>
      <c r="F36" s="20" t="str">
        <f t="shared" si="0"/>
        <v>42682</v>
      </c>
      <c r="G36">
        <v>30</v>
      </c>
      <c r="H36">
        <v>0</v>
      </c>
    </row>
    <row r="37" spans="1:8" outlineLevel="1" collapsed="1" x14ac:dyDescent="0.25">
      <c r="A37" s="20" t="s">
        <v>50</v>
      </c>
      <c r="B37">
        <f>SUBTOTAL(9,B35:B36)</f>
        <v>30</v>
      </c>
      <c r="C37">
        <f>SUBTOTAL(9,C35:C36)</f>
        <v>0</v>
      </c>
      <c r="F37" s="20" t="str">
        <f t="shared" si="0"/>
        <v>2016-11</v>
      </c>
      <c r="G37">
        <f>SUBTOTAL(9,G35:G36)</f>
        <v>30</v>
      </c>
      <c r="H37">
        <f>SUBTOTAL(9,H35:H36)</f>
        <v>0</v>
      </c>
    </row>
    <row r="38" spans="1:8" hidden="1" outlineLevel="2" x14ac:dyDescent="0.25">
      <c r="A38" s="19">
        <v>42705</v>
      </c>
      <c r="B38">
        <v>0</v>
      </c>
      <c r="C38">
        <v>0</v>
      </c>
      <c r="F38" s="20" t="str">
        <f t="shared" si="0"/>
        <v>42705</v>
      </c>
      <c r="G38">
        <v>0</v>
      </c>
      <c r="H38">
        <v>0</v>
      </c>
    </row>
    <row r="39" spans="1:8" outlineLevel="1" collapsed="1" x14ac:dyDescent="0.25">
      <c r="A39" s="20" t="s">
        <v>74</v>
      </c>
      <c r="B39">
        <f>SUBTOTAL(9,B38:B38)</f>
        <v>0</v>
      </c>
      <c r="C39">
        <f>SUBTOTAL(9,C38:C38)</f>
        <v>0</v>
      </c>
      <c r="F39" s="20" t="str">
        <f t="shared" si="0"/>
        <v>2016-12</v>
      </c>
      <c r="G39">
        <f>SUBTOTAL(9,G38:G38)</f>
        <v>0</v>
      </c>
      <c r="H39">
        <f>SUBTOTAL(9,H38:H38)</f>
        <v>0</v>
      </c>
    </row>
    <row r="40" spans="1:8" hidden="1" outlineLevel="2" x14ac:dyDescent="0.25">
      <c r="A40" s="19">
        <v>42736</v>
      </c>
      <c r="B40">
        <v>0</v>
      </c>
      <c r="C40">
        <v>0</v>
      </c>
      <c r="F40" s="20" t="str">
        <f t="shared" si="0"/>
        <v>42736</v>
      </c>
      <c r="G40">
        <v>0</v>
      </c>
      <c r="H40">
        <v>0</v>
      </c>
    </row>
    <row r="41" spans="1:8" hidden="1" outlineLevel="2" x14ac:dyDescent="0.25">
      <c r="A41" s="19">
        <v>42742</v>
      </c>
      <c r="B41">
        <v>39</v>
      </c>
      <c r="C41">
        <v>0</v>
      </c>
      <c r="F41" s="20" t="str">
        <f t="shared" si="0"/>
        <v>42742</v>
      </c>
      <c r="G41">
        <v>39</v>
      </c>
      <c r="H41">
        <v>0</v>
      </c>
    </row>
    <row r="42" spans="1:8" hidden="1" outlineLevel="2" x14ac:dyDescent="0.25">
      <c r="A42" s="19">
        <v>42759</v>
      </c>
      <c r="B42">
        <v>0</v>
      </c>
      <c r="C42">
        <v>112</v>
      </c>
      <c r="F42" s="20" t="str">
        <f t="shared" si="0"/>
        <v>42759</v>
      </c>
      <c r="G42">
        <v>0</v>
      </c>
      <c r="H42">
        <v>112</v>
      </c>
    </row>
    <row r="43" spans="1:8" outlineLevel="1" collapsed="1" x14ac:dyDescent="0.25">
      <c r="A43" s="20" t="s">
        <v>51</v>
      </c>
      <c r="B43">
        <f>SUBTOTAL(9,B40:B42)</f>
        <v>39</v>
      </c>
      <c r="C43">
        <f>SUBTOTAL(9,C40:C42)</f>
        <v>112</v>
      </c>
      <c r="F43" s="20" t="str">
        <f t="shared" si="0"/>
        <v>2017-01</v>
      </c>
      <c r="G43">
        <f>SUBTOTAL(9,G40:G42)</f>
        <v>39</v>
      </c>
      <c r="H43">
        <f>SUBTOTAL(9,H40:H42)</f>
        <v>112</v>
      </c>
    </row>
    <row r="44" spans="1:8" hidden="1" outlineLevel="2" x14ac:dyDescent="0.25">
      <c r="A44" s="19">
        <v>42767</v>
      </c>
      <c r="B44">
        <v>0</v>
      </c>
      <c r="C44">
        <v>0</v>
      </c>
      <c r="F44" s="20" t="str">
        <f t="shared" si="0"/>
        <v>42767</v>
      </c>
      <c r="G44">
        <v>0</v>
      </c>
      <c r="H44">
        <v>0</v>
      </c>
    </row>
    <row r="45" spans="1:8" hidden="1" outlineLevel="2" x14ac:dyDescent="0.25">
      <c r="A45" s="19">
        <v>42793</v>
      </c>
      <c r="B45">
        <v>0</v>
      </c>
      <c r="C45">
        <v>1</v>
      </c>
      <c r="F45" s="20" t="str">
        <f t="shared" si="0"/>
        <v>42793</v>
      </c>
      <c r="G45">
        <v>0</v>
      </c>
      <c r="H45">
        <v>1</v>
      </c>
    </row>
    <row r="46" spans="1:8" outlineLevel="1" collapsed="1" x14ac:dyDescent="0.25">
      <c r="A46" s="20" t="s">
        <v>52</v>
      </c>
      <c r="B46">
        <f>SUBTOTAL(9,B44:B45)</f>
        <v>0</v>
      </c>
      <c r="C46">
        <f>SUBTOTAL(9,C44:C45)</f>
        <v>1</v>
      </c>
      <c r="F46" s="20" t="str">
        <f t="shared" si="0"/>
        <v>2017-02</v>
      </c>
      <c r="G46">
        <f>SUBTOTAL(9,G44:G45)</f>
        <v>0</v>
      </c>
      <c r="H46">
        <f>SUBTOTAL(9,H44:H45)</f>
        <v>1</v>
      </c>
    </row>
    <row r="47" spans="1:8" hidden="1" outlineLevel="2" x14ac:dyDescent="0.25">
      <c r="A47" s="19">
        <v>42795</v>
      </c>
      <c r="B47">
        <v>0</v>
      </c>
      <c r="C47">
        <v>0</v>
      </c>
      <c r="F47" s="20" t="str">
        <f t="shared" si="0"/>
        <v>42795</v>
      </c>
      <c r="G47">
        <v>0</v>
      </c>
      <c r="H47">
        <v>0</v>
      </c>
    </row>
    <row r="48" spans="1:8" hidden="1" outlineLevel="2" x14ac:dyDescent="0.25">
      <c r="A48" s="19">
        <v>42819</v>
      </c>
      <c r="B48">
        <v>35</v>
      </c>
      <c r="C48">
        <v>0</v>
      </c>
      <c r="F48" s="20" t="str">
        <f t="shared" si="0"/>
        <v>42819</v>
      </c>
      <c r="G48">
        <v>35</v>
      </c>
      <c r="H48">
        <v>0</v>
      </c>
    </row>
    <row r="49" spans="1:8" outlineLevel="1" collapsed="1" x14ac:dyDescent="0.25">
      <c r="A49" s="20" t="s">
        <v>53</v>
      </c>
      <c r="B49">
        <f>SUBTOTAL(9,B47:B48)</f>
        <v>35</v>
      </c>
      <c r="C49">
        <f>SUBTOTAL(9,C47:C48)</f>
        <v>0</v>
      </c>
      <c r="F49" s="20" t="str">
        <f t="shared" si="0"/>
        <v>2017-03</v>
      </c>
      <c r="G49">
        <f>SUBTOTAL(9,G47:G48)</f>
        <v>35</v>
      </c>
      <c r="H49">
        <f>SUBTOTAL(9,H47:H48)</f>
        <v>0</v>
      </c>
    </row>
    <row r="50" spans="1:8" hidden="1" outlineLevel="2" x14ac:dyDescent="0.25">
      <c r="A50" s="19">
        <v>42826</v>
      </c>
      <c r="B50">
        <v>0</v>
      </c>
      <c r="C50">
        <v>0</v>
      </c>
      <c r="F50" s="20" t="str">
        <f t="shared" si="0"/>
        <v>42826</v>
      </c>
      <c r="G50">
        <v>0</v>
      </c>
      <c r="H50">
        <v>0</v>
      </c>
    </row>
    <row r="51" spans="1:8" hidden="1" outlineLevel="2" x14ac:dyDescent="0.25">
      <c r="A51" s="19">
        <v>42840</v>
      </c>
      <c r="B51">
        <v>1</v>
      </c>
      <c r="C51">
        <v>0</v>
      </c>
      <c r="F51" s="20" t="str">
        <f t="shared" si="0"/>
        <v>42840</v>
      </c>
      <c r="G51">
        <v>1</v>
      </c>
      <c r="H51">
        <v>0</v>
      </c>
    </row>
    <row r="52" spans="1:8" outlineLevel="1" collapsed="1" x14ac:dyDescent="0.25">
      <c r="A52" s="20" t="s">
        <v>54</v>
      </c>
      <c r="B52">
        <f>SUBTOTAL(9,B50:B51)</f>
        <v>1</v>
      </c>
      <c r="C52">
        <f>SUBTOTAL(9,C50:C51)</f>
        <v>0</v>
      </c>
      <c r="F52" s="20" t="str">
        <f t="shared" si="0"/>
        <v>2017-04</v>
      </c>
      <c r="G52">
        <f>SUBTOTAL(9,G50:G51)</f>
        <v>1</v>
      </c>
      <c r="H52">
        <f>SUBTOTAL(9,H50:H51)</f>
        <v>0</v>
      </c>
    </row>
    <row r="53" spans="1:8" hidden="1" outlineLevel="2" x14ac:dyDescent="0.25">
      <c r="A53" s="19">
        <v>42856</v>
      </c>
      <c r="B53">
        <v>0</v>
      </c>
      <c r="C53">
        <v>0</v>
      </c>
      <c r="F53" s="20" t="str">
        <f t="shared" si="0"/>
        <v>42856</v>
      </c>
      <c r="G53">
        <v>0</v>
      </c>
      <c r="H53">
        <v>0</v>
      </c>
    </row>
    <row r="54" spans="1:8" hidden="1" outlineLevel="2" x14ac:dyDescent="0.25">
      <c r="A54" s="19">
        <v>42864</v>
      </c>
      <c r="B54">
        <v>33</v>
      </c>
      <c r="C54">
        <v>0</v>
      </c>
      <c r="F54" s="20" t="str">
        <f t="shared" si="0"/>
        <v>42864</v>
      </c>
      <c r="G54">
        <v>33</v>
      </c>
      <c r="H54">
        <v>0</v>
      </c>
    </row>
    <row r="55" spans="1:8" hidden="1" outlineLevel="2" x14ac:dyDescent="0.25">
      <c r="A55" s="19">
        <v>42882</v>
      </c>
      <c r="B55">
        <v>0</v>
      </c>
      <c r="C55">
        <v>68</v>
      </c>
      <c r="F55" s="20" t="str">
        <f t="shared" si="0"/>
        <v>42882</v>
      </c>
      <c r="G55">
        <v>0</v>
      </c>
      <c r="H55">
        <v>68</v>
      </c>
    </row>
    <row r="56" spans="1:8" outlineLevel="1" collapsed="1" x14ac:dyDescent="0.25">
      <c r="A56" s="20" t="s">
        <v>55</v>
      </c>
      <c r="B56">
        <f>SUBTOTAL(9,B53:B55)</f>
        <v>33</v>
      </c>
      <c r="C56">
        <f>SUBTOTAL(9,C53:C55)</f>
        <v>68</v>
      </c>
      <c r="F56" s="20" t="str">
        <f t="shared" si="0"/>
        <v>2017-05</v>
      </c>
      <c r="G56">
        <f>SUBTOTAL(9,G53:G55)</f>
        <v>33</v>
      </c>
      <c r="H56">
        <f>SUBTOTAL(9,H53:H55)</f>
        <v>68</v>
      </c>
    </row>
    <row r="57" spans="1:8" hidden="1" outlineLevel="2" x14ac:dyDescent="0.25">
      <c r="A57" s="19">
        <v>42887</v>
      </c>
      <c r="B57">
        <v>0</v>
      </c>
      <c r="C57">
        <v>0</v>
      </c>
      <c r="F57" s="20" t="str">
        <f t="shared" si="0"/>
        <v>42887</v>
      </c>
      <c r="G57">
        <v>0</v>
      </c>
      <c r="H57">
        <v>0</v>
      </c>
    </row>
    <row r="58" spans="1:8" hidden="1" outlineLevel="2" x14ac:dyDescent="0.25">
      <c r="A58" s="19">
        <v>42904</v>
      </c>
      <c r="B58">
        <v>8</v>
      </c>
      <c r="C58">
        <v>0</v>
      </c>
      <c r="F58" s="20" t="str">
        <f t="shared" si="0"/>
        <v>42904</v>
      </c>
      <c r="G58">
        <v>8</v>
      </c>
      <c r="H58">
        <v>0</v>
      </c>
    </row>
    <row r="59" spans="1:8" outlineLevel="1" collapsed="1" x14ac:dyDescent="0.25">
      <c r="A59" s="20" t="s">
        <v>56</v>
      </c>
      <c r="B59">
        <f>SUBTOTAL(9,B57:B58)</f>
        <v>8</v>
      </c>
      <c r="C59">
        <f>SUBTOTAL(9,C57:C58)</f>
        <v>0</v>
      </c>
      <c r="F59" s="20" t="str">
        <f t="shared" si="0"/>
        <v>2017-06</v>
      </c>
      <c r="G59">
        <f>SUBTOTAL(9,G57:G58)</f>
        <v>8</v>
      </c>
      <c r="H59">
        <f>SUBTOTAL(9,H57:H58)</f>
        <v>0</v>
      </c>
    </row>
    <row r="60" spans="1:8" hidden="1" outlineLevel="2" x14ac:dyDescent="0.25">
      <c r="A60" s="19">
        <v>42917</v>
      </c>
      <c r="B60">
        <v>0</v>
      </c>
      <c r="C60">
        <v>0</v>
      </c>
      <c r="F60" s="20" t="str">
        <f t="shared" si="0"/>
        <v>42917</v>
      </c>
      <c r="G60">
        <v>0</v>
      </c>
      <c r="H60">
        <v>0</v>
      </c>
    </row>
    <row r="61" spans="1:8" hidden="1" outlineLevel="2" x14ac:dyDescent="0.25">
      <c r="A61" s="19">
        <v>42942</v>
      </c>
      <c r="B61">
        <v>42</v>
      </c>
      <c r="C61">
        <v>0</v>
      </c>
      <c r="F61" s="20" t="str">
        <f t="shared" si="0"/>
        <v>42942</v>
      </c>
      <c r="G61">
        <v>42</v>
      </c>
      <c r="H61">
        <v>0</v>
      </c>
    </row>
    <row r="62" spans="1:8" outlineLevel="1" collapsed="1" x14ac:dyDescent="0.25">
      <c r="A62" s="20" t="s">
        <v>57</v>
      </c>
      <c r="B62">
        <f>SUBTOTAL(9,B60:B61)</f>
        <v>42</v>
      </c>
      <c r="C62">
        <f>SUBTOTAL(9,C60:C61)</f>
        <v>0</v>
      </c>
      <c r="F62" s="20" t="str">
        <f t="shared" si="0"/>
        <v>2017-07</v>
      </c>
      <c r="G62">
        <f>SUBTOTAL(9,G60:G61)</f>
        <v>42</v>
      </c>
      <c r="H62">
        <f>SUBTOTAL(9,H60:H61)</f>
        <v>0</v>
      </c>
    </row>
    <row r="63" spans="1:8" hidden="1" outlineLevel="2" x14ac:dyDescent="0.25">
      <c r="A63" s="19">
        <v>42948</v>
      </c>
      <c r="B63">
        <v>0</v>
      </c>
      <c r="C63">
        <v>0</v>
      </c>
      <c r="F63" s="20" t="str">
        <f t="shared" si="0"/>
        <v>42948</v>
      </c>
      <c r="G63">
        <v>0</v>
      </c>
      <c r="H63">
        <v>0</v>
      </c>
    </row>
    <row r="64" spans="1:8" hidden="1" outlineLevel="2" x14ac:dyDescent="0.25">
      <c r="A64" s="19">
        <v>42959</v>
      </c>
      <c r="B64">
        <v>0</v>
      </c>
      <c r="C64">
        <v>48</v>
      </c>
      <c r="F64" s="20" t="str">
        <f t="shared" si="0"/>
        <v>42959</v>
      </c>
      <c r="G64">
        <v>0</v>
      </c>
      <c r="H64">
        <v>48</v>
      </c>
    </row>
    <row r="65" spans="1:8" hidden="1" outlineLevel="2" x14ac:dyDescent="0.25">
      <c r="A65" s="19">
        <v>42974</v>
      </c>
      <c r="B65">
        <v>4</v>
      </c>
      <c r="C65">
        <v>0</v>
      </c>
      <c r="F65" s="20" t="str">
        <f t="shared" si="0"/>
        <v>42974</v>
      </c>
      <c r="G65">
        <v>4</v>
      </c>
      <c r="H65">
        <v>0</v>
      </c>
    </row>
    <row r="66" spans="1:8" outlineLevel="1" collapsed="1" x14ac:dyDescent="0.25">
      <c r="A66" s="20" t="s">
        <v>58</v>
      </c>
      <c r="B66">
        <f>SUBTOTAL(9,B63:B65)</f>
        <v>4</v>
      </c>
      <c r="C66">
        <f>SUBTOTAL(9,C63:C65)</f>
        <v>48</v>
      </c>
      <c r="F66" s="20" t="str">
        <f t="shared" si="0"/>
        <v>2017-08</v>
      </c>
      <c r="G66">
        <f>SUBTOTAL(9,G63:G65)</f>
        <v>4</v>
      </c>
      <c r="H66">
        <f>SUBTOTAL(9,H63:H65)</f>
        <v>48</v>
      </c>
    </row>
    <row r="67" spans="1:8" hidden="1" outlineLevel="2" x14ac:dyDescent="0.25">
      <c r="A67" s="19">
        <v>42979</v>
      </c>
      <c r="B67">
        <v>0</v>
      </c>
      <c r="C67">
        <v>0</v>
      </c>
      <c r="F67" s="20" t="str">
        <f t="shared" si="0"/>
        <v>42979</v>
      </c>
      <c r="G67">
        <v>0</v>
      </c>
      <c r="H67">
        <v>0</v>
      </c>
    </row>
    <row r="68" spans="1:8" outlineLevel="1" collapsed="1" x14ac:dyDescent="0.25">
      <c r="A68" s="20" t="s">
        <v>75</v>
      </c>
      <c r="B68">
        <f>SUBTOTAL(9,B67:B67)</f>
        <v>0</v>
      </c>
      <c r="C68">
        <f>SUBTOTAL(9,C67:C67)</f>
        <v>0</v>
      </c>
      <c r="F68" s="20" t="str">
        <f t="shared" si="0"/>
        <v>2017-09</v>
      </c>
      <c r="G68">
        <f>SUBTOTAL(9,G67:G67)</f>
        <v>0</v>
      </c>
      <c r="H68">
        <f>SUBTOTAL(9,H67:H67)</f>
        <v>0</v>
      </c>
    </row>
    <row r="69" spans="1:8" hidden="1" outlineLevel="2" x14ac:dyDescent="0.25">
      <c r="A69" s="19">
        <v>43009</v>
      </c>
      <c r="B69">
        <v>0</v>
      </c>
      <c r="C69">
        <v>0</v>
      </c>
      <c r="F69" s="20" t="str">
        <f t="shared" si="0"/>
        <v>43009</v>
      </c>
      <c r="G69">
        <v>0</v>
      </c>
      <c r="H69">
        <v>0</v>
      </c>
    </row>
    <row r="70" spans="1:8" hidden="1" outlineLevel="2" x14ac:dyDescent="0.25">
      <c r="A70" s="19">
        <v>43019</v>
      </c>
      <c r="B70">
        <v>0</v>
      </c>
      <c r="C70">
        <v>6</v>
      </c>
      <c r="F70" s="20" t="str">
        <f t="shared" si="0"/>
        <v>43019</v>
      </c>
      <c r="G70">
        <v>0</v>
      </c>
      <c r="H70">
        <v>6</v>
      </c>
    </row>
    <row r="71" spans="1:8" outlineLevel="1" collapsed="1" x14ac:dyDescent="0.25">
      <c r="A71" s="20" t="s">
        <v>59</v>
      </c>
      <c r="B71">
        <f>SUBTOTAL(9,B69:B70)</f>
        <v>0</v>
      </c>
      <c r="C71">
        <f>SUBTOTAL(9,C69:C70)</f>
        <v>6</v>
      </c>
      <c r="F71" s="20" t="str">
        <f t="shared" ref="F71:F115" si="1">LEFT(A71,7)</f>
        <v>2017-10</v>
      </c>
      <c r="G71">
        <f>SUBTOTAL(9,G69:G70)</f>
        <v>0</v>
      </c>
      <c r="H71">
        <f>SUBTOTAL(9,H69:H70)</f>
        <v>6</v>
      </c>
    </row>
    <row r="72" spans="1:8" hidden="1" outlineLevel="2" x14ac:dyDescent="0.25">
      <c r="A72" s="19">
        <v>43040</v>
      </c>
      <c r="B72">
        <v>0</v>
      </c>
      <c r="C72">
        <v>1</v>
      </c>
      <c r="F72" s="20" t="str">
        <f t="shared" si="1"/>
        <v>43040</v>
      </c>
      <c r="G72">
        <v>0</v>
      </c>
      <c r="H72">
        <v>1</v>
      </c>
    </row>
    <row r="73" spans="1:8" hidden="1" outlineLevel="2" x14ac:dyDescent="0.25">
      <c r="A73" s="19">
        <v>43040</v>
      </c>
      <c r="B73">
        <v>0</v>
      </c>
      <c r="C73">
        <v>0</v>
      </c>
      <c r="F73" s="20" t="str">
        <f t="shared" si="1"/>
        <v>43040</v>
      </c>
      <c r="G73">
        <v>0</v>
      </c>
      <c r="H73">
        <v>0</v>
      </c>
    </row>
    <row r="74" spans="1:8" hidden="1" outlineLevel="2" x14ac:dyDescent="0.25">
      <c r="A74" s="19">
        <v>43064</v>
      </c>
      <c r="B74">
        <v>12</v>
      </c>
      <c r="C74">
        <v>0</v>
      </c>
      <c r="F74" s="20" t="str">
        <f t="shared" si="1"/>
        <v>43064</v>
      </c>
      <c r="G74">
        <v>12</v>
      </c>
      <c r="H74">
        <v>0</v>
      </c>
    </row>
    <row r="75" spans="1:8" outlineLevel="1" collapsed="1" x14ac:dyDescent="0.25">
      <c r="A75" s="20" t="s">
        <v>60</v>
      </c>
      <c r="B75">
        <f>SUBTOTAL(9,B72:B74)</f>
        <v>12</v>
      </c>
      <c r="C75">
        <f>SUBTOTAL(9,C72:C74)</f>
        <v>1</v>
      </c>
      <c r="F75" s="20" t="str">
        <f t="shared" si="1"/>
        <v>2017-11</v>
      </c>
      <c r="G75">
        <f>SUBTOTAL(9,G72:G74)</f>
        <v>12</v>
      </c>
      <c r="H75">
        <f>SUBTOTAL(9,H72:H74)</f>
        <v>1</v>
      </c>
    </row>
    <row r="76" spans="1:8" hidden="1" outlineLevel="2" x14ac:dyDescent="0.25">
      <c r="A76" s="19">
        <v>43070</v>
      </c>
      <c r="B76">
        <v>0</v>
      </c>
      <c r="C76">
        <v>0</v>
      </c>
      <c r="F76" s="20" t="str">
        <f t="shared" si="1"/>
        <v>43070</v>
      </c>
      <c r="G76">
        <v>0</v>
      </c>
      <c r="H76">
        <v>0</v>
      </c>
    </row>
    <row r="77" spans="1:8" outlineLevel="1" collapsed="1" x14ac:dyDescent="0.25">
      <c r="A77" s="20" t="s">
        <v>76</v>
      </c>
      <c r="B77">
        <f>SUBTOTAL(9,B76:B76)</f>
        <v>0</v>
      </c>
      <c r="C77">
        <f>SUBTOTAL(9,C76:C76)</f>
        <v>0</v>
      </c>
      <c r="F77" s="20" t="str">
        <f t="shared" si="1"/>
        <v>2017-12</v>
      </c>
      <c r="G77">
        <f>SUBTOTAL(9,G76:G76)</f>
        <v>0</v>
      </c>
      <c r="H77">
        <f>SUBTOTAL(9,H76:H76)</f>
        <v>0</v>
      </c>
    </row>
    <row r="78" spans="1:8" hidden="1" outlineLevel="2" x14ac:dyDescent="0.25">
      <c r="A78" s="19">
        <v>43101</v>
      </c>
      <c r="B78">
        <v>0</v>
      </c>
      <c r="C78">
        <v>0</v>
      </c>
      <c r="F78" s="20" t="str">
        <f t="shared" si="1"/>
        <v>43101</v>
      </c>
      <c r="G78">
        <v>0</v>
      </c>
      <c r="H78">
        <v>0</v>
      </c>
    </row>
    <row r="79" spans="1:8" hidden="1" outlineLevel="2" x14ac:dyDescent="0.25">
      <c r="A79" s="19">
        <v>43104</v>
      </c>
      <c r="B79">
        <v>10</v>
      </c>
      <c r="C79">
        <v>0</v>
      </c>
      <c r="F79" s="20" t="str">
        <f t="shared" si="1"/>
        <v>43104</v>
      </c>
      <c r="G79">
        <v>10</v>
      </c>
      <c r="H79">
        <v>0</v>
      </c>
    </row>
    <row r="80" spans="1:8" hidden="1" outlineLevel="2" x14ac:dyDescent="0.25">
      <c r="A80" s="19">
        <v>43129</v>
      </c>
      <c r="B80">
        <v>0</v>
      </c>
      <c r="C80">
        <v>22</v>
      </c>
      <c r="F80" s="20" t="str">
        <f t="shared" si="1"/>
        <v>43129</v>
      </c>
      <c r="G80">
        <v>0</v>
      </c>
      <c r="H80">
        <v>22</v>
      </c>
    </row>
    <row r="81" spans="1:8" outlineLevel="1" collapsed="1" x14ac:dyDescent="0.25">
      <c r="A81" s="20" t="s">
        <v>61</v>
      </c>
      <c r="B81">
        <f>SUBTOTAL(9,B78:B80)</f>
        <v>10</v>
      </c>
      <c r="C81">
        <f>SUBTOTAL(9,C78:C80)</f>
        <v>22</v>
      </c>
      <c r="F81" s="20" t="str">
        <f t="shared" si="1"/>
        <v>2018-01</v>
      </c>
      <c r="G81">
        <f>SUBTOTAL(9,G78:G80)</f>
        <v>10</v>
      </c>
      <c r="H81">
        <f>SUBTOTAL(9,H78:H80)</f>
        <v>22</v>
      </c>
    </row>
    <row r="82" spans="1:8" hidden="1" outlineLevel="2" x14ac:dyDescent="0.25">
      <c r="A82" s="19">
        <v>43132</v>
      </c>
      <c r="B82">
        <v>0</v>
      </c>
      <c r="C82">
        <v>0</v>
      </c>
      <c r="F82" s="20" t="str">
        <f t="shared" si="1"/>
        <v>43132</v>
      </c>
      <c r="G82">
        <v>0</v>
      </c>
      <c r="H82">
        <v>0</v>
      </c>
    </row>
    <row r="83" spans="1:8" hidden="1" outlineLevel="2" x14ac:dyDescent="0.25">
      <c r="A83" s="19">
        <v>43147</v>
      </c>
      <c r="B83">
        <v>34</v>
      </c>
      <c r="C83">
        <v>0</v>
      </c>
      <c r="F83" s="20" t="str">
        <f t="shared" si="1"/>
        <v>43147</v>
      </c>
      <c r="G83">
        <v>34</v>
      </c>
      <c r="H83">
        <v>0</v>
      </c>
    </row>
    <row r="84" spans="1:8" outlineLevel="1" collapsed="1" x14ac:dyDescent="0.25">
      <c r="A84" s="20" t="s">
        <v>62</v>
      </c>
      <c r="B84">
        <f>SUBTOTAL(9,B82:B83)</f>
        <v>34</v>
      </c>
      <c r="C84">
        <f>SUBTOTAL(9,C82:C83)</f>
        <v>0</v>
      </c>
      <c r="F84" s="20" t="str">
        <f t="shared" si="1"/>
        <v>2018-02</v>
      </c>
      <c r="G84">
        <f>SUBTOTAL(9,G82:G83)</f>
        <v>34</v>
      </c>
      <c r="H84">
        <f>SUBTOTAL(9,H82:H83)</f>
        <v>0</v>
      </c>
    </row>
    <row r="85" spans="1:8" hidden="1" outlineLevel="2" x14ac:dyDescent="0.25">
      <c r="A85" s="19">
        <v>43160</v>
      </c>
      <c r="B85">
        <v>0</v>
      </c>
      <c r="C85">
        <v>0</v>
      </c>
      <c r="F85" s="20" t="str">
        <f t="shared" si="1"/>
        <v>43160</v>
      </c>
      <c r="G85">
        <v>0</v>
      </c>
      <c r="H85">
        <v>0</v>
      </c>
    </row>
    <row r="86" spans="1:8" hidden="1" outlineLevel="2" x14ac:dyDescent="0.25">
      <c r="A86" s="19">
        <v>43162</v>
      </c>
      <c r="B86">
        <v>0</v>
      </c>
      <c r="C86">
        <v>34</v>
      </c>
      <c r="F86" s="20" t="str">
        <f t="shared" si="1"/>
        <v>43162</v>
      </c>
      <c r="G86">
        <v>0</v>
      </c>
      <c r="H86">
        <v>34</v>
      </c>
    </row>
    <row r="87" spans="1:8" outlineLevel="1" collapsed="1" x14ac:dyDescent="0.25">
      <c r="A87" s="20" t="s">
        <v>63</v>
      </c>
      <c r="B87">
        <f>SUBTOTAL(9,B85:B86)</f>
        <v>0</v>
      </c>
      <c r="C87">
        <f>SUBTOTAL(9,C85:C86)</f>
        <v>34</v>
      </c>
      <c r="F87" s="20" t="str">
        <f t="shared" si="1"/>
        <v>2018-03</v>
      </c>
      <c r="G87">
        <f>SUBTOTAL(9,G85:G86)</f>
        <v>0</v>
      </c>
      <c r="H87">
        <f>SUBTOTAL(9,H85:H86)</f>
        <v>34</v>
      </c>
    </row>
    <row r="88" spans="1:8" hidden="1" outlineLevel="2" x14ac:dyDescent="0.25">
      <c r="A88" s="19">
        <v>43191</v>
      </c>
      <c r="B88">
        <v>0</v>
      </c>
      <c r="C88">
        <v>0</v>
      </c>
      <c r="F88" s="20" t="str">
        <f t="shared" si="1"/>
        <v>43191</v>
      </c>
      <c r="G88">
        <v>0</v>
      </c>
      <c r="H88">
        <v>0</v>
      </c>
    </row>
    <row r="89" spans="1:8" hidden="1" outlineLevel="2" x14ac:dyDescent="0.25">
      <c r="A89" s="19">
        <v>43207</v>
      </c>
      <c r="B89">
        <v>5</v>
      </c>
      <c r="C89">
        <v>0</v>
      </c>
      <c r="F89" s="20" t="str">
        <f t="shared" si="1"/>
        <v>43207</v>
      </c>
      <c r="G89">
        <v>5</v>
      </c>
      <c r="H89">
        <v>0</v>
      </c>
    </row>
    <row r="90" spans="1:8" outlineLevel="1" collapsed="1" x14ac:dyDescent="0.25">
      <c r="A90" s="20" t="s">
        <v>64</v>
      </c>
      <c r="B90">
        <f>SUBTOTAL(9,B88:B89)</f>
        <v>5</v>
      </c>
      <c r="C90">
        <f>SUBTOTAL(9,C88:C89)</f>
        <v>0</v>
      </c>
      <c r="F90" s="20" t="str">
        <f t="shared" si="1"/>
        <v>2018-04</v>
      </c>
      <c r="G90">
        <f>SUBTOTAL(9,G88:G89)</f>
        <v>5</v>
      </c>
      <c r="H90">
        <f>SUBTOTAL(9,H88:H89)</f>
        <v>0</v>
      </c>
    </row>
    <row r="91" spans="1:8" hidden="1" outlineLevel="2" x14ac:dyDescent="0.25">
      <c r="A91" s="19">
        <v>43221</v>
      </c>
      <c r="B91">
        <v>0</v>
      </c>
      <c r="C91">
        <v>0</v>
      </c>
      <c r="F91" s="20" t="str">
        <f t="shared" si="1"/>
        <v>43221</v>
      </c>
      <c r="G91">
        <v>0</v>
      </c>
      <c r="H91">
        <v>0</v>
      </c>
    </row>
    <row r="92" spans="1:8" outlineLevel="1" collapsed="1" x14ac:dyDescent="0.25">
      <c r="A92" s="20" t="s">
        <v>77</v>
      </c>
      <c r="B92">
        <f>SUBTOTAL(9,B91:B91)</f>
        <v>0</v>
      </c>
      <c r="C92">
        <f>SUBTOTAL(9,C91:C91)</f>
        <v>0</v>
      </c>
      <c r="F92" s="20" t="str">
        <f t="shared" si="1"/>
        <v>2018-05</v>
      </c>
      <c r="G92">
        <f>SUBTOTAL(9,G91:G91)</f>
        <v>0</v>
      </c>
      <c r="H92">
        <f>SUBTOTAL(9,H91:H91)</f>
        <v>0</v>
      </c>
    </row>
    <row r="93" spans="1:8" hidden="1" outlineLevel="2" x14ac:dyDescent="0.25">
      <c r="A93" s="19">
        <v>43252</v>
      </c>
      <c r="B93">
        <v>48</v>
      </c>
      <c r="C93">
        <v>0</v>
      </c>
      <c r="F93" s="20" t="str">
        <f t="shared" si="1"/>
        <v>43252</v>
      </c>
      <c r="G93">
        <v>48</v>
      </c>
      <c r="H93">
        <v>0</v>
      </c>
    </row>
    <row r="94" spans="1:8" hidden="1" outlineLevel="2" x14ac:dyDescent="0.25">
      <c r="A94" s="19">
        <v>43252</v>
      </c>
      <c r="B94">
        <v>0</v>
      </c>
      <c r="C94">
        <v>0</v>
      </c>
      <c r="F94" s="20" t="str">
        <f t="shared" si="1"/>
        <v>43252</v>
      </c>
      <c r="G94">
        <v>0</v>
      </c>
      <c r="H94">
        <v>0</v>
      </c>
    </row>
    <row r="95" spans="1:8" hidden="1" outlineLevel="2" x14ac:dyDescent="0.25">
      <c r="A95" s="19">
        <v>43270</v>
      </c>
      <c r="B95">
        <v>47</v>
      </c>
      <c r="C95">
        <v>0</v>
      </c>
      <c r="F95" s="20" t="str">
        <f t="shared" si="1"/>
        <v>43270</v>
      </c>
      <c r="G95">
        <v>47</v>
      </c>
      <c r="H95">
        <v>0</v>
      </c>
    </row>
    <row r="96" spans="1:8" outlineLevel="1" collapsed="1" x14ac:dyDescent="0.25">
      <c r="A96" s="20" t="s">
        <v>65</v>
      </c>
      <c r="B96">
        <f>SUBTOTAL(9,B93:B95)</f>
        <v>95</v>
      </c>
      <c r="C96">
        <f>SUBTOTAL(9,C93:C95)</f>
        <v>0</v>
      </c>
      <c r="F96" s="20" t="str">
        <f t="shared" si="1"/>
        <v>2018-06</v>
      </c>
      <c r="G96">
        <f>SUBTOTAL(9,G93:G95)</f>
        <v>95</v>
      </c>
      <c r="H96">
        <f>SUBTOTAL(9,H93:H95)</f>
        <v>0</v>
      </c>
    </row>
    <row r="97" spans="1:8" hidden="1" outlineLevel="2" x14ac:dyDescent="0.25">
      <c r="A97" s="19">
        <v>43282</v>
      </c>
      <c r="B97">
        <v>0</v>
      </c>
      <c r="C97">
        <v>0</v>
      </c>
      <c r="F97" s="20" t="str">
        <f t="shared" si="1"/>
        <v>43282</v>
      </c>
      <c r="G97">
        <v>0</v>
      </c>
      <c r="H97">
        <v>0</v>
      </c>
    </row>
    <row r="98" spans="1:8" hidden="1" outlineLevel="2" x14ac:dyDescent="0.25">
      <c r="A98" s="19">
        <v>43292</v>
      </c>
      <c r="B98">
        <v>25</v>
      </c>
      <c r="C98">
        <v>0</v>
      </c>
      <c r="F98" s="20" t="str">
        <f t="shared" si="1"/>
        <v>43292</v>
      </c>
      <c r="G98">
        <v>25</v>
      </c>
      <c r="H98">
        <v>0</v>
      </c>
    </row>
    <row r="99" spans="1:8" outlineLevel="1" collapsed="1" x14ac:dyDescent="0.25">
      <c r="A99" s="20" t="s">
        <v>66</v>
      </c>
      <c r="B99">
        <f>SUBTOTAL(9,B97:B98)</f>
        <v>25</v>
      </c>
      <c r="C99">
        <f>SUBTOTAL(9,C97:C98)</f>
        <v>0</v>
      </c>
      <c r="F99" s="20" t="str">
        <f t="shared" si="1"/>
        <v>2018-07</v>
      </c>
      <c r="G99">
        <f>SUBTOTAL(9,G97:G98)</f>
        <v>25</v>
      </c>
      <c r="H99">
        <f>SUBTOTAL(9,H97:H98)</f>
        <v>0</v>
      </c>
    </row>
    <row r="100" spans="1:8" hidden="1" outlineLevel="2" x14ac:dyDescent="0.25">
      <c r="A100" s="19">
        <v>43313</v>
      </c>
      <c r="B100">
        <v>0</v>
      </c>
      <c r="C100">
        <v>0</v>
      </c>
      <c r="F100" s="20" t="str">
        <f t="shared" si="1"/>
        <v>43313</v>
      </c>
      <c r="G100">
        <v>0</v>
      </c>
      <c r="H100">
        <v>0</v>
      </c>
    </row>
    <row r="101" spans="1:8" hidden="1" outlineLevel="2" x14ac:dyDescent="0.25">
      <c r="A101" s="19">
        <v>43317</v>
      </c>
      <c r="B101">
        <v>0</v>
      </c>
      <c r="C101">
        <v>121</v>
      </c>
      <c r="F101" s="20" t="str">
        <f t="shared" si="1"/>
        <v>43317</v>
      </c>
      <c r="G101">
        <v>0</v>
      </c>
      <c r="H101">
        <v>121</v>
      </c>
    </row>
    <row r="102" spans="1:8" hidden="1" outlineLevel="2" x14ac:dyDescent="0.25">
      <c r="A102" s="19">
        <v>43330</v>
      </c>
      <c r="B102">
        <v>22</v>
      </c>
      <c r="C102">
        <v>0</v>
      </c>
      <c r="F102" s="20" t="str">
        <f t="shared" si="1"/>
        <v>43330</v>
      </c>
      <c r="G102">
        <v>22</v>
      </c>
      <c r="H102">
        <v>0</v>
      </c>
    </row>
    <row r="103" spans="1:8" outlineLevel="1" collapsed="1" x14ac:dyDescent="0.25">
      <c r="A103" s="20" t="s">
        <v>67</v>
      </c>
      <c r="B103">
        <f>SUBTOTAL(9,B100:B102)</f>
        <v>22</v>
      </c>
      <c r="C103">
        <f>SUBTOTAL(9,C100:C102)</f>
        <v>121</v>
      </c>
      <c r="F103" s="20" t="str">
        <f t="shared" si="1"/>
        <v>2018-08</v>
      </c>
      <c r="G103">
        <f>SUBTOTAL(9,G100:G102)</f>
        <v>22</v>
      </c>
      <c r="H103">
        <f>SUBTOTAL(9,H100:H102)</f>
        <v>121</v>
      </c>
    </row>
    <row r="104" spans="1:8" hidden="1" outlineLevel="2" x14ac:dyDescent="0.25">
      <c r="A104" s="19">
        <v>43344</v>
      </c>
      <c r="B104">
        <v>0</v>
      </c>
      <c r="C104">
        <v>0</v>
      </c>
      <c r="F104" s="20" t="str">
        <f t="shared" si="1"/>
        <v>43344</v>
      </c>
      <c r="G104">
        <v>0</v>
      </c>
      <c r="H104">
        <v>0</v>
      </c>
    </row>
    <row r="105" spans="1:8" hidden="1" outlineLevel="2" x14ac:dyDescent="0.25">
      <c r="A105" s="19">
        <v>43362</v>
      </c>
      <c r="B105">
        <v>0</v>
      </c>
      <c r="C105">
        <v>26</v>
      </c>
      <c r="F105" s="20" t="str">
        <f t="shared" si="1"/>
        <v>43362</v>
      </c>
      <c r="G105">
        <v>0</v>
      </c>
      <c r="H105">
        <v>26</v>
      </c>
    </row>
    <row r="106" spans="1:8" outlineLevel="1" collapsed="1" x14ac:dyDescent="0.25">
      <c r="A106" s="20" t="s">
        <v>68</v>
      </c>
      <c r="B106">
        <f>SUBTOTAL(9,B104:B105)</f>
        <v>0</v>
      </c>
      <c r="C106">
        <f>SUBTOTAL(9,C104:C105)</f>
        <v>26</v>
      </c>
      <c r="F106" s="20" t="str">
        <f t="shared" si="1"/>
        <v>2018-09</v>
      </c>
      <c r="G106">
        <f>SUBTOTAL(9,G104:G105)</f>
        <v>0</v>
      </c>
      <c r="H106">
        <f>SUBTOTAL(9,H104:H105)</f>
        <v>26</v>
      </c>
    </row>
    <row r="107" spans="1:8" hidden="1" outlineLevel="2" x14ac:dyDescent="0.25">
      <c r="A107" s="19">
        <v>43374</v>
      </c>
      <c r="B107">
        <v>0</v>
      </c>
      <c r="C107">
        <v>0</v>
      </c>
      <c r="F107" s="20" t="str">
        <f t="shared" si="1"/>
        <v>43374</v>
      </c>
      <c r="G107">
        <v>0</v>
      </c>
      <c r="H107">
        <v>0</v>
      </c>
    </row>
    <row r="108" spans="1:8" hidden="1" outlineLevel="2" x14ac:dyDescent="0.25">
      <c r="A108" s="19">
        <v>43381</v>
      </c>
      <c r="B108">
        <v>20</v>
      </c>
      <c r="C108">
        <v>0</v>
      </c>
      <c r="F108" s="20" t="str">
        <f t="shared" si="1"/>
        <v>43381</v>
      </c>
      <c r="G108">
        <v>20</v>
      </c>
      <c r="H108">
        <v>0</v>
      </c>
    </row>
    <row r="109" spans="1:8" outlineLevel="1" collapsed="1" x14ac:dyDescent="0.25">
      <c r="A109" s="20" t="s">
        <v>69</v>
      </c>
      <c r="B109">
        <f>SUBTOTAL(9,B107:B108)</f>
        <v>20</v>
      </c>
      <c r="C109">
        <f>SUBTOTAL(9,C107:C108)</f>
        <v>0</v>
      </c>
      <c r="F109" s="20" t="str">
        <f t="shared" si="1"/>
        <v>2018-10</v>
      </c>
      <c r="G109">
        <f>SUBTOTAL(9,G107:G108)</f>
        <v>20</v>
      </c>
      <c r="H109">
        <f>SUBTOTAL(9,H107:H108)</f>
        <v>0</v>
      </c>
    </row>
    <row r="110" spans="1:8" hidden="1" outlineLevel="2" x14ac:dyDescent="0.25">
      <c r="A110" s="19">
        <v>43405</v>
      </c>
      <c r="B110">
        <v>0</v>
      </c>
      <c r="C110">
        <v>0</v>
      </c>
      <c r="F110" s="20" t="str">
        <f t="shared" si="1"/>
        <v>43405</v>
      </c>
      <c r="G110">
        <v>0</v>
      </c>
      <c r="H110">
        <v>0</v>
      </c>
    </row>
    <row r="111" spans="1:8" hidden="1" outlineLevel="2" x14ac:dyDescent="0.25">
      <c r="A111" s="19">
        <v>43407</v>
      </c>
      <c r="B111">
        <v>48</v>
      </c>
      <c r="C111">
        <v>0</v>
      </c>
      <c r="F111" s="20" t="str">
        <f t="shared" si="1"/>
        <v>43407</v>
      </c>
      <c r="G111">
        <v>48</v>
      </c>
      <c r="H111">
        <v>0</v>
      </c>
    </row>
    <row r="112" spans="1:8" hidden="1" outlineLevel="2" x14ac:dyDescent="0.25">
      <c r="A112" s="19">
        <v>43428</v>
      </c>
      <c r="B112">
        <v>0</v>
      </c>
      <c r="C112">
        <v>64</v>
      </c>
      <c r="F112" s="20" t="str">
        <f t="shared" si="1"/>
        <v>43428</v>
      </c>
      <c r="G112">
        <v>0</v>
      </c>
      <c r="H112">
        <v>64</v>
      </c>
    </row>
    <row r="113" spans="1:8" outlineLevel="1" collapsed="1" x14ac:dyDescent="0.25">
      <c r="A113" s="20" t="s">
        <v>70</v>
      </c>
      <c r="B113">
        <f>SUBTOTAL(9,B110:B112)</f>
        <v>48</v>
      </c>
      <c r="C113">
        <f>SUBTOTAL(9,C110:C112)</f>
        <v>64</v>
      </c>
      <c r="F113" s="20" t="str">
        <f>LEFT(A113,7)</f>
        <v>2018-11</v>
      </c>
      <c r="G113">
        <f>SUBTOTAL(9,G110:G112)</f>
        <v>48</v>
      </c>
      <c r="H113">
        <f>SUBTOTAL(9,H110:H112)</f>
        <v>64</v>
      </c>
    </row>
    <row r="114" spans="1:8" hidden="1" outlineLevel="2" x14ac:dyDescent="0.25">
      <c r="A114" s="19">
        <v>43435</v>
      </c>
      <c r="B114">
        <v>0</v>
      </c>
      <c r="C114">
        <v>0</v>
      </c>
      <c r="F114" s="20" t="str">
        <f t="shared" ref="F114:F116" si="2">LEFT(A114,7)</f>
        <v>43435</v>
      </c>
      <c r="G114">
        <v>0</v>
      </c>
      <c r="H114">
        <v>0</v>
      </c>
    </row>
    <row r="115" spans="1:8" hidden="1" outlineLevel="2" x14ac:dyDescent="0.25">
      <c r="A115" s="19">
        <v>43452</v>
      </c>
      <c r="B115">
        <v>0</v>
      </c>
      <c r="C115">
        <v>4</v>
      </c>
      <c r="F115" s="20" t="str">
        <f t="shared" si="2"/>
        <v>43452</v>
      </c>
      <c r="G115">
        <v>0</v>
      </c>
      <c r="H115">
        <v>4</v>
      </c>
    </row>
    <row r="116" spans="1:8" outlineLevel="1" collapsed="1" x14ac:dyDescent="0.25">
      <c r="A116" s="20" t="s">
        <v>71</v>
      </c>
      <c r="B116">
        <f>SUBTOTAL(9,B114:B115)</f>
        <v>0</v>
      </c>
      <c r="C116">
        <f>SUBTOTAL(9,C114:C115)</f>
        <v>4</v>
      </c>
      <c r="F116" s="20" t="str">
        <f t="shared" si="2"/>
        <v>2018-12</v>
      </c>
      <c r="G116">
        <f>SUBTOTAL(9,G114:G115)</f>
        <v>0</v>
      </c>
      <c r="H116">
        <f>SUBTOTAL(9,H114:H115)</f>
        <v>4</v>
      </c>
    </row>
    <row r="117" spans="1:8" x14ac:dyDescent="0.25">
      <c r="A117" s="2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4</vt:i4>
      </vt:variant>
    </vt:vector>
  </HeadingPairs>
  <TitlesOfParts>
    <vt:vector size="11" baseType="lpstr">
      <vt:lpstr>Szczegóły1</vt:lpstr>
      <vt:lpstr>6.1</vt:lpstr>
      <vt:lpstr>6.5</vt:lpstr>
      <vt:lpstr>6.2</vt:lpstr>
      <vt:lpstr>6.3</vt:lpstr>
      <vt:lpstr>6.4cz1</vt:lpstr>
      <vt:lpstr>6.4</vt:lpstr>
      <vt:lpstr>'6.1'!statek</vt:lpstr>
      <vt:lpstr>'6.3'!statek</vt:lpstr>
      <vt:lpstr>'6.4cz1'!statek</vt:lpstr>
      <vt:lpstr>'6.5'!statek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2026-02-22T21:13:39Z</dcterms:created>
  <dcterms:modified xsi:type="dcterms:W3CDTF">2026-02-22T22:48:52Z</dcterms:modified>
</cp:coreProperties>
</file>