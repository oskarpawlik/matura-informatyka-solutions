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E3686B2C-A4B9-4546-8FDA-3D81D803BFE0}" xr6:coauthVersionLast="47" xr6:coauthVersionMax="47" xr10:uidLastSave="{00000000-0000-0000-0000-000000000000}"/>
  <bookViews>
    <workbookView xWindow="-120" yWindow="-120" windowWidth="29040" windowHeight="15720" xr2:uid="{0834C277-CE29-4624-9EA2-1C20FF4D9DDA}"/>
  </bookViews>
  <sheets>
    <sheet name="6" sheetId="1" r:id="rId1"/>
  </sheets>
  <definedNames>
    <definedName name="deszcz" localSheetId="0">'6'!$A$1:$B$154</definedName>
  </definedName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2" i="1"/>
  <c r="O12" i="1"/>
  <c r="O9" i="1"/>
  <c r="C4" i="1"/>
  <c r="C3" i="1"/>
  <c r="I2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J2" i="1"/>
  <c r="F3" i="1" s="1"/>
  <c r="G3" i="1" s="1"/>
  <c r="G2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2" i="1"/>
  <c r="K2" i="1" l="1"/>
  <c r="H3" i="1"/>
  <c r="I3" i="1" s="1"/>
  <c r="J3" i="1" s="1"/>
  <c r="K3" i="1" l="1"/>
  <c r="F4" i="1"/>
  <c r="G4" i="1" s="1"/>
  <c r="H4" i="1" s="1"/>
  <c r="I4" i="1" s="1"/>
  <c r="J4" i="1" s="1"/>
  <c r="C5" i="1" s="1"/>
  <c r="F5" i="1" l="1"/>
  <c r="G5" i="1" s="1"/>
  <c r="H5" i="1" s="1"/>
  <c r="I5" i="1" s="1"/>
  <c r="J5" i="1" s="1"/>
  <c r="C6" i="1" s="1"/>
  <c r="K4" i="1"/>
  <c r="F6" i="1" l="1"/>
  <c r="G6" i="1" s="1"/>
  <c r="H6" i="1" s="1"/>
  <c r="I6" i="1" s="1"/>
  <c r="J6" i="1" s="1"/>
  <c r="C7" i="1" s="1"/>
  <c r="K5" i="1"/>
  <c r="F7" i="1" l="1"/>
  <c r="G7" i="1" s="1"/>
  <c r="H7" i="1" s="1"/>
  <c r="I7" i="1" s="1"/>
  <c r="J7" i="1" s="1"/>
  <c r="C8" i="1" s="1"/>
  <c r="K6" i="1"/>
  <c r="F8" i="1" l="1"/>
  <c r="G8" i="1" s="1"/>
  <c r="H8" i="1" s="1"/>
  <c r="K7" i="1"/>
  <c r="I8" i="1" l="1"/>
  <c r="J8" i="1" s="1"/>
  <c r="C9" i="1" s="1"/>
  <c r="K8" i="1" l="1"/>
  <c r="F9" i="1"/>
  <c r="G9" i="1" s="1"/>
  <c r="H9" i="1" s="1"/>
  <c r="I9" i="1" l="1"/>
  <c r="J9" i="1" s="1"/>
  <c r="C10" i="1" s="1"/>
  <c r="F10" i="1" l="1"/>
  <c r="G10" i="1" s="1"/>
  <c r="H10" i="1" s="1"/>
  <c r="K9" i="1"/>
  <c r="I10" i="1" l="1"/>
  <c r="J10" i="1" s="1"/>
  <c r="C11" i="1" s="1"/>
  <c r="F11" i="1" l="1"/>
  <c r="G11" i="1" s="1"/>
  <c r="H11" i="1" s="1"/>
  <c r="K10" i="1"/>
  <c r="I11" i="1" l="1"/>
  <c r="J11" i="1" s="1"/>
  <c r="C12" i="1" s="1"/>
  <c r="F12" i="1" l="1"/>
  <c r="G12" i="1" s="1"/>
  <c r="H12" i="1" s="1"/>
  <c r="K11" i="1"/>
  <c r="I12" i="1" l="1"/>
  <c r="J12" i="1" s="1"/>
  <c r="C13" i="1" s="1"/>
  <c r="F13" i="1" l="1"/>
  <c r="G13" i="1" s="1"/>
  <c r="H13" i="1" s="1"/>
  <c r="K12" i="1"/>
  <c r="I13" i="1" l="1"/>
  <c r="J13" i="1" s="1"/>
  <c r="C14" i="1" s="1"/>
  <c r="F14" i="1" l="1"/>
  <c r="G14" i="1" s="1"/>
  <c r="H14" i="1" s="1"/>
  <c r="K13" i="1"/>
  <c r="I14" i="1" l="1"/>
  <c r="J14" i="1" s="1"/>
  <c r="C15" i="1" s="1"/>
  <c r="F15" i="1" l="1"/>
  <c r="G15" i="1" s="1"/>
  <c r="H15" i="1" s="1"/>
  <c r="K14" i="1"/>
  <c r="I15" i="1" l="1"/>
  <c r="J15" i="1" s="1"/>
  <c r="C16" i="1" s="1"/>
  <c r="F16" i="1" l="1"/>
  <c r="G16" i="1" s="1"/>
  <c r="H16" i="1" s="1"/>
  <c r="K15" i="1"/>
  <c r="I16" i="1" l="1"/>
  <c r="J16" i="1" s="1"/>
  <c r="C17" i="1" s="1"/>
  <c r="F17" i="1" l="1"/>
  <c r="G17" i="1" s="1"/>
  <c r="H17" i="1" s="1"/>
  <c r="K16" i="1"/>
  <c r="I17" i="1" l="1"/>
  <c r="J17" i="1" s="1"/>
  <c r="C18" i="1" s="1"/>
  <c r="F18" i="1" l="1"/>
  <c r="G18" i="1" s="1"/>
  <c r="H18" i="1" s="1"/>
  <c r="K17" i="1"/>
  <c r="I18" i="1" l="1"/>
  <c r="J18" i="1" s="1"/>
  <c r="C19" i="1" s="1"/>
  <c r="F19" i="1" l="1"/>
  <c r="G19" i="1" s="1"/>
  <c r="H19" i="1" s="1"/>
  <c r="K18" i="1"/>
  <c r="I19" i="1" l="1"/>
  <c r="J19" i="1" s="1"/>
  <c r="C20" i="1" s="1"/>
  <c r="F20" i="1" l="1"/>
  <c r="G20" i="1" s="1"/>
  <c r="H20" i="1" s="1"/>
  <c r="K19" i="1"/>
  <c r="I20" i="1" l="1"/>
  <c r="J20" i="1" s="1"/>
  <c r="C21" i="1" s="1"/>
  <c r="F21" i="1" l="1"/>
  <c r="G21" i="1" s="1"/>
  <c r="H21" i="1" s="1"/>
  <c r="K20" i="1"/>
  <c r="I21" i="1" l="1"/>
  <c r="J21" i="1" s="1"/>
  <c r="C22" i="1" s="1"/>
  <c r="F22" i="1" l="1"/>
  <c r="G22" i="1" s="1"/>
  <c r="H22" i="1" s="1"/>
  <c r="K21" i="1"/>
  <c r="I22" i="1" l="1"/>
  <c r="J22" i="1" s="1"/>
  <c r="C23" i="1" s="1"/>
  <c r="K22" i="1" l="1"/>
  <c r="F23" i="1"/>
  <c r="G23" i="1" s="1"/>
  <c r="H23" i="1" s="1"/>
  <c r="I23" i="1" l="1"/>
  <c r="J23" i="1" s="1"/>
  <c r="C24" i="1" s="1"/>
  <c r="F24" i="1" l="1"/>
  <c r="G24" i="1" s="1"/>
  <c r="H24" i="1" s="1"/>
  <c r="K23" i="1"/>
  <c r="I24" i="1" l="1"/>
  <c r="J24" i="1" s="1"/>
  <c r="C25" i="1" s="1"/>
  <c r="F25" i="1" l="1"/>
  <c r="G25" i="1" s="1"/>
  <c r="H25" i="1" s="1"/>
  <c r="K24" i="1"/>
  <c r="I25" i="1" l="1"/>
  <c r="J25" i="1" s="1"/>
  <c r="C26" i="1" s="1"/>
  <c r="F26" i="1" l="1"/>
  <c r="G26" i="1" s="1"/>
  <c r="H26" i="1" s="1"/>
  <c r="K25" i="1"/>
  <c r="I26" i="1" l="1"/>
  <c r="J26" i="1" s="1"/>
  <c r="C27" i="1" s="1"/>
  <c r="F27" i="1" l="1"/>
  <c r="G27" i="1" s="1"/>
  <c r="H27" i="1" s="1"/>
  <c r="K26" i="1"/>
  <c r="I27" i="1" l="1"/>
  <c r="J27" i="1" s="1"/>
  <c r="C28" i="1" s="1"/>
  <c r="F28" i="1" l="1"/>
  <c r="G28" i="1" s="1"/>
  <c r="H28" i="1" s="1"/>
  <c r="K27" i="1"/>
  <c r="I28" i="1" l="1"/>
  <c r="J28" i="1" s="1"/>
  <c r="C29" i="1" s="1"/>
  <c r="F29" i="1" l="1"/>
  <c r="G29" i="1" s="1"/>
  <c r="H29" i="1" s="1"/>
  <c r="K28" i="1"/>
  <c r="I29" i="1" l="1"/>
  <c r="J29" i="1" s="1"/>
  <c r="C30" i="1" s="1"/>
  <c r="F30" i="1" l="1"/>
  <c r="G30" i="1" s="1"/>
  <c r="H30" i="1" s="1"/>
  <c r="K29" i="1"/>
  <c r="I30" i="1" l="1"/>
  <c r="J30" i="1" s="1"/>
  <c r="C31" i="1" s="1"/>
  <c r="F31" i="1" l="1"/>
  <c r="G31" i="1" s="1"/>
  <c r="H31" i="1" s="1"/>
  <c r="K30" i="1"/>
  <c r="I31" i="1" l="1"/>
  <c r="J31" i="1" s="1"/>
  <c r="C32" i="1" s="1"/>
  <c r="K31" i="1" l="1"/>
  <c r="F32" i="1"/>
  <c r="G32" i="1" s="1"/>
  <c r="H32" i="1" s="1"/>
  <c r="I32" i="1" l="1"/>
  <c r="J32" i="1" s="1"/>
  <c r="C33" i="1" s="1"/>
  <c r="F33" i="1" l="1"/>
  <c r="G33" i="1" s="1"/>
  <c r="H33" i="1" s="1"/>
  <c r="K32" i="1"/>
  <c r="I33" i="1" l="1"/>
  <c r="J33" i="1" s="1"/>
  <c r="C34" i="1" s="1"/>
  <c r="F34" i="1" l="1"/>
  <c r="G34" i="1" s="1"/>
  <c r="H34" i="1" s="1"/>
  <c r="K33" i="1"/>
  <c r="I34" i="1" l="1"/>
  <c r="J34" i="1" s="1"/>
  <c r="C35" i="1" s="1"/>
  <c r="F35" i="1" l="1"/>
  <c r="G35" i="1" s="1"/>
  <c r="H35" i="1" s="1"/>
  <c r="K34" i="1"/>
  <c r="I35" i="1" l="1"/>
  <c r="J35" i="1" s="1"/>
  <c r="C36" i="1" s="1"/>
  <c r="F36" i="1" l="1"/>
  <c r="G36" i="1" s="1"/>
  <c r="H36" i="1" s="1"/>
  <c r="K35" i="1"/>
  <c r="I36" i="1" l="1"/>
  <c r="J36" i="1" s="1"/>
  <c r="C37" i="1" s="1"/>
  <c r="F37" i="1" l="1"/>
  <c r="G37" i="1" s="1"/>
  <c r="H37" i="1" s="1"/>
  <c r="K36" i="1"/>
  <c r="I37" i="1" l="1"/>
  <c r="J37" i="1" s="1"/>
  <c r="C38" i="1" s="1"/>
  <c r="F38" i="1" l="1"/>
  <c r="G38" i="1" s="1"/>
  <c r="H38" i="1" s="1"/>
  <c r="K37" i="1"/>
  <c r="I38" i="1" l="1"/>
  <c r="J38" i="1" s="1"/>
  <c r="C39" i="1" s="1"/>
  <c r="F39" i="1" l="1"/>
  <c r="G39" i="1" s="1"/>
  <c r="H39" i="1" s="1"/>
  <c r="K38" i="1"/>
  <c r="I39" i="1" l="1"/>
  <c r="J39" i="1" s="1"/>
  <c r="C40" i="1" s="1"/>
  <c r="F40" i="1" l="1"/>
  <c r="G40" i="1" s="1"/>
  <c r="H40" i="1" s="1"/>
  <c r="K39" i="1"/>
  <c r="I40" i="1" l="1"/>
  <c r="J40" i="1" s="1"/>
  <c r="C41" i="1" s="1"/>
  <c r="F41" i="1" l="1"/>
  <c r="G41" i="1" s="1"/>
  <c r="H41" i="1" s="1"/>
  <c r="K40" i="1"/>
  <c r="I41" i="1" l="1"/>
  <c r="J41" i="1" s="1"/>
  <c r="C42" i="1" s="1"/>
  <c r="F42" i="1" l="1"/>
  <c r="G42" i="1" s="1"/>
  <c r="H42" i="1" s="1"/>
  <c r="K41" i="1"/>
  <c r="I42" i="1" l="1"/>
  <c r="J42" i="1" s="1"/>
  <c r="C43" i="1" s="1"/>
  <c r="F43" i="1" l="1"/>
  <c r="G43" i="1" s="1"/>
  <c r="H43" i="1" s="1"/>
  <c r="K42" i="1"/>
  <c r="I43" i="1" l="1"/>
  <c r="J43" i="1" s="1"/>
  <c r="C44" i="1" s="1"/>
  <c r="F44" i="1" l="1"/>
  <c r="G44" i="1" s="1"/>
  <c r="H44" i="1" s="1"/>
  <c r="K43" i="1"/>
  <c r="I44" i="1" l="1"/>
  <c r="J44" i="1" s="1"/>
  <c r="C45" i="1" s="1"/>
  <c r="F45" i="1" l="1"/>
  <c r="G45" i="1" s="1"/>
  <c r="H45" i="1" s="1"/>
  <c r="K44" i="1"/>
  <c r="I45" i="1" l="1"/>
  <c r="J45" i="1" s="1"/>
  <c r="C46" i="1" s="1"/>
  <c r="F46" i="1" l="1"/>
  <c r="G46" i="1" s="1"/>
  <c r="H46" i="1" s="1"/>
  <c r="K45" i="1"/>
  <c r="I46" i="1" l="1"/>
  <c r="J46" i="1" s="1"/>
  <c r="C47" i="1" s="1"/>
  <c r="F47" i="1" l="1"/>
  <c r="G47" i="1" s="1"/>
  <c r="H47" i="1" s="1"/>
  <c r="K46" i="1"/>
  <c r="I47" i="1" l="1"/>
  <c r="J47" i="1" s="1"/>
  <c r="C48" i="1" s="1"/>
  <c r="F48" i="1" l="1"/>
  <c r="G48" i="1" s="1"/>
  <c r="H48" i="1" s="1"/>
  <c r="K47" i="1"/>
  <c r="I48" i="1" l="1"/>
  <c r="J48" i="1" s="1"/>
  <c r="C49" i="1" s="1"/>
  <c r="F49" i="1" l="1"/>
  <c r="G49" i="1" s="1"/>
  <c r="H49" i="1" s="1"/>
  <c r="K48" i="1"/>
  <c r="I49" i="1" l="1"/>
  <c r="J49" i="1" s="1"/>
  <c r="C50" i="1" s="1"/>
  <c r="F50" i="1" l="1"/>
  <c r="G50" i="1" s="1"/>
  <c r="H50" i="1" s="1"/>
  <c r="K49" i="1"/>
  <c r="I50" i="1" l="1"/>
  <c r="J50" i="1" s="1"/>
  <c r="C51" i="1" s="1"/>
  <c r="F51" i="1" l="1"/>
  <c r="G51" i="1" s="1"/>
  <c r="H51" i="1" s="1"/>
  <c r="K50" i="1"/>
  <c r="I51" i="1" l="1"/>
  <c r="J51" i="1" s="1"/>
  <c r="C52" i="1" s="1"/>
  <c r="K51" i="1" l="1"/>
  <c r="F52" i="1"/>
  <c r="G52" i="1" s="1"/>
  <c r="H52" i="1" s="1"/>
  <c r="I52" i="1" l="1"/>
  <c r="J52" i="1" s="1"/>
  <c r="C53" i="1" s="1"/>
  <c r="F53" i="1" l="1"/>
  <c r="G53" i="1" s="1"/>
  <c r="H53" i="1" s="1"/>
  <c r="K52" i="1"/>
  <c r="I53" i="1" l="1"/>
  <c r="J53" i="1" s="1"/>
  <c r="C54" i="1" s="1"/>
  <c r="F54" i="1" l="1"/>
  <c r="G54" i="1" s="1"/>
  <c r="H54" i="1" s="1"/>
  <c r="K53" i="1"/>
  <c r="I54" i="1" l="1"/>
  <c r="J54" i="1" s="1"/>
  <c r="C55" i="1" s="1"/>
  <c r="F55" i="1" l="1"/>
  <c r="G55" i="1" s="1"/>
  <c r="H55" i="1" s="1"/>
  <c r="K54" i="1"/>
  <c r="I55" i="1" l="1"/>
  <c r="J55" i="1" s="1"/>
  <c r="C56" i="1" s="1"/>
  <c r="K55" i="1" l="1"/>
  <c r="F56" i="1"/>
  <c r="G56" i="1" s="1"/>
  <c r="H56" i="1" s="1"/>
  <c r="I56" i="1" l="1"/>
  <c r="J56" i="1" s="1"/>
  <c r="C57" i="1" s="1"/>
  <c r="F57" i="1" l="1"/>
  <c r="G57" i="1" s="1"/>
  <c r="H57" i="1" s="1"/>
  <c r="K56" i="1"/>
  <c r="I57" i="1" l="1"/>
  <c r="J57" i="1" s="1"/>
  <c r="C58" i="1" s="1"/>
  <c r="F58" i="1" l="1"/>
  <c r="G58" i="1" s="1"/>
  <c r="H58" i="1" s="1"/>
  <c r="K57" i="1"/>
  <c r="I58" i="1" l="1"/>
  <c r="J58" i="1" s="1"/>
  <c r="C59" i="1" s="1"/>
  <c r="F59" i="1" l="1"/>
  <c r="G59" i="1" s="1"/>
  <c r="H59" i="1" s="1"/>
  <c r="K58" i="1"/>
  <c r="I59" i="1" l="1"/>
  <c r="J59" i="1" s="1"/>
  <c r="C60" i="1" s="1"/>
  <c r="F60" i="1" l="1"/>
  <c r="G60" i="1" s="1"/>
  <c r="H60" i="1" s="1"/>
  <c r="K59" i="1"/>
  <c r="I60" i="1" l="1"/>
  <c r="J60" i="1" s="1"/>
  <c r="C61" i="1" s="1"/>
  <c r="F61" i="1" l="1"/>
  <c r="G61" i="1" s="1"/>
  <c r="H61" i="1" s="1"/>
  <c r="K60" i="1"/>
  <c r="I61" i="1" l="1"/>
  <c r="J61" i="1" s="1"/>
  <c r="C62" i="1" s="1"/>
  <c r="F62" i="1" l="1"/>
  <c r="G62" i="1" s="1"/>
  <c r="H62" i="1" s="1"/>
  <c r="K61" i="1"/>
  <c r="I62" i="1" l="1"/>
  <c r="J62" i="1" s="1"/>
  <c r="C63" i="1" s="1"/>
  <c r="F63" i="1" l="1"/>
  <c r="G63" i="1" s="1"/>
  <c r="H63" i="1" s="1"/>
  <c r="K62" i="1"/>
  <c r="I63" i="1" l="1"/>
  <c r="J63" i="1" s="1"/>
  <c r="C64" i="1" s="1"/>
  <c r="F64" i="1" l="1"/>
  <c r="G64" i="1" s="1"/>
  <c r="H64" i="1" s="1"/>
  <c r="K63" i="1"/>
  <c r="I64" i="1" l="1"/>
  <c r="J64" i="1" s="1"/>
  <c r="C65" i="1" s="1"/>
  <c r="F65" i="1" l="1"/>
  <c r="G65" i="1" s="1"/>
  <c r="H65" i="1" s="1"/>
  <c r="K64" i="1"/>
  <c r="I65" i="1" l="1"/>
  <c r="J65" i="1" s="1"/>
  <c r="C66" i="1" s="1"/>
  <c r="F66" i="1" l="1"/>
  <c r="G66" i="1" s="1"/>
  <c r="H66" i="1" s="1"/>
  <c r="K65" i="1"/>
  <c r="I66" i="1" l="1"/>
  <c r="J66" i="1" s="1"/>
  <c r="C67" i="1" s="1"/>
  <c r="F67" i="1" l="1"/>
  <c r="G67" i="1" s="1"/>
  <c r="H67" i="1" s="1"/>
  <c r="K66" i="1"/>
  <c r="I67" i="1" l="1"/>
  <c r="J67" i="1" s="1"/>
  <c r="C68" i="1" s="1"/>
  <c r="K67" i="1" l="1"/>
  <c r="F68" i="1"/>
  <c r="G68" i="1" s="1"/>
  <c r="H68" i="1" s="1"/>
  <c r="I68" i="1" l="1"/>
  <c r="J68" i="1" s="1"/>
  <c r="C69" i="1" s="1"/>
  <c r="F69" i="1" l="1"/>
  <c r="G69" i="1" s="1"/>
  <c r="H69" i="1" s="1"/>
  <c r="K68" i="1"/>
  <c r="I69" i="1" l="1"/>
  <c r="J69" i="1" s="1"/>
  <c r="C70" i="1" s="1"/>
  <c r="F70" i="1" l="1"/>
  <c r="G70" i="1" s="1"/>
  <c r="H70" i="1" s="1"/>
  <c r="K69" i="1"/>
  <c r="I70" i="1" l="1"/>
  <c r="J70" i="1" s="1"/>
  <c r="C71" i="1" s="1"/>
  <c r="K70" i="1" l="1"/>
  <c r="F71" i="1"/>
  <c r="G71" i="1" s="1"/>
  <c r="H71" i="1" s="1"/>
  <c r="I71" i="1" l="1"/>
  <c r="J71" i="1" s="1"/>
  <c r="C72" i="1" s="1"/>
  <c r="F72" i="1" l="1"/>
  <c r="G72" i="1" s="1"/>
  <c r="H72" i="1" s="1"/>
  <c r="K71" i="1"/>
  <c r="I72" i="1" l="1"/>
  <c r="J72" i="1" s="1"/>
  <c r="C73" i="1" s="1"/>
  <c r="F73" i="1" l="1"/>
  <c r="G73" i="1" s="1"/>
  <c r="H73" i="1" s="1"/>
  <c r="K72" i="1"/>
  <c r="I73" i="1" l="1"/>
  <c r="J73" i="1" s="1"/>
  <c r="C74" i="1" s="1"/>
  <c r="F74" i="1" l="1"/>
  <c r="G74" i="1" s="1"/>
  <c r="H74" i="1" s="1"/>
  <c r="K73" i="1"/>
  <c r="I74" i="1" l="1"/>
  <c r="J74" i="1" s="1"/>
  <c r="C75" i="1" s="1"/>
  <c r="F75" i="1" l="1"/>
  <c r="G75" i="1" s="1"/>
  <c r="H75" i="1" s="1"/>
  <c r="K74" i="1"/>
  <c r="I75" i="1" l="1"/>
  <c r="J75" i="1" s="1"/>
  <c r="C76" i="1" s="1"/>
  <c r="F76" i="1" l="1"/>
  <c r="G76" i="1" s="1"/>
  <c r="H76" i="1" s="1"/>
  <c r="K75" i="1"/>
  <c r="I76" i="1" l="1"/>
  <c r="J76" i="1" s="1"/>
  <c r="C77" i="1" s="1"/>
  <c r="F77" i="1" l="1"/>
  <c r="G77" i="1" s="1"/>
  <c r="H77" i="1" s="1"/>
  <c r="K76" i="1"/>
  <c r="I77" i="1" l="1"/>
  <c r="J77" i="1" s="1"/>
  <c r="C78" i="1" s="1"/>
  <c r="F78" i="1" l="1"/>
  <c r="G78" i="1" s="1"/>
  <c r="H78" i="1" s="1"/>
  <c r="K77" i="1"/>
  <c r="I78" i="1" l="1"/>
  <c r="J78" i="1" s="1"/>
  <c r="C79" i="1" s="1"/>
  <c r="F79" i="1" l="1"/>
  <c r="G79" i="1" s="1"/>
  <c r="H79" i="1" s="1"/>
  <c r="K78" i="1"/>
  <c r="I79" i="1" l="1"/>
  <c r="J79" i="1" s="1"/>
  <c r="C80" i="1" s="1"/>
  <c r="F80" i="1" l="1"/>
  <c r="G80" i="1" s="1"/>
  <c r="H80" i="1" s="1"/>
  <c r="K79" i="1"/>
  <c r="I80" i="1" l="1"/>
  <c r="J80" i="1" s="1"/>
  <c r="C81" i="1" s="1"/>
  <c r="K80" i="1" l="1"/>
  <c r="F81" i="1"/>
  <c r="G81" i="1" s="1"/>
  <c r="H81" i="1" s="1"/>
  <c r="I81" i="1" l="1"/>
  <c r="J81" i="1" s="1"/>
  <c r="C82" i="1" s="1"/>
  <c r="K81" i="1" l="1"/>
  <c r="F82" i="1"/>
  <c r="G82" i="1" s="1"/>
  <c r="H82" i="1" s="1"/>
  <c r="I82" i="1" l="1"/>
  <c r="J82" i="1" s="1"/>
  <c r="C83" i="1" s="1"/>
  <c r="F83" i="1" l="1"/>
  <c r="G83" i="1" s="1"/>
  <c r="H83" i="1" s="1"/>
  <c r="K82" i="1"/>
  <c r="I83" i="1" l="1"/>
  <c r="J83" i="1" s="1"/>
  <c r="C84" i="1" s="1"/>
  <c r="F84" i="1" l="1"/>
  <c r="G84" i="1" s="1"/>
  <c r="H84" i="1" s="1"/>
  <c r="K83" i="1"/>
  <c r="I84" i="1" l="1"/>
  <c r="J84" i="1" s="1"/>
  <c r="C85" i="1" s="1"/>
  <c r="F85" i="1" l="1"/>
  <c r="G85" i="1" s="1"/>
  <c r="H85" i="1" s="1"/>
  <c r="K84" i="1"/>
  <c r="I85" i="1" l="1"/>
  <c r="J85" i="1" s="1"/>
  <c r="C86" i="1" s="1"/>
  <c r="F86" i="1" l="1"/>
  <c r="G86" i="1" s="1"/>
  <c r="H86" i="1" s="1"/>
  <c r="K85" i="1"/>
  <c r="I86" i="1" l="1"/>
  <c r="J86" i="1" s="1"/>
  <c r="C87" i="1" s="1"/>
  <c r="F87" i="1" l="1"/>
  <c r="G87" i="1" s="1"/>
  <c r="H87" i="1" s="1"/>
  <c r="K86" i="1"/>
  <c r="I87" i="1" l="1"/>
  <c r="J87" i="1" s="1"/>
  <c r="C88" i="1" s="1"/>
  <c r="F88" i="1" l="1"/>
  <c r="G88" i="1" s="1"/>
  <c r="H88" i="1" s="1"/>
  <c r="K87" i="1"/>
  <c r="I88" i="1" l="1"/>
  <c r="J88" i="1" s="1"/>
  <c r="C89" i="1" s="1"/>
  <c r="F89" i="1" l="1"/>
  <c r="G89" i="1" s="1"/>
  <c r="H89" i="1" s="1"/>
  <c r="K88" i="1"/>
  <c r="I89" i="1" l="1"/>
  <c r="J89" i="1" s="1"/>
  <c r="C90" i="1" s="1"/>
  <c r="F90" i="1" l="1"/>
  <c r="G90" i="1" s="1"/>
  <c r="H90" i="1" s="1"/>
  <c r="K89" i="1"/>
  <c r="I90" i="1" l="1"/>
  <c r="J90" i="1" s="1"/>
  <c r="C91" i="1" s="1"/>
  <c r="F91" i="1" l="1"/>
  <c r="G91" i="1" s="1"/>
  <c r="H91" i="1" s="1"/>
  <c r="K90" i="1"/>
  <c r="I91" i="1" l="1"/>
  <c r="J91" i="1" s="1"/>
  <c r="C92" i="1" s="1"/>
  <c r="F92" i="1" l="1"/>
  <c r="G92" i="1" s="1"/>
  <c r="H92" i="1" s="1"/>
  <c r="K91" i="1"/>
  <c r="I92" i="1" l="1"/>
  <c r="J92" i="1" s="1"/>
  <c r="C93" i="1" s="1"/>
  <c r="F93" i="1" l="1"/>
  <c r="G93" i="1" s="1"/>
  <c r="H93" i="1" s="1"/>
  <c r="K92" i="1"/>
  <c r="I93" i="1" l="1"/>
  <c r="J93" i="1" s="1"/>
  <c r="C94" i="1" s="1"/>
  <c r="F94" i="1" l="1"/>
  <c r="G94" i="1" s="1"/>
  <c r="H94" i="1" s="1"/>
  <c r="K93" i="1"/>
  <c r="I94" i="1" l="1"/>
  <c r="J94" i="1" s="1"/>
  <c r="C95" i="1" s="1"/>
  <c r="F95" i="1" l="1"/>
  <c r="G95" i="1" s="1"/>
  <c r="H95" i="1" s="1"/>
  <c r="K94" i="1"/>
  <c r="I95" i="1" l="1"/>
  <c r="J95" i="1" s="1"/>
  <c r="C96" i="1" s="1"/>
  <c r="F96" i="1" l="1"/>
  <c r="G96" i="1" s="1"/>
  <c r="H96" i="1" s="1"/>
  <c r="K95" i="1"/>
  <c r="I96" i="1" l="1"/>
  <c r="J96" i="1" s="1"/>
  <c r="C97" i="1" s="1"/>
  <c r="F97" i="1" l="1"/>
  <c r="G97" i="1" s="1"/>
  <c r="H97" i="1" s="1"/>
  <c r="K96" i="1"/>
  <c r="I97" i="1" l="1"/>
  <c r="J97" i="1" s="1"/>
  <c r="C98" i="1" s="1"/>
  <c r="F98" i="1" l="1"/>
  <c r="G98" i="1" s="1"/>
  <c r="H98" i="1" s="1"/>
  <c r="K97" i="1"/>
  <c r="I98" i="1" l="1"/>
  <c r="J98" i="1" s="1"/>
  <c r="C99" i="1" s="1"/>
  <c r="F99" i="1" l="1"/>
  <c r="G99" i="1" s="1"/>
  <c r="H99" i="1" s="1"/>
  <c r="K98" i="1"/>
  <c r="I99" i="1" l="1"/>
  <c r="J99" i="1" s="1"/>
  <c r="C100" i="1" s="1"/>
  <c r="F100" i="1" l="1"/>
  <c r="G100" i="1" s="1"/>
  <c r="H100" i="1" s="1"/>
  <c r="K99" i="1"/>
  <c r="I100" i="1" l="1"/>
  <c r="J100" i="1" s="1"/>
  <c r="C101" i="1" s="1"/>
  <c r="F101" i="1" l="1"/>
  <c r="G101" i="1" s="1"/>
  <c r="H101" i="1" s="1"/>
  <c r="K100" i="1"/>
  <c r="I101" i="1" l="1"/>
  <c r="J101" i="1" s="1"/>
  <c r="C102" i="1" s="1"/>
  <c r="F102" i="1" l="1"/>
  <c r="G102" i="1" s="1"/>
  <c r="H102" i="1" s="1"/>
  <c r="K101" i="1"/>
  <c r="I102" i="1" l="1"/>
  <c r="J102" i="1" s="1"/>
  <c r="C103" i="1" s="1"/>
  <c r="F103" i="1" l="1"/>
  <c r="G103" i="1" s="1"/>
  <c r="H103" i="1" s="1"/>
  <c r="K102" i="1"/>
  <c r="I103" i="1" l="1"/>
  <c r="J103" i="1" s="1"/>
  <c r="C104" i="1" s="1"/>
  <c r="K103" i="1" l="1"/>
  <c r="F104" i="1"/>
  <c r="G104" i="1" s="1"/>
  <c r="H104" i="1" s="1"/>
  <c r="I104" i="1" l="1"/>
  <c r="J104" i="1" s="1"/>
  <c r="C105" i="1" s="1"/>
  <c r="F105" i="1" l="1"/>
  <c r="G105" i="1" s="1"/>
  <c r="H105" i="1" s="1"/>
  <c r="K104" i="1"/>
  <c r="I105" i="1" l="1"/>
  <c r="J105" i="1" s="1"/>
  <c r="C106" i="1" s="1"/>
  <c r="F106" i="1" l="1"/>
  <c r="G106" i="1" s="1"/>
  <c r="H106" i="1" s="1"/>
  <c r="K105" i="1"/>
  <c r="I106" i="1" l="1"/>
  <c r="J106" i="1" s="1"/>
  <c r="C107" i="1" s="1"/>
  <c r="F107" i="1" l="1"/>
  <c r="G107" i="1" s="1"/>
  <c r="H107" i="1" s="1"/>
  <c r="K106" i="1"/>
  <c r="I107" i="1" l="1"/>
  <c r="J107" i="1" s="1"/>
  <c r="C108" i="1" s="1"/>
  <c r="F108" i="1" l="1"/>
  <c r="G108" i="1" s="1"/>
  <c r="H108" i="1" s="1"/>
  <c r="K107" i="1"/>
  <c r="I108" i="1" l="1"/>
  <c r="J108" i="1" s="1"/>
  <c r="C109" i="1" s="1"/>
  <c r="F109" i="1" l="1"/>
  <c r="G109" i="1" s="1"/>
  <c r="H109" i="1" s="1"/>
  <c r="K108" i="1"/>
  <c r="I109" i="1" l="1"/>
  <c r="J109" i="1" s="1"/>
  <c r="C110" i="1" s="1"/>
  <c r="F110" i="1" l="1"/>
  <c r="G110" i="1" s="1"/>
  <c r="H110" i="1" s="1"/>
  <c r="K109" i="1"/>
  <c r="I110" i="1" l="1"/>
  <c r="J110" i="1" s="1"/>
  <c r="C111" i="1" s="1"/>
  <c r="F111" i="1" l="1"/>
  <c r="G111" i="1" s="1"/>
  <c r="H111" i="1" s="1"/>
  <c r="K110" i="1"/>
  <c r="I111" i="1" l="1"/>
  <c r="J111" i="1" s="1"/>
  <c r="C112" i="1" s="1"/>
  <c r="F112" i="1" l="1"/>
  <c r="G112" i="1" s="1"/>
  <c r="H112" i="1" s="1"/>
  <c r="K111" i="1"/>
  <c r="I112" i="1" l="1"/>
  <c r="J112" i="1" s="1"/>
  <c r="C113" i="1" s="1"/>
  <c r="F113" i="1" l="1"/>
  <c r="G113" i="1" s="1"/>
  <c r="H113" i="1" s="1"/>
  <c r="K112" i="1"/>
  <c r="I113" i="1" l="1"/>
  <c r="J113" i="1" s="1"/>
  <c r="C114" i="1" s="1"/>
  <c r="F114" i="1" l="1"/>
  <c r="G114" i="1" s="1"/>
  <c r="H114" i="1" s="1"/>
  <c r="K113" i="1"/>
  <c r="I114" i="1" l="1"/>
  <c r="J114" i="1" s="1"/>
  <c r="C115" i="1" s="1"/>
  <c r="F115" i="1" l="1"/>
  <c r="G115" i="1" s="1"/>
  <c r="H115" i="1" s="1"/>
  <c r="K114" i="1"/>
  <c r="I115" i="1" l="1"/>
  <c r="J115" i="1" s="1"/>
  <c r="C116" i="1" s="1"/>
  <c r="F116" i="1" l="1"/>
  <c r="G116" i="1" s="1"/>
  <c r="H116" i="1" s="1"/>
  <c r="K115" i="1"/>
  <c r="I116" i="1" l="1"/>
  <c r="J116" i="1" s="1"/>
  <c r="C117" i="1" s="1"/>
  <c r="F117" i="1" l="1"/>
  <c r="G117" i="1" s="1"/>
  <c r="H117" i="1" s="1"/>
  <c r="K116" i="1"/>
  <c r="I117" i="1" l="1"/>
  <c r="J117" i="1" s="1"/>
  <c r="C118" i="1" s="1"/>
  <c r="F118" i="1" l="1"/>
  <c r="G118" i="1" s="1"/>
  <c r="H118" i="1" s="1"/>
  <c r="K117" i="1"/>
  <c r="I118" i="1" l="1"/>
  <c r="J118" i="1" s="1"/>
  <c r="C119" i="1" s="1"/>
  <c r="K118" i="1" l="1"/>
  <c r="F119" i="1"/>
  <c r="G119" i="1" s="1"/>
  <c r="H119" i="1" s="1"/>
  <c r="I119" i="1" l="1"/>
  <c r="J119" i="1" s="1"/>
  <c r="C120" i="1" s="1"/>
  <c r="F120" i="1" l="1"/>
  <c r="G120" i="1" s="1"/>
  <c r="H120" i="1" s="1"/>
  <c r="K119" i="1"/>
  <c r="I120" i="1" l="1"/>
  <c r="J120" i="1" s="1"/>
  <c r="C121" i="1" s="1"/>
  <c r="F121" i="1" l="1"/>
  <c r="G121" i="1" s="1"/>
  <c r="H121" i="1" s="1"/>
  <c r="K120" i="1"/>
  <c r="I121" i="1" l="1"/>
  <c r="J121" i="1" s="1"/>
  <c r="C122" i="1" s="1"/>
  <c r="F122" i="1" l="1"/>
  <c r="G122" i="1" s="1"/>
  <c r="H122" i="1" s="1"/>
  <c r="K121" i="1"/>
  <c r="I122" i="1" l="1"/>
  <c r="J122" i="1" s="1"/>
  <c r="C123" i="1" s="1"/>
  <c r="F123" i="1" l="1"/>
  <c r="G123" i="1" s="1"/>
  <c r="H123" i="1" s="1"/>
  <c r="K122" i="1"/>
  <c r="I123" i="1" l="1"/>
  <c r="J123" i="1" s="1"/>
  <c r="C124" i="1" s="1"/>
  <c r="F124" i="1" l="1"/>
  <c r="G124" i="1" s="1"/>
  <c r="H124" i="1" s="1"/>
  <c r="K123" i="1"/>
  <c r="I124" i="1" l="1"/>
  <c r="J124" i="1" s="1"/>
  <c r="C125" i="1" s="1"/>
  <c r="F125" i="1" l="1"/>
  <c r="G125" i="1" s="1"/>
  <c r="H125" i="1" s="1"/>
  <c r="K124" i="1"/>
  <c r="I125" i="1" l="1"/>
  <c r="J125" i="1" s="1"/>
  <c r="C126" i="1" s="1"/>
  <c r="F126" i="1" l="1"/>
  <c r="G126" i="1" s="1"/>
  <c r="H126" i="1" s="1"/>
  <c r="K125" i="1"/>
  <c r="I126" i="1" l="1"/>
  <c r="J126" i="1" s="1"/>
  <c r="C127" i="1" s="1"/>
  <c r="F127" i="1" l="1"/>
  <c r="G127" i="1" s="1"/>
  <c r="H127" i="1" s="1"/>
  <c r="K126" i="1"/>
  <c r="I127" i="1" l="1"/>
  <c r="J127" i="1" s="1"/>
  <c r="C128" i="1" s="1"/>
  <c r="F128" i="1" l="1"/>
  <c r="G128" i="1" s="1"/>
  <c r="H128" i="1" s="1"/>
  <c r="K127" i="1"/>
  <c r="I128" i="1" l="1"/>
  <c r="J128" i="1" s="1"/>
  <c r="C129" i="1" s="1"/>
  <c r="F129" i="1" l="1"/>
  <c r="G129" i="1" s="1"/>
  <c r="H129" i="1" s="1"/>
  <c r="K128" i="1"/>
  <c r="I129" i="1" l="1"/>
  <c r="J129" i="1" s="1"/>
  <c r="C130" i="1" s="1"/>
  <c r="F130" i="1" l="1"/>
  <c r="G130" i="1" s="1"/>
  <c r="H130" i="1" s="1"/>
  <c r="K129" i="1"/>
  <c r="I130" i="1" l="1"/>
  <c r="J130" i="1" s="1"/>
  <c r="C131" i="1" s="1"/>
  <c r="F131" i="1" l="1"/>
  <c r="G131" i="1" s="1"/>
  <c r="H131" i="1" s="1"/>
  <c r="K130" i="1"/>
  <c r="I131" i="1" l="1"/>
  <c r="J131" i="1" s="1"/>
  <c r="C132" i="1" s="1"/>
  <c r="F132" i="1" l="1"/>
  <c r="G132" i="1" s="1"/>
  <c r="H132" i="1" s="1"/>
  <c r="K131" i="1"/>
  <c r="I132" i="1" l="1"/>
  <c r="J132" i="1" s="1"/>
  <c r="C133" i="1" s="1"/>
  <c r="F133" i="1" l="1"/>
  <c r="G133" i="1" s="1"/>
  <c r="H133" i="1" s="1"/>
  <c r="K132" i="1"/>
  <c r="I133" i="1" l="1"/>
  <c r="J133" i="1" s="1"/>
  <c r="C134" i="1" s="1"/>
  <c r="F134" i="1" l="1"/>
  <c r="G134" i="1" s="1"/>
  <c r="H134" i="1" s="1"/>
  <c r="K133" i="1"/>
  <c r="I134" i="1" l="1"/>
  <c r="J134" i="1" s="1"/>
  <c r="C135" i="1" s="1"/>
  <c r="K134" i="1" l="1"/>
  <c r="F135" i="1"/>
  <c r="G135" i="1" s="1"/>
  <c r="H135" i="1" s="1"/>
  <c r="I135" i="1" l="1"/>
  <c r="J135" i="1" s="1"/>
  <c r="C136" i="1" s="1"/>
  <c r="F136" i="1" l="1"/>
  <c r="G136" i="1" s="1"/>
  <c r="H136" i="1" s="1"/>
  <c r="K135" i="1"/>
  <c r="I136" i="1" l="1"/>
  <c r="J136" i="1" s="1"/>
  <c r="C137" i="1" s="1"/>
  <c r="F137" i="1" l="1"/>
  <c r="G137" i="1" s="1"/>
  <c r="H137" i="1" s="1"/>
  <c r="K136" i="1"/>
  <c r="I137" i="1" l="1"/>
  <c r="J137" i="1" s="1"/>
  <c r="C138" i="1" s="1"/>
  <c r="F138" i="1" l="1"/>
  <c r="G138" i="1" s="1"/>
  <c r="H138" i="1" s="1"/>
  <c r="K137" i="1"/>
  <c r="I138" i="1" l="1"/>
  <c r="J138" i="1" s="1"/>
  <c r="C139" i="1" s="1"/>
  <c r="F139" i="1" l="1"/>
  <c r="G139" i="1" s="1"/>
  <c r="H139" i="1" s="1"/>
  <c r="K138" i="1"/>
  <c r="I139" i="1" l="1"/>
  <c r="J139" i="1" s="1"/>
  <c r="C140" i="1" s="1"/>
  <c r="F140" i="1" l="1"/>
  <c r="G140" i="1" s="1"/>
  <c r="H140" i="1" s="1"/>
  <c r="K139" i="1"/>
  <c r="I140" i="1" l="1"/>
  <c r="J140" i="1" s="1"/>
  <c r="C141" i="1" s="1"/>
  <c r="F141" i="1" l="1"/>
  <c r="G141" i="1" s="1"/>
  <c r="H141" i="1" s="1"/>
  <c r="K140" i="1"/>
  <c r="I141" i="1" l="1"/>
  <c r="J141" i="1" s="1"/>
  <c r="C142" i="1" s="1"/>
  <c r="F142" i="1" l="1"/>
  <c r="G142" i="1" s="1"/>
  <c r="H142" i="1" s="1"/>
  <c r="K141" i="1"/>
  <c r="I142" i="1" l="1"/>
  <c r="J142" i="1" s="1"/>
  <c r="C143" i="1" s="1"/>
  <c r="F143" i="1" l="1"/>
  <c r="G143" i="1" s="1"/>
  <c r="H143" i="1" s="1"/>
  <c r="K142" i="1"/>
  <c r="I143" i="1" l="1"/>
  <c r="J143" i="1" s="1"/>
  <c r="C144" i="1" s="1"/>
  <c r="F144" i="1" l="1"/>
  <c r="G144" i="1" s="1"/>
  <c r="H144" i="1" s="1"/>
  <c r="K143" i="1"/>
  <c r="I144" i="1" l="1"/>
  <c r="J144" i="1" s="1"/>
  <c r="C145" i="1" s="1"/>
  <c r="F145" i="1" l="1"/>
  <c r="G145" i="1" s="1"/>
  <c r="H145" i="1" s="1"/>
  <c r="K144" i="1"/>
  <c r="I145" i="1" l="1"/>
  <c r="J145" i="1" s="1"/>
  <c r="C146" i="1" s="1"/>
  <c r="F146" i="1" l="1"/>
  <c r="G146" i="1" s="1"/>
  <c r="H146" i="1" s="1"/>
  <c r="K145" i="1"/>
  <c r="I146" i="1" l="1"/>
  <c r="J146" i="1" s="1"/>
  <c r="C147" i="1" s="1"/>
  <c r="F147" i="1" l="1"/>
  <c r="G147" i="1" s="1"/>
  <c r="H147" i="1" s="1"/>
  <c r="K146" i="1"/>
  <c r="I147" i="1" l="1"/>
  <c r="J147" i="1" s="1"/>
  <c r="C148" i="1" s="1"/>
  <c r="F148" i="1" l="1"/>
  <c r="G148" i="1" s="1"/>
  <c r="H148" i="1" s="1"/>
  <c r="K147" i="1"/>
  <c r="I148" i="1" l="1"/>
  <c r="J148" i="1" s="1"/>
  <c r="C149" i="1" s="1"/>
  <c r="F149" i="1" l="1"/>
  <c r="G149" i="1" s="1"/>
  <c r="H149" i="1" s="1"/>
  <c r="K148" i="1"/>
  <c r="I149" i="1" l="1"/>
  <c r="J149" i="1" s="1"/>
  <c r="C150" i="1" s="1"/>
  <c r="F150" i="1" l="1"/>
  <c r="G150" i="1" s="1"/>
  <c r="H150" i="1" s="1"/>
  <c r="K149" i="1"/>
  <c r="I150" i="1" l="1"/>
  <c r="J150" i="1" s="1"/>
  <c r="C151" i="1" s="1"/>
  <c r="F151" i="1" l="1"/>
  <c r="G151" i="1" s="1"/>
  <c r="H151" i="1" s="1"/>
  <c r="K150" i="1"/>
  <c r="I151" i="1" l="1"/>
  <c r="J151" i="1" s="1"/>
  <c r="C152" i="1" s="1"/>
  <c r="F152" i="1" l="1"/>
  <c r="G152" i="1" s="1"/>
  <c r="H152" i="1" s="1"/>
  <c r="K151" i="1"/>
  <c r="I152" i="1" l="1"/>
  <c r="J152" i="1" s="1"/>
  <c r="C153" i="1" s="1"/>
  <c r="F153" i="1" l="1"/>
  <c r="G153" i="1" s="1"/>
  <c r="H153" i="1" s="1"/>
  <c r="K152" i="1"/>
  <c r="I153" i="1" l="1"/>
  <c r="J153" i="1" s="1"/>
  <c r="C154" i="1" s="1"/>
  <c r="F154" i="1" l="1"/>
  <c r="G154" i="1" s="1"/>
  <c r="H154" i="1" s="1"/>
  <c r="K153" i="1"/>
  <c r="I154" i="1" l="1"/>
  <c r="O6" i="1"/>
  <c r="J154" i="1" l="1"/>
  <c r="K15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294D0A-91DB-4D61-874B-E7BABECCC50A}" name="deszcz" type="6" refreshedVersion="8" background="1" saveData="1">
    <textPr codePage="852" sourceFile="C:\Users\oskar\Desktop\deszcz.txt" decimal="," thousands=" 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<sst xmlns="http://schemas.openxmlformats.org/spreadsheetml/2006/main" count="27" uniqueCount="24">
  <si>
    <t>data</t>
  </si>
  <si>
    <t xml:space="preserve">opady </t>
  </si>
  <si>
    <t>zbiornik</t>
  </si>
  <si>
    <t>zraszanie</t>
  </si>
  <si>
    <t>dzien tygodnia</t>
  </si>
  <si>
    <t>powierchnia</t>
  </si>
  <si>
    <t>ilosc</t>
  </si>
  <si>
    <t>wieczorem</t>
  </si>
  <si>
    <t>parowanie/deszczowka</t>
  </si>
  <si>
    <t>do kanalizacji</t>
  </si>
  <si>
    <t>po</t>
  </si>
  <si>
    <t>dolewanie sobota</t>
  </si>
  <si>
    <t>a)</t>
  </si>
  <si>
    <t>ile dolano</t>
  </si>
  <si>
    <t>b)</t>
  </si>
  <si>
    <t>c)</t>
  </si>
  <si>
    <t>najmniej</t>
  </si>
  <si>
    <t>Etykiety wierszy</t>
  </si>
  <si>
    <t>Suma końcowa</t>
  </si>
  <si>
    <t>Suma z ile dolano</t>
  </si>
  <si>
    <t>Suma z do kanalizacji2</t>
  </si>
  <si>
    <t>d)</t>
  </si>
  <si>
    <t>dolano</t>
  </si>
  <si>
    <t>odprowadzono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</si>
</sst>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NumberFormat="1"/>
    <xf numFmtId="14" fontId="1" fillId="2" borderId="0" xfId="1" applyNumberFormat="1" applyAlignment="1">
      <alignment horizontal="left" indent="1"/>
    </xf>
    <xf numFmtId="0" fontId="1" fillId="2" borderId="0" xfId="1" applyNumberFormat="1"/>
    <xf numFmtId="0" fontId="1" fillId="2" borderId="0" xfId="1"/>
    <xf numFmtId="1" fontId="1" fillId="2" borderId="0" xfId="1" applyNumberFormat="1"/>
    <xf numFmtId="14" fontId="1" fillId="2" borderId="0" xfId="1" applyNumberFormat="1"/>
  </cellXfs>
  <cellStyles count="2">
    <cellStyle name="Dobry" xfId="1" builtinId="26"/>
    <cellStyle name="Normalny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dolewanej wody w poszczególnych sobotach maja</a:t>
            </a:r>
            <a:endParaRPr lang="en-US"/>
          </a:p>
        </c:rich>
      </c:tx>
      <c:layout>
        <c:manualLayout>
          <c:xMode val="edge"/>
          <c:yMode val="edge"/>
          <c:x val="0.1274860017497812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'6'!$S$8</c:f>
              <c:strCache>
                <c:ptCount val="1"/>
                <c:pt idx="0">
                  <c:v>dolano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'6'!$R$9:$R$13</c:f>
              <c:numCache>
                <c:formatCode>m/d/yyyy</c:formatCode>
                <c:ptCount val="5"/>
                <c:pt idx="0">
                  <c:v>41762</c:v>
                </c:pt>
                <c:pt idx="1">
                  <c:v>41769</c:v>
                </c:pt>
                <c:pt idx="2">
                  <c:v>41776</c:v>
                </c:pt>
                <c:pt idx="3">
                  <c:v>41783</c:v>
                </c:pt>
                <c:pt idx="4">
                  <c:v>41790</c:v>
                </c:pt>
              </c:numCache>
            </c:numRef>
          </c:cat>
          <c:val>
            <c:numRef>
              <c:f>'6'!$S$9:$S$13</c:f>
              <c:numCache>
                <c:formatCode>0</c:formatCode>
                <c:ptCount val="5"/>
                <c:pt idx="0">
                  <c:v>176192.79999999981</c:v>
                </c:pt>
                <c:pt idx="1">
                  <c:v>0</c:v>
                </c:pt>
                <c:pt idx="2">
                  <c:v>109537.68399999989</c:v>
                </c:pt>
                <c:pt idx="3">
                  <c:v>354117.88408839982</c:v>
                </c:pt>
                <c:pt idx="4">
                  <c:v>500000.00000000023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6-49A0-90E4-C0456B6D8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516272"/>
        <c:axId val="897515312"/>
      </c:barChart>
      <c:catAx>
        <c:axId val="89751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7515312"/>
        <c:crosses val="autoZero"/>
        <c:auto val="0"/>
        <c:lblAlgn val="ctr"/>
        <c:lblOffset val="100"/>
        <c:noMultiLvlLbl val="0"/>
      </c:catAx>
      <c:valAx>
        <c:axId val="8975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[l]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751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140805</xdr:colOff>
      <xdr:row>15</xdr:row>
      <xdr:rowOff>11595</xdr:rowOff>
    </xdr:from>
    <xdr:to>
      <xdr:col>26</xdr:col>
      <xdr:colOff>273326</xdr:colOff>
      <xdr:row>29</xdr:row>
      <xdr:rowOff>87795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7CEBF03-CC22-A1D2-0B0B-C3049047E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43.629292824073" createdVersion="8" refreshedVersion="8" minRefreshableVersion="3" recordCount="153" xr:uid="{95F249FB-1E0F-4F27-8A76-2911C6DBB888}">
  <cacheSource type="worksheet">
    <worksheetSource ref="A1:L154" sheet="6"/>
  </cacheSource>
  <cacheFields count="14">
    <cacheField name="data" numFmtId="14">
      <sharedItems containsSemiMixedTypes="0" containsNonDate="0" containsDate="1" containsString="0" minDate="2014-05-01T00:00:00" maxDate="2014-10-01T00:00:00" count="153"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</sharedItems>
      <fieldGroup par="13"/>
    </cacheField>
    <cacheField name="opady " numFmtId="0">
      <sharedItems containsSemiMixedTypes="0" containsString="0" containsNumber="1" containsInteger="1" minValue="0" maxValue="1"/>
    </cacheField>
    <cacheField name="zbiornik" numFmtId="0">
      <sharedItems containsSemiMixedTypes="0" containsString="0" containsNumber="1" minValue="1303938.2584261356" maxValue="2500000"/>
    </cacheField>
    <cacheField name="dzien tygodnia" numFmtId="0">
      <sharedItems containsSemiMixedTypes="0" containsString="0" containsNumber="1" containsInteger="1" minValue="1" maxValue="7" count="7">
        <n v="4"/>
        <n v="5"/>
        <n v="6"/>
        <n v="7"/>
        <n v="1"/>
        <n v="2"/>
        <n v="3"/>
      </sharedItems>
    </cacheField>
    <cacheField name="zraszanie" numFmtId="0">
      <sharedItems containsSemiMixedTypes="0" containsString="0" containsNumber="1" containsInteger="1" minValue="0" maxValue="100000"/>
    </cacheField>
    <cacheField name="wieczorem" numFmtId="0">
      <sharedItems containsSemiMixedTypes="0" containsString="0" containsNumber="1" minValue="1203938.2584261356" maxValue="2500000"/>
    </cacheField>
    <cacheField name="parowanie/deszczowka" numFmtId="0">
      <sharedItems containsSemiMixedTypes="0" containsString="0" containsNumber="1" minValue="1191898.8758418742" maxValue="2575000"/>
    </cacheField>
    <cacheField name="do kanalizacji" numFmtId="0">
      <sharedItems containsSemiMixedTypes="0" containsString="0" containsNumber="1" containsInteger="1" minValue="0" maxValue="1"/>
    </cacheField>
    <cacheField name="po" numFmtId="0">
      <sharedItems containsSemiMixedTypes="0" containsString="0" containsNumber="1" minValue="1191898.8758418742" maxValue="2500000"/>
    </cacheField>
    <cacheField name="dolewanie sobota" numFmtId="0">
      <sharedItems containsSemiMixedTypes="0" containsString="0" containsNumber="1" minValue="1303938.2584261356" maxValue="2500000"/>
    </cacheField>
    <cacheField name="ile dolano" numFmtId="0">
      <sharedItems containsSemiMixedTypes="0" containsString="0" containsNumber="1" minValue="0" maxValue="500000.00000000023"/>
    </cacheField>
    <cacheField name="do kanalizacji2" numFmtId="0">
      <sharedItems containsSemiMixedTypes="0" containsString="0" containsNumber="1" minValue="0" maxValue="75000"/>
    </cacheField>
    <cacheField name="Dni (data)" numFmtId="0" databaseField="0">
      <fieldGroup base="0">
        <rangePr groupBy="days" startDate="2014-05-01T00:00:00" endDate="2014-10-01T00:00:00"/>
        <groupItems count="368">
          <s v="&lt;01.05.2014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14"/>
        </groupItems>
      </fieldGroup>
    </cacheField>
    <cacheField name="Miesiące (data)" numFmtId="0" databaseField="0">
      <fieldGroup base="0">
        <rangePr groupBy="months" startDate="2014-05-01T00:00:00" endDate="2014-10-01T00:00:00"/>
        <groupItems count="14">
          <s v="&lt;01.05.201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0"/>
    <n v="2500000"/>
    <x v="0"/>
    <n v="100000"/>
    <n v="2400000"/>
    <n v="2376000"/>
    <n v="0"/>
    <n v="2376000"/>
    <n v="2376000"/>
    <n v="0"/>
    <n v="0"/>
  </r>
  <r>
    <x v="1"/>
    <n v="1"/>
    <n v="2376000"/>
    <x v="1"/>
    <n v="0"/>
    <n v="2376000"/>
    <n v="2447280"/>
    <n v="0"/>
    <n v="2447280"/>
    <n v="2447280"/>
    <n v="0"/>
    <n v="0"/>
  </r>
  <r>
    <x v="2"/>
    <n v="0"/>
    <n v="2447280"/>
    <x v="2"/>
    <n v="100000"/>
    <n v="2347280"/>
    <n v="2323807.2000000002"/>
    <n v="0"/>
    <n v="2323807.2000000002"/>
    <n v="2500000"/>
    <n v="176192.79999999981"/>
    <n v="0"/>
  </r>
  <r>
    <x v="3"/>
    <n v="0"/>
    <n v="2500000"/>
    <x v="3"/>
    <n v="100000"/>
    <n v="2400000"/>
    <n v="2376000"/>
    <n v="0"/>
    <n v="2376000"/>
    <n v="2376000"/>
    <n v="0"/>
    <n v="0"/>
  </r>
  <r>
    <x v="4"/>
    <n v="0"/>
    <n v="2376000"/>
    <x v="4"/>
    <n v="100000"/>
    <n v="2276000"/>
    <n v="2253240"/>
    <n v="0"/>
    <n v="2253240"/>
    <n v="2253240"/>
    <n v="0"/>
    <n v="0"/>
  </r>
  <r>
    <x v="5"/>
    <n v="1"/>
    <n v="2253240"/>
    <x v="5"/>
    <n v="0"/>
    <n v="2253240"/>
    <n v="2320837.2000000002"/>
    <n v="0"/>
    <n v="2320837.2000000002"/>
    <n v="2320837.2000000002"/>
    <n v="0"/>
    <n v="0"/>
  </r>
  <r>
    <x v="6"/>
    <n v="1"/>
    <n v="2320837.2000000002"/>
    <x v="6"/>
    <n v="0"/>
    <n v="2320837.2000000002"/>
    <n v="2390462.3160000001"/>
    <n v="0"/>
    <n v="2390462.3160000001"/>
    <n v="2390462.3160000001"/>
    <n v="0"/>
    <n v="0"/>
  </r>
  <r>
    <x v="7"/>
    <n v="1"/>
    <n v="2390462.3160000001"/>
    <x v="0"/>
    <n v="0"/>
    <n v="2390462.3160000001"/>
    <n v="2462176.18548"/>
    <n v="0"/>
    <n v="2462176.18548"/>
    <n v="2462176.18548"/>
    <n v="0"/>
    <n v="0"/>
  </r>
  <r>
    <x v="8"/>
    <n v="1"/>
    <n v="2462176.18548"/>
    <x v="1"/>
    <n v="0"/>
    <n v="2462176.18548"/>
    <n v="2536041.4710444002"/>
    <n v="1"/>
    <n v="2500000"/>
    <n v="2500000"/>
    <n v="0"/>
    <n v="36041.471044400241"/>
  </r>
  <r>
    <x v="9"/>
    <n v="1"/>
    <n v="2500000"/>
    <x v="2"/>
    <n v="0"/>
    <n v="2500000"/>
    <n v="2575000"/>
    <n v="1"/>
    <n v="2500000"/>
    <n v="2500000"/>
    <n v="0"/>
    <n v="75000"/>
  </r>
  <r>
    <x v="10"/>
    <n v="1"/>
    <n v="2500000"/>
    <x v="3"/>
    <n v="0"/>
    <n v="2500000"/>
    <n v="2575000"/>
    <n v="1"/>
    <n v="2500000"/>
    <n v="2500000"/>
    <n v="0"/>
    <n v="75000"/>
  </r>
  <r>
    <x v="11"/>
    <n v="1"/>
    <n v="2500000"/>
    <x v="4"/>
    <n v="0"/>
    <n v="2500000"/>
    <n v="2575000"/>
    <n v="1"/>
    <n v="2500000"/>
    <n v="2500000"/>
    <n v="0"/>
    <n v="75000"/>
  </r>
  <r>
    <x v="12"/>
    <n v="1"/>
    <n v="2500000"/>
    <x v="5"/>
    <n v="0"/>
    <n v="2500000"/>
    <n v="2575000"/>
    <n v="1"/>
    <n v="2500000"/>
    <n v="2500000"/>
    <n v="0"/>
    <n v="75000"/>
  </r>
  <r>
    <x v="13"/>
    <n v="0"/>
    <n v="2500000"/>
    <x v="6"/>
    <n v="100000"/>
    <n v="2400000"/>
    <n v="2376000"/>
    <n v="0"/>
    <n v="2376000"/>
    <n v="2376000"/>
    <n v="0"/>
    <n v="0"/>
  </r>
  <r>
    <x v="14"/>
    <n v="0"/>
    <n v="2376000"/>
    <x v="0"/>
    <n v="100000"/>
    <n v="2276000"/>
    <n v="2253240"/>
    <n v="0"/>
    <n v="2253240"/>
    <n v="2253240"/>
    <n v="0"/>
    <n v="0"/>
  </r>
  <r>
    <x v="15"/>
    <n v="1"/>
    <n v="2253240"/>
    <x v="1"/>
    <n v="0"/>
    <n v="2253240"/>
    <n v="2320837.2000000002"/>
    <n v="0"/>
    <n v="2320837.2000000002"/>
    <n v="2320837.2000000002"/>
    <n v="0"/>
    <n v="0"/>
  </r>
  <r>
    <x v="16"/>
    <n v="1"/>
    <n v="2320837.2000000002"/>
    <x v="2"/>
    <n v="0"/>
    <n v="2320837.2000000002"/>
    <n v="2390462.3160000001"/>
    <n v="0"/>
    <n v="2390462.3160000001"/>
    <n v="2500000"/>
    <n v="109537.68399999989"/>
    <n v="0"/>
  </r>
  <r>
    <x v="17"/>
    <n v="1"/>
    <n v="2500000"/>
    <x v="3"/>
    <n v="0"/>
    <n v="2500000"/>
    <n v="2575000"/>
    <n v="1"/>
    <n v="2500000"/>
    <n v="2500000"/>
    <n v="0"/>
    <n v="75000"/>
  </r>
  <r>
    <x v="18"/>
    <n v="0"/>
    <n v="2500000"/>
    <x v="4"/>
    <n v="100000"/>
    <n v="2400000"/>
    <n v="2376000"/>
    <n v="0"/>
    <n v="2376000"/>
    <n v="2376000"/>
    <n v="0"/>
    <n v="0"/>
  </r>
  <r>
    <x v="19"/>
    <n v="0"/>
    <n v="2376000"/>
    <x v="5"/>
    <n v="100000"/>
    <n v="2276000"/>
    <n v="2253240"/>
    <n v="0"/>
    <n v="2253240"/>
    <n v="2253240"/>
    <n v="0"/>
    <n v="0"/>
  </r>
  <r>
    <x v="20"/>
    <n v="1"/>
    <n v="2253240"/>
    <x v="6"/>
    <n v="0"/>
    <n v="2253240"/>
    <n v="2320837.2000000002"/>
    <n v="0"/>
    <n v="2320837.2000000002"/>
    <n v="2320837.2000000002"/>
    <n v="0"/>
    <n v="0"/>
  </r>
  <r>
    <x v="21"/>
    <n v="1"/>
    <n v="2320837.2000000002"/>
    <x v="0"/>
    <n v="0"/>
    <n v="2320837.2000000002"/>
    <n v="2390462.3160000001"/>
    <n v="0"/>
    <n v="2390462.3160000001"/>
    <n v="2390462.3160000001"/>
    <n v="0"/>
    <n v="0"/>
  </r>
  <r>
    <x v="22"/>
    <n v="0"/>
    <n v="2390462.3160000001"/>
    <x v="1"/>
    <n v="100000"/>
    <n v="2290462.3160000001"/>
    <n v="2267557.6928400001"/>
    <n v="0"/>
    <n v="2267557.6928400001"/>
    <n v="2267557.6928400001"/>
    <n v="0"/>
    <n v="0"/>
  </r>
  <r>
    <x v="23"/>
    <n v="0"/>
    <n v="2267557.6928400001"/>
    <x v="2"/>
    <n v="100000"/>
    <n v="2167557.6928400001"/>
    <n v="2145882.1159116002"/>
    <n v="0"/>
    <n v="2145882.1159116002"/>
    <n v="2500000"/>
    <n v="354117.88408839982"/>
    <n v="0"/>
  </r>
  <r>
    <x v="24"/>
    <n v="0"/>
    <n v="2500000"/>
    <x v="3"/>
    <n v="100000"/>
    <n v="2400000"/>
    <n v="2376000"/>
    <n v="0"/>
    <n v="2376000"/>
    <n v="2376000"/>
    <n v="0"/>
    <n v="0"/>
  </r>
  <r>
    <x v="25"/>
    <n v="0"/>
    <n v="2376000"/>
    <x v="4"/>
    <n v="100000"/>
    <n v="2276000"/>
    <n v="2253240"/>
    <n v="0"/>
    <n v="2253240"/>
    <n v="2253240"/>
    <n v="0"/>
    <n v="0"/>
  </r>
  <r>
    <x v="26"/>
    <n v="0"/>
    <n v="2253240"/>
    <x v="5"/>
    <n v="100000"/>
    <n v="2153240"/>
    <n v="2131707.6"/>
    <n v="0"/>
    <n v="2131707.6"/>
    <n v="2131707.6"/>
    <n v="0"/>
    <n v="0"/>
  </r>
  <r>
    <x v="27"/>
    <n v="1"/>
    <n v="2131707.6"/>
    <x v="6"/>
    <n v="0"/>
    <n v="2131707.6"/>
    <n v="2195658.8280000002"/>
    <n v="0"/>
    <n v="2195658.8280000002"/>
    <n v="2195658.8280000002"/>
    <n v="0"/>
    <n v="0"/>
  </r>
  <r>
    <x v="28"/>
    <n v="0"/>
    <n v="2195658.8280000002"/>
    <x v="0"/>
    <n v="100000"/>
    <n v="2095658.8280000002"/>
    <n v="2074702.2397200002"/>
    <n v="0"/>
    <n v="2074702.2397200002"/>
    <n v="2074702.2397200002"/>
    <n v="0"/>
    <n v="0"/>
  </r>
  <r>
    <x v="29"/>
    <n v="0"/>
    <n v="2074702.2397200002"/>
    <x v="1"/>
    <n v="100000"/>
    <n v="1974702.2397200002"/>
    <n v="1954955.2173228001"/>
    <n v="0"/>
    <n v="1954955.2173228001"/>
    <n v="1954955.2173228001"/>
    <n v="0"/>
    <n v="0"/>
  </r>
  <r>
    <x v="30"/>
    <n v="0"/>
    <n v="1954955.2173228001"/>
    <x v="2"/>
    <n v="100000"/>
    <n v="1854955.2173228001"/>
    <n v="1836405.6651495721"/>
    <n v="0"/>
    <n v="1836405.6651495721"/>
    <n v="2336405.6651495723"/>
    <n v="500000.00000000023"/>
    <n v="0"/>
  </r>
  <r>
    <x v="31"/>
    <n v="0"/>
    <n v="2336405.6651495723"/>
    <x v="3"/>
    <n v="100000"/>
    <n v="2236405.6651495723"/>
    <n v="2214041.6084980764"/>
    <n v="0"/>
    <n v="2214041.6084980764"/>
    <n v="2214041.6084980764"/>
    <n v="0"/>
    <n v="0"/>
  </r>
  <r>
    <x v="32"/>
    <n v="0"/>
    <n v="2214041.6084980764"/>
    <x v="4"/>
    <n v="100000"/>
    <n v="2114041.6084980764"/>
    <n v="2092901.1924130956"/>
    <n v="0"/>
    <n v="2092901.1924130956"/>
    <n v="2092901.1924130956"/>
    <n v="0"/>
    <n v="0"/>
  </r>
  <r>
    <x v="33"/>
    <n v="0"/>
    <n v="2092901.1924130956"/>
    <x v="5"/>
    <n v="100000"/>
    <n v="1992901.1924130956"/>
    <n v="1972972.1804889645"/>
    <n v="0"/>
    <n v="1972972.1804889645"/>
    <n v="1972972.1804889645"/>
    <n v="0"/>
    <n v="0"/>
  </r>
  <r>
    <x v="34"/>
    <n v="1"/>
    <n v="1972972.1804889645"/>
    <x v="6"/>
    <n v="0"/>
    <n v="1972972.1804889645"/>
    <n v="2032161.3459036336"/>
    <n v="0"/>
    <n v="2032161.3459036336"/>
    <n v="2032161.3459036336"/>
    <n v="0"/>
    <n v="0"/>
  </r>
  <r>
    <x v="35"/>
    <n v="1"/>
    <n v="2032161.3459036336"/>
    <x v="0"/>
    <n v="0"/>
    <n v="2032161.3459036336"/>
    <n v="2093126.1862807428"/>
    <n v="0"/>
    <n v="2093126.1862807428"/>
    <n v="2093126.1862807428"/>
    <n v="0"/>
    <n v="0"/>
  </r>
  <r>
    <x v="36"/>
    <n v="1"/>
    <n v="2093126.1862807428"/>
    <x v="1"/>
    <n v="0"/>
    <n v="2093126.1862807428"/>
    <n v="2155919.9718691651"/>
    <n v="0"/>
    <n v="2155919.9718691651"/>
    <n v="2155919.9718691651"/>
    <n v="0"/>
    <n v="0"/>
  </r>
  <r>
    <x v="37"/>
    <n v="1"/>
    <n v="2155919.9718691651"/>
    <x v="2"/>
    <n v="0"/>
    <n v="2155919.9718691651"/>
    <n v="2220597.5710252402"/>
    <n v="0"/>
    <n v="2220597.5710252402"/>
    <n v="2500000"/>
    <n v="279402.42897475976"/>
    <n v="0"/>
  </r>
  <r>
    <x v="38"/>
    <n v="1"/>
    <n v="2500000"/>
    <x v="3"/>
    <n v="0"/>
    <n v="2500000"/>
    <n v="2575000"/>
    <n v="1"/>
    <n v="2500000"/>
    <n v="2500000"/>
    <n v="0"/>
    <n v="75000"/>
  </r>
  <r>
    <x v="39"/>
    <n v="1"/>
    <n v="2500000"/>
    <x v="4"/>
    <n v="0"/>
    <n v="2500000"/>
    <n v="2575000"/>
    <n v="1"/>
    <n v="2500000"/>
    <n v="2500000"/>
    <n v="0"/>
    <n v="75000"/>
  </r>
  <r>
    <x v="40"/>
    <n v="1"/>
    <n v="2500000"/>
    <x v="5"/>
    <n v="0"/>
    <n v="2500000"/>
    <n v="2575000"/>
    <n v="1"/>
    <n v="2500000"/>
    <n v="2500000"/>
    <n v="0"/>
    <n v="75000"/>
  </r>
  <r>
    <x v="41"/>
    <n v="1"/>
    <n v="2500000"/>
    <x v="6"/>
    <n v="0"/>
    <n v="2500000"/>
    <n v="2575000"/>
    <n v="1"/>
    <n v="2500000"/>
    <n v="2500000"/>
    <n v="0"/>
    <n v="75000"/>
  </r>
  <r>
    <x v="42"/>
    <n v="0"/>
    <n v="2500000"/>
    <x v="0"/>
    <n v="100000"/>
    <n v="2400000"/>
    <n v="2376000"/>
    <n v="0"/>
    <n v="2376000"/>
    <n v="2376000"/>
    <n v="0"/>
    <n v="0"/>
  </r>
  <r>
    <x v="43"/>
    <n v="0"/>
    <n v="2376000"/>
    <x v="1"/>
    <n v="100000"/>
    <n v="2276000"/>
    <n v="2253240"/>
    <n v="0"/>
    <n v="2253240"/>
    <n v="2253240"/>
    <n v="0"/>
    <n v="0"/>
  </r>
  <r>
    <x v="44"/>
    <n v="0"/>
    <n v="2253240"/>
    <x v="2"/>
    <n v="100000"/>
    <n v="2153240"/>
    <n v="2131707.6"/>
    <n v="0"/>
    <n v="2131707.6"/>
    <n v="2500000"/>
    <n v="368292.39999999991"/>
    <n v="0"/>
  </r>
  <r>
    <x v="45"/>
    <n v="0"/>
    <n v="2500000"/>
    <x v="3"/>
    <n v="100000"/>
    <n v="2400000"/>
    <n v="2376000"/>
    <n v="0"/>
    <n v="2376000"/>
    <n v="2376000"/>
    <n v="0"/>
    <n v="0"/>
  </r>
  <r>
    <x v="46"/>
    <n v="1"/>
    <n v="2376000"/>
    <x v="4"/>
    <n v="0"/>
    <n v="2376000"/>
    <n v="2447280"/>
    <n v="0"/>
    <n v="2447280"/>
    <n v="2447280"/>
    <n v="0"/>
    <n v="0"/>
  </r>
  <r>
    <x v="47"/>
    <n v="0"/>
    <n v="2447280"/>
    <x v="5"/>
    <n v="100000"/>
    <n v="2347280"/>
    <n v="2323807.2000000002"/>
    <n v="0"/>
    <n v="2323807.2000000002"/>
    <n v="2323807.2000000002"/>
    <n v="0"/>
    <n v="0"/>
  </r>
  <r>
    <x v="48"/>
    <n v="0"/>
    <n v="2323807.2000000002"/>
    <x v="6"/>
    <n v="100000"/>
    <n v="2223807.2000000002"/>
    <n v="2201569.128"/>
    <n v="0"/>
    <n v="2201569.128"/>
    <n v="2201569.128"/>
    <n v="0"/>
    <n v="0"/>
  </r>
  <r>
    <x v="49"/>
    <n v="0"/>
    <n v="2201569.128"/>
    <x v="0"/>
    <n v="100000"/>
    <n v="2101569.128"/>
    <n v="2080553.4367200001"/>
    <n v="0"/>
    <n v="2080553.4367200001"/>
    <n v="2080553.4367200001"/>
    <n v="0"/>
    <n v="0"/>
  </r>
  <r>
    <x v="50"/>
    <n v="0"/>
    <n v="2080553.4367200001"/>
    <x v="1"/>
    <n v="100000"/>
    <n v="1980553.4367200001"/>
    <n v="1960747.9023528001"/>
    <n v="0"/>
    <n v="1960747.9023528001"/>
    <n v="1960747.9023528001"/>
    <n v="0"/>
    <n v="0"/>
  </r>
  <r>
    <x v="51"/>
    <n v="0"/>
    <n v="1960747.9023528001"/>
    <x v="2"/>
    <n v="100000"/>
    <n v="1860747.9023528001"/>
    <n v="1842140.4233292721"/>
    <n v="0"/>
    <n v="1842140.4233292721"/>
    <n v="2342140.4233292723"/>
    <n v="500000.00000000023"/>
    <n v="0"/>
  </r>
  <r>
    <x v="52"/>
    <n v="0"/>
    <n v="2342140.4233292723"/>
    <x v="3"/>
    <n v="100000"/>
    <n v="2242140.4233292723"/>
    <n v="2219719.0190959796"/>
    <n v="0"/>
    <n v="2219719.0190959796"/>
    <n v="2219719.0190959796"/>
    <n v="0"/>
    <n v="0"/>
  </r>
  <r>
    <x v="53"/>
    <n v="0"/>
    <n v="2219719.0190959796"/>
    <x v="4"/>
    <n v="100000"/>
    <n v="2119719.0190959796"/>
    <n v="2098521.8289050199"/>
    <n v="0"/>
    <n v="2098521.8289050199"/>
    <n v="2098521.8289050199"/>
    <n v="0"/>
    <n v="0"/>
  </r>
  <r>
    <x v="54"/>
    <n v="0"/>
    <n v="2098521.8289050199"/>
    <x v="5"/>
    <n v="100000"/>
    <n v="1998521.8289050199"/>
    <n v="1978536.6106159696"/>
    <n v="0"/>
    <n v="1978536.6106159696"/>
    <n v="1978536.6106159696"/>
    <n v="0"/>
    <n v="0"/>
  </r>
  <r>
    <x v="55"/>
    <n v="0"/>
    <n v="1978536.6106159696"/>
    <x v="6"/>
    <n v="100000"/>
    <n v="1878536.6106159696"/>
    <n v="1859751.2445098099"/>
    <n v="0"/>
    <n v="1859751.2445098099"/>
    <n v="1859751.2445098099"/>
    <n v="0"/>
    <n v="0"/>
  </r>
  <r>
    <x v="56"/>
    <n v="1"/>
    <n v="1859751.2445098099"/>
    <x v="0"/>
    <n v="0"/>
    <n v="1859751.2445098099"/>
    <n v="1915543.7818451042"/>
    <n v="0"/>
    <n v="1915543.7818451042"/>
    <n v="1915543.7818451042"/>
    <n v="0"/>
    <n v="0"/>
  </r>
  <r>
    <x v="57"/>
    <n v="0"/>
    <n v="1915543.7818451042"/>
    <x v="1"/>
    <n v="100000"/>
    <n v="1815543.7818451042"/>
    <n v="1797388.3440266531"/>
    <n v="0"/>
    <n v="1797388.3440266531"/>
    <n v="1797388.3440266531"/>
    <n v="0"/>
    <n v="0"/>
  </r>
  <r>
    <x v="58"/>
    <n v="1"/>
    <n v="1797388.3440266531"/>
    <x v="2"/>
    <n v="0"/>
    <n v="1797388.3440266531"/>
    <n v="1851309.9943474527"/>
    <n v="0"/>
    <n v="1851309.9943474527"/>
    <n v="2351309.9943474527"/>
    <n v="500000"/>
    <n v="0"/>
  </r>
  <r>
    <x v="59"/>
    <n v="0"/>
    <n v="2351309.9943474527"/>
    <x v="3"/>
    <n v="100000"/>
    <n v="2251309.9943474527"/>
    <n v="2228796.8944039783"/>
    <n v="0"/>
    <n v="2228796.8944039783"/>
    <n v="2228796.8944039783"/>
    <n v="0"/>
    <n v="0"/>
  </r>
  <r>
    <x v="60"/>
    <n v="1"/>
    <n v="2228796.8944039783"/>
    <x v="4"/>
    <n v="0"/>
    <n v="2228796.8944039783"/>
    <n v="2295660.8012360977"/>
    <n v="0"/>
    <n v="2295660.8012360977"/>
    <n v="2295660.8012360977"/>
    <n v="0"/>
    <n v="0"/>
  </r>
  <r>
    <x v="61"/>
    <n v="0"/>
    <n v="2295660.8012360977"/>
    <x v="5"/>
    <n v="100000"/>
    <n v="2195660.8012360977"/>
    <n v="2173704.1932237367"/>
    <n v="0"/>
    <n v="2173704.1932237367"/>
    <n v="2173704.1932237367"/>
    <n v="0"/>
    <n v="0"/>
  </r>
  <r>
    <x v="62"/>
    <n v="0"/>
    <n v="2173704.1932237367"/>
    <x v="6"/>
    <n v="100000"/>
    <n v="2073704.1932237367"/>
    <n v="2052967.1512914994"/>
    <n v="0"/>
    <n v="2052967.1512914994"/>
    <n v="2052967.1512914994"/>
    <n v="0"/>
    <n v="0"/>
  </r>
  <r>
    <x v="63"/>
    <n v="0"/>
    <n v="2052967.1512914994"/>
    <x v="0"/>
    <n v="100000"/>
    <n v="1952967.1512914994"/>
    <n v="1933437.4797785843"/>
    <n v="0"/>
    <n v="1933437.4797785843"/>
    <n v="1933437.4797785843"/>
    <n v="0"/>
    <n v="0"/>
  </r>
  <r>
    <x v="64"/>
    <n v="0"/>
    <n v="1933437.4797785843"/>
    <x v="1"/>
    <n v="100000"/>
    <n v="1833437.4797785843"/>
    <n v="1815103.1049807984"/>
    <n v="0"/>
    <n v="1815103.1049807984"/>
    <n v="1815103.1049807984"/>
    <n v="0"/>
    <n v="0"/>
  </r>
  <r>
    <x v="65"/>
    <n v="0"/>
    <n v="1815103.1049807984"/>
    <x v="2"/>
    <n v="100000"/>
    <n v="1715103.1049807984"/>
    <n v="1697952.0739309904"/>
    <n v="0"/>
    <n v="1697952.0739309904"/>
    <n v="2197952.0739309904"/>
    <n v="500000"/>
    <n v="0"/>
  </r>
  <r>
    <x v="66"/>
    <n v="0"/>
    <n v="2197952.0739309904"/>
    <x v="3"/>
    <n v="100000"/>
    <n v="2097952.0739309904"/>
    <n v="2076972.5531916805"/>
    <n v="0"/>
    <n v="2076972.5531916805"/>
    <n v="2076972.5531916805"/>
    <n v="0"/>
    <n v="0"/>
  </r>
  <r>
    <x v="67"/>
    <n v="0"/>
    <n v="2076972.5531916805"/>
    <x v="4"/>
    <n v="100000"/>
    <n v="1976972.5531916805"/>
    <n v="1957202.8276597636"/>
    <n v="0"/>
    <n v="1957202.8276597636"/>
    <n v="1957202.8276597636"/>
    <n v="0"/>
    <n v="0"/>
  </r>
  <r>
    <x v="68"/>
    <n v="1"/>
    <n v="1957202.8276597636"/>
    <x v="5"/>
    <n v="0"/>
    <n v="1957202.8276597636"/>
    <n v="2015918.9124895565"/>
    <n v="0"/>
    <n v="2015918.9124895565"/>
    <n v="2015918.9124895565"/>
    <n v="0"/>
    <n v="0"/>
  </r>
  <r>
    <x v="69"/>
    <n v="1"/>
    <n v="2015918.9124895565"/>
    <x v="6"/>
    <n v="0"/>
    <n v="2015918.9124895565"/>
    <n v="2076396.4798642432"/>
    <n v="0"/>
    <n v="2076396.4798642432"/>
    <n v="2076396.4798642432"/>
    <n v="0"/>
    <n v="0"/>
  </r>
  <r>
    <x v="70"/>
    <n v="1"/>
    <n v="2076396.4798642432"/>
    <x v="0"/>
    <n v="0"/>
    <n v="2076396.4798642432"/>
    <n v="2138688.3742601704"/>
    <n v="0"/>
    <n v="2138688.3742601704"/>
    <n v="2138688.3742601704"/>
    <n v="0"/>
    <n v="0"/>
  </r>
  <r>
    <x v="71"/>
    <n v="1"/>
    <n v="2138688.3742601704"/>
    <x v="1"/>
    <n v="0"/>
    <n v="2138688.3742601704"/>
    <n v="2202849.0254879757"/>
    <n v="0"/>
    <n v="2202849.0254879757"/>
    <n v="2202849.0254879757"/>
    <n v="0"/>
    <n v="0"/>
  </r>
  <r>
    <x v="72"/>
    <n v="1"/>
    <n v="2202849.0254879757"/>
    <x v="2"/>
    <n v="0"/>
    <n v="2202849.0254879757"/>
    <n v="2268934.496252615"/>
    <n v="0"/>
    <n v="2268934.496252615"/>
    <n v="2500000"/>
    <n v="231065.503747385"/>
    <n v="0"/>
  </r>
  <r>
    <x v="73"/>
    <n v="0"/>
    <n v="2500000"/>
    <x v="3"/>
    <n v="100000"/>
    <n v="2400000"/>
    <n v="2376000"/>
    <n v="0"/>
    <n v="2376000"/>
    <n v="2376000"/>
    <n v="0"/>
    <n v="0"/>
  </r>
  <r>
    <x v="74"/>
    <n v="0"/>
    <n v="2376000"/>
    <x v="4"/>
    <n v="100000"/>
    <n v="2276000"/>
    <n v="2253240"/>
    <n v="0"/>
    <n v="2253240"/>
    <n v="2253240"/>
    <n v="0"/>
    <n v="0"/>
  </r>
  <r>
    <x v="75"/>
    <n v="0"/>
    <n v="2253240"/>
    <x v="5"/>
    <n v="100000"/>
    <n v="2153240"/>
    <n v="2131707.6"/>
    <n v="0"/>
    <n v="2131707.6"/>
    <n v="2131707.6"/>
    <n v="0"/>
    <n v="0"/>
  </r>
  <r>
    <x v="76"/>
    <n v="1"/>
    <n v="2131707.6"/>
    <x v="6"/>
    <n v="0"/>
    <n v="2131707.6"/>
    <n v="2195658.8280000002"/>
    <n v="0"/>
    <n v="2195658.8280000002"/>
    <n v="2195658.8280000002"/>
    <n v="0"/>
    <n v="0"/>
  </r>
  <r>
    <x v="77"/>
    <n v="1"/>
    <n v="2195658.8280000002"/>
    <x v="0"/>
    <n v="0"/>
    <n v="2195658.8280000002"/>
    <n v="2261528.5928400001"/>
    <n v="0"/>
    <n v="2261528.5928400001"/>
    <n v="2261528.5928400001"/>
    <n v="0"/>
    <n v="0"/>
  </r>
  <r>
    <x v="78"/>
    <n v="1"/>
    <n v="2261528.5928400001"/>
    <x v="1"/>
    <n v="0"/>
    <n v="2261528.5928400001"/>
    <n v="2329374.4506252003"/>
    <n v="0"/>
    <n v="2329374.4506252003"/>
    <n v="2329374.4506252003"/>
    <n v="0"/>
    <n v="0"/>
  </r>
  <r>
    <x v="79"/>
    <n v="1"/>
    <n v="2329374.4506252003"/>
    <x v="2"/>
    <n v="0"/>
    <n v="2329374.4506252003"/>
    <n v="2399255.6841439563"/>
    <n v="0"/>
    <n v="2399255.6841439563"/>
    <n v="2500000"/>
    <n v="100744.31585604372"/>
    <n v="0"/>
  </r>
  <r>
    <x v="80"/>
    <n v="1"/>
    <n v="2500000"/>
    <x v="3"/>
    <n v="0"/>
    <n v="2500000"/>
    <n v="2575000"/>
    <n v="1"/>
    <n v="2500000"/>
    <n v="2500000"/>
    <n v="0"/>
    <n v="75000"/>
  </r>
  <r>
    <x v="81"/>
    <n v="1"/>
    <n v="2500000"/>
    <x v="4"/>
    <n v="0"/>
    <n v="2500000"/>
    <n v="2575000"/>
    <n v="1"/>
    <n v="2500000"/>
    <n v="2500000"/>
    <n v="0"/>
    <n v="75000"/>
  </r>
  <r>
    <x v="82"/>
    <n v="0"/>
    <n v="2500000"/>
    <x v="5"/>
    <n v="100000"/>
    <n v="2400000"/>
    <n v="2376000"/>
    <n v="0"/>
    <n v="2376000"/>
    <n v="2376000"/>
    <n v="0"/>
    <n v="0"/>
  </r>
  <r>
    <x v="83"/>
    <n v="0"/>
    <n v="2376000"/>
    <x v="6"/>
    <n v="100000"/>
    <n v="2276000"/>
    <n v="2253240"/>
    <n v="0"/>
    <n v="2253240"/>
    <n v="2253240"/>
    <n v="0"/>
    <n v="0"/>
  </r>
  <r>
    <x v="84"/>
    <n v="0"/>
    <n v="2253240"/>
    <x v="0"/>
    <n v="100000"/>
    <n v="2153240"/>
    <n v="2131707.6"/>
    <n v="0"/>
    <n v="2131707.6"/>
    <n v="2131707.6"/>
    <n v="0"/>
    <n v="0"/>
  </r>
  <r>
    <x v="85"/>
    <n v="0"/>
    <n v="2131707.6"/>
    <x v="1"/>
    <n v="100000"/>
    <n v="2031707.6"/>
    <n v="2011390.524"/>
    <n v="0"/>
    <n v="2011390.524"/>
    <n v="2011390.524"/>
    <n v="0"/>
    <n v="0"/>
  </r>
  <r>
    <x v="86"/>
    <n v="0"/>
    <n v="2011390.524"/>
    <x v="2"/>
    <n v="100000"/>
    <n v="1911390.524"/>
    <n v="1892276.61876"/>
    <n v="0"/>
    <n v="1892276.61876"/>
    <n v="2392276.61876"/>
    <n v="500000"/>
    <n v="0"/>
  </r>
  <r>
    <x v="87"/>
    <n v="0"/>
    <n v="2392276.61876"/>
    <x v="3"/>
    <n v="100000"/>
    <n v="2292276.61876"/>
    <n v="2269353.8525724001"/>
    <n v="0"/>
    <n v="2269353.8525724001"/>
    <n v="2269353.8525724001"/>
    <n v="0"/>
    <n v="0"/>
  </r>
  <r>
    <x v="88"/>
    <n v="1"/>
    <n v="2269353.8525724001"/>
    <x v="4"/>
    <n v="0"/>
    <n v="2269353.8525724001"/>
    <n v="2337434.4681495721"/>
    <n v="0"/>
    <n v="2337434.4681495721"/>
    <n v="2337434.4681495721"/>
    <n v="0"/>
    <n v="0"/>
  </r>
  <r>
    <x v="89"/>
    <n v="1"/>
    <n v="2337434.4681495721"/>
    <x v="5"/>
    <n v="0"/>
    <n v="2337434.4681495721"/>
    <n v="2407557.5021940595"/>
    <n v="0"/>
    <n v="2407557.5021940595"/>
    <n v="2407557.5021940595"/>
    <n v="0"/>
    <n v="0"/>
  </r>
  <r>
    <x v="90"/>
    <n v="0"/>
    <n v="2407557.5021940595"/>
    <x v="6"/>
    <n v="100000"/>
    <n v="2307557.5021940595"/>
    <n v="2284481.9271721188"/>
    <n v="0"/>
    <n v="2284481.9271721188"/>
    <n v="2284481.9271721188"/>
    <n v="0"/>
    <n v="0"/>
  </r>
  <r>
    <x v="91"/>
    <n v="0"/>
    <n v="2284481.9271721188"/>
    <x v="0"/>
    <n v="100000"/>
    <n v="2184481.9271721188"/>
    <n v="2162637.1079003974"/>
    <n v="0"/>
    <n v="2162637.1079003974"/>
    <n v="2162637.1079003974"/>
    <n v="0"/>
    <n v="0"/>
  </r>
  <r>
    <x v="92"/>
    <n v="0"/>
    <n v="2162637.1079003974"/>
    <x v="1"/>
    <n v="100000"/>
    <n v="2062637.1079003974"/>
    <n v="2042010.7368213935"/>
    <n v="0"/>
    <n v="2042010.7368213935"/>
    <n v="2042010.7368213935"/>
    <n v="0"/>
    <n v="0"/>
  </r>
  <r>
    <x v="93"/>
    <n v="0"/>
    <n v="2042010.7368213935"/>
    <x v="2"/>
    <n v="100000"/>
    <n v="1942010.7368213935"/>
    <n v="1922590.6294531794"/>
    <n v="0"/>
    <n v="1922590.6294531794"/>
    <n v="2422590.6294531794"/>
    <n v="500000"/>
    <n v="0"/>
  </r>
  <r>
    <x v="94"/>
    <n v="0"/>
    <n v="2422590.6294531794"/>
    <x v="3"/>
    <n v="100000"/>
    <n v="2322590.6294531794"/>
    <n v="2299364.7231586478"/>
    <n v="0"/>
    <n v="2299364.7231586478"/>
    <n v="2299364.7231586478"/>
    <n v="0"/>
    <n v="0"/>
  </r>
  <r>
    <x v="95"/>
    <n v="0"/>
    <n v="2299364.7231586478"/>
    <x v="4"/>
    <n v="100000"/>
    <n v="2199364.7231586478"/>
    <n v="2177371.0759270615"/>
    <n v="0"/>
    <n v="2177371.0759270615"/>
    <n v="2177371.0759270615"/>
    <n v="0"/>
    <n v="0"/>
  </r>
  <r>
    <x v="96"/>
    <n v="1"/>
    <n v="2177371.0759270615"/>
    <x v="5"/>
    <n v="0"/>
    <n v="2177371.0759270615"/>
    <n v="2242692.2082048734"/>
    <n v="0"/>
    <n v="2242692.2082048734"/>
    <n v="2242692.2082048734"/>
    <n v="0"/>
    <n v="0"/>
  </r>
  <r>
    <x v="97"/>
    <n v="0"/>
    <n v="2242692.2082048734"/>
    <x v="6"/>
    <n v="100000"/>
    <n v="2142692.2082048734"/>
    <n v="2121265.2861228245"/>
    <n v="0"/>
    <n v="2121265.2861228245"/>
    <n v="2121265.2861228245"/>
    <n v="0"/>
    <n v="0"/>
  </r>
  <r>
    <x v="98"/>
    <n v="1"/>
    <n v="2121265.2861228245"/>
    <x v="0"/>
    <n v="0"/>
    <n v="2121265.2861228245"/>
    <n v="2184903.2447065092"/>
    <n v="0"/>
    <n v="2184903.2447065092"/>
    <n v="2184903.2447065092"/>
    <n v="0"/>
    <n v="0"/>
  </r>
  <r>
    <x v="99"/>
    <n v="1"/>
    <n v="2184903.2447065092"/>
    <x v="1"/>
    <n v="0"/>
    <n v="2184903.2447065092"/>
    <n v="2250450.3420477044"/>
    <n v="0"/>
    <n v="2250450.3420477044"/>
    <n v="2250450.3420477044"/>
    <n v="0"/>
    <n v="0"/>
  </r>
  <r>
    <x v="100"/>
    <n v="0"/>
    <n v="2250450.3420477044"/>
    <x v="2"/>
    <n v="100000"/>
    <n v="2150450.3420477044"/>
    <n v="2128945.8386272271"/>
    <n v="0"/>
    <n v="2128945.8386272271"/>
    <n v="2500000"/>
    <n v="371054.16137277288"/>
    <n v="0"/>
  </r>
  <r>
    <x v="101"/>
    <n v="0"/>
    <n v="2500000"/>
    <x v="3"/>
    <n v="100000"/>
    <n v="2400000"/>
    <n v="2376000"/>
    <n v="0"/>
    <n v="2376000"/>
    <n v="2376000"/>
    <n v="0"/>
    <n v="0"/>
  </r>
  <r>
    <x v="102"/>
    <n v="0"/>
    <n v="2376000"/>
    <x v="4"/>
    <n v="100000"/>
    <n v="2276000"/>
    <n v="2253240"/>
    <n v="0"/>
    <n v="2253240"/>
    <n v="2253240"/>
    <n v="0"/>
    <n v="0"/>
  </r>
  <r>
    <x v="103"/>
    <n v="0"/>
    <n v="2253240"/>
    <x v="5"/>
    <n v="100000"/>
    <n v="2153240"/>
    <n v="2131707.6"/>
    <n v="0"/>
    <n v="2131707.6"/>
    <n v="2131707.6"/>
    <n v="0"/>
    <n v="0"/>
  </r>
  <r>
    <x v="104"/>
    <n v="1"/>
    <n v="2131707.6"/>
    <x v="6"/>
    <n v="0"/>
    <n v="2131707.6"/>
    <n v="2195658.8280000002"/>
    <n v="0"/>
    <n v="2195658.8280000002"/>
    <n v="2195658.8280000002"/>
    <n v="0"/>
    <n v="0"/>
  </r>
  <r>
    <x v="105"/>
    <n v="0"/>
    <n v="2195658.8280000002"/>
    <x v="0"/>
    <n v="100000"/>
    <n v="2095658.8280000002"/>
    <n v="2074702.2397200002"/>
    <n v="0"/>
    <n v="2074702.2397200002"/>
    <n v="2074702.2397200002"/>
    <n v="0"/>
    <n v="0"/>
  </r>
  <r>
    <x v="106"/>
    <n v="1"/>
    <n v="2074702.2397200002"/>
    <x v="1"/>
    <n v="0"/>
    <n v="2074702.2397200002"/>
    <n v="2136943.3069116003"/>
    <n v="0"/>
    <n v="2136943.3069116003"/>
    <n v="2136943.3069116003"/>
    <n v="0"/>
    <n v="0"/>
  </r>
  <r>
    <x v="107"/>
    <n v="1"/>
    <n v="2136943.3069116003"/>
    <x v="2"/>
    <n v="0"/>
    <n v="2136943.3069116003"/>
    <n v="2201051.6061189482"/>
    <n v="0"/>
    <n v="2201051.6061189482"/>
    <n v="2500000"/>
    <n v="298948.3938810518"/>
    <n v="0"/>
  </r>
  <r>
    <x v="108"/>
    <n v="1"/>
    <n v="2500000"/>
    <x v="3"/>
    <n v="0"/>
    <n v="2500000"/>
    <n v="2575000"/>
    <n v="1"/>
    <n v="2500000"/>
    <n v="2500000"/>
    <n v="0"/>
    <n v="75000"/>
  </r>
  <r>
    <x v="109"/>
    <n v="0"/>
    <n v="2500000"/>
    <x v="4"/>
    <n v="100000"/>
    <n v="2400000"/>
    <n v="2376000"/>
    <n v="0"/>
    <n v="2376000"/>
    <n v="2376000"/>
    <n v="0"/>
    <n v="0"/>
  </r>
  <r>
    <x v="110"/>
    <n v="0"/>
    <n v="2376000"/>
    <x v="5"/>
    <n v="100000"/>
    <n v="2276000"/>
    <n v="2253240"/>
    <n v="0"/>
    <n v="2253240"/>
    <n v="2253240"/>
    <n v="0"/>
    <n v="0"/>
  </r>
  <r>
    <x v="111"/>
    <n v="0"/>
    <n v="2253240"/>
    <x v="6"/>
    <n v="100000"/>
    <n v="2153240"/>
    <n v="2131707.6"/>
    <n v="0"/>
    <n v="2131707.6"/>
    <n v="2131707.6"/>
    <n v="0"/>
    <n v="0"/>
  </r>
  <r>
    <x v="112"/>
    <n v="0"/>
    <n v="2131707.6"/>
    <x v="0"/>
    <n v="100000"/>
    <n v="2031707.6"/>
    <n v="2011390.524"/>
    <n v="0"/>
    <n v="2011390.524"/>
    <n v="2011390.524"/>
    <n v="0"/>
    <n v="0"/>
  </r>
  <r>
    <x v="113"/>
    <n v="0"/>
    <n v="2011390.524"/>
    <x v="1"/>
    <n v="100000"/>
    <n v="1911390.524"/>
    <n v="1892276.61876"/>
    <n v="0"/>
    <n v="1892276.61876"/>
    <n v="1892276.61876"/>
    <n v="0"/>
    <n v="0"/>
  </r>
  <r>
    <x v="114"/>
    <n v="0"/>
    <n v="1892276.61876"/>
    <x v="2"/>
    <n v="100000"/>
    <n v="1792276.61876"/>
    <n v="1774353.8525723999"/>
    <n v="0"/>
    <n v="1774353.8525723999"/>
    <n v="2274353.8525724001"/>
    <n v="500000.00000000023"/>
    <n v="0"/>
  </r>
  <r>
    <x v="115"/>
    <n v="0"/>
    <n v="2274353.8525724001"/>
    <x v="3"/>
    <n v="100000"/>
    <n v="2174353.8525724001"/>
    <n v="2152610.3140466763"/>
    <n v="0"/>
    <n v="2152610.3140466763"/>
    <n v="2152610.3140466763"/>
    <n v="0"/>
    <n v="0"/>
  </r>
  <r>
    <x v="116"/>
    <n v="0"/>
    <n v="2152610.3140466763"/>
    <x v="4"/>
    <n v="100000"/>
    <n v="2052610.3140466763"/>
    <n v="2032084.2109062094"/>
    <n v="0"/>
    <n v="2032084.2109062094"/>
    <n v="2032084.2109062094"/>
    <n v="0"/>
    <n v="0"/>
  </r>
  <r>
    <x v="117"/>
    <n v="0"/>
    <n v="2032084.2109062094"/>
    <x v="5"/>
    <n v="100000"/>
    <n v="1932084.2109062094"/>
    <n v="1912763.3687971474"/>
    <n v="0"/>
    <n v="1912763.3687971474"/>
    <n v="1912763.3687971474"/>
    <n v="0"/>
    <n v="0"/>
  </r>
  <r>
    <x v="118"/>
    <n v="0"/>
    <n v="1912763.3687971474"/>
    <x v="6"/>
    <n v="100000"/>
    <n v="1812763.3687971474"/>
    <n v="1794635.735109176"/>
    <n v="0"/>
    <n v="1794635.735109176"/>
    <n v="1794635.735109176"/>
    <n v="0"/>
    <n v="0"/>
  </r>
  <r>
    <x v="119"/>
    <n v="1"/>
    <n v="1794635.735109176"/>
    <x v="0"/>
    <n v="0"/>
    <n v="1794635.735109176"/>
    <n v="1848474.8071624513"/>
    <n v="0"/>
    <n v="1848474.8071624513"/>
    <n v="1848474.8071624513"/>
    <n v="0"/>
    <n v="0"/>
  </r>
  <r>
    <x v="120"/>
    <n v="0"/>
    <n v="1848474.8071624513"/>
    <x v="1"/>
    <n v="100000"/>
    <n v="1748474.8071624513"/>
    <n v="1730990.0590908269"/>
    <n v="0"/>
    <n v="1730990.0590908269"/>
    <n v="1730990.0590908269"/>
    <n v="0"/>
    <n v="0"/>
  </r>
  <r>
    <x v="121"/>
    <n v="0"/>
    <n v="1730990.0590908269"/>
    <x v="2"/>
    <n v="100000"/>
    <n v="1630990.0590908269"/>
    <n v="1614680.1584999186"/>
    <n v="0"/>
    <n v="1614680.1584999186"/>
    <n v="2114680.1584999189"/>
    <n v="500000.00000000023"/>
    <n v="0"/>
  </r>
  <r>
    <x v="122"/>
    <n v="1"/>
    <n v="2114680.1584999189"/>
    <x v="3"/>
    <n v="0"/>
    <n v="2114680.1584999189"/>
    <n v="2178120.5632549166"/>
    <n v="0"/>
    <n v="2178120.5632549166"/>
    <n v="2178120.5632549166"/>
    <n v="0"/>
    <n v="0"/>
  </r>
  <r>
    <x v="123"/>
    <n v="0"/>
    <n v="2178120.5632549166"/>
    <x v="4"/>
    <n v="100000"/>
    <n v="2078120.5632549166"/>
    <n v="2057339.3576223673"/>
    <n v="0"/>
    <n v="2057339.3576223673"/>
    <n v="2057339.3576223673"/>
    <n v="0"/>
    <n v="0"/>
  </r>
  <r>
    <x v="124"/>
    <n v="0"/>
    <n v="2057339.3576223673"/>
    <x v="5"/>
    <n v="100000"/>
    <n v="1957339.3576223673"/>
    <n v="1937765.9640461437"/>
    <n v="0"/>
    <n v="1937765.9640461437"/>
    <n v="1937765.9640461437"/>
    <n v="0"/>
    <n v="0"/>
  </r>
  <r>
    <x v="125"/>
    <n v="0"/>
    <n v="1937765.9640461437"/>
    <x v="6"/>
    <n v="100000"/>
    <n v="1837765.9640461437"/>
    <n v="1819388.3044056823"/>
    <n v="0"/>
    <n v="1819388.3044056823"/>
    <n v="1819388.3044056823"/>
    <n v="0"/>
    <n v="0"/>
  </r>
  <r>
    <x v="126"/>
    <n v="0"/>
    <n v="1819388.3044056823"/>
    <x v="0"/>
    <n v="100000"/>
    <n v="1719388.3044056823"/>
    <n v="1702194.4213616254"/>
    <n v="0"/>
    <n v="1702194.4213616254"/>
    <n v="1702194.4213616254"/>
    <n v="0"/>
    <n v="0"/>
  </r>
  <r>
    <x v="127"/>
    <n v="0"/>
    <n v="1702194.4213616254"/>
    <x v="1"/>
    <n v="100000"/>
    <n v="1602194.4213616254"/>
    <n v="1586172.4771480092"/>
    <n v="0"/>
    <n v="1586172.4771480092"/>
    <n v="1586172.4771480092"/>
    <n v="0"/>
    <n v="0"/>
  </r>
  <r>
    <x v="128"/>
    <n v="0"/>
    <n v="1586172.4771480092"/>
    <x v="2"/>
    <n v="100000"/>
    <n v="1486172.4771480092"/>
    <n v="1471310.7523765292"/>
    <n v="0"/>
    <n v="1471310.7523765292"/>
    <n v="1971310.7523765292"/>
    <n v="500000"/>
    <n v="0"/>
  </r>
  <r>
    <x v="129"/>
    <n v="0"/>
    <n v="1971310.7523765292"/>
    <x v="3"/>
    <n v="100000"/>
    <n v="1871310.7523765292"/>
    <n v="1852597.6448527637"/>
    <n v="0"/>
    <n v="1852597.6448527637"/>
    <n v="1852597.6448527637"/>
    <n v="0"/>
    <n v="0"/>
  </r>
  <r>
    <x v="130"/>
    <n v="1"/>
    <n v="1852597.6448527637"/>
    <x v="4"/>
    <n v="0"/>
    <n v="1852597.6448527637"/>
    <n v="1908175.5741983468"/>
    <n v="0"/>
    <n v="1908175.5741983468"/>
    <n v="1908175.5741983468"/>
    <n v="0"/>
    <n v="0"/>
  </r>
  <r>
    <x v="131"/>
    <n v="0"/>
    <n v="1908175.5741983468"/>
    <x v="5"/>
    <n v="100000"/>
    <n v="1808175.5741983468"/>
    <n v="1790093.8184563634"/>
    <n v="0"/>
    <n v="1790093.8184563634"/>
    <n v="1790093.8184563634"/>
    <n v="0"/>
    <n v="0"/>
  </r>
  <r>
    <x v="132"/>
    <n v="0"/>
    <n v="1790093.8184563634"/>
    <x v="6"/>
    <n v="100000"/>
    <n v="1690093.8184563634"/>
    <n v="1673192.8802717999"/>
    <n v="0"/>
    <n v="1673192.8802717999"/>
    <n v="1673192.8802717999"/>
    <n v="0"/>
    <n v="0"/>
  </r>
  <r>
    <x v="133"/>
    <n v="0"/>
    <n v="1673192.8802717999"/>
    <x v="0"/>
    <n v="100000"/>
    <n v="1573192.8802717999"/>
    <n v="1557460.9514690819"/>
    <n v="0"/>
    <n v="1557460.9514690819"/>
    <n v="1557460.9514690819"/>
    <n v="0"/>
    <n v="0"/>
  </r>
  <r>
    <x v="134"/>
    <n v="0"/>
    <n v="1557460.9514690819"/>
    <x v="1"/>
    <n v="100000"/>
    <n v="1457460.9514690819"/>
    <n v="1442886.341954391"/>
    <n v="0"/>
    <n v="1442886.341954391"/>
    <n v="1442886.341954391"/>
    <n v="0"/>
    <n v="0"/>
  </r>
  <r>
    <x v="135"/>
    <n v="0"/>
    <n v="1442886.341954391"/>
    <x v="2"/>
    <n v="100000"/>
    <n v="1342886.341954391"/>
    <n v="1329457.478534847"/>
    <n v="0"/>
    <n v="1329457.478534847"/>
    <n v="1829457.478534847"/>
    <n v="500000"/>
    <n v="0"/>
  </r>
  <r>
    <x v="136"/>
    <n v="0"/>
    <n v="1829457.478534847"/>
    <x v="3"/>
    <n v="100000"/>
    <n v="1729457.478534847"/>
    <n v="1712162.9037494985"/>
    <n v="0"/>
    <n v="1712162.9037494985"/>
    <n v="1712162.9037494985"/>
    <n v="0"/>
    <n v="0"/>
  </r>
  <r>
    <x v="137"/>
    <n v="1"/>
    <n v="1712162.9037494985"/>
    <x v="4"/>
    <n v="0"/>
    <n v="1712162.9037494985"/>
    <n v="1763527.7908619836"/>
    <n v="0"/>
    <n v="1763527.7908619836"/>
    <n v="1763527.7908619836"/>
    <n v="0"/>
    <n v="0"/>
  </r>
  <r>
    <x v="138"/>
    <n v="0"/>
    <n v="1763527.7908619836"/>
    <x v="5"/>
    <n v="100000"/>
    <n v="1663527.7908619836"/>
    <n v="1646892.5129533636"/>
    <n v="0"/>
    <n v="1646892.5129533636"/>
    <n v="1646892.5129533636"/>
    <n v="0"/>
    <n v="0"/>
  </r>
  <r>
    <x v="139"/>
    <n v="0"/>
    <n v="1646892.5129533636"/>
    <x v="6"/>
    <n v="100000"/>
    <n v="1546892.5129533636"/>
    <n v="1531423.5878238298"/>
    <n v="0"/>
    <n v="1531423.5878238298"/>
    <n v="1531423.5878238298"/>
    <n v="0"/>
    <n v="0"/>
  </r>
  <r>
    <x v="140"/>
    <n v="0"/>
    <n v="1531423.5878238298"/>
    <x v="0"/>
    <n v="100000"/>
    <n v="1431423.5878238298"/>
    <n v="1417109.3519455916"/>
    <n v="0"/>
    <n v="1417109.3519455916"/>
    <n v="1417109.3519455916"/>
    <n v="0"/>
    <n v="0"/>
  </r>
  <r>
    <x v="141"/>
    <n v="0"/>
    <n v="1417109.3519455916"/>
    <x v="1"/>
    <n v="100000"/>
    <n v="1317109.3519455916"/>
    <n v="1303938.2584261356"/>
    <n v="0"/>
    <n v="1303938.2584261356"/>
    <n v="1303938.2584261356"/>
    <n v="0"/>
    <n v="0"/>
  </r>
  <r>
    <x v="142"/>
    <n v="0"/>
    <n v="1303938.2584261356"/>
    <x v="2"/>
    <n v="100000"/>
    <n v="1203938.2584261356"/>
    <n v="1191898.8758418742"/>
    <n v="0"/>
    <n v="1191898.8758418742"/>
    <n v="1691898.8758418742"/>
    <n v="500000"/>
    <n v="0"/>
  </r>
  <r>
    <x v="143"/>
    <n v="0"/>
    <n v="1691898.8758418742"/>
    <x v="3"/>
    <n v="100000"/>
    <n v="1591898.8758418742"/>
    <n v="1575979.8870834555"/>
    <n v="0"/>
    <n v="1575979.8870834555"/>
    <n v="1575979.8870834555"/>
    <n v="0"/>
    <n v="0"/>
  </r>
  <r>
    <x v="144"/>
    <n v="0"/>
    <n v="1575979.8870834555"/>
    <x v="4"/>
    <n v="100000"/>
    <n v="1475979.8870834555"/>
    <n v="1461220.0882126209"/>
    <n v="0"/>
    <n v="1461220.0882126209"/>
    <n v="1461220.0882126209"/>
    <n v="0"/>
    <n v="0"/>
  </r>
  <r>
    <x v="145"/>
    <n v="1"/>
    <n v="1461220.0882126209"/>
    <x v="5"/>
    <n v="0"/>
    <n v="1461220.0882126209"/>
    <n v="1505056.6908589995"/>
    <n v="0"/>
    <n v="1505056.6908589995"/>
    <n v="1505056.6908589995"/>
    <n v="0"/>
    <n v="0"/>
  </r>
  <r>
    <x v="146"/>
    <n v="0"/>
    <n v="1505056.6908589995"/>
    <x v="6"/>
    <n v="100000"/>
    <n v="1405056.6908589995"/>
    <n v="1391006.1239504095"/>
    <n v="0"/>
    <n v="1391006.1239504095"/>
    <n v="1391006.1239504095"/>
    <n v="0"/>
    <n v="0"/>
  </r>
  <r>
    <x v="147"/>
    <n v="1"/>
    <n v="1391006.1239504095"/>
    <x v="0"/>
    <n v="0"/>
    <n v="1391006.1239504095"/>
    <n v="1432736.3076689218"/>
    <n v="0"/>
    <n v="1432736.3076689218"/>
    <n v="1432736.3076689218"/>
    <n v="0"/>
    <n v="0"/>
  </r>
  <r>
    <x v="148"/>
    <n v="0"/>
    <n v="1432736.3076689218"/>
    <x v="1"/>
    <n v="100000"/>
    <n v="1332736.3076689218"/>
    <n v="1319408.9445922326"/>
    <n v="0"/>
    <n v="1319408.9445922326"/>
    <n v="1319408.9445922326"/>
    <n v="0"/>
    <n v="0"/>
  </r>
  <r>
    <x v="149"/>
    <n v="0"/>
    <n v="1319408.9445922326"/>
    <x v="2"/>
    <n v="100000"/>
    <n v="1219408.9445922326"/>
    <n v="1207214.8551463103"/>
    <n v="0"/>
    <n v="1207214.8551463103"/>
    <n v="1707214.8551463103"/>
    <n v="500000"/>
    <n v="0"/>
  </r>
  <r>
    <x v="150"/>
    <n v="0"/>
    <n v="1707214.8551463103"/>
    <x v="3"/>
    <n v="100000"/>
    <n v="1607214.8551463103"/>
    <n v="1591142.7065948471"/>
    <n v="0"/>
    <n v="1591142.7065948471"/>
    <n v="1591142.7065948471"/>
    <n v="0"/>
    <n v="0"/>
  </r>
  <r>
    <x v="151"/>
    <n v="1"/>
    <n v="1591142.7065948471"/>
    <x v="4"/>
    <n v="0"/>
    <n v="1591142.7065948471"/>
    <n v="1638876.9877926926"/>
    <n v="0"/>
    <n v="1638876.9877926926"/>
    <n v="1638876.9877926926"/>
    <n v="0"/>
    <n v="0"/>
  </r>
  <r>
    <x v="152"/>
    <n v="1"/>
    <n v="1638876.9877926926"/>
    <x v="5"/>
    <n v="0"/>
    <n v="1638876.9877926926"/>
    <n v="1688043.2974264733"/>
    <n v="0"/>
    <n v="1688043.2974264733"/>
    <n v="1688043.297426473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09E1D-AD55-4266-B90E-B0C6503130E6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N17:P41" firstHeaderRow="0" firstDataRow="1" firstDataCol="1"/>
  <pivotFields count="14">
    <pivotField axis="axisRow"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showAll="0"/>
    <pivotField showAll="0"/>
    <pivotField axis="axisRow" showAll="0">
      <items count="8">
        <item h="1" x="4"/>
        <item h="1" x="5"/>
        <item h="1" x="6"/>
        <item h="1" x="0"/>
        <item h="1"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0"/>
  </rowFields>
  <rowItems count="24">
    <i>
      <x v="5"/>
    </i>
    <i r="1">
      <x v="2"/>
    </i>
    <i r="1">
      <x v="9"/>
    </i>
    <i r="1">
      <x v="16"/>
    </i>
    <i r="1">
      <x v="23"/>
    </i>
    <i r="1">
      <x v="30"/>
    </i>
    <i r="1">
      <x v="37"/>
    </i>
    <i r="1">
      <x v="44"/>
    </i>
    <i r="1">
      <x v="51"/>
    </i>
    <i r="1">
      <x v="58"/>
    </i>
    <i r="1">
      <x v="65"/>
    </i>
    <i r="1">
      <x v="72"/>
    </i>
    <i r="1">
      <x v="79"/>
    </i>
    <i r="1">
      <x v="86"/>
    </i>
    <i r="1">
      <x v="93"/>
    </i>
    <i r="1">
      <x v="100"/>
    </i>
    <i r="1">
      <x v="107"/>
    </i>
    <i r="1">
      <x v="114"/>
    </i>
    <i r="1">
      <x v="121"/>
    </i>
    <i r="1">
      <x v="128"/>
    </i>
    <i r="1">
      <x v="135"/>
    </i>
    <i r="1">
      <x v="142"/>
    </i>
    <i r="1">
      <x v="1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ile dolano" fld="10" baseField="0" baseItem="0"/>
    <dataField name="Suma z do kanalizacji2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szcz" connectionId="1" xr16:uid="{E19B4C68-5EBA-41E2-846C-40D4314EAC7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138E-61EF-47AB-B679-2B3B78A1596E}">
  <dimension ref="A1:T154"/>
  <sheetViews>
    <sheetView tabSelected="1" zoomScale="70" zoomScaleNormal="70" workbookViewId="0">
      <selection activeCell="V14" sqref="V14"/>
    </sheetView>
  </sheetViews>
  <sheetFormatPr defaultRowHeight="15" x14ac:dyDescent="0.25"/>
  <cols>
    <col min="1" max="1" width="10.85546875" bestFit="1" customWidth="1"/>
    <col min="2" max="2" width="6.85546875" bestFit="1" customWidth="1"/>
    <col min="3" max="3" width="13.7109375" customWidth="1"/>
    <col min="4" max="4" width="14.140625" bestFit="1" customWidth="1"/>
    <col min="6" max="6" width="10.7109375" bestFit="1" customWidth="1"/>
    <col min="7" max="7" width="22.140625" bestFit="1" customWidth="1"/>
    <col min="8" max="8" width="12.85546875" bestFit="1" customWidth="1"/>
    <col min="9" max="9" width="11.28515625" customWidth="1"/>
    <col min="10" max="10" width="17" bestFit="1" customWidth="1"/>
    <col min="11" max="11" width="13.140625" bestFit="1" customWidth="1"/>
    <col min="12" max="12" width="14.42578125" bestFit="1" customWidth="1"/>
    <col min="14" max="14" width="17.7109375" bestFit="1" customWidth="1"/>
    <col min="15" max="15" width="16.5703125" bestFit="1" customWidth="1"/>
    <col min="16" max="16" width="20.7109375" bestFit="1" customWidth="1"/>
    <col min="17" max="17" width="7.28515625" bestFit="1" customWidth="1"/>
    <col min="18" max="18" width="12.28515625" bestFit="1" customWidth="1"/>
    <col min="19" max="19" width="13.42578125" bestFit="1" customWidth="1"/>
    <col min="20" max="20" width="14.42578125" bestFit="1" customWidth="1"/>
    <col min="21" max="23" width="6.85546875" bestFit="1" customWidth="1"/>
    <col min="24" max="27" width="6.140625" bestFit="1" customWidth="1"/>
    <col min="28" max="32" width="6.42578125" bestFit="1" customWidth="1"/>
    <col min="33" max="36" width="7.28515625" bestFit="1" customWidth="1"/>
    <col min="37" max="37" width="14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13</v>
      </c>
      <c r="L1" t="s">
        <v>23</v>
      </c>
      <c r="P1" t="s">
        <v>5</v>
      </c>
      <c r="Q1">
        <v>500</v>
      </c>
    </row>
    <row r="2" spans="1:20" x14ac:dyDescent="0.25">
      <c r="A2" s="1">
        <v>41760</v>
      </c>
      <c r="B2">
        <v>0</v>
      </c>
      <c r="C2">
        <v>2500000</v>
      </c>
      <c r="D2">
        <f>WEEKDAY(A2,2)</f>
        <v>4</v>
      </c>
      <c r="E2">
        <f>IF(B2=0,2*$Q$1*$Q$2,0)</f>
        <v>100000</v>
      </c>
      <c r="F2">
        <f>C2-E2</f>
        <v>2400000</v>
      </c>
      <c r="G2">
        <f>IF(B2=0,F2*0.99,F2*1.03)</f>
        <v>2376000</v>
      </c>
      <c r="H2">
        <f>IF(G2&gt;2500000,1,0)</f>
        <v>0</v>
      </c>
      <c r="I2">
        <f>IF(H2=0,G2,2500000)</f>
        <v>2376000</v>
      </c>
      <c r="J2">
        <f>IF(D2=6,IF(I2+500000&gt;2500000,2500000,I2+500000),I2)</f>
        <v>2376000</v>
      </c>
      <c r="K2">
        <f>J2-I2</f>
        <v>0</v>
      </c>
      <c r="L2">
        <f>IF(H2=1,G2-I2,0)</f>
        <v>0</v>
      </c>
      <c r="P2" t="s">
        <v>6</v>
      </c>
      <c r="Q2">
        <v>100</v>
      </c>
    </row>
    <row r="3" spans="1:20" x14ac:dyDescent="0.25">
      <c r="A3" s="1">
        <v>41761</v>
      </c>
      <c r="B3">
        <v>1</v>
      </c>
      <c r="C3">
        <f>J2</f>
        <v>2376000</v>
      </c>
      <c r="D3">
        <f t="shared" ref="D3:D66" si="0">WEEKDAY(A3,2)</f>
        <v>5</v>
      </c>
      <c r="E3">
        <f t="shared" ref="E3:E66" si="1">IF(B3=0,2*$Q$1*$Q$2,0)</f>
        <v>0</v>
      </c>
      <c r="F3">
        <f t="shared" ref="F3:F66" si="2">C3-E3</f>
        <v>2376000</v>
      </c>
      <c r="G3">
        <f t="shared" ref="G3:G66" si="3">IF(B3=0,F3*0.99,F3*1.03)</f>
        <v>2447280</v>
      </c>
      <c r="H3">
        <f t="shared" ref="H3:H66" si="4">IF(G3&gt;2500000,1,0)</f>
        <v>0</v>
      </c>
      <c r="I3">
        <f t="shared" ref="I3:I66" si="5">IF(H3=0,G3,2500000)</f>
        <v>2447280</v>
      </c>
      <c r="J3">
        <f t="shared" ref="J3:J66" si="6">IF(D3=6,IF(I3+500000&gt;2500000,2500000,I3+500000),I3)</f>
        <v>2447280</v>
      </c>
      <c r="K3">
        <f t="shared" ref="K3:K66" si="7">J3-I3</f>
        <v>0</v>
      </c>
      <c r="L3">
        <f t="shared" ref="L3:L66" si="8">IF(H3=1,G3-I3,0)</f>
        <v>0</v>
      </c>
    </row>
    <row r="4" spans="1:20" x14ac:dyDescent="0.25">
      <c r="A4" s="1">
        <v>41762</v>
      </c>
      <c r="B4">
        <v>0</v>
      </c>
      <c r="C4">
        <f t="shared" ref="C4:C67" si="9">J3</f>
        <v>2447280</v>
      </c>
      <c r="D4">
        <f t="shared" si="0"/>
        <v>6</v>
      </c>
      <c r="E4">
        <f t="shared" si="1"/>
        <v>100000</v>
      </c>
      <c r="F4">
        <f t="shared" si="2"/>
        <v>2347280</v>
      </c>
      <c r="G4">
        <f t="shared" si="3"/>
        <v>2323807.2000000002</v>
      </c>
      <c r="H4">
        <f t="shared" si="4"/>
        <v>0</v>
      </c>
      <c r="I4">
        <f t="shared" si="5"/>
        <v>2323807.2000000002</v>
      </c>
      <c r="J4">
        <f t="shared" si="6"/>
        <v>2500000</v>
      </c>
      <c r="K4">
        <f t="shared" si="7"/>
        <v>176192.79999999981</v>
      </c>
      <c r="L4">
        <f t="shared" si="8"/>
        <v>0</v>
      </c>
    </row>
    <row r="5" spans="1:20" x14ac:dyDescent="0.25">
      <c r="A5" s="1">
        <v>41763</v>
      </c>
      <c r="B5">
        <v>0</v>
      </c>
      <c r="C5">
        <f t="shared" si="9"/>
        <v>2500000</v>
      </c>
      <c r="D5">
        <f t="shared" si="0"/>
        <v>7</v>
      </c>
      <c r="E5">
        <f t="shared" si="1"/>
        <v>100000</v>
      </c>
      <c r="F5">
        <f t="shared" si="2"/>
        <v>2400000</v>
      </c>
      <c r="G5">
        <f t="shared" si="3"/>
        <v>2376000</v>
      </c>
      <c r="H5">
        <f t="shared" si="4"/>
        <v>0</v>
      </c>
      <c r="I5">
        <f t="shared" si="5"/>
        <v>2376000</v>
      </c>
      <c r="J5">
        <f t="shared" si="6"/>
        <v>2376000</v>
      </c>
      <c r="K5">
        <f t="shared" si="7"/>
        <v>0</v>
      </c>
      <c r="L5">
        <f t="shared" si="8"/>
        <v>0</v>
      </c>
      <c r="N5" s="8" t="s">
        <v>12</v>
      </c>
      <c r="O5" s="8"/>
      <c r="P5" s="8"/>
    </row>
    <row r="6" spans="1:20" x14ac:dyDescent="0.25">
      <c r="A6" s="1">
        <v>41764</v>
      </c>
      <c r="B6">
        <v>0</v>
      </c>
      <c r="C6">
        <f t="shared" si="9"/>
        <v>2376000</v>
      </c>
      <c r="D6">
        <f t="shared" si="0"/>
        <v>1</v>
      </c>
      <c r="E6">
        <f t="shared" si="1"/>
        <v>100000</v>
      </c>
      <c r="F6">
        <f t="shared" si="2"/>
        <v>2276000</v>
      </c>
      <c r="G6">
        <f t="shared" si="3"/>
        <v>2253240</v>
      </c>
      <c r="H6">
        <f t="shared" si="4"/>
        <v>0</v>
      </c>
      <c r="I6">
        <f t="shared" si="5"/>
        <v>2253240</v>
      </c>
      <c r="J6">
        <f t="shared" si="6"/>
        <v>2253240</v>
      </c>
      <c r="K6">
        <f t="shared" si="7"/>
        <v>0</v>
      </c>
      <c r="L6">
        <f t="shared" si="8"/>
        <v>0</v>
      </c>
      <c r="N6" s="8" t="s">
        <v>9</v>
      </c>
      <c r="O6" s="8">
        <f>SUM(H2:H154)</f>
        <v>13</v>
      </c>
      <c r="P6" s="8"/>
    </row>
    <row r="7" spans="1:20" x14ac:dyDescent="0.25">
      <c r="A7" s="1">
        <v>41765</v>
      </c>
      <c r="B7">
        <v>1</v>
      </c>
      <c r="C7">
        <f t="shared" si="9"/>
        <v>2253240</v>
      </c>
      <c r="D7">
        <f t="shared" si="0"/>
        <v>2</v>
      </c>
      <c r="E7">
        <f t="shared" si="1"/>
        <v>0</v>
      </c>
      <c r="F7">
        <f t="shared" si="2"/>
        <v>2253240</v>
      </c>
      <c r="G7">
        <f t="shared" si="3"/>
        <v>2320837.2000000002</v>
      </c>
      <c r="H7">
        <f t="shared" si="4"/>
        <v>0</v>
      </c>
      <c r="I7">
        <f t="shared" si="5"/>
        <v>2320837.2000000002</v>
      </c>
      <c r="J7">
        <f t="shared" si="6"/>
        <v>2320837.2000000002</v>
      </c>
      <c r="K7">
        <f t="shared" si="7"/>
        <v>0</v>
      </c>
      <c r="L7">
        <f t="shared" si="8"/>
        <v>0</v>
      </c>
      <c r="R7" t="s">
        <v>21</v>
      </c>
    </row>
    <row r="8" spans="1:20" x14ac:dyDescent="0.25">
      <c r="A8" s="1">
        <v>41766</v>
      </c>
      <c r="B8">
        <v>1</v>
      </c>
      <c r="C8">
        <f t="shared" si="9"/>
        <v>2320837.2000000002</v>
      </c>
      <c r="D8">
        <f t="shared" si="0"/>
        <v>3</v>
      </c>
      <c r="E8">
        <f t="shared" si="1"/>
        <v>0</v>
      </c>
      <c r="F8">
        <f t="shared" si="2"/>
        <v>2320837.2000000002</v>
      </c>
      <c r="G8">
        <f t="shared" si="3"/>
        <v>2390462.3160000001</v>
      </c>
      <c r="H8">
        <f t="shared" si="4"/>
        <v>0</v>
      </c>
      <c r="I8">
        <f t="shared" si="5"/>
        <v>2390462.3160000001</v>
      </c>
      <c r="J8">
        <f t="shared" si="6"/>
        <v>2390462.3160000001</v>
      </c>
      <c r="K8">
        <f t="shared" si="7"/>
        <v>0</v>
      </c>
      <c r="L8">
        <f t="shared" si="8"/>
        <v>0</v>
      </c>
      <c r="N8" s="8" t="s">
        <v>14</v>
      </c>
      <c r="O8" s="8"/>
      <c r="P8" s="8"/>
      <c r="R8" s="8"/>
      <c r="S8" s="8" t="s">
        <v>22</v>
      </c>
      <c r="T8" s="8" t="s">
        <v>23</v>
      </c>
    </row>
    <row r="9" spans="1:20" x14ac:dyDescent="0.25">
      <c r="A9" s="1">
        <v>41767</v>
      </c>
      <c r="B9">
        <v>1</v>
      </c>
      <c r="C9">
        <f t="shared" si="9"/>
        <v>2390462.3160000001</v>
      </c>
      <c r="D9">
        <f t="shared" si="0"/>
        <v>4</v>
      </c>
      <c r="E9">
        <f t="shared" si="1"/>
        <v>0</v>
      </c>
      <c r="F9">
        <f t="shared" si="2"/>
        <v>2390462.3160000001</v>
      </c>
      <c r="G9">
        <f t="shared" si="3"/>
        <v>2462176.18548</v>
      </c>
      <c r="H9">
        <f t="shared" si="4"/>
        <v>0</v>
      </c>
      <c r="I9">
        <f t="shared" si="5"/>
        <v>2462176.18548</v>
      </c>
      <c r="J9">
        <f t="shared" si="6"/>
        <v>2462176.18548</v>
      </c>
      <c r="K9">
        <f t="shared" si="7"/>
        <v>0</v>
      </c>
      <c r="L9">
        <f t="shared" si="8"/>
        <v>0</v>
      </c>
      <c r="N9" s="8" t="s">
        <v>13</v>
      </c>
      <c r="O9" s="9">
        <f>SUM(K2:K154)</f>
        <v>8289355.5719204126</v>
      </c>
      <c r="P9" s="8"/>
      <c r="R9" s="6">
        <v>41762</v>
      </c>
      <c r="S9" s="9">
        <v>176192.79999999981</v>
      </c>
      <c r="T9" s="7">
        <v>0</v>
      </c>
    </row>
    <row r="10" spans="1:20" x14ac:dyDescent="0.25">
      <c r="A10" s="1">
        <v>41768</v>
      </c>
      <c r="B10">
        <v>1</v>
      </c>
      <c r="C10">
        <f t="shared" si="9"/>
        <v>2462176.18548</v>
      </c>
      <c r="D10">
        <f t="shared" si="0"/>
        <v>5</v>
      </c>
      <c r="E10">
        <f t="shared" si="1"/>
        <v>0</v>
      </c>
      <c r="F10">
        <f t="shared" si="2"/>
        <v>2462176.18548</v>
      </c>
      <c r="G10">
        <f t="shared" si="3"/>
        <v>2536041.4710444002</v>
      </c>
      <c r="H10">
        <f t="shared" si="4"/>
        <v>1</v>
      </c>
      <c r="I10">
        <f t="shared" si="5"/>
        <v>2500000</v>
      </c>
      <c r="J10">
        <f t="shared" si="6"/>
        <v>2500000</v>
      </c>
      <c r="K10">
        <f t="shared" si="7"/>
        <v>0</v>
      </c>
      <c r="L10">
        <f t="shared" si="8"/>
        <v>36041.471044400241</v>
      </c>
      <c r="R10" s="6">
        <v>41769</v>
      </c>
      <c r="S10" s="9">
        <v>0</v>
      </c>
      <c r="T10" s="7">
        <v>75000</v>
      </c>
    </row>
    <row r="11" spans="1:20" x14ac:dyDescent="0.25">
      <c r="A11" s="1">
        <v>41769</v>
      </c>
      <c r="B11">
        <v>1</v>
      </c>
      <c r="C11">
        <f t="shared" si="9"/>
        <v>2500000</v>
      </c>
      <c r="D11">
        <f t="shared" si="0"/>
        <v>6</v>
      </c>
      <c r="E11">
        <f t="shared" si="1"/>
        <v>0</v>
      </c>
      <c r="F11">
        <f t="shared" si="2"/>
        <v>2500000</v>
      </c>
      <c r="G11">
        <f t="shared" si="3"/>
        <v>2575000</v>
      </c>
      <c r="H11">
        <f t="shared" si="4"/>
        <v>1</v>
      </c>
      <c r="I11">
        <f t="shared" si="5"/>
        <v>2500000</v>
      </c>
      <c r="J11">
        <f t="shared" si="6"/>
        <v>2500000</v>
      </c>
      <c r="K11">
        <f t="shared" si="7"/>
        <v>0</v>
      </c>
      <c r="L11">
        <f t="shared" si="8"/>
        <v>75000</v>
      </c>
      <c r="N11" s="8" t="s">
        <v>15</v>
      </c>
      <c r="O11" s="8"/>
      <c r="P11" s="8"/>
      <c r="R11" s="6">
        <v>41776</v>
      </c>
      <c r="S11" s="9">
        <v>109537.68399999989</v>
      </c>
      <c r="T11" s="7">
        <v>0</v>
      </c>
    </row>
    <row r="12" spans="1:20" x14ac:dyDescent="0.25">
      <c r="A12" s="1">
        <v>41770</v>
      </c>
      <c r="B12">
        <v>1</v>
      </c>
      <c r="C12">
        <f t="shared" si="9"/>
        <v>2500000</v>
      </c>
      <c r="D12">
        <f t="shared" si="0"/>
        <v>7</v>
      </c>
      <c r="E12">
        <f t="shared" si="1"/>
        <v>0</v>
      </c>
      <c r="F12">
        <f t="shared" si="2"/>
        <v>2500000</v>
      </c>
      <c r="G12">
        <f t="shared" si="3"/>
        <v>2575000</v>
      </c>
      <c r="H12">
        <f t="shared" si="4"/>
        <v>1</v>
      </c>
      <c r="I12">
        <f t="shared" si="5"/>
        <v>2500000</v>
      </c>
      <c r="J12">
        <f t="shared" si="6"/>
        <v>2500000</v>
      </c>
      <c r="K12">
        <f t="shared" si="7"/>
        <v>0</v>
      </c>
      <c r="L12">
        <f t="shared" si="8"/>
        <v>75000</v>
      </c>
      <c r="N12" s="8" t="s">
        <v>16</v>
      </c>
      <c r="O12" s="9">
        <f>MIN(C2:C154)</f>
        <v>1303938.2584261356</v>
      </c>
      <c r="P12" s="10">
        <v>41902</v>
      </c>
      <c r="R12" s="6">
        <v>41783</v>
      </c>
      <c r="S12" s="9">
        <v>354117.88408839982</v>
      </c>
      <c r="T12" s="7">
        <v>0</v>
      </c>
    </row>
    <row r="13" spans="1:20" x14ac:dyDescent="0.25">
      <c r="A13" s="1">
        <v>41771</v>
      </c>
      <c r="B13">
        <v>1</v>
      </c>
      <c r="C13">
        <f t="shared" si="9"/>
        <v>2500000</v>
      </c>
      <c r="D13">
        <f t="shared" si="0"/>
        <v>1</v>
      </c>
      <c r="E13">
        <f t="shared" si="1"/>
        <v>0</v>
      </c>
      <c r="F13">
        <f t="shared" si="2"/>
        <v>2500000</v>
      </c>
      <c r="G13">
        <f t="shared" si="3"/>
        <v>2575000</v>
      </c>
      <c r="H13">
        <f t="shared" si="4"/>
        <v>1</v>
      </c>
      <c r="I13">
        <f t="shared" si="5"/>
        <v>2500000</v>
      </c>
      <c r="J13">
        <f t="shared" si="6"/>
        <v>2500000</v>
      </c>
      <c r="K13">
        <f t="shared" si="7"/>
        <v>0</v>
      </c>
      <c r="L13">
        <f t="shared" si="8"/>
        <v>75000</v>
      </c>
      <c r="R13" s="6">
        <v>41790</v>
      </c>
      <c r="S13" s="9">
        <v>500000.00000000023</v>
      </c>
      <c r="T13" s="7">
        <v>0</v>
      </c>
    </row>
    <row r="14" spans="1:20" x14ac:dyDescent="0.25">
      <c r="A14" s="1">
        <v>41772</v>
      </c>
      <c r="B14">
        <v>1</v>
      </c>
      <c r="C14">
        <f t="shared" si="9"/>
        <v>2500000</v>
      </c>
      <c r="D14">
        <f t="shared" si="0"/>
        <v>2</v>
      </c>
      <c r="E14">
        <f t="shared" si="1"/>
        <v>0</v>
      </c>
      <c r="F14">
        <f t="shared" si="2"/>
        <v>2500000</v>
      </c>
      <c r="G14">
        <f t="shared" si="3"/>
        <v>2575000</v>
      </c>
      <c r="H14">
        <f t="shared" si="4"/>
        <v>1</v>
      </c>
      <c r="I14">
        <f t="shared" si="5"/>
        <v>2500000</v>
      </c>
      <c r="J14">
        <f t="shared" si="6"/>
        <v>2500000</v>
      </c>
      <c r="K14">
        <f t="shared" si="7"/>
        <v>0</v>
      </c>
      <c r="L14">
        <f t="shared" si="8"/>
        <v>75000</v>
      </c>
    </row>
    <row r="15" spans="1:20" x14ac:dyDescent="0.25">
      <c r="A15" s="1">
        <v>41773</v>
      </c>
      <c r="B15">
        <v>0</v>
      </c>
      <c r="C15">
        <f t="shared" si="9"/>
        <v>2500000</v>
      </c>
      <c r="D15">
        <f t="shared" si="0"/>
        <v>3</v>
      </c>
      <c r="E15">
        <f t="shared" si="1"/>
        <v>100000</v>
      </c>
      <c r="F15">
        <f t="shared" si="2"/>
        <v>2400000</v>
      </c>
      <c r="G15">
        <f t="shared" si="3"/>
        <v>2376000</v>
      </c>
      <c r="H15">
        <f t="shared" si="4"/>
        <v>0</v>
      </c>
      <c r="I15">
        <f t="shared" si="5"/>
        <v>2376000</v>
      </c>
      <c r="J15">
        <f t="shared" si="6"/>
        <v>2376000</v>
      </c>
      <c r="K15">
        <f t="shared" si="7"/>
        <v>0</v>
      </c>
      <c r="L15">
        <f t="shared" si="8"/>
        <v>0</v>
      </c>
    </row>
    <row r="16" spans="1:20" x14ac:dyDescent="0.25">
      <c r="A16" s="1">
        <v>41774</v>
      </c>
      <c r="B16">
        <v>0</v>
      </c>
      <c r="C16">
        <f t="shared" si="9"/>
        <v>2376000</v>
      </c>
      <c r="D16">
        <f t="shared" si="0"/>
        <v>4</v>
      </c>
      <c r="E16">
        <f t="shared" si="1"/>
        <v>100000</v>
      </c>
      <c r="F16">
        <f t="shared" si="2"/>
        <v>2276000</v>
      </c>
      <c r="G16">
        <f t="shared" si="3"/>
        <v>2253240</v>
      </c>
      <c r="H16">
        <f t="shared" si="4"/>
        <v>0</v>
      </c>
      <c r="I16">
        <f t="shared" si="5"/>
        <v>2253240</v>
      </c>
      <c r="J16">
        <f t="shared" si="6"/>
        <v>2253240</v>
      </c>
      <c r="K16">
        <f t="shared" si="7"/>
        <v>0</v>
      </c>
      <c r="L16">
        <f t="shared" si="8"/>
        <v>0</v>
      </c>
    </row>
    <row r="17" spans="1:16" x14ac:dyDescent="0.25">
      <c r="A17" s="1">
        <v>41775</v>
      </c>
      <c r="B17">
        <v>1</v>
      </c>
      <c r="C17">
        <f t="shared" si="9"/>
        <v>2253240</v>
      </c>
      <c r="D17">
        <f t="shared" si="0"/>
        <v>5</v>
      </c>
      <c r="E17">
        <f t="shared" si="1"/>
        <v>0</v>
      </c>
      <c r="F17">
        <f t="shared" si="2"/>
        <v>2253240</v>
      </c>
      <c r="G17">
        <f t="shared" si="3"/>
        <v>2320837.2000000002</v>
      </c>
      <c r="H17">
        <f t="shared" si="4"/>
        <v>0</v>
      </c>
      <c r="I17">
        <f t="shared" si="5"/>
        <v>2320837.2000000002</v>
      </c>
      <c r="J17">
        <f t="shared" si="6"/>
        <v>2320837.2000000002</v>
      </c>
      <c r="K17">
        <f t="shared" si="7"/>
        <v>0</v>
      </c>
      <c r="L17">
        <f t="shared" si="8"/>
        <v>0</v>
      </c>
      <c r="N17" s="2" t="s">
        <v>17</v>
      </c>
      <c r="O17" t="s">
        <v>19</v>
      </c>
      <c r="P17" t="s">
        <v>20</v>
      </c>
    </row>
    <row r="18" spans="1:16" x14ac:dyDescent="0.25">
      <c r="A18" s="1">
        <v>41776</v>
      </c>
      <c r="B18">
        <v>1</v>
      </c>
      <c r="C18">
        <f t="shared" si="9"/>
        <v>2320837.2000000002</v>
      </c>
      <c r="D18">
        <f t="shared" si="0"/>
        <v>6</v>
      </c>
      <c r="E18">
        <f t="shared" si="1"/>
        <v>0</v>
      </c>
      <c r="F18">
        <f t="shared" si="2"/>
        <v>2320837.2000000002</v>
      </c>
      <c r="G18">
        <f t="shared" si="3"/>
        <v>2390462.3160000001</v>
      </c>
      <c r="H18">
        <f t="shared" si="4"/>
        <v>0</v>
      </c>
      <c r="I18">
        <f t="shared" si="5"/>
        <v>2390462.3160000001</v>
      </c>
      <c r="J18">
        <f t="shared" si="6"/>
        <v>2500000</v>
      </c>
      <c r="K18">
        <f t="shared" si="7"/>
        <v>109537.68399999989</v>
      </c>
      <c r="L18">
        <f t="shared" si="8"/>
        <v>0</v>
      </c>
      <c r="N18" s="3">
        <v>6</v>
      </c>
      <c r="O18" s="5">
        <v>8289355.5719204126</v>
      </c>
      <c r="P18" s="5">
        <v>75000</v>
      </c>
    </row>
    <row r="19" spans="1:16" x14ac:dyDescent="0.25">
      <c r="A19" s="1">
        <v>41777</v>
      </c>
      <c r="B19">
        <v>1</v>
      </c>
      <c r="C19">
        <f t="shared" si="9"/>
        <v>2500000</v>
      </c>
      <c r="D19">
        <f t="shared" si="0"/>
        <v>7</v>
      </c>
      <c r="E19">
        <f t="shared" si="1"/>
        <v>0</v>
      </c>
      <c r="F19">
        <f t="shared" si="2"/>
        <v>2500000</v>
      </c>
      <c r="G19">
        <f t="shared" si="3"/>
        <v>2575000</v>
      </c>
      <c r="H19">
        <f t="shared" si="4"/>
        <v>1</v>
      </c>
      <c r="I19">
        <f t="shared" si="5"/>
        <v>2500000</v>
      </c>
      <c r="J19">
        <f t="shared" si="6"/>
        <v>2500000</v>
      </c>
      <c r="K19">
        <f t="shared" si="7"/>
        <v>0</v>
      </c>
      <c r="L19">
        <f t="shared" si="8"/>
        <v>75000</v>
      </c>
      <c r="N19" s="4">
        <v>41762</v>
      </c>
      <c r="O19" s="5">
        <v>176192.79999999981</v>
      </c>
      <c r="P19" s="5">
        <v>0</v>
      </c>
    </row>
    <row r="20" spans="1:16" x14ac:dyDescent="0.25">
      <c r="A20" s="1">
        <v>41778</v>
      </c>
      <c r="B20">
        <v>0</v>
      </c>
      <c r="C20">
        <f t="shared" si="9"/>
        <v>2500000</v>
      </c>
      <c r="D20">
        <f t="shared" si="0"/>
        <v>1</v>
      </c>
      <c r="E20">
        <f t="shared" si="1"/>
        <v>100000</v>
      </c>
      <c r="F20">
        <f t="shared" si="2"/>
        <v>2400000</v>
      </c>
      <c r="G20">
        <f t="shared" si="3"/>
        <v>2376000</v>
      </c>
      <c r="H20">
        <f t="shared" si="4"/>
        <v>0</v>
      </c>
      <c r="I20">
        <f t="shared" si="5"/>
        <v>2376000</v>
      </c>
      <c r="J20">
        <f t="shared" si="6"/>
        <v>2376000</v>
      </c>
      <c r="K20">
        <f t="shared" si="7"/>
        <v>0</v>
      </c>
      <c r="L20">
        <f t="shared" si="8"/>
        <v>0</v>
      </c>
      <c r="N20" s="4">
        <v>41769</v>
      </c>
      <c r="O20" s="5">
        <v>0</v>
      </c>
      <c r="P20" s="5">
        <v>75000</v>
      </c>
    </row>
    <row r="21" spans="1:16" x14ac:dyDescent="0.25">
      <c r="A21" s="1">
        <v>41779</v>
      </c>
      <c r="B21">
        <v>0</v>
      </c>
      <c r="C21">
        <f t="shared" si="9"/>
        <v>2376000</v>
      </c>
      <c r="D21">
        <f t="shared" si="0"/>
        <v>2</v>
      </c>
      <c r="E21">
        <f t="shared" si="1"/>
        <v>100000</v>
      </c>
      <c r="F21">
        <f t="shared" si="2"/>
        <v>2276000</v>
      </c>
      <c r="G21">
        <f t="shared" si="3"/>
        <v>2253240</v>
      </c>
      <c r="H21">
        <f t="shared" si="4"/>
        <v>0</v>
      </c>
      <c r="I21">
        <f t="shared" si="5"/>
        <v>2253240</v>
      </c>
      <c r="J21">
        <f t="shared" si="6"/>
        <v>2253240</v>
      </c>
      <c r="K21">
        <f t="shared" si="7"/>
        <v>0</v>
      </c>
      <c r="L21">
        <f t="shared" si="8"/>
        <v>0</v>
      </c>
      <c r="N21" s="4">
        <v>41776</v>
      </c>
      <c r="O21" s="5">
        <v>109537.68399999989</v>
      </c>
      <c r="P21" s="5">
        <v>0</v>
      </c>
    </row>
    <row r="22" spans="1:16" x14ac:dyDescent="0.25">
      <c r="A22" s="1">
        <v>41780</v>
      </c>
      <c r="B22">
        <v>1</v>
      </c>
      <c r="C22">
        <f t="shared" si="9"/>
        <v>2253240</v>
      </c>
      <c r="D22">
        <f t="shared" si="0"/>
        <v>3</v>
      </c>
      <c r="E22">
        <f t="shared" si="1"/>
        <v>0</v>
      </c>
      <c r="F22">
        <f t="shared" si="2"/>
        <v>2253240</v>
      </c>
      <c r="G22">
        <f t="shared" si="3"/>
        <v>2320837.2000000002</v>
      </c>
      <c r="H22">
        <f t="shared" si="4"/>
        <v>0</v>
      </c>
      <c r="I22">
        <f t="shared" si="5"/>
        <v>2320837.2000000002</v>
      </c>
      <c r="J22">
        <f t="shared" si="6"/>
        <v>2320837.2000000002</v>
      </c>
      <c r="K22">
        <f t="shared" si="7"/>
        <v>0</v>
      </c>
      <c r="L22">
        <f t="shared" si="8"/>
        <v>0</v>
      </c>
      <c r="N22" s="4">
        <v>41783</v>
      </c>
      <c r="O22" s="5">
        <v>354117.88408839982</v>
      </c>
      <c r="P22" s="5">
        <v>0</v>
      </c>
    </row>
    <row r="23" spans="1:16" x14ac:dyDescent="0.25">
      <c r="A23" s="1">
        <v>41781</v>
      </c>
      <c r="B23">
        <v>1</v>
      </c>
      <c r="C23">
        <f t="shared" si="9"/>
        <v>2320837.2000000002</v>
      </c>
      <c r="D23">
        <f t="shared" si="0"/>
        <v>4</v>
      </c>
      <c r="E23">
        <f t="shared" si="1"/>
        <v>0</v>
      </c>
      <c r="F23">
        <f t="shared" si="2"/>
        <v>2320837.2000000002</v>
      </c>
      <c r="G23">
        <f t="shared" si="3"/>
        <v>2390462.3160000001</v>
      </c>
      <c r="H23">
        <f t="shared" si="4"/>
        <v>0</v>
      </c>
      <c r="I23">
        <f t="shared" si="5"/>
        <v>2390462.3160000001</v>
      </c>
      <c r="J23">
        <f t="shared" si="6"/>
        <v>2390462.3160000001</v>
      </c>
      <c r="K23">
        <f t="shared" si="7"/>
        <v>0</v>
      </c>
      <c r="L23">
        <f t="shared" si="8"/>
        <v>0</v>
      </c>
      <c r="N23" s="4">
        <v>41790</v>
      </c>
      <c r="O23" s="5">
        <v>500000.00000000023</v>
      </c>
      <c r="P23" s="5">
        <v>0</v>
      </c>
    </row>
    <row r="24" spans="1:16" x14ac:dyDescent="0.25">
      <c r="A24" s="1">
        <v>41782</v>
      </c>
      <c r="B24">
        <v>0</v>
      </c>
      <c r="C24">
        <f t="shared" si="9"/>
        <v>2390462.3160000001</v>
      </c>
      <c r="D24">
        <f t="shared" si="0"/>
        <v>5</v>
      </c>
      <c r="E24">
        <f t="shared" si="1"/>
        <v>100000</v>
      </c>
      <c r="F24">
        <f t="shared" si="2"/>
        <v>2290462.3160000001</v>
      </c>
      <c r="G24">
        <f t="shared" si="3"/>
        <v>2267557.6928400001</v>
      </c>
      <c r="H24">
        <f t="shared" si="4"/>
        <v>0</v>
      </c>
      <c r="I24">
        <f t="shared" si="5"/>
        <v>2267557.6928400001</v>
      </c>
      <c r="J24">
        <f t="shared" si="6"/>
        <v>2267557.6928400001</v>
      </c>
      <c r="K24">
        <f t="shared" si="7"/>
        <v>0</v>
      </c>
      <c r="L24">
        <f t="shared" si="8"/>
        <v>0</v>
      </c>
      <c r="N24" s="4">
        <v>41797</v>
      </c>
      <c r="O24" s="5">
        <v>279402.42897475976</v>
      </c>
      <c r="P24" s="5">
        <v>0</v>
      </c>
    </row>
    <row r="25" spans="1:16" x14ac:dyDescent="0.25">
      <c r="A25" s="1">
        <v>41783</v>
      </c>
      <c r="B25">
        <v>0</v>
      </c>
      <c r="C25">
        <f t="shared" si="9"/>
        <v>2267557.6928400001</v>
      </c>
      <c r="D25">
        <f t="shared" si="0"/>
        <v>6</v>
      </c>
      <c r="E25">
        <f t="shared" si="1"/>
        <v>100000</v>
      </c>
      <c r="F25">
        <f t="shared" si="2"/>
        <v>2167557.6928400001</v>
      </c>
      <c r="G25">
        <f t="shared" si="3"/>
        <v>2145882.1159116002</v>
      </c>
      <c r="H25">
        <f t="shared" si="4"/>
        <v>0</v>
      </c>
      <c r="I25">
        <f t="shared" si="5"/>
        <v>2145882.1159116002</v>
      </c>
      <c r="J25">
        <f t="shared" si="6"/>
        <v>2500000</v>
      </c>
      <c r="K25">
        <f t="shared" si="7"/>
        <v>354117.88408839982</v>
      </c>
      <c r="L25">
        <f t="shared" si="8"/>
        <v>0</v>
      </c>
      <c r="N25" s="4">
        <v>41804</v>
      </c>
      <c r="O25" s="5">
        <v>368292.39999999991</v>
      </c>
      <c r="P25" s="5">
        <v>0</v>
      </c>
    </row>
    <row r="26" spans="1:16" x14ac:dyDescent="0.25">
      <c r="A26" s="1">
        <v>41784</v>
      </c>
      <c r="B26">
        <v>0</v>
      </c>
      <c r="C26">
        <f t="shared" si="9"/>
        <v>2500000</v>
      </c>
      <c r="D26">
        <f t="shared" si="0"/>
        <v>7</v>
      </c>
      <c r="E26">
        <f t="shared" si="1"/>
        <v>100000</v>
      </c>
      <c r="F26">
        <f t="shared" si="2"/>
        <v>2400000</v>
      </c>
      <c r="G26">
        <f t="shared" si="3"/>
        <v>2376000</v>
      </c>
      <c r="H26">
        <f t="shared" si="4"/>
        <v>0</v>
      </c>
      <c r="I26">
        <f t="shared" si="5"/>
        <v>2376000</v>
      </c>
      <c r="J26">
        <f t="shared" si="6"/>
        <v>2376000</v>
      </c>
      <c r="K26">
        <f t="shared" si="7"/>
        <v>0</v>
      </c>
      <c r="L26">
        <f t="shared" si="8"/>
        <v>0</v>
      </c>
      <c r="N26" s="4">
        <v>41811</v>
      </c>
      <c r="O26" s="5">
        <v>500000.00000000023</v>
      </c>
      <c r="P26" s="5">
        <v>0</v>
      </c>
    </row>
    <row r="27" spans="1:16" x14ac:dyDescent="0.25">
      <c r="A27" s="1">
        <v>41785</v>
      </c>
      <c r="B27">
        <v>0</v>
      </c>
      <c r="C27">
        <f t="shared" si="9"/>
        <v>2376000</v>
      </c>
      <c r="D27">
        <f t="shared" si="0"/>
        <v>1</v>
      </c>
      <c r="E27">
        <f t="shared" si="1"/>
        <v>100000</v>
      </c>
      <c r="F27">
        <f t="shared" si="2"/>
        <v>2276000</v>
      </c>
      <c r="G27">
        <f t="shared" si="3"/>
        <v>2253240</v>
      </c>
      <c r="H27">
        <f t="shared" si="4"/>
        <v>0</v>
      </c>
      <c r="I27">
        <f t="shared" si="5"/>
        <v>2253240</v>
      </c>
      <c r="J27">
        <f t="shared" si="6"/>
        <v>2253240</v>
      </c>
      <c r="K27">
        <f t="shared" si="7"/>
        <v>0</v>
      </c>
      <c r="L27">
        <f t="shared" si="8"/>
        <v>0</v>
      </c>
      <c r="N27" s="4">
        <v>41818</v>
      </c>
      <c r="O27" s="5">
        <v>500000</v>
      </c>
      <c r="P27" s="5">
        <v>0</v>
      </c>
    </row>
    <row r="28" spans="1:16" x14ac:dyDescent="0.25">
      <c r="A28" s="1">
        <v>41786</v>
      </c>
      <c r="B28">
        <v>0</v>
      </c>
      <c r="C28">
        <f t="shared" si="9"/>
        <v>2253240</v>
      </c>
      <c r="D28">
        <f t="shared" si="0"/>
        <v>2</v>
      </c>
      <c r="E28">
        <f t="shared" si="1"/>
        <v>100000</v>
      </c>
      <c r="F28">
        <f t="shared" si="2"/>
        <v>2153240</v>
      </c>
      <c r="G28">
        <f t="shared" si="3"/>
        <v>2131707.6</v>
      </c>
      <c r="H28">
        <f t="shared" si="4"/>
        <v>0</v>
      </c>
      <c r="I28">
        <f t="shared" si="5"/>
        <v>2131707.6</v>
      </c>
      <c r="J28">
        <f t="shared" si="6"/>
        <v>2131707.6</v>
      </c>
      <c r="K28">
        <f t="shared" si="7"/>
        <v>0</v>
      </c>
      <c r="L28">
        <f t="shared" si="8"/>
        <v>0</v>
      </c>
      <c r="N28" s="4">
        <v>41825</v>
      </c>
      <c r="O28" s="5">
        <v>500000</v>
      </c>
      <c r="P28" s="5">
        <v>0</v>
      </c>
    </row>
    <row r="29" spans="1:16" x14ac:dyDescent="0.25">
      <c r="A29" s="1">
        <v>41787</v>
      </c>
      <c r="B29">
        <v>1</v>
      </c>
      <c r="C29">
        <f t="shared" si="9"/>
        <v>2131707.6</v>
      </c>
      <c r="D29">
        <f t="shared" si="0"/>
        <v>3</v>
      </c>
      <c r="E29">
        <f t="shared" si="1"/>
        <v>0</v>
      </c>
      <c r="F29">
        <f t="shared" si="2"/>
        <v>2131707.6</v>
      </c>
      <c r="G29">
        <f t="shared" si="3"/>
        <v>2195658.8280000002</v>
      </c>
      <c r="H29">
        <f t="shared" si="4"/>
        <v>0</v>
      </c>
      <c r="I29">
        <f t="shared" si="5"/>
        <v>2195658.8280000002</v>
      </c>
      <c r="J29">
        <f t="shared" si="6"/>
        <v>2195658.8280000002</v>
      </c>
      <c r="K29">
        <f t="shared" si="7"/>
        <v>0</v>
      </c>
      <c r="L29">
        <f t="shared" si="8"/>
        <v>0</v>
      </c>
      <c r="N29" s="4">
        <v>41832</v>
      </c>
      <c r="O29" s="5">
        <v>231065.503747385</v>
      </c>
      <c r="P29" s="5">
        <v>0</v>
      </c>
    </row>
    <row r="30" spans="1:16" x14ac:dyDescent="0.25">
      <c r="A30" s="1">
        <v>41788</v>
      </c>
      <c r="B30">
        <v>0</v>
      </c>
      <c r="C30">
        <f t="shared" si="9"/>
        <v>2195658.8280000002</v>
      </c>
      <c r="D30">
        <f t="shared" si="0"/>
        <v>4</v>
      </c>
      <c r="E30">
        <f t="shared" si="1"/>
        <v>100000</v>
      </c>
      <c r="F30">
        <f t="shared" si="2"/>
        <v>2095658.8280000002</v>
      </c>
      <c r="G30">
        <f t="shared" si="3"/>
        <v>2074702.2397200002</v>
      </c>
      <c r="H30">
        <f t="shared" si="4"/>
        <v>0</v>
      </c>
      <c r="I30">
        <f t="shared" si="5"/>
        <v>2074702.2397200002</v>
      </c>
      <c r="J30">
        <f t="shared" si="6"/>
        <v>2074702.2397200002</v>
      </c>
      <c r="K30">
        <f t="shared" si="7"/>
        <v>0</v>
      </c>
      <c r="L30">
        <f t="shared" si="8"/>
        <v>0</v>
      </c>
      <c r="N30" s="4">
        <v>41839</v>
      </c>
      <c r="O30" s="5">
        <v>100744.31585604372</v>
      </c>
      <c r="P30" s="5">
        <v>0</v>
      </c>
    </row>
    <row r="31" spans="1:16" x14ac:dyDescent="0.25">
      <c r="A31" s="1">
        <v>41789</v>
      </c>
      <c r="B31">
        <v>0</v>
      </c>
      <c r="C31">
        <f t="shared" si="9"/>
        <v>2074702.2397200002</v>
      </c>
      <c r="D31">
        <f t="shared" si="0"/>
        <v>5</v>
      </c>
      <c r="E31">
        <f t="shared" si="1"/>
        <v>100000</v>
      </c>
      <c r="F31">
        <f t="shared" si="2"/>
        <v>1974702.2397200002</v>
      </c>
      <c r="G31">
        <f t="shared" si="3"/>
        <v>1954955.2173228001</v>
      </c>
      <c r="H31">
        <f t="shared" si="4"/>
        <v>0</v>
      </c>
      <c r="I31">
        <f t="shared" si="5"/>
        <v>1954955.2173228001</v>
      </c>
      <c r="J31">
        <f t="shared" si="6"/>
        <v>1954955.2173228001</v>
      </c>
      <c r="K31">
        <f t="shared" si="7"/>
        <v>0</v>
      </c>
      <c r="L31">
        <f t="shared" si="8"/>
        <v>0</v>
      </c>
      <c r="N31" s="4">
        <v>41846</v>
      </c>
      <c r="O31" s="5">
        <v>500000</v>
      </c>
      <c r="P31" s="5">
        <v>0</v>
      </c>
    </row>
    <row r="32" spans="1:16" x14ac:dyDescent="0.25">
      <c r="A32" s="1">
        <v>41790</v>
      </c>
      <c r="B32">
        <v>0</v>
      </c>
      <c r="C32">
        <f t="shared" si="9"/>
        <v>1954955.2173228001</v>
      </c>
      <c r="D32">
        <f t="shared" si="0"/>
        <v>6</v>
      </c>
      <c r="E32">
        <f t="shared" si="1"/>
        <v>100000</v>
      </c>
      <c r="F32">
        <f t="shared" si="2"/>
        <v>1854955.2173228001</v>
      </c>
      <c r="G32">
        <f t="shared" si="3"/>
        <v>1836405.6651495721</v>
      </c>
      <c r="H32">
        <f t="shared" si="4"/>
        <v>0</v>
      </c>
      <c r="I32">
        <f t="shared" si="5"/>
        <v>1836405.6651495721</v>
      </c>
      <c r="J32">
        <f t="shared" si="6"/>
        <v>2336405.6651495723</v>
      </c>
      <c r="K32">
        <f t="shared" si="7"/>
        <v>500000.00000000023</v>
      </c>
      <c r="L32">
        <f t="shared" si="8"/>
        <v>0</v>
      </c>
      <c r="N32" s="4">
        <v>41853</v>
      </c>
      <c r="O32" s="5">
        <v>500000</v>
      </c>
      <c r="P32" s="5">
        <v>0</v>
      </c>
    </row>
    <row r="33" spans="1:16" x14ac:dyDescent="0.25">
      <c r="A33" s="1">
        <v>41791</v>
      </c>
      <c r="B33">
        <v>0</v>
      </c>
      <c r="C33">
        <f t="shared" si="9"/>
        <v>2336405.6651495723</v>
      </c>
      <c r="D33">
        <f t="shared" si="0"/>
        <v>7</v>
      </c>
      <c r="E33">
        <f t="shared" si="1"/>
        <v>100000</v>
      </c>
      <c r="F33">
        <f t="shared" si="2"/>
        <v>2236405.6651495723</v>
      </c>
      <c r="G33">
        <f t="shared" si="3"/>
        <v>2214041.6084980764</v>
      </c>
      <c r="H33">
        <f t="shared" si="4"/>
        <v>0</v>
      </c>
      <c r="I33">
        <f t="shared" si="5"/>
        <v>2214041.6084980764</v>
      </c>
      <c r="J33">
        <f t="shared" si="6"/>
        <v>2214041.6084980764</v>
      </c>
      <c r="K33">
        <f t="shared" si="7"/>
        <v>0</v>
      </c>
      <c r="L33">
        <f t="shared" si="8"/>
        <v>0</v>
      </c>
      <c r="N33" s="4">
        <v>41860</v>
      </c>
      <c r="O33" s="5">
        <v>371054.16137277288</v>
      </c>
      <c r="P33" s="5">
        <v>0</v>
      </c>
    </row>
    <row r="34" spans="1:16" x14ac:dyDescent="0.25">
      <c r="A34" s="1">
        <v>41792</v>
      </c>
      <c r="B34">
        <v>0</v>
      </c>
      <c r="C34">
        <f t="shared" si="9"/>
        <v>2214041.6084980764</v>
      </c>
      <c r="D34">
        <f t="shared" si="0"/>
        <v>1</v>
      </c>
      <c r="E34">
        <f t="shared" si="1"/>
        <v>100000</v>
      </c>
      <c r="F34">
        <f t="shared" si="2"/>
        <v>2114041.6084980764</v>
      </c>
      <c r="G34">
        <f t="shared" si="3"/>
        <v>2092901.1924130956</v>
      </c>
      <c r="H34">
        <f t="shared" si="4"/>
        <v>0</v>
      </c>
      <c r="I34">
        <f t="shared" si="5"/>
        <v>2092901.1924130956</v>
      </c>
      <c r="J34">
        <f t="shared" si="6"/>
        <v>2092901.1924130956</v>
      </c>
      <c r="K34">
        <f t="shared" si="7"/>
        <v>0</v>
      </c>
      <c r="L34">
        <f t="shared" si="8"/>
        <v>0</v>
      </c>
      <c r="N34" s="4">
        <v>41867</v>
      </c>
      <c r="O34" s="5">
        <v>298948.3938810518</v>
      </c>
      <c r="P34" s="5">
        <v>0</v>
      </c>
    </row>
    <row r="35" spans="1:16" x14ac:dyDescent="0.25">
      <c r="A35" s="1">
        <v>41793</v>
      </c>
      <c r="B35">
        <v>0</v>
      </c>
      <c r="C35">
        <f t="shared" si="9"/>
        <v>2092901.1924130956</v>
      </c>
      <c r="D35">
        <f t="shared" si="0"/>
        <v>2</v>
      </c>
      <c r="E35">
        <f t="shared" si="1"/>
        <v>100000</v>
      </c>
      <c r="F35">
        <f t="shared" si="2"/>
        <v>1992901.1924130956</v>
      </c>
      <c r="G35">
        <f t="shared" si="3"/>
        <v>1972972.1804889645</v>
      </c>
      <c r="H35">
        <f t="shared" si="4"/>
        <v>0</v>
      </c>
      <c r="I35">
        <f t="shared" si="5"/>
        <v>1972972.1804889645</v>
      </c>
      <c r="J35">
        <f t="shared" si="6"/>
        <v>1972972.1804889645</v>
      </c>
      <c r="K35">
        <f t="shared" si="7"/>
        <v>0</v>
      </c>
      <c r="L35">
        <f t="shared" si="8"/>
        <v>0</v>
      </c>
      <c r="N35" s="4">
        <v>41874</v>
      </c>
      <c r="O35" s="5">
        <v>500000.00000000023</v>
      </c>
      <c r="P35" s="5">
        <v>0</v>
      </c>
    </row>
    <row r="36" spans="1:16" x14ac:dyDescent="0.25">
      <c r="A36" s="1">
        <v>41794</v>
      </c>
      <c r="B36">
        <v>1</v>
      </c>
      <c r="C36">
        <f t="shared" si="9"/>
        <v>1972972.1804889645</v>
      </c>
      <c r="D36">
        <f t="shared" si="0"/>
        <v>3</v>
      </c>
      <c r="E36">
        <f t="shared" si="1"/>
        <v>0</v>
      </c>
      <c r="F36">
        <f t="shared" si="2"/>
        <v>1972972.1804889645</v>
      </c>
      <c r="G36">
        <f t="shared" si="3"/>
        <v>2032161.3459036336</v>
      </c>
      <c r="H36">
        <f t="shared" si="4"/>
        <v>0</v>
      </c>
      <c r="I36">
        <f t="shared" si="5"/>
        <v>2032161.3459036336</v>
      </c>
      <c r="J36">
        <f t="shared" si="6"/>
        <v>2032161.3459036336</v>
      </c>
      <c r="K36">
        <f t="shared" si="7"/>
        <v>0</v>
      </c>
      <c r="L36">
        <f t="shared" si="8"/>
        <v>0</v>
      </c>
      <c r="N36" s="4">
        <v>41881</v>
      </c>
      <c r="O36" s="5">
        <v>500000.00000000023</v>
      </c>
      <c r="P36" s="5">
        <v>0</v>
      </c>
    </row>
    <row r="37" spans="1:16" x14ac:dyDescent="0.25">
      <c r="A37" s="1">
        <v>41795</v>
      </c>
      <c r="B37">
        <v>1</v>
      </c>
      <c r="C37">
        <f t="shared" si="9"/>
        <v>2032161.3459036336</v>
      </c>
      <c r="D37">
        <f t="shared" si="0"/>
        <v>4</v>
      </c>
      <c r="E37">
        <f t="shared" si="1"/>
        <v>0</v>
      </c>
      <c r="F37">
        <f t="shared" si="2"/>
        <v>2032161.3459036336</v>
      </c>
      <c r="G37">
        <f t="shared" si="3"/>
        <v>2093126.1862807428</v>
      </c>
      <c r="H37">
        <f t="shared" si="4"/>
        <v>0</v>
      </c>
      <c r="I37">
        <f t="shared" si="5"/>
        <v>2093126.1862807428</v>
      </c>
      <c r="J37">
        <f t="shared" si="6"/>
        <v>2093126.1862807428</v>
      </c>
      <c r="K37">
        <f t="shared" si="7"/>
        <v>0</v>
      </c>
      <c r="L37">
        <f t="shared" si="8"/>
        <v>0</v>
      </c>
      <c r="N37" s="4">
        <v>41888</v>
      </c>
      <c r="O37" s="5">
        <v>500000</v>
      </c>
      <c r="P37" s="5">
        <v>0</v>
      </c>
    </row>
    <row r="38" spans="1:16" x14ac:dyDescent="0.25">
      <c r="A38" s="1">
        <v>41796</v>
      </c>
      <c r="B38">
        <v>1</v>
      </c>
      <c r="C38">
        <f t="shared" si="9"/>
        <v>2093126.1862807428</v>
      </c>
      <c r="D38">
        <f t="shared" si="0"/>
        <v>5</v>
      </c>
      <c r="E38">
        <f t="shared" si="1"/>
        <v>0</v>
      </c>
      <c r="F38">
        <f t="shared" si="2"/>
        <v>2093126.1862807428</v>
      </c>
      <c r="G38">
        <f t="shared" si="3"/>
        <v>2155919.9718691651</v>
      </c>
      <c r="H38">
        <f t="shared" si="4"/>
        <v>0</v>
      </c>
      <c r="I38">
        <f t="shared" si="5"/>
        <v>2155919.9718691651</v>
      </c>
      <c r="J38">
        <f t="shared" si="6"/>
        <v>2155919.9718691651</v>
      </c>
      <c r="K38">
        <f t="shared" si="7"/>
        <v>0</v>
      </c>
      <c r="L38">
        <f t="shared" si="8"/>
        <v>0</v>
      </c>
      <c r="N38" s="4">
        <v>41895</v>
      </c>
      <c r="O38" s="5">
        <v>500000</v>
      </c>
      <c r="P38" s="5">
        <v>0</v>
      </c>
    </row>
    <row r="39" spans="1:16" x14ac:dyDescent="0.25">
      <c r="A39" s="1">
        <v>41797</v>
      </c>
      <c r="B39">
        <v>1</v>
      </c>
      <c r="C39">
        <f t="shared" si="9"/>
        <v>2155919.9718691651</v>
      </c>
      <c r="D39">
        <f t="shared" si="0"/>
        <v>6</v>
      </c>
      <c r="E39">
        <f t="shared" si="1"/>
        <v>0</v>
      </c>
      <c r="F39">
        <f t="shared" si="2"/>
        <v>2155919.9718691651</v>
      </c>
      <c r="G39">
        <f t="shared" si="3"/>
        <v>2220597.5710252402</v>
      </c>
      <c r="H39">
        <f t="shared" si="4"/>
        <v>0</v>
      </c>
      <c r="I39">
        <f t="shared" si="5"/>
        <v>2220597.5710252402</v>
      </c>
      <c r="J39">
        <f t="shared" si="6"/>
        <v>2500000</v>
      </c>
      <c r="K39">
        <f t="shared" si="7"/>
        <v>279402.42897475976</v>
      </c>
      <c r="L39">
        <f t="shared" si="8"/>
        <v>0</v>
      </c>
      <c r="N39" s="4">
        <v>41902</v>
      </c>
      <c r="O39" s="5">
        <v>500000</v>
      </c>
      <c r="P39" s="5">
        <v>0</v>
      </c>
    </row>
    <row r="40" spans="1:16" x14ac:dyDescent="0.25">
      <c r="A40" s="1">
        <v>41798</v>
      </c>
      <c r="B40">
        <v>1</v>
      </c>
      <c r="C40">
        <f t="shared" si="9"/>
        <v>2500000</v>
      </c>
      <c r="D40">
        <f t="shared" si="0"/>
        <v>7</v>
      </c>
      <c r="E40">
        <f t="shared" si="1"/>
        <v>0</v>
      </c>
      <c r="F40">
        <f t="shared" si="2"/>
        <v>2500000</v>
      </c>
      <c r="G40">
        <f t="shared" si="3"/>
        <v>2575000</v>
      </c>
      <c r="H40">
        <f t="shared" si="4"/>
        <v>1</v>
      </c>
      <c r="I40">
        <f t="shared" si="5"/>
        <v>2500000</v>
      </c>
      <c r="J40">
        <f t="shared" si="6"/>
        <v>2500000</v>
      </c>
      <c r="K40">
        <f t="shared" si="7"/>
        <v>0</v>
      </c>
      <c r="L40">
        <f t="shared" si="8"/>
        <v>75000</v>
      </c>
      <c r="N40" s="4">
        <v>41909</v>
      </c>
      <c r="O40" s="5">
        <v>500000</v>
      </c>
      <c r="P40" s="5">
        <v>0</v>
      </c>
    </row>
    <row r="41" spans="1:16" x14ac:dyDescent="0.25">
      <c r="A41" s="1">
        <v>41799</v>
      </c>
      <c r="B41">
        <v>1</v>
      </c>
      <c r="C41">
        <f t="shared" si="9"/>
        <v>2500000</v>
      </c>
      <c r="D41">
        <f t="shared" si="0"/>
        <v>1</v>
      </c>
      <c r="E41">
        <f t="shared" si="1"/>
        <v>0</v>
      </c>
      <c r="F41">
        <f t="shared" si="2"/>
        <v>2500000</v>
      </c>
      <c r="G41">
        <f t="shared" si="3"/>
        <v>2575000</v>
      </c>
      <c r="H41">
        <f t="shared" si="4"/>
        <v>1</v>
      </c>
      <c r="I41">
        <f t="shared" si="5"/>
        <v>2500000</v>
      </c>
      <c r="J41">
        <f t="shared" si="6"/>
        <v>2500000</v>
      </c>
      <c r="K41">
        <f t="shared" si="7"/>
        <v>0</v>
      </c>
      <c r="L41">
        <f t="shared" si="8"/>
        <v>75000</v>
      </c>
      <c r="N41" s="3" t="s">
        <v>18</v>
      </c>
      <c r="O41" s="5">
        <v>8289355.5719204126</v>
      </c>
      <c r="P41" s="5">
        <v>75000</v>
      </c>
    </row>
    <row r="42" spans="1:16" x14ac:dyDescent="0.25">
      <c r="A42" s="1">
        <v>41800</v>
      </c>
      <c r="B42">
        <v>1</v>
      </c>
      <c r="C42">
        <f t="shared" si="9"/>
        <v>2500000</v>
      </c>
      <c r="D42">
        <f t="shared" si="0"/>
        <v>2</v>
      </c>
      <c r="E42">
        <f t="shared" si="1"/>
        <v>0</v>
      </c>
      <c r="F42">
        <f t="shared" si="2"/>
        <v>2500000</v>
      </c>
      <c r="G42">
        <f t="shared" si="3"/>
        <v>2575000</v>
      </c>
      <c r="H42">
        <f t="shared" si="4"/>
        <v>1</v>
      </c>
      <c r="I42">
        <f t="shared" si="5"/>
        <v>2500000</v>
      </c>
      <c r="J42">
        <f t="shared" si="6"/>
        <v>2500000</v>
      </c>
      <c r="K42">
        <f t="shared" si="7"/>
        <v>0</v>
      </c>
      <c r="L42">
        <f t="shared" si="8"/>
        <v>75000</v>
      </c>
    </row>
    <row r="43" spans="1:16" x14ac:dyDescent="0.25">
      <c r="A43" s="1">
        <v>41801</v>
      </c>
      <c r="B43">
        <v>1</v>
      </c>
      <c r="C43">
        <f t="shared" si="9"/>
        <v>2500000</v>
      </c>
      <c r="D43">
        <f t="shared" si="0"/>
        <v>3</v>
      </c>
      <c r="E43">
        <f t="shared" si="1"/>
        <v>0</v>
      </c>
      <c r="F43">
        <f t="shared" si="2"/>
        <v>2500000</v>
      </c>
      <c r="G43">
        <f t="shared" si="3"/>
        <v>2575000</v>
      </c>
      <c r="H43">
        <f t="shared" si="4"/>
        <v>1</v>
      </c>
      <c r="I43">
        <f t="shared" si="5"/>
        <v>2500000</v>
      </c>
      <c r="J43">
        <f t="shared" si="6"/>
        <v>2500000</v>
      </c>
      <c r="K43">
        <f t="shared" si="7"/>
        <v>0</v>
      </c>
      <c r="L43">
        <f t="shared" si="8"/>
        <v>75000</v>
      </c>
    </row>
    <row r="44" spans="1:16" x14ac:dyDescent="0.25">
      <c r="A44" s="1">
        <v>41802</v>
      </c>
      <c r="B44">
        <v>0</v>
      </c>
      <c r="C44">
        <f t="shared" si="9"/>
        <v>2500000</v>
      </c>
      <c r="D44">
        <f t="shared" si="0"/>
        <v>4</v>
      </c>
      <c r="E44">
        <f t="shared" si="1"/>
        <v>100000</v>
      </c>
      <c r="F44">
        <f t="shared" si="2"/>
        <v>2400000</v>
      </c>
      <c r="G44">
        <f t="shared" si="3"/>
        <v>2376000</v>
      </c>
      <c r="H44">
        <f t="shared" si="4"/>
        <v>0</v>
      </c>
      <c r="I44">
        <f t="shared" si="5"/>
        <v>2376000</v>
      </c>
      <c r="J44">
        <f t="shared" si="6"/>
        <v>2376000</v>
      </c>
      <c r="K44">
        <f t="shared" si="7"/>
        <v>0</v>
      </c>
      <c r="L44">
        <f t="shared" si="8"/>
        <v>0</v>
      </c>
    </row>
    <row r="45" spans="1:16" x14ac:dyDescent="0.25">
      <c r="A45" s="1">
        <v>41803</v>
      </c>
      <c r="B45">
        <v>0</v>
      </c>
      <c r="C45">
        <f t="shared" si="9"/>
        <v>2376000</v>
      </c>
      <c r="D45">
        <f t="shared" si="0"/>
        <v>5</v>
      </c>
      <c r="E45">
        <f t="shared" si="1"/>
        <v>100000</v>
      </c>
      <c r="F45">
        <f t="shared" si="2"/>
        <v>2276000</v>
      </c>
      <c r="G45">
        <f t="shared" si="3"/>
        <v>2253240</v>
      </c>
      <c r="H45">
        <f t="shared" si="4"/>
        <v>0</v>
      </c>
      <c r="I45">
        <f t="shared" si="5"/>
        <v>2253240</v>
      </c>
      <c r="J45">
        <f t="shared" si="6"/>
        <v>2253240</v>
      </c>
      <c r="K45">
        <f t="shared" si="7"/>
        <v>0</v>
      </c>
      <c r="L45">
        <f t="shared" si="8"/>
        <v>0</v>
      </c>
    </row>
    <row r="46" spans="1:16" x14ac:dyDescent="0.25">
      <c r="A46" s="1">
        <v>41804</v>
      </c>
      <c r="B46">
        <v>0</v>
      </c>
      <c r="C46">
        <f t="shared" si="9"/>
        <v>2253240</v>
      </c>
      <c r="D46">
        <f t="shared" si="0"/>
        <v>6</v>
      </c>
      <c r="E46">
        <f t="shared" si="1"/>
        <v>100000</v>
      </c>
      <c r="F46">
        <f t="shared" si="2"/>
        <v>2153240</v>
      </c>
      <c r="G46">
        <f t="shared" si="3"/>
        <v>2131707.6</v>
      </c>
      <c r="H46">
        <f t="shared" si="4"/>
        <v>0</v>
      </c>
      <c r="I46">
        <f t="shared" si="5"/>
        <v>2131707.6</v>
      </c>
      <c r="J46">
        <f t="shared" si="6"/>
        <v>2500000</v>
      </c>
      <c r="K46">
        <f t="shared" si="7"/>
        <v>368292.39999999991</v>
      </c>
      <c r="L46">
        <f t="shared" si="8"/>
        <v>0</v>
      </c>
    </row>
    <row r="47" spans="1:16" x14ac:dyDescent="0.25">
      <c r="A47" s="1">
        <v>41805</v>
      </c>
      <c r="B47">
        <v>0</v>
      </c>
      <c r="C47">
        <f t="shared" si="9"/>
        <v>2500000</v>
      </c>
      <c r="D47">
        <f t="shared" si="0"/>
        <v>7</v>
      </c>
      <c r="E47">
        <f t="shared" si="1"/>
        <v>100000</v>
      </c>
      <c r="F47">
        <f t="shared" si="2"/>
        <v>2400000</v>
      </c>
      <c r="G47">
        <f t="shared" si="3"/>
        <v>2376000</v>
      </c>
      <c r="H47">
        <f t="shared" si="4"/>
        <v>0</v>
      </c>
      <c r="I47">
        <f t="shared" si="5"/>
        <v>2376000</v>
      </c>
      <c r="J47">
        <f t="shared" si="6"/>
        <v>2376000</v>
      </c>
      <c r="K47">
        <f t="shared" si="7"/>
        <v>0</v>
      </c>
      <c r="L47">
        <f t="shared" si="8"/>
        <v>0</v>
      </c>
    </row>
    <row r="48" spans="1:16" x14ac:dyDescent="0.25">
      <c r="A48" s="1">
        <v>41806</v>
      </c>
      <c r="B48">
        <v>1</v>
      </c>
      <c r="C48">
        <f t="shared" si="9"/>
        <v>2376000</v>
      </c>
      <c r="D48">
        <f t="shared" si="0"/>
        <v>1</v>
      </c>
      <c r="E48">
        <f t="shared" si="1"/>
        <v>0</v>
      </c>
      <c r="F48">
        <f t="shared" si="2"/>
        <v>2376000</v>
      </c>
      <c r="G48">
        <f t="shared" si="3"/>
        <v>2447280</v>
      </c>
      <c r="H48">
        <f t="shared" si="4"/>
        <v>0</v>
      </c>
      <c r="I48">
        <f t="shared" si="5"/>
        <v>2447280</v>
      </c>
      <c r="J48">
        <f t="shared" si="6"/>
        <v>2447280</v>
      </c>
      <c r="K48">
        <f t="shared" si="7"/>
        <v>0</v>
      </c>
      <c r="L48">
        <f t="shared" si="8"/>
        <v>0</v>
      </c>
    </row>
    <row r="49" spans="1:12" x14ac:dyDescent="0.25">
      <c r="A49" s="1">
        <v>41807</v>
      </c>
      <c r="B49">
        <v>0</v>
      </c>
      <c r="C49">
        <f t="shared" si="9"/>
        <v>2447280</v>
      </c>
      <c r="D49">
        <f t="shared" si="0"/>
        <v>2</v>
      </c>
      <c r="E49">
        <f t="shared" si="1"/>
        <v>100000</v>
      </c>
      <c r="F49">
        <f t="shared" si="2"/>
        <v>2347280</v>
      </c>
      <c r="G49">
        <f t="shared" si="3"/>
        <v>2323807.2000000002</v>
      </c>
      <c r="H49">
        <f t="shared" si="4"/>
        <v>0</v>
      </c>
      <c r="I49">
        <f t="shared" si="5"/>
        <v>2323807.2000000002</v>
      </c>
      <c r="J49">
        <f t="shared" si="6"/>
        <v>2323807.2000000002</v>
      </c>
      <c r="K49">
        <f t="shared" si="7"/>
        <v>0</v>
      </c>
      <c r="L49">
        <f t="shared" si="8"/>
        <v>0</v>
      </c>
    </row>
    <row r="50" spans="1:12" x14ac:dyDescent="0.25">
      <c r="A50" s="1">
        <v>41808</v>
      </c>
      <c r="B50">
        <v>0</v>
      </c>
      <c r="C50">
        <f t="shared" si="9"/>
        <v>2323807.2000000002</v>
      </c>
      <c r="D50">
        <f t="shared" si="0"/>
        <v>3</v>
      </c>
      <c r="E50">
        <f t="shared" si="1"/>
        <v>100000</v>
      </c>
      <c r="F50">
        <f t="shared" si="2"/>
        <v>2223807.2000000002</v>
      </c>
      <c r="G50">
        <f t="shared" si="3"/>
        <v>2201569.128</v>
      </c>
      <c r="H50">
        <f t="shared" si="4"/>
        <v>0</v>
      </c>
      <c r="I50">
        <f t="shared" si="5"/>
        <v>2201569.128</v>
      </c>
      <c r="J50">
        <f t="shared" si="6"/>
        <v>2201569.128</v>
      </c>
      <c r="K50">
        <f t="shared" si="7"/>
        <v>0</v>
      </c>
      <c r="L50">
        <f t="shared" si="8"/>
        <v>0</v>
      </c>
    </row>
    <row r="51" spans="1:12" x14ac:dyDescent="0.25">
      <c r="A51" s="1">
        <v>41809</v>
      </c>
      <c r="B51">
        <v>0</v>
      </c>
      <c r="C51">
        <f t="shared" si="9"/>
        <v>2201569.128</v>
      </c>
      <c r="D51">
        <f t="shared" si="0"/>
        <v>4</v>
      </c>
      <c r="E51">
        <f t="shared" si="1"/>
        <v>100000</v>
      </c>
      <c r="F51">
        <f t="shared" si="2"/>
        <v>2101569.128</v>
      </c>
      <c r="G51">
        <f t="shared" si="3"/>
        <v>2080553.4367200001</v>
      </c>
      <c r="H51">
        <f t="shared" si="4"/>
        <v>0</v>
      </c>
      <c r="I51">
        <f t="shared" si="5"/>
        <v>2080553.4367200001</v>
      </c>
      <c r="J51">
        <f t="shared" si="6"/>
        <v>2080553.4367200001</v>
      </c>
      <c r="K51">
        <f t="shared" si="7"/>
        <v>0</v>
      </c>
      <c r="L51">
        <f t="shared" si="8"/>
        <v>0</v>
      </c>
    </row>
    <row r="52" spans="1:12" x14ac:dyDescent="0.25">
      <c r="A52" s="1">
        <v>41810</v>
      </c>
      <c r="B52">
        <v>0</v>
      </c>
      <c r="C52">
        <f t="shared" si="9"/>
        <v>2080553.4367200001</v>
      </c>
      <c r="D52">
        <f t="shared" si="0"/>
        <v>5</v>
      </c>
      <c r="E52">
        <f t="shared" si="1"/>
        <v>100000</v>
      </c>
      <c r="F52">
        <f t="shared" si="2"/>
        <v>1980553.4367200001</v>
      </c>
      <c r="G52">
        <f t="shared" si="3"/>
        <v>1960747.9023528001</v>
      </c>
      <c r="H52">
        <f t="shared" si="4"/>
        <v>0</v>
      </c>
      <c r="I52">
        <f t="shared" si="5"/>
        <v>1960747.9023528001</v>
      </c>
      <c r="J52">
        <f t="shared" si="6"/>
        <v>1960747.9023528001</v>
      </c>
      <c r="K52">
        <f t="shared" si="7"/>
        <v>0</v>
      </c>
      <c r="L52">
        <f t="shared" si="8"/>
        <v>0</v>
      </c>
    </row>
    <row r="53" spans="1:12" x14ac:dyDescent="0.25">
      <c r="A53" s="1">
        <v>41811</v>
      </c>
      <c r="B53">
        <v>0</v>
      </c>
      <c r="C53">
        <f t="shared" si="9"/>
        <v>1960747.9023528001</v>
      </c>
      <c r="D53">
        <f t="shared" si="0"/>
        <v>6</v>
      </c>
      <c r="E53">
        <f t="shared" si="1"/>
        <v>100000</v>
      </c>
      <c r="F53">
        <f t="shared" si="2"/>
        <v>1860747.9023528001</v>
      </c>
      <c r="G53">
        <f t="shared" si="3"/>
        <v>1842140.4233292721</v>
      </c>
      <c r="H53">
        <f t="shared" si="4"/>
        <v>0</v>
      </c>
      <c r="I53">
        <f t="shared" si="5"/>
        <v>1842140.4233292721</v>
      </c>
      <c r="J53">
        <f t="shared" si="6"/>
        <v>2342140.4233292723</v>
      </c>
      <c r="K53">
        <f t="shared" si="7"/>
        <v>500000.00000000023</v>
      </c>
      <c r="L53">
        <f t="shared" si="8"/>
        <v>0</v>
      </c>
    </row>
    <row r="54" spans="1:12" x14ac:dyDescent="0.25">
      <c r="A54" s="1">
        <v>41812</v>
      </c>
      <c r="B54">
        <v>0</v>
      </c>
      <c r="C54">
        <f t="shared" si="9"/>
        <v>2342140.4233292723</v>
      </c>
      <c r="D54">
        <f t="shared" si="0"/>
        <v>7</v>
      </c>
      <c r="E54">
        <f t="shared" si="1"/>
        <v>100000</v>
      </c>
      <c r="F54">
        <f t="shared" si="2"/>
        <v>2242140.4233292723</v>
      </c>
      <c r="G54">
        <f t="shared" si="3"/>
        <v>2219719.0190959796</v>
      </c>
      <c r="H54">
        <f t="shared" si="4"/>
        <v>0</v>
      </c>
      <c r="I54">
        <f t="shared" si="5"/>
        <v>2219719.0190959796</v>
      </c>
      <c r="J54">
        <f t="shared" si="6"/>
        <v>2219719.0190959796</v>
      </c>
      <c r="K54">
        <f t="shared" si="7"/>
        <v>0</v>
      </c>
      <c r="L54">
        <f t="shared" si="8"/>
        <v>0</v>
      </c>
    </row>
    <row r="55" spans="1:12" x14ac:dyDescent="0.25">
      <c r="A55" s="1">
        <v>41813</v>
      </c>
      <c r="B55">
        <v>0</v>
      </c>
      <c r="C55">
        <f t="shared" si="9"/>
        <v>2219719.0190959796</v>
      </c>
      <c r="D55">
        <f t="shared" si="0"/>
        <v>1</v>
      </c>
      <c r="E55">
        <f t="shared" si="1"/>
        <v>100000</v>
      </c>
      <c r="F55">
        <f t="shared" si="2"/>
        <v>2119719.0190959796</v>
      </c>
      <c r="G55">
        <f t="shared" si="3"/>
        <v>2098521.8289050199</v>
      </c>
      <c r="H55">
        <f t="shared" si="4"/>
        <v>0</v>
      </c>
      <c r="I55">
        <f t="shared" si="5"/>
        <v>2098521.8289050199</v>
      </c>
      <c r="J55">
        <f t="shared" si="6"/>
        <v>2098521.8289050199</v>
      </c>
      <c r="K55">
        <f t="shared" si="7"/>
        <v>0</v>
      </c>
      <c r="L55">
        <f t="shared" si="8"/>
        <v>0</v>
      </c>
    </row>
    <row r="56" spans="1:12" x14ac:dyDescent="0.25">
      <c r="A56" s="1">
        <v>41814</v>
      </c>
      <c r="B56">
        <v>0</v>
      </c>
      <c r="C56">
        <f t="shared" si="9"/>
        <v>2098521.8289050199</v>
      </c>
      <c r="D56">
        <f t="shared" si="0"/>
        <v>2</v>
      </c>
      <c r="E56">
        <f t="shared" si="1"/>
        <v>100000</v>
      </c>
      <c r="F56">
        <f t="shared" si="2"/>
        <v>1998521.8289050199</v>
      </c>
      <c r="G56">
        <f t="shared" si="3"/>
        <v>1978536.6106159696</v>
      </c>
      <c r="H56">
        <f t="shared" si="4"/>
        <v>0</v>
      </c>
      <c r="I56">
        <f t="shared" si="5"/>
        <v>1978536.6106159696</v>
      </c>
      <c r="J56">
        <f t="shared" si="6"/>
        <v>1978536.6106159696</v>
      </c>
      <c r="K56">
        <f t="shared" si="7"/>
        <v>0</v>
      </c>
      <c r="L56">
        <f t="shared" si="8"/>
        <v>0</v>
      </c>
    </row>
    <row r="57" spans="1:12" x14ac:dyDescent="0.25">
      <c r="A57" s="1">
        <v>41815</v>
      </c>
      <c r="B57">
        <v>0</v>
      </c>
      <c r="C57">
        <f t="shared" si="9"/>
        <v>1978536.6106159696</v>
      </c>
      <c r="D57">
        <f t="shared" si="0"/>
        <v>3</v>
      </c>
      <c r="E57">
        <f t="shared" si="1"/>
        <v>100000</v>
      </c>
      <c r="F57">
        <f t="shared" si="2"/>
        <v>1878536.6106159696</v>
      </c>
      <c r="G57">
        <f t="shared" si="3"/>
        <v>1859751.2445098099</v>
      </c>
      <c r="H57">
        <f t="shared" si="4"/>
        <v>0</v>
      </c>
      <c r="I57">
        <f t="shared" si="5"/>
        <v>1859751.2445098099</v>
      </c>
      <c r="J57">
        <f t="shared" si="6"/>
        <v>1859751.2445098099</v>
      </c>
      <c r="K57">
        <f t="shared" si="7"/>
        <v>0</v>
      </c>
      <c r="L57">
        <f t="shared" si="8"/>
        <v>0</v>
      </c>
    </row>
    <row r="58" spans="1:12" x14ac:dyDescent="0.25">
      <c r="A58" s="1">
        <v>41816</v>
      </c>
      <c r="B58">
        <v>1</v>
      </c>
      <c r="C58">
        <f t="shared" si="9"/>
        <v>1859751.2445098099</v>
      </c>
      <c r="D58">
        <f t="shared" si="0"/>
        <v>4</v>
      </c>
      <c r="E58">
        <f t="shared" si="1"/>
        <v>0</v>
      </c>
      <c r="F58">
        <f t="shared" si="2"/>
        <v>1859751.2445098099</v>
      </c>
      <c r="G58">
        <f t="shared" si="3"/>
        <v>1915543.7818451042</v>
      </c>
      <c r="H58">
        <f t="shared" si="4"/>
        <v>0</v>
      </c>
      <c r="I58">
        <f t="shared" si="5"/>
        <v>1915543.7818451042</v>
      </c>
      <c r="J58">
        <f t="shared" si="6"/>
        <v>1915543.7818451042</v>
      </c>
      <c r="K58">
        <f t="shared" si="7"/>
        <v>0</v>
      </c>
      <c r="L58">
        <f t="shared" si="8"/>
        <v>0</v>
      </c>
    </row>
    <row r="59" spans="1:12" x14ac:dyDescent="0.25">
      <c r="A59" s="1">
        <v>41817</v>
      </c>
      <c r="B59">
        <v>0</v>
      </c>
      <c r="C59">
        <f t="shared" si="9"/>
        <v>1915543.7818451042</v>
      </c>
      <c r="D59">
        <f t="shared" si="0"/>
        <v>5</v>
      </c>
      <c r="E59">
        <f t="shared" si="1"/>
        <v>100000</v>
      </c>
      <c r="F59">
        <f t="shared" si="2"/>
        <v>1815543.7818451042</v>
      </c>
      <c r="G59">
        <f t="shared" si="3"/>
        <v>1797388.3440266531</v>
      </c>
      <c r="H59">
        <f t="shared" si="4"/>
        <v>0</v>
      </c>
      <c r="I59">
        <f t="shared" si="5"/>
        <v>1797388.3440266531</v>
      </c>
      <c r="J59">
        <f t="shared" si="6"/>
        <v>1797388.3440266531</v>
      </c>
      <c r="K59">
        <f t="shared" si="7"/>
        <v>0</v>
      </c>
      <c r="L59">
        <f t="shared" si="8"/>
        <v>0</v>
      </c>
    </row>
    <row r="60" spans="1:12" x14ac:dyDescent="0.25">
      <c r="A60" s="1">
        <v>41818</v>
      </c>
      <c r="B60">
        <v>1</v>
      </c>
      <c r="C60">
        <f t="shared" si="9"/>
        <v>1797388.3440266531</v>
      </c>
      <c r="D60">
        <f t="shared" si="0"/>
        <v>6</v>
      </c>
      <c r="E60">
        <f t="shared" si="1"/>
        <v>0</v>
      </c>
      <c r="F60">
        <f t="shared" si="2"/>
        <v>1797388.3440266531</v>
      </c>
      <c r="G60">
        <f t="shared" si="3"/>
        <v>1851309.9943474527</v>
      </c>
      <c r="H60">
        <f t="shared" si="4"/>
        <v>0</v>
      </c>
      <c r="I60">
        <f t="shared" si="5"/>
        <v>1851309.9943474527</v>
      </c>
      <c r="J60">
        <f t="shared" si="6"/>
        <v>2351309.9943474527</v>
      </c>
      <c r="K60">
        <f t="shared" si="7"/>
        <v>500000</v>
      </c>
      <c r="L60">
        <f t="shared" si="8"/>
        <v>0</v>
      </c>
    </row>
    <row r="61" spans="1:12" x14ac:dyDescent="0.25">
      <c r="A61" s="1">
        <v>41819</v>
      </c>
      <c r="B61">
        <v>0</v>
      </c>
      <c r="C61">
        <f t="shared" si="9"/>
        <v>2351309.9943474527</v>
      </c>
      <c r="D61">
        <f t="shared" si="0"/>
        <v>7</v>
      </c>
      <c r="E61">
        <f t="shared" si="1"/>
        <v>100000</v>
      </c>
      <c r="F61">
        <f t="shared" si="2"/>
        <v>2251309.9943474527</v>
      </c>
      <c r="G61">
        <f t="shared" si="3"/>
        <v>2228796.8944039783</v>
      </c>
      <c r="H61">
        <f t="shared" si="4"/>
        <v>0</v>
      </c>
      <c r="I61">
        <f t="shared" si="5"/>
        <v>2228796.8944039783</v>
      </c>
      <c r="J61">
        <f t="shared" si="6"/>
        <v>2228796.8944039783</v>
      </c>
      <c r="K61">
        <f t="shared" si="7"/>
        <v>0</v>
      </c>
      <c r="L61">
        <f t="shared" si="8"/>
        <v>0</v>
      </c>
    </row>
    <row r="62" spans="1:12" x14ac:dyDescent="0.25">
      <c r="A62" s="1">
        <v>41820</v>
      </c>
      <c r="B62">
        <v>1</v>
      </c>
      <c r="C62">
        <f t="shared" si="9"/>
        <v>2228796.8944039783</v>
      </c>
      <c r="D62">
        <f t="shared" si="0"/>
        <v>1</v>
      </c>
      <c r="E62">
        <f t="shared" si="1"/>
        <v>0</v>
      </c>
      <c r="F62">
        <f t="shared" si="2"/>
        <v>2228796.8944039783</v>
      </c>
      <c r="G62">
        <f t="shared" si="3"/>
        <v>2295660.8012360977</v>
      </c>
      <c r="H62">
        <f t="shared" si="4"/>
        <v>0</v>
      </c>
      <c r="I62">
        <f t="shared" si="5"/>
        <v>2295660.8012360977</v>
      </c>
      <c r="J62">
        <f t="shared" si="6"/>
        <v>2295660.8012360977</v>
      </c>
      <c r="K62">
        <f t="shared" si="7"/>
        <v>0</v>
      </c>
      <c r="L62">
        <f t="shared" si="8"/>
        <v>0</v>
      </c>
    </row>
    <row r="63" spans="1:12" x14ac:dyDescent="0.25">
      <c r="A63" s="1">
        <v>41821</v>
      </c>
      <c r="B63">
        <v>0</v>
      </c>
      <c r="C63">
        <f t="shared" si="9"/>
        <v>2295660.8012360977</v>
      </c>
      <c r="D63">
        <f t="shared" si="0"/>
        <v>2</v>
      </c>
      <c r="E63">
        <f t="shared" si="1"/>
        <v>100000</v>
      </c>
      <c r="F63">
        <f t="shared" si="2"/>
        <v>2195660.8012360977</v>
      </c>
      <c r="G63">
        <f t="shared" si="3"/>
        <v>2173704.1932237367</v>
      </c>
      <c r="H63">
        <f t="shared" si="4"/>
        <v>0</v>
      </c>
      <c r="I63">
        <f t="shared" si="5"/>
        <v>2173704.1932237367</v>
      </c>
      <c r="J63">
        <f t="shared" si="6"/>
        <v>2173704.1932237367</v>
      </c>
      <c r="K63">
        <f t="shared" si="7"/>
        <v>0</v>
      </c>
      <c r="L63">
        <f t="shared" si="8"/>
        <v>0</v>
      </c>
    </row>
    <row r="64" spans="1:12" x14ac:dyDescent="0.25">
      <c r="A64" s="1">
        <v>41822</v>
      </c>
      <c r="B64">
        <v>0</v>
      </c>
      <c r="C64">
        <f t="shared" si="9"/>
        <v>2173704.1932237367</v>
      </c>
      <c r="D64">
        <f t="shared" si="0"/>
        <v>3</v>
      </c>
      <c r="E64">
        <f t="shared" si="1"/>
        <v>100000</v>
      </c>
      <c r="F64">
        <f t="shared" si="2"/>
        <v>2073704.1932237367</v>
      </c>
      <c r="G64">
        <f t="shared" si="3"/>
        <v>2052967.1512914994</v>
      </c>
      <c r="H64">
        <f t="shared" si="4"/>
        <v>0</v>
      </c>
      <c r="I64">
        <f t="shared" si="5"/>
        <v>2052967.1512914994</v>
      </c>
      <c r="J64">
        <f t="shared" si="6"/>
        <v>2052967.1512914994</v>
      </c>
      <c r="K64">
        <f t="shared" si="7"/>
        <v>0</v>
      </c>
      <c r="L64">
        <f t="shared" si="8"/>
        <v>0</v>
      </c>
    </row>
    <row r="65" spans="1:12" x14ac:dyDescent="0.25">
      <c r="A65" s="1">
        <v>41823</v>
      </c>
      <c r="B65">
        <v>0</v>
      </c>
      <c r="C65">
        <f t="shared" si="9"/>
        <v>2052967.1512914994</v>
      </c>
      <c r="D65">
        <f t="shared" si="0"/>
        <v>4</v>
      </c>
      <c r="E65">
        <f t="shared" si="1"/>
        <v>100000</v>
      </c>
      <c r="F65">
        <f t="shared" si="2"/>
        <v>1952967.1512914994</v>
      </c>
      <c r="G65">
        <f t="shared" si="3"/>
        <v>1933437.4797785843</v>
      </c>
      <c r="H65">
        <f t="shared" si="4"/>
        <v>0</v>
      </c>
      <c r="I65">
        <f t="shared" si="5"/>
        <v>1933437.4797785843</v>
      </c>
      <c r="J65">
        <f t="shared" si="6"/>
        <v>1933437.4797785843</v>
      </c>
      <c r="K65">
        <f t="shared" si="7"/>
        <v>0</v>
      </c>
      <c r="L65">
        <f t="shared" si="8"/>
        <v>0</v>
      </c>
    </row>
    <row r="66" spans="1:12" x14ac:dyDescent="0.25">
      <c r="A66" s="1">
        <v>41824</v>
      </c>
      <c r="B66">
        <v>0</v>
      </c>
      <c r="C66">
        <f t="shared" si="9"/>
        <v>1933437.4797785843</v>
      </c>
      <c r="D66">
        <f t="shared" si="0"/>
        <v>5</v>
      </c>
      <c r="E66">
        <f t="shared" si="1"/>
        <v>100000</v>
      </c>
      <c r="F66">
        <f t="shared" si="2"/>
        <v>1833437.4797785843</v>
      </c>
      <c r="G66">
        <f t="shared" si="3"/>
        <v>1815103.1049807984</v>
      </c>
      <c r="H66">
        <f t="shared" si="4"/>
        <v>0</v>
      </c>
      <c r="I66">
        <f t="shared" si="5"/>
        <v>1815103.1049807984</v>
      </c>
      <c r="J66">
        <f t="shared" si="6"/>
        <v>1815103.1049807984</v>
      </c>
      <c r="K66">
        <f t="shared" si="7"/>
        <v>0</v>
      </c>
      <c r="L66">
        <f t="shared" si="8"/>
        <v>0</v>
      </c>
    </row>
    <row r="67" spans="1:12" x14ac:dyDescent="0.25">
      <c r="A67" s="1">
        <v>41825</v>
      </c>
      <c r="B67">
        <v>0</v>
      </c>
      <c r="C67">
        <f t="shared" si="9"/>
        <v>1815103.1049807984</v>
      </c>
      <c r="D67">
        <f t="shared" ref="D67:D130" si="10">WEEKDAY(A67,2)</f>
        <v>6</v>
      </c>
      <c r="E67">
        <f t="shared" ref="E67:E130" si="11">IF(B67=0,2*$Q$1*$Q$2,0)</f>
        <v>100000</v>
      </c>
      <c r="F67">
        <f t="shared" ref="F67:F130" si="12">C67-E67</f>
        <v>1715103.1049807984</v>
      </c>
      <c r="G67">
        <f t="shared" ref="G67:G130" si="13">IF(B67=0,F67*0.99,F67*1.03)</f>
        <v>1697952.0739309904</v>
      </c>
      <c r="H67">
        <f t="shared" ref="H67:H130" si="14">IF(G67&gt;2500000,1,0)</f>
        <v>0</v>
      </c>
      <c r="I67">
        <f t="shared" ref="I67:I130" si="15">IF(H67=0,G67,2500000)</f>
        <v>1697952.0739309904</v>
      </c>
      <c r="J67">
        <f t="shared" ref="J67:J130" si="16">IF(D67=6,IF(I67+500000&gt;2500000,2500000,I67+500000),I67)</f>
        <v>2197952.0739309904</v>
      </c>
      <c r="K67">
        <f t="shared" ref="K67:K130" si="17">J67-I67</f>
        <v>500000</v>
      </c>
      <c r="L67">
        <f t="shared" ref="L67:L130" si="18">IF(H67=1,G67-I67,0)</f>
        <v>0</v>
      </c>
    </row>
    <row r="68" spans="1:12" x14ac:dyDescent="0.25">
      <c r="A68" s="1">
        <v>41826</v>
      </c>
      <c r="B68">
        <v>0</v>
      </c>
      <c r="C68">
        <f t="shared" ref="C68:C131" si="19">J67</f>
        <v>2197952.0739309904</v>
      </c>
      <c r="D68">
        <f t="shared" si="10"/>
        <v>7</v>
      </c>
      <c r="E68">
        <f t="shared" si="11"/>
        <v>100000</v>
      </c>
      <c r="F68">
        <f t="shared" si="12"/>
        <v>2097952.0739309904</v>
      </c>
      <c r="G68">
        <f t="shared" si="13"/>
        <v>2076972.5531916805</v>
      </c>
      <c r="H68">
        <f t="shared" si="14"/>
        <v>0</v>
      </c>
      <c r="I68">
        <f t="shared" si="15"/>
        <v>2076972.5531916805</v>
      </c>
      <c r="J68">
        <f t="shared" si="16"/>
        <v>2076972.5531916805</v>
      </c>
      <c r="K68">
        <f t="shared" si="17"/>
        <v>0</v>
      </c>
      <c r="L68">
        <f t="shared" si="18"/>
        <v>0</v>
      </c>
    </row>
    <row r="69" spans="1:12" x14ac:dyDescent="0.25">
      <c r="A69" s="1">
        <v>41827</v>
      </c>
      <c r="B69">
        <v>0</v>
      </c>
      <c r="C69">
        <f t="shared" si="19"/>
        <v>2076972.5531916805</v>
      </c>
      <c r="D69">
        <f t="shared" si="10"/>
        <v>1</v>
      </c>
      <c r="E69">
        <f t="shared" si="11"/>
        <v>100000</v>
      </c>
      <c r="F69">
        <f t="shared" si="12"/>
        <v>1976972.5531916805</v>
      </c>
      <c r="G69">
        <f t="shared" si="13"/>
        <v>1957202.8276597636</v>
      </c>
      <c r="H69">
        <f t="shared" si="14"/>
        <v>0</v>
      </c>
      <c r="I69">
        <f t="shared" si="15"/>
        <v>1957202.8276597636</v>
      </c>
      <c r="J69">
        <f t="shared" si="16"/>
        <v>1957202.8276597636</v>
      </c>
      <c r="K69">
        <f t="shared" si="17"/>
        <v>0</v>
      </c>
      <c r="L69">
        <f t="shared" si="18"/>
        <v>0</v>
      </c>
    </row>
    <row r="70" spans="1:12" x14ac:dyDescent="0.25">
      <c r="A70" s="1">
        <v>41828</v>
      </c>
      <c r="B70">
        <v>1</v>
      </c>
      <c r="C70">
        <f t="shared" si="19"/>
        <v>1957202.8276597636</v>
      </c>
      <c r="D70">
        <f t="shared" si="10"/>
        <v>2</v>
      </c>
      <c r="E70">
        <f t="shared" si="11"/>
        <v>0</v>
      </c>
      <c r="F70">
        <f t="shared" si="12"/>
        <v>1957202.8276597636</v>
      </c>
      <c r="G70">
        <f t="shared" si="13"/>
        <v>2015918.9124895565</v>
      </c>
      <c r="H70">
        <f t="shared" si="14"/>
        <v>0</v>
      </c>
      <c r="I70">
        <f t="shared" si="15"/>
        <v>2015918.9124895565</v>
      </c>
      <c r="J70">
        <f t="shared" si="16"/>
        <v>2015918.9124895565</v>
      </c>
      <c r="K70">
        <f t="shared" si="17"/>
        <v>0</v>
      </c>
      <c r="L70">
        <f t="shared" si="18"/>
        <v>0</v>
      </c>
    </row>
    <row r="71" spans="1:12" x14ac:dyDescent="0.25">
      <c r="A71" s="1">
        <v>41829</v>
      </c>
      <c r="B71">
        <v>1</v>
      </c>
      <c r="C71">
        <f t="shared" si="19"/>
        <v>2015918.9124895565</v>
      </c>
      <c r="D71">
        <f t="shared" si="10"/>
        <v>3</v>
      </c>
      <c r="E71">
        <f t="shared" si="11"/>
        <v>0</v>
      </c>
      <c r="F71">
        <f t="shared" si="12"/>
        <v>2015918.9124895565</v>
      </c>
      <c r="G71">
        <f t="shared" si="13"/>
        <v>2076396.4798642432</v>
      </c>
      <c r="H71">
        <f t="shared" si="14"/>
        <v>0</v>
      </c>
      <c r="I71">
        <f t="shared" si="15"/>
        <v>2076396.4798642432</v>
      </c>
      <c r="J71">
        <f t="shared" si="16"/>
        <v>2076396.4798642432</v>
      </c>
      <c r="K71">
        <f t="shared" si="17"/>
        <v>0</v>
      </c>
      <c r="L71">
        <f t="shared" si="18"/>
        <v>0</v>
      </c>
    </row>
    <row r="72" spans="1:12" x14ac:dyDescent="0.25">
      <c r="A72" s="1">
        <v>41830</v>
      </c>
      <c r="B72">
        <v>1</v>
      </c>
      <c r="C72">
        <f t="shared" si="19"/>
        <v>2076396.4798642432</v>
      </c>
      <c r="D72">
        <f t="shared" si="10"/>
        <v>4</v>
      </c>
      <c r="E72">
        <f t="shared" si="11"/>
        <v>0</v>
      </c>
      <c r="F72">
        <f t="shared" si="12"/>
        <v>2076396.4798642432</v>
      </c>
      <c r="G72">
        <f t="shared" si="13"/>
        <v>2138688.3742601704</v>
      </c>
      <c r="H72">
        <f t="shared" si="14"/>
        <v>0</v>
      </c>
      <c r="I72">
        <f t="shared" si="15"/>
        <v>2138688.3742601704</v>
      </c>
      <c r="J72">
        <f t="shared" si="16"/>
        <v>2138688.3742601704</v>
      </c>
      <c r="K72">
        <f t="shared" si="17"/>
        <v>0</v>
      </c>
      <c r="L72">
        <f t="shared" si="18"/>
        <v>0</v>
      </c>
    </row>
    <row r="73" spans="1:12" x14ac:dyDescent="0.25">
      <c r="A73" s="1">
        <v>41831</v>
      </c>
      <c r="B73">
        <v>1</v>
      </c>
      <c r="C73">
        <f t="shared" si="19"/>
        <v>2138688.3742601704</v>
      </c>
      <c r="D73">
        <f t="shared" si="10"/>
        <v>5</v>
      </c>
      <c r="E73">
        <f t="shared" si="11"/>
        <v>0</v>
      </c>
      <c r="F73">
        <f t="shared" si="12"/>
        <v>2138688.3742601704</v>
      </c>
      <c r="G73">
        <f t="shared" si="13"/>
        <v>2202849.0254879757</v>
      </c>
      <c r="H73">
        <f t="shared" si="14"/>
        <v>0</v>
      </c>
      <c r="I73">
        <f t="shared" si="15"/>
        <v>2202849.0254879757</v>
      </c>
      <c r="J73">
        <f t="shared" si="16"/>
        <v>2202849.0254879757</v>
      </c>
      <c r="K73">
        <f t="shared" si="17"/>
        <v>0</v>
      </c>
      <c r="L73">
        <f t="shared" si="18"/>
        <v>0</v>
      </c>
    </row>
    <row r="74" spans="1:12" x14ac:dyDescent="0.25">
      <c r="A74" s="1">
        <v>41832</v>
      </c>
      <c r="B74">
        <v>1</v>
      </c>
      <c r="C74">
        <f t="shared" si="19"/>
        <v>2202849.0254879757</v>
      </c>
      <c r="D74">
        <f t="shared" si="10"/>
        <v>6</v>
      </c>
      <c r="E74">
        <f t="shared" si="11"/>
        <v>0</v>
      </c>
      <c r="F74">
        <f t="shared" si="12"/>
        <v>2202849.0254879757</v>
      </c>
      <c r="G74">
        <f t="shared" si="13"/>
        <v>2268934.496252615</v>
      </c>
      <c r="H74">
        <f t="shared" si="14"/>
        <v>0</v>
      </c>
      <c r="I74">
        <f t="shared" si="15"/>
        <v>2268934.496252615</v>
      </c>
      <c r="J74">
        <f t="shared" si="16"/>
        <v>2500000</v>
      </c>
      <c r="K74">
        <f t="shared" si="17"/>
        <v>231065.503747385</v>
      </c>
      <c r="L74">
        <f t="shared" si="18"/>
        <v>0</v>
      </c>
    </row>
    <row r="75" spans="1:12" x14ac:dyDescent="0.25">
      <c r="A75" s="1">
        <v>41833</v>
      </c>
      <c r="B75">
        <v>0</v>
      </c>
      <c r="C75">
        <f t="shared" si="19"/>
        <v>2500000</v>
      </c>
      <c r="D75">
        <f t="shared" si="10"/>
        <v>7</v>
      </c>
      <c r="E75">
        <f t="shared" si="11"/>
        <v>100000</v>
      </c>
      <c r="F75">
        <f t="shared" si="12"/>
        <v>2400000</v>
      </c>
      <c r="G75">
        <f t="shared" si="13"/>
        <v>2376000</v>
      </c>
      <c r="H75">
        <f t="shared" si="14"/>
        <v>0</v>
      </c>
      <c r="I75">
        <f t="shared" si="15"/>
        <v>2376000</v>
      </c>
      <c r="J75">
        <f t="shared" si="16"/>
        <v>2376000</v>
      </c>
      <c r="K75">
        <f t="shared" si="17"/>
        <v>0</v>
      </c>
      <c r="L75">
        <f t="shared" si="18"/>
        <v>0</v>
      </c>
    </row>
    <row r="76" spans="1:12" x14ac:dyDescent="0.25">
      <c r="A76" s="1">
        <v>41834</v>
      </c>
      <c r="B76">
        <v>0</v>
      </c>
      <c r="C76">
        <f t="shared" si="19"/>
        <v>2376000</v>
      </c>
      <c r="D76">
        <f t="shared" si="10"/>
        <v>1</v>
      </c>
      <c r="E76">
        <f t="shared" si="11"/>
        <v>100000</v>
      </c>
      <c r="F76">
        <f t="shared" si="12"/>
        <v>2276000</v>
      </c>
      <c r="G76">
        <f t="shared" si="13"/>
        <v>2253240</v>
      </c>
      <c r="H76">
        <f t="shared" si="14"/>
        <v>0</v>
      </c>
      <c r="I76">
        <f t="shared" si="15"/>
        <v>2253240</v>
      </c>
      <c r="J76">
        <f t="shared" si="16"/>
        <v>2253240</v>
      </c>
      <c r="K76">
        <f t="shared" si="17"/>
        <v>0</v>
      </c>
      <c r="L76">
        <f t="shared" si="18"/>
        <v>0</v>
      </c>
    </row>
    <row r="77" spans="1:12" x14ac:dyDescent="0.25">
      <c r="A77" s="1">
        <v>41835</v>
      </c>
      <c r="B77">
        <v>0</v>
      </c>
      <c r="C77">
        <f t="shared" si="19"/>
        <v>2253240</v>
      </c>
      <c r="D77">
        <f t="shared" si="10"/>
        <v>2</v>
      </c>
      <c r="E77">
        <f t="shared" si="11"/>
        <v>100000</v>
      </c>
      <c r="F77">
        <f t="shared" si="12"/>
        <v>2153240</v>
      </c>
      <c r="G77">
        <f t="shared" si="13"/>
        <v>2131707.6</v>
      </c>
      <c r="H77">
        <f t="shared" si="14"/>
        <v>0</v>
      </c>
      <c r="I77">
        <f t="shared" si="15"/>
        <v>2131707.6</v>
      </c>
      <c r="J77">
        <f t="shared" si="16"/>
        <v>2131707.6</v>
      </c>
      <c r="K77">
        <f t="shared" si="17"/>
        <v>0</v>
      </c>
      <c r="L77">
        <f t="shared" si="18"/>
        <v>0</v>
      </c>
    </row>
    <row r="78" spans="1:12" x14ac:dyDescent="0.25">
      <c r="A78" s="1">
        <v>41836</v>
      </c>
      <c r="B78">
        <v>1</v>
      </c>
      <c r="C78">
        <f t="shared" si="19"/>
        <v>2131707.6</v>
      </c>
      <c r="D78">
        <f t="shared" si="10"/>
        <v>3</v>
      </c>
      <c r="E78">
        <f t="shared" si="11"/>
        <v>0</v>
      </c>
      <c r="F78">
        <f t="shared" si="12"/>
        <v>2131707.6</v>
      </c>
      <c r="G78">
        <f t="shared" si="13"/>
        <v>2195658.8280000002</v>
      </c>
      <c r="H78">
        <f t="shared" si="14"/>
        <v>0</v>
      </c>
      <c r="I78">
        <f t="shared" si="15"/>
        <v>2195658.8280000002</v>
      </c>
      <c r="J78">
        <f t="shared" si="16"/>
        <v>2195658.8280000002</v>
      </c>
      <c r="K78">
        <f t="shared" si="17"/>
        <v>0</v>
      </c>
      <c r="L78">
        <f t="shared" si="18"/>
        <v>0</v>
      </c>
    </row>
    <row r="79" spans="1:12" x14ac:dyDescent="0.25">
      <c r="A79" s="1">
        <v>41837</v>
      </c>
      <c r="B79">
        <v>1</v>
      </c>
      <c r="C79">
        <f t="shared" si="19"/>
        <v>2195658.8280000002</v>
      </c>
      <c r="D79">
        <f t="shared" si="10"/>
        <v>4</v>
      </c>
      <c r="E79">
        <f t="shared" si="11"/>
        <v>0</v>
      </c>
      <c r="F79">
        <f t="shared" si="12"/>
        <v>2195658.8280000002</v>
      </c>
      <c r="G79">
        <f t="shared" si="13"/>
        <v>2261528.5928400001</v>
      </c>
      <c r="H79">
        <f t="shared" si="14"/>
        <v>0</v>
      </c>
      <c r="I79">
        <f t="shared" si="15"/>
        <v>2261528.5928400001</v>
      </c>
      <c r="J79">
        <f t="shared" si="16"/>
        <v>2261528.5928400001</v>
      </c>
      <c r="K79">
        <f t="shared" si="17"/>
        <v>0</v>
      </c>
      <c r="L79">
        <f t="shared" si="18"/>
        <v>0</v>
      </c>
    </row>
    <row r="80" spans="1:12" x14ac:dyDescent="0.25">
      <c r="A80" s="1">
        <v>41838</v>
      </c>
      <c r="B80">
        <v>1</v>
      </c>
      <c r="C80">
        <f t="shared" si="19"/>
        <v>2261528.5928400001</v>
      </c>
      <c r="D80">
        <f t="shared" si="10"/>
        <v>5</v>
      </c>
      <c r="E80">
        <f t="shared" si="11"/>
        <v>0</v>
      </c>
      <c r="F80">
        <f t="shared" si="12"/>
        <v>2261528.5928400001</v>
      </c>
      <c r="G80">
        <f t="shared" si="13"/>
        <v>2329374.4506252003</v>
      </c>
      <c r="H80">
        <f t="shared" si="14"/>
        <v>0</v>
      </c>
      <c r="I80">
        <f t="shared" si="15"/>
        <v>2329374.4506252003</v>
      </c>
      <c r="J80">
        <f t="shared" si="16"/>
        <v>2329374.4506252003</v>
      </c>
      <c r="K80">
        <f t="shared" si="17"/>
        <v>0</v>
      </c>
      <c r="L80">
        <f t="shared" si="18"/>
        <v>0</v>
      </c>
    </row>
    <row r="81" spans="1:12" x14ac:dyDescent="0.25">
      <c r="A81" s="1">
        <v>41839</v>
      </c>
      <c r="B81">
        <v>1</v>
      </c>
      <c r="C81">
        <f t="shared" si="19"/>
        <v>2329374.4506252003</v>
      </c>
      <c r="D81">
        <f t="shared" si="10"/>
        <v>6</v>
      </c>
      <c r="E81">
        <f t="shared" si="11"/>
        <v>0</v>
      </c>
      <c r="F81">
        <f t="shared" si="12"/>
        <v>2329374.4506252003</v>
      </c>
      <c r="G81">
        <f t="shared" si="13"/>
        <v>2399255.6841439563</v>
      </c>
      <c r="H81">
        <f t="shared" si="14"/>
        <v>0</v>
      </c>
      <c r="I81">
        <f t="shared" si="15"/>
        <v>2399255.6841439563</v>
      </c>
      <c r="J81">
        <f t="shared" si="16"/>
        <v>2500000</v>
      </c>
      <c r="K81">
        <f t="shared" si="17"/>
        <v>100744.31585604372</v>
      </c>
      <c r="L81">
        <f t="shared" si="18"/>
        <v>0</v>
      </c>
    </row>
    <row r="82" spans="1:12" x14ac:dyDescent="0.25">
      <c r="A82" s="1">
        <v>41840</v>
      </c>
      <c r="B82">
        <v>1</v>
      </c>
      <c r="C82">
        <f t="shared" si="19"/>
        <v>2500000</v>
      </c>
      <c r="D82">
        <f t="shared" si="10"/>
        <v>7</v>
      </c>
      <c r="E82">
        <f t="shared" si="11"/>
        <v>0</v>
      </c>
      <c r="F82">
        <f t="shared" si="12"/>
        <v>2500000</v>
      </c>
      <c r="G82">
        <f t="shared" si="13"/>
        <v>2575000</v>
      </c>
      <c r="H82">
        <f t="shared" si="14"/>
        <v>1</v>
      </c>
      <c r="I82">
        <f t="shared" si="15"/>
        <v>2500000</v>
      </c>
      <c r="J82">
        <f t="shared" si="16"/>
        <v>2500000</v>
      </c>
      <c r="K82">
        <f t="shared" si="17"/>
        <v>0</v>
      </c>
      <c r="L82">
        <f t="shared" si="18"/>
        <v>75000</v>
      </c>
    </row>
    <row r="83" spans="1:12" x14ac:dyDescent="0.25">
      <c r="A83" s="1">
        <v>41841</v>
      </c>
      <c r="B83">
        <v>1</v>
      </c>
      <c r="C83">
        <f t="shared" si="19"/>
        <v>2500000</v>
      </c>
      <c r="D83">
        <f t="shared" si="10"/>
        <v>1</v>
      </c>
      <c r="E83">
        <f t="shared" si="11"/>
        <v>0</v>
      </c>
      <c r="F83">
        <f t="shared" si="12"/>
        <v>2500000</v>
      </c>
      <c r="G83">
        <f t="shared" si="13"/>
        <v>2575000</v>
      </c>
      <c r="H83">
        <f t="shared" si="14"/>
        <v>1</v>
      </c>
      <c r="I83">
        <f t="shared" si="15"/>
        <v>2500000</v>
      </c>
      <c r="J83">
        <f t="shared" si="16"/>
        <v>2500000</v>
      </c>
      <c r="K83">
        <f t="shared" si="17"/>
        <v>0</v>
      </c>
      <c r="L83">
        <f t="shared" si="18"/>
        <v>75000</v>
      </c>
    </row>
    <row r="84" spans="1:12" x14ac:dyDescent="0.25">
      <c r="A84" s="1">
        <v>41842</v>
      </c>
      <c r="B84">
        <v>0</v>
      </c>
      <c r="C84">
        <f t="shared" si="19"/>
        <v>2500000</v>
      </c>
      <c r="D84">
        <f t="shared" si="10"/>
        <v>2</v>
      </c>
      <c r="E84">
        <f t="shared" si="11"/>
        <v>100000</v>
      </c>
      <c r="F84">
        <f t="shared" si="12"/>
        <v>2400000</v>
      </c>
      <c r="G84">
        <f t="shared" si="13"/>
        <v>2376000</v>
      </c>
      <c r="H84">
        <f t="shared" si="14"/>
        <v>0</v>
      </c>
      <c r="I84">
        <f t="shared" si="15"/>
        <v>2376000</v>
      </c>
      <c r="J84">
        <f t="shared" si="16"/>
        <v>2376000</v>
      </c>
      <c r="K84">
        <f t="shared" si="17"/>
        <v>0</v>
      </c>
      <c r="L84">
        <f t="shared" si="18"/>
        <v>0</v>
      </c>
    </row>
    <row r="85" spans="1:12" x14ac:dyDescent="0.25">
      <c r="A85" s="1">
        <v>41843</v>
      </c>
      <c r="B85">
        <v>0</v>
      </c>
      <c r="C85">
        <f t="shared" si="19"/>
        <v>2376000</v>
      </c>
      <c r="D85">
        <f t="shared" si="10"/>
        <v>3</v>
      </c>
      <c r="E85">
        <f t="shared" si="11"/>
        <v>100000</v>
      </c>
      <c r="F85">
        <f t="shared" si="12"/>
        <v>2276000</v>
      </c>
      <c r="G85">
        <f t="shared" si="13"/>
        <v>2253240</v>
      </c>
      <c r="H85">
        <f t="shared" si="14"/>
        <v>0</v>
      </c>
      <c r="I85">
        <f t="shared" si="15"/>
        <v>2253240</v>
      </c>
      <c r="J85">
        <f t="shared" si="16"/>
        <v>2253240</v>
      </c>
      <c r="K85">
        <f t="shared" si="17"/>
        <v>0</v>
      </c>
      <c r="L85">
        <f t="shared" si="18"/>
        <v>0</v>
      </c>
    </row>
    <row r="86" spans="1:12" x14ac:dyDescent="0.25">
      <c r="A86" s="1">
        <v>41844</v>
      </c>
      <c r="B86">
        <v>0</v>
      </c>
      <c r="C86">
        <f t="shared" si="19"/>
        <v>2253240</v>
      </c>
      <c r="D86">
        <f t="shared" si="10"/>
        <v>4</v>
      </c>
      <c r="E86">
        <f t="shared" si="11"/>
        <v>100000</v>
      </c>
      <c r="F86">
        <f t="shared" si="12"/>
        <v>2153240</v>
      </c>
      <c r="G86">
        <f t="shared" si="13"/>
        <v>2131707.6</v>
      </c>
      <c r="H86">
        <f t="shared" si="14"/>
        <v>0</v>
      </c>
      <c r="I86">
        <f t="shared" si="15"/>
        <v>2131707.6</v>
      </c>
      <c r="J86">
        <f t="shared" si="16"/>
        <v>2131707.6</v>
      </c>
      <c r="K86">
        <f t="shared" si="17"/>
        <v>0</v>
      </c>
      <c r="L86">
        <f t="shared" si="18"/>
        <v>0</v>
      </c>
    </row>
    <row r="87" spans="1:12" x14ac:dyDescent="0.25">
      <c r="A87" s="1">
        <v>41845</v>
      </c>
      <c r="B87">
        <v>0</v>
      </c>
      <c r="C87">
        <f t="shared" si="19"/>
        <v>2131707.6</v>
      </c>
      <c r="D87">
        <f t="shared" si="10"/>
        <v>5</v>
      </c>
      <c r="E87">
        <f t="shared" si="11"/>
        <v>100000</v>
      </c>
      <c r="F87">
        <f t="shared" si="12"/>
        <v>2031707.6</v>
      </c>
      <c r="G87">
        <f t="shared" si="13"/>
        <v>2011390.524</v>
      </c>
      <c r="H87">
        <f t="shared" si="14"/>
        <v>0</v>
      </c>
      <c r="I87">
        <f t="shared" si="15"/>
        <v>2011390.524</v>
      </c>
      <c r="J87">
        <f t="shared" si="16"/>
        <v>2011390.524</v>
      </c>
      <c r="K87">
        <f t="shared" si="17"/>
        <v>0</v>
      </c>
      <c r="L87">
        <f t="shared" si="18"/>
        <v>0</v>
      </c>
    </row>
    <row r="88" spans="1:12" x14ac:dyDescent="0.25">
      <c r="A88" s="1">
        <v>41846</v>
      </c>
      <c r="B88">
        <v>0</v>
      </c>
      <c r="C88">
        <f t="shared" si="19"/>
        <v>2011390.524</v>
      </c>
      <c r="D88">
        <f t="shared" si="10"/>
        <v>6</v>
      </c>
      <c r="E88">
        <f t="shared" si="11"/>
        <v>100000</v>
      </c>
      <c r="F88">
        <f t="shared" si="12"/>
        <v>1911390.524</v>
      </c>
      <c r="G88">
        <f t="shared" si="13"/>
        <v>1892276.61876</v>
      </c>
      <c r="H88">
        <f t="shared" si="14"/>
        <v>0</v>
      </c>
      <c r="I88">
        <f t="shared" si="15"/>
        <v>1892276.61876</v>
      </c>
      <c r="J88">
        <f t="shared" si="16"/>
        <v>2392276.61876</v>
      </c>
      <c r="K88">
        <f t="shared" si="17"/>
        <v>500000</v>
      </c>
      <c r="L88">
        <f t="shared" si="18"/>
        <v>0</v>
      </c>
    </row>
    <row r="89" spans="1:12" x14ac:dyDescent="0.25">
      <c r="A89" s="1">
        <v>41847</v>
      </c>
      <c r="B89">
        <v>0</v>
      </c>
      <c r="C89">
        <f t="shared" si="19"/>
        <v>2392276.61876</v>
      </c>
      <c r="D89">
        <f t="shared" si="10"/>
        <v>7</v>
      </c>
      <c r="E89">
        <f t="shared" si="11"/>
        <v>100000</v>
      </c>
      <c r="F89">
        <f t="shared" si="12"/>
        <v>2292276.61876</v>
      </c>
      <c r="G89">
        <f t="shared" si="13"/>
        <v>2269353.8525724001</v>
      </c>
      <c r="H89">
        <f t="shared" si="14"/>
        <v>0</v>
      </c>
      <c r="I89">
        <f t="shared" si="15"/>
        <v>2269353.8525724001</v>
      </c>
      <c r="J89">
        <f t="shared" si="16"/>
        <v>2269353.8525724001</v>
      </c>
      <c r="K89">
        <f t="shared" si="17"/>
        <v>0</v>
      </c>
      <c r="L89">
        <f t="shared" si="18"/>
        <v>0</v>
      </c>
    </row>
    <row r="90" spans="1:12" x14ac:dyDescent="0.25">
      <c r="A90" s="1">
        <v>41848</v>
      </c>
      <c r="B90">
        <v>1</v>
      </c>
      <c r="C90">
        <f t="shared" si="19"/>
        <v>2269353.8525724001</v>
      </c>
      <c r="D90">
        <f t="shared" si="10"/>
        <v>1</v>
      </c>
      <c r="E90">
        <f t="shared" si="11"/>
        <v>0</v>
      </c>
      <c r="F90">
        <f t="shared" si="12"/>
        <v>2269353.8525724001</v>
      </c>
      <c r="G90">
        <f t="shared" si="13"/>
        <v>2337434.4681495721</v>
      </c>
      <c r="H90">
        <f t="shared" si="14"/>
        <v>0</v>
      </c>
      <c r="I90">
        <f t="shared" si="15"/>
        <v>2337434.4681495721</v>
      </c>
      <c r="J90">
        <f t="shared" si="16"/>
        <v>2337434.4681495721</v>
      </c>
      <c r="K90">
        <f t="shared" si="17"/>
        <v>0</v>
      </c>
      <c r="L90">
        <f t="shared" si="18"/>
        <v>0</v>
      </c>
    </row>
    <row r="91" spans="1:12" x14ac:dyDescent="0.25">
      <c r="A91" s="1">
        <v>41849</v>
      </c>
      <c r="B91">
        <v>1</v>
      </c>
      <c r="C91">
        <f t="shared" si="19"/>
        <v>2337434.4681495721</v>
      </c>
      <c r="D91">
        <f t="shared" si="10"/>
        <v>2</v>
      </c>
      <c r="E91">
        <f t="shared" si="11"/>
        <v>0</v>
      </c>
      <c r="F91">
        <f t="shared" si="12"/>
        <v>2337434.4681495721</v>
      </c>
      <c r="G91">
        <f t="shared" si="13"/>
        <v>2407557.5021940595</v>
      </c>
      <c r="H91">
        <f t="shared" si="14"/>
        <v>0</v>
      </c>
      <c r="I91">
        <f t="shared" si="15"/>
        <v>2407557.5021940595</v>
      </c>
      <c r="J91">
        <f t="shared" si="16"/>
        <v>2407557.5021940595</v>
      </c>
      <c r="K91">
        <f t="shared" si="17"/>
        <v>0</v>
      </c>
      <c r="L91">
        <f t="shared" si="18"/>
        <v>0</v>
      </c>
    </row>
    <row r="92" spans="1:12" x14ac:dyDescent="0.25">
      <c r="A92" s="1">
        <v>41850</v>
      </c>
      <c r="B92">
        <v>0</v>
      </c>
      <c r="C92">
        <f t="shared" si="19"/>
        <v>2407557.5021940595</v>
      </c>
      <c r="D92">
        <f t="shared" si="10"/>
        <v>3</v>
      </c>
      <c r="E92">
        <f t="shared" si="11"/>
        <v>100000</v>
      </c>
      <c r="F92">
        <f t="shared" si="12"/>
        <v>2307557.5021940595</v>
      </c>
      <c r="G92">
        <f t="shared" si="13"/>
        <v>2284481.9271721188</v>
      </c>
      <c r="H92">
        <f t="shared" si="14"/>
        <v>0</v>
      </c>
      <c r="I92">
        <f t="shared" si="15"/>
        <v>2284481.9271721188</v>
      </c>
      <c r="J92">
        <f t="shared" si="16"/>
        <v>2284481.9271721188</v>
      </c>
      <c r="K92">
        <f t="shared" si="17"/>
        <v>0</v>
      </c>
      <c r="L92">
        <f t="shared" si="18"/>
        <v>0</v>
      </c>
    </row>
    <row r="93" spans="1:12" x14ac:dyDescent="0.25">
      <c r="A93" s="1">
        <v>41851</v>
      </c>
      <c r="B93">
        <v>0</v>
      </c>
      <c r="C93">
        <f t="shared" si="19"/>
        <v>2284481.9271721188</v>
      </c>
      <c r="D93">
        <f t="shared" si="10"/>
        <v>4</v>
      </c>
      <c r="E93">
        <f t="shared" si="11"/>
        <v>100000</v>
      </c>
      <c r="F93">
        <f t="shared" si="12"/>
        <v>2184481.9271721188</v>
      </c>
      <c r="G93">
        <f t="shared" si="13"/>
        <v>2162637.1079003974</v>
      </c>
      <c r="H93">
        <f t="shared" si="14"/>
        <v>0</v>
      </c>
      <c r="I93">
        <f t="shared" si="15"/>
        <v>2162637.1079003974</v>
      </c>
      <c r="J93">
        <f t="shared" si="16"/>
        <v>2162637.1079003974</v>
      </c>
      <c r="K93">
        <f t="shared" si="17"/>
        <v>0</v>
      </c>
      <c r="L93">
        <f t="shared" si="18"/>
        <v>0</v>
      </c>
    </row>
    <row r="94" spans="1:12" x14ac:dyDescent="0.25">
      <c r="A94" s="1">
        <v>41852</v>
      </c>
      <c r="B94">
        <v>0</v>
      </c>
      <c r="C94">
        <f t="shared" si="19"/>
        <v>2162637.1079003974</v>
      </c>
      <c r="D94">
        <f t="shared" si="10"/>
        <v>5</v>
      </c>
      <c r="E94">
        <f t="shared" si="11"/>
        <v>100000</v>
      </c>
      <c r="F94">
        <f t="shared" si="12"/>
        <v>2062637.1079003974</v>
      </c>
      <c r="G94">
        <f t="shared" si="13"/>
        <v>2042010.7368213935</v>
      </c>
      <c r="H94">
        <f t="shared" si="14"/>
        <v>0</v>
      </c>
      <c r="I94">
        <f t="shared" si="15"/>
        <v>2042010.7368213935</v>
      </c>
      <c r="J94">
        <f t="shared" si="16"/>
        <v>2042010.7368213935</v>
      </c>
      <c r="K94">
        <f t="shared" si="17"/>
        <v>0</v>
      </c>
      <c r="L94">
        <f t="shared" si="18"/>
        <v>0</v>
      </c>
    </row>
    <row r="95" spans="1:12" x14ac:dyDescent="0.25">
      <c r="A95" s="1">
        <v>41853</v>
      </c>
      <c r="B95">
        <v>0</v>
      </c>
      <c r="C95">
        <f t="shared" si="19"/>
        <v>2042010.7368213935</v>
      </c>
      <c r="D95">
        <f t="shared" si="10"/>
        <v>6</v>
      </c>
      <c r="E95">
        <f t="shared" si="11"/>
        <v>100000</v>
      </c>
      <c r="F95">
        <f t="shared" si="12"/>
        <v>1942010.7368213935</v>
      </c>
      <c r="G95">
        <f t="shared" si="13"/>
        <v>1922590.6294531794</v>
      </c>
      <c r="H95">
        <f t="shared" si="14"/>
        <v>0</v>
      </c>
      <c r="I95">
        <f t="shared" si="15"/>
        <v>1922590.6294531794</v>
      </c>
      <c r="J95">
        <f t="shared" si="16"/>
        <v>2422590.6294531794</v>
      </c>
      <c r="K95">
        <f t="shared" si="17"/>
        <v>500000</v>
      </c>
      <c r="L95">
        <f t="shared" si="18"/>
        <v>0</v>
      </c>
    </row>
    <row r="96" spans="1:12" x14ac:dyDescent="0.25">
      <c r="A96" s="1">
        <v>41854</v>
      </c>
      <c r="B96">
        <v>0</v>
      </c>
      <c r="C96">
        <f t="shared" si="19"/>
        <v>2422590.6294531794</v>
      </c>
      <c r="D96">
        <f t="shared" si="10"/>
        <v>7</v>
      </c>
      <c r="E96">
        <f t="shared" si="11"/>
        <v>100000</v>
      </c>
      <c r="F96">
        <f t="shared" si="12"/>
        <v>2322590.6294531794</v>
      </c>
      <c r="G96">
        <f t="shared" si="13"/>
        <v>2299364.7231586478</v>
      </c>
      <c r="H96">
        <f t="shared" si="14"/>
        <v>0</v>
      </c>
      <c r="I96">
        <f t="shared" si="15"/>
        <v>2299364.7231586478</v>
      </c>
      <c r="J96">
        <f t="shared" si="16"/>
        <v>2299364.7231586478</v>
      </c>
      <c r="K96">
        <f t="shared" si="17"/>
        <v>0</v>
      </c>
      <c r="L96">
        <f t="shared" si="18"/>
        <v>0</v>
      </c>
    </row>
    <row r="97" spans="1:12" x14ac:dyDescent="0.25">
      <c r="A97" s="1">
        <v>41855</v>
      </c>
      <c r="B97">
        <v>0</v>
      </c>
      <c r="C97">
        <f t="shared" si="19"/>
        <v>2299364.7231586478</v>
      </c>
      <c r="D97">
        <f t="shared" si="10"/>
        <v>1</v>
      </c>
      <c r="E97">
        <f t="shared" si="11"/>
        <v>100000</v>
      </c>
      <c r="F97">
        <f t="shared" si="12"/>
        <v>2199364.7231586478</v>
      </c>
      <c r="G97">
        <f t="shared" si="13"/>
        <v>2177371.0759270615</v>
      </c>
      <c r="H97">
        <f t="shared" si="14"/>
        <v>0</v>
      </c>
      <c r="I97">
        <f t="shared" si="15"/>
        <v>2177371.0759270615</v>
      </c>
      <c r="J97">
        <f t="shared" si="16"/>
        <v>2177371.0759270615</v>
      </c>
      <c r="K97">
        <f t="shared" si="17"/>
        <v>0</v>
      </c>
      <c r="L97">
        <f t="shared" si="18"/>
        <v>0</v>
      </c>
    </row>
    <row r="98" spans="1:12" x14ac:dyDescent="0.25">
      <c r="A98" s="1">
        <v>41856</v>
      </c>
      <c r="B98">
        <v>1</v>
      </c>
      <c r="C98">
        <f t="shared" si="19"/>
        <v>2177371.0759270615</v>
      </c>
      <c r="D98">
        <f t="shared" si="10"/>
        <v>2</v>
      </c>
      <c r="E98">
        <f t="shared" si="11"/>
        <v>0</v>
      </c>
      <c r="F98">
        <f t="shared" si="12"/>
        <v>2177371.0759270615</v>
      </c>
      <c r="G98">
        <f t="shared" si="13"/>
        <v>2242692.2082048734</v>
      </c>
      <c r="H98">
        <f t="shared" si="14"/>
        <v>0</v>
      </c>
      <c r="I98">
        <f t="shared" si="15"/>
        <v>2242692.2082048734</v>
      </c>
      <c r="J98">
        <f t="shared" si="16"/>
        <v>2242692.2082048734</v>
      </c>
      <c r="K98">
        <f t="shared" si="17"/>
        <v>0</v>
      </c>
      <c r="L98">
        <f t="shared" si="18"/>
        <v>0</v>
      </c>
    </row>
    <row r="99" spans="1:12" x14ac:dyDescent="0.25">
      <c r="A99" s="1">
        <v>41857</v>
      </c>
      <c r="B99">
        <v>0</v>
      </c>
      <c r="C99">
        <f t="shared" si="19"/>
        <v>2242692.2082048734</v>
      </c>
      <c r="D99">
        <f t="shared" si="10"/>
        <v>3</v>
      </c>
      <c r="E99">
        <f t="shared" si="11"/>
        <v>100000</v>
      </c>
      <c r="F99">
        <f t="shared" si="12"/>
        <v>2142692.2082048734</v>
      </c>
      <c r="G99">
        <f t="shared" si="13"/>
        <v>2121265.2861228245</v>
      </c>
      <c r="H99">
        <f t="shared" si="14"/>
        <v>0</v>
      </c>
      <c r="I99">
        <f t="shared" si="15"/>
        <v>2121265.2861228245</v>
      </c>
      <c r="J99">
        <f t="shared" si="16"/>
        <v>2121265.2861228245</v>
      </c>
      <c r="K99">
        <f t="shared" si="17"/>
        <v>0</v>
      </c>
      <c r="L99">
        <f t="shared" si="18"/>
        <v>0</v>
      </c>
    </row>
    <row r="100" spans="1:12" x14ac:dyDescent="0.25">
      <c r="A100" s="1">
        <v>41858</v>
      </c>
      <c r="B100">
        <v>1</v>
      </c>
      <c r="C100">
        <f t="shared" si="19"/>
        <v>2121265.2861228245</v>
      </c>
      <c r="D100">
        <f t="shared" si="10"/>
        <v>4</v>
      </c>
      <c r="E100">
        <f t="shared" si="11"/>
        <v>0</v>
      </c>
      <c r="F100">
        <f t="shared" si="12"/>
        <v>2121265.2861228245</v>
      </c>
      <c r="G100">
        <f t="shared" si="13"/>
        <v>2184903.2447065092</v>
      </c>
      <c r="H100">
        <f t="shared" si="14"/>
        <v>0</v>
      </c>
      <c r="I100">
        <f t="shared" si="15"/>
        <v>2184903.2447065092</v>
      </c>
      <c r="J100">
        <f t="shared" si="16"/>
        <v>2184903.2447065092</v>
      </c>
      <c r="K100">
        <f t="shared" si="17"/>
        <v>0</v>
      </c>
      <c r="L100">
        <f t="shared" si="18"/>
        <v>0</v>
      </c>
    </row>
    <row r="101" spans="1:12" x14ac:dyDescent="0.25">
      <c r="A101" s="1">
        <v>41859</v>
      </c>
      <c r="B101">
        <v>1</v>
      </c>
      <c r="C101">
        <f t="shared" si="19"/>
        <v>2184903.2447065092</v>
      </c>
      <c r="D101">
        <f t="shared" si="10"/>
        <v>5</v>
      </c>
      <c r="E101">
        <f t="shared" si="11"/>
        <v>0</v>
      </c>
      <c r="F101">
        <f t="shared" si="12"/>
        <v>2184903.2447065092</v>
      </c>
      <c r="G101">
        <f t="shared" si="13"/>
        <v>2250450.3420477044</v>
      </c>
      <c r="H101">
        <f t="shared" si="14"/>
        <v>0</v>
      </c>
      <c r="I101">
        <f t="shared" si="15"/>
        <v>2250450.3420477044</v>
      </c>
      <c r="J101">
        <f t="shared" si="16"/>
        <v>2250450.3420477044</v>
      </c>
      <c r="K101">
        <f t="shared" si="17"/>
        <v>0</v>
      </c>
      <c r="L101">
        <f t="shared" si="18"/>
        <v>0</v>
      </c>
    </row>
    <row r="102" spans="1:12" x14ac:dyDescent="0.25">
      <c r="A102" s="1">
        <v>41860</v>
      </c>
      <c r="B102">
        <v>0</v>
      </c>
      <c r="C102">
        <f t="shared" si="19"/>
        <v>2250450.3420477044</v>
      </c>
      <c r="D102">
        <f t="shared" si="10"/>
        <v>6</v>
      </c>
      <c r="E102">
        <f t="shared" si="11"/>
        <v>100000</v>
      </c>
      <c r="F102">
        <f t="shared" si="12"/>
        <v>2150450.3420477044</v>
      </c>
      <c r="G102">
        <f t="shared" si="13"/>
        <v>2128945.8386272271</v>
      </c>
      <c r="H102">
        <f t="shared" si="14"/>
        <v>0</v>
      </c>
      <c r="I102">
        <f t="shared" si="15"/>
        <v>2128945.8386272271</v>
      </c>
      <c r="J102">
        <f t="shared" si="16"/>
        <v>2500000</v>
      </c>
      <c r="K102">
        <f t="shared" si="17"/>
        <v>371054.16137277288</v>
      </c>
      <c r="L102">
        <f t="shared" si="18"/>
        <v>0</v>
      </c>
    </row>
    <row r="103" spans="1:12" x14ac:dyDescent="0.25">
      <c r="A103" s="1">
        <v>41861</v>
      </c>
      <c r="B103">
        <v>0</v>
      </c>
      <c r="C103">
        <f t="shared" si="19"/>
        <v>2500000</v>
      </c>
      <c r="D103">
        <f t="shared" si="10"/>
        <v>7</v>
      </c>
      <c r="E103">
        <f t="shared" si="11"/>
        <v>100000</v>
      </c>
      <c r="F103">
        <f t="shared" si="12"/>
        <v>2400000</v>
      </c>
      <c r="G103">
        <f t="shared" si="13"/>
        <v>2376000</v>
      </c>
      <c r="H103">
        <f t="shared" si="14"/>
        <v>0</v>
      </c>
      <c r="I103">
        <f t="shared" si="15"/>
        <v>2376000</v>
      </c>
      <c r="J103">
        <f t="shared" si="16"/>
        <v>2376000</v>
      </c>
      <c r="K103">
        <f t="shared" si="17"/>
        <v>0</v>
      </c>
      <c r="L103">
        <f t="shared" si="18"/>
        <v>0</v>
      </c>
    </row>
    <row r="104" spans="1:12" x14ac:dyDescent="0.25">
      <c r="A104" s="1">
        <v>41862</v>
      </c>
      <c r="B104">
        <v>0</v>
      </c>
      <c r="C104">
        <f t="shared" si="19"/>
        <v>2376000</v>
      </c>
      <c r="D104">
        <f t="shared" si="10"/>
        <v>1</v>
      </c>
      <c r="E104">
        <f t="shared" si="11"/>
        <v>100000</v>
      </c>
      <c r="F104">
        <f t="shared" si="12"/>
        <v>2276000</v>
      </c>
      <c r="G104">
        <f t="shared" si="13"/>
        <v>2253240</v>
      </c>
      <c r="H104">
        <f t="shared" si="14"/>
        <v>0</v>
      </c>
      <c r="I104">
        <f t="shared" si="15"/>
        <v>2253240</v>
      </c>
      <c r="J104">
        <f t="shared" si="16"/>
        <v>2253240</v>
      </c>
      <c r="K104">
        <f t="shared" si="17"/>
        <v>0</v>
      </c>
      <c r="L104">
        <f t="shared" si="18"/>
        <v>0</v>
      </c>
    </row>
    <row r="105" spans="1:12" x14ac:dyDescent="0.25">
      <c r="A105" s="1">
        <v>41863</v>
      </c>
      <c r="B105">
        <v>0</v>
      </c>
      <c r="C105">
        <f t="shared" si="19"/>
        <v>2253240</v>
      </c>
      <c r="D105">
        <f t="shared" si="10"/>
        <v>2</v>
      </c>
      <c r="E105">
        <f t="shared" si="11"/>
        <v>100000</v>
      </c>
      <c r="F105">
        <f t="shared" si="12"/>
        <v>2153240</v>
      </c>
      <c r="G105">
        <f t="shared" si="13"/>
        <v>2131707.6</v>
      </c>
      <c r="H105">
        <f t="shared" si="14"/>
        <v>0</v>
      </c>
      <c r="I105">
        <f t="shared" si="15"/>
        <v>2131707.6</v>
      </c>
      <c r="J105">
        <f t="shared" si="16"/>
        <v>2131707.6</v>
      </c>
      <c r="K105">
        <f t="shared" si="17"/>
        <v>0</v>
      </c>
      <c r="L105">
        <f t="shared" si="18"/>
        <v>0</v>
      </c>
    </row>
    <row r="106" spans="1:12" x14ac:dyDescent="0.25">
      <c r="A106" s="1">
        <v>41864</v>
      </c>
      <c r="B106">
        <v>1</v>
      </c>
      <c r="C106">
        <f t="shared" si="19"/>
        <v>2131707.6</v>
      </c>
      <c r="D106">
        <f t="shared" si="10"/>
        <v>3</v>
      </c>
      <c r="E106">
        <f t="shared" si="11"/>
        <v>0</v>
      </c>
      <c r="F106">
        <f t="shared" si="12"/>
        <v>2131707.6</v>
      </c>
      <c r="G106">
        <f t="shared" si="13"/>
        <v>2195658.8280000002</v>
      </c>
      <c r="H106">
        <f t="shared" si="14"/>
        <v>0</v>
      </c>
      <c r="I106">
        <f t="shared" si="15"/>
        <v>2195658.8280000002</v>
      </c>
      <c r="J106">
        <f t="shared" si="16"/>
        <v>2195658.8280000002</v>
      </c>
      <c r="K106">
        <f t="shared" si="17"/>
        <v>0</v>
      </c>
      <c r="L106">
        <f t="shared" si="18"/>
        <v>0</v>
      </c>
    </row>
    <row r="107" spans="1:12" x14ac:dyDescent="0.25">
      <c r="A107" s="1">
        <v>41865</v>
      </c>
      <c r="B107">
        <v>0</v>
      </c>
      <c r="C107">
        <f t="shared" si="19"/>
        <v>2195658.8280000002</v>
      </c>
      <c r="D107">
        <f t="shared" si="10"/>
        <v>4</v>
      </c>
      <c r="E107">
        <f t="shared" si="11"/>
        <v>100000</v>
      </c>
      <c r="F107">
        <f t="shared" si="12"/>
        <v>2095658.8280000002</v>
      </c>
      <c r="G107">
        <f t="shared" si="13"/>
        <v>2074702.2397200002</v>
      </c>
      <c r="H107">
        <f t="shared" si="14"/>
        <v>0</v>
      </c>
      <c r="I107">
        <f t="shared" si="15"/>
        <v>2074702.2397200002</v>
      </c>
      <c r="J107">
        <f t="shared" si="16"/>
        <v>2074702.2397200002</v>
      </c>
      <c r="K107">
        <f t="shared" si="17"/>
        <v>0</v>
      </c>
      <c r="L107">
        <f t="shared" si="18"/>
        <v>0</v>
      </c>
    </row>
    <row r="108" spans="1:12" x14ac:dyDescent="0.25">
      <c r="A108" s="1">
        <v>41866</v>
      </c>
      <c r="B108">
        <v>1</v>
      </c>
      <c r="C108">
        <f t="shared" si="19"/>
        <v>2074702.2397200002</v>
      </c>
      <c r="D108">
        <f t="shared" si="10"/>
        <v>5</v>
      </c>
      <c r="E108">
        <f t="shared" si="11"/>
        <v>0</v>
      </c>
      <c r="F108">
        <f t="shared" si="12"/>
        <v>2074702.2397200002</v>
      </c>
      <c r="G108">
        <f t="shared" si="13"/>
        <v>2136943.3069116003</v>
      </c>
      <c r="H108">
        <f t="shared" si="14"/>
        <v>0</v>
      </c>
      <c r="I108">
        <f t="shared" si="15"/>
        <v>2136943.3069116003</v>
      </c>
      <c r="J108">
        <f t="shared" si="16"/>
        <v>2136943.3069116003</v>
      </c>
      <c r="K108">
        <f t="shared" si="17"/>
        <v>0</v>
      </c>
      <c r="L108">
        <f t="shared" si="18"/>
        <v>0</v>
      </c>
    </row>
    <row r="109" spans="1:12" x14ac:dyDescent="0.25">
      <c r="A109" s="1">
        <v>41867</v>
      </c>
      <c r="B109">
        <v>1</v>
      </c>
      <c r="C109">
        <f t="shared" si="19"/>
        <v>2136943.3069116003</v>
      </c>
      <c r="D109">
        <f t="shared" si="10"/>
        <v>6</v>
      </c>
      <c r="E109">
        <f t="shared" si="11"/>
        <v>0</v>
      </c>
      <c r="F109">
        <f t="shared" si="12"/>
        <v>2136943.3069116003</v>
      </c>
      <c r="G109">
        <f t="shared" si="13"/>
        <v>2201051.6061189482</v>
      </c>
      <c r="H109">
        <f t="shared" si="14"/>
        <v>0</v>
      </c>
      <c r="I109">
        <f t="shared" si="15"/>
        <v>2201051.6061189482</v>
      </c>
      <c r="J109">
        <f t="shared" si="16"/>
        <v>2500000</v>
      </c>
      <c r="K109">
        <f t="shared" si="17"/>
        <v>298948.3938810518</v>
      </c>
      <c r="L109">
        <f t="shared" si="18"/>
        <v>0</v>
      </c>
    </row>
    <row r="110" spans="1:12" x14ac:dyDescent="0.25">
      <c r="A110" s="1">
        <v>41868</v>
      </c>
      <c r="B110">
        <v>1</v>
      </c>
      <c r="C110">
        <f t="shared" si="19"/>
        <v>2500000</v>
      </c>
      <c r="D110">
        <f t="shared" si="10"/>
        <v>7</v>
      </c>
      <c r="E110">
        <f t="shared" si="11"/>
        <v>0</v>
      </c>
      <c r="F110">
        <f t="shared" si="12"/>
        <v>2500000</v>
      </c>
      <c r="G110">
        <f t="shared" si="13"/>
        <v>2575000</v>
      </c>
      <c r="H110">
        <f t="shared" si="14"/>
        <v>1</v>
      </c>
      <c r="I110">
        <f t="shared" si="15"/>
        <v>2500000</v>
      </c>
      <c r="J110">
        <f t="shared" si="16"/>
        <v>2500000</v>
      </c>
      <c r="K110">
        <f t="shared" si="17"/>
        <v>0</v>
      </c>
      <c r="L110">
        <f t="shared" si="18"/>
        <v>75000</v>
      </c>
    </row>
    <row r="111" spans="1:12" x14ac:dyDescent="0.25">
      <c r="A111" s="1">
        <v>41869</v>
      </c>
      <c r="B111">
        <v>0</v>
      </c>
      <c r="C111">
        <f t="shared" si="19"/>
        <v>2500000</v>
      </c>
      <c r="D111">
        <f t="shared" si="10"/>
        <v>1</v>
      </c>
      <c r="E111">
        <f t="shared" si="11"/>
        <v>100000</v>
      </c>
      <c r="F111">
        <f t="shared" si="12"/>
        <v>2400000</v>
      </c>
      <c r="G111">
        <f t="shared" si="13"/>
        <v>2376000</v>
      </c>
      <c r="H111">
        <f t="shared" si="14"/>
        <v>0</v>
      </c>
      <c r="I111">
        <f t="shared" si="15"/>
        <v>2376000</v>
      </c>
      <c r="J111">
        <f t="shared" si="16"/>
        <v>2376000</v>
      </c>
      <c r="K111">
        <f t="shared" si="17"/>
        <v>0</v>
      </c>
      <c r="L111">
        <f t="shared" si="18"/>
        <v>0</v>
      </c>
    </row>
    <row r="112" spans="1:12" x14ac:dyDescent="0.25">
      <c r="A112" s="1">
        <v>41870</v>
      </c>
      <c r="B112">
        <v>0</v>
      </c>
      <c r="C112">
        <f t="shared" si="19"/>
        <v>2376000</v>
      </c>
      <c r="D112">
        <f t="shared" si="10"/>
        <v>2</v>
      </c>
      <c r="E112">
        <f t="shared" si="11"/>
        <v>100000</v>
      </c>
      <c r="F112">
        <f t="shared" si="12"/>
        <v>2276000</v>
      </c>
      <c r="G112">
        <f t="shared" si="13"/>
        <v>2253240</v>
      </c>
      <c r="H112">
        <f t="shared" si="14"/>
        <v>0</v>
      </c>
      <c r="I112">
        <f t="shared" si="15"/>
        <v>2253240</v>
      </c>
      <c r="J112">
        <f t="shared" si="16"/>
        <v>2253240</v>
      </c>
      <c r="K112">
        <f t="shared" si="17"/>
        <v>0</v>
      </c>
      <c r="L112">
        <f t="shared" si="18"/>
        <v>0</v>
      </c>
    </row>
    <row r="113" spans="1:12" x14ac:dyDescent="0.25">
      <c r="A113" s="1">
        <v>41871</v>
      </c>
      <c r="B113">
        <v>0</v>
      </c>
      <c r="C113">
        <f t="shared" si="19"/>
        <v>2253240</v>
      </c>
      <c r="D113">
        <f t="shared" si="10"/>
        <v>3</v>
      </c>
      <c r="E113">
        <f t="shared" si="11"/>
        <v>100000</v>
      </c>
      <c r="F113">
        <f t="shared" si="12"/>
        <v>2153240</v>
      </c>
      <c r="G113">
        <f t="shared" si="13"/>
        <v>2131707.6</v>
      </c>
      <c r="H113">
        <f t="shared" si="14"/>
        <v>0</v>
      </c>
      <c r="I113">
        <f t="shared" si="15"/>
        <v>2131707.6</v>
      </c>
      <c r="J113">
        <f t="shared" si="16"/>
        <v>2131707.6</v>
      </c>
      <c r="K113">
        <f t="shared" si="17"/>
        <v>0</v>
      </c>
      <c r="L113">
        <f t="shared" si="18"/>
        <v>0</v>
      </c>
    </row>
    <row r="114" spans="1:12" x14ac:dyDescent="0.25">
      <c r="A114" s="1">
        <v>41872</v>
      </c>
      <c r="B114">
        <v>0</v>
      </c>
      <c r="C114">
        <f t="shared" si="19"/>
        <v>2131707.6</v>
      </c>
      <c r="D114">
        <f t="shared" si="10"/>
        <v>4</v>
      </c>
      <c r="E114">
        <f t="shared" si="11"/>
        <v>100000</v>
      </c>
      <c r="F114">
        <f t="shared" si="12"/>
        <v>2031707.6</v>
      </c>
      <c r="G114">
        <f t="shared" si="13"/>
        <v>2011390.524</v>
      </c>
      <c r="H114">
        <f t="shared" si="14"/>
        <v>0</v>
      </c>
      <c r="I114">
        <f t="shared" si="15"/>
        <v>2011390.524</v>
      </c>
      <c r="J114">
        <f t="shared" si="16"/>
        <v>2011390.524</v>
      </c>
      <c r="K114">
        <f t="shared" si="17"/>
        <v>0</v>
      </c>
      <c r="L114">
        <f t="shared" si="18"/>
        <v>0</v>
      </c>
    </row>
    <row r="115" spans="1:12" x14ac:dyDescent="0.25">
      <c r="A115" s="1">
        <v>41873</v>
      </c>
      <c r="B115">
        <v>0</v>
      </c>
      <c r="C115">
        <f t="shared" si="19"/>
        <v>2011390.524</v>
      </c>
      <c r="D115">
        <f t="shared" si="10"/>
        <v>5</v>
      </c>
      <c r="E115">
        <f t="shared" si="11"/>
        <v>100000</v>
      </c>
      <c r="F115">
        <f t="shared" si="12"/>
        <v>1911390.524</v>
      </c>
      <c r="G115">
        <f t="shared" si="13"/>
        <v>1892276.61876</v>
      </c>
      <c r="H115">
        <f t="shared" si="14"/>
        <v>0</v>
      </c>
      <c r="I115">
        <f t="shared" si="15"/>
        <v>1892276.61876</v>
      </c>
      <c r="J115">
        <f t="shared" si="16"/>
        <v>1892276.61876</v>
      </c>
      <c r="K115">
        <f t="shared" si="17"/>
        <v>0</v>
      </c>
      <c r="L115">
        <f t="shared" si="18"/>
        <v>0</v>
      </c>
    </row>
    <row r="116" spans="1:12" x14ac:dyDescent="0.25">
      <c r="A116" s="1">
        <v>41874</v>
      </c>
      <c r="B116">
        <v>0</v>
      </c>
      <c r="C116">
        <f t="shared" si="19"/>
        <v>1892276.61876</v>
      </c>
      <c r="D116">
        <f t="shared" si="10"/>
        <v>6</v>
      </c>
      <c r="E116">
        <f t="shared" si="11"/>
        <v>100000</v>
      </c>
      <c r="F116">
        <f t="shared" si="12"/>
        <v>1792276.61876</v>
      </c>
      <c r="G116">
        <f t="shared" si="13"/>
        <v>1774353.8525723999</v>
      </c>
      <c r="H116">
        <f t="shared" si="14"/>
        <v>0</v>
      </c>
      <c r="I116">
        <f t="shared" si="15"/>
        <v>1774353.8525723999</v>
      </c>
      <c r="J116">
        <f t="shared" si="16"/>
        <v>2274353.8525724001</v>
      </c>
      <c r="K116">
        <f t="shared" si="17"/>
        <v>500000.00000000023</v>
      </c>
      <c r="L116">
        <f t="shared" si="18"/>
        <v>0</v>
      </c>
    </row>
    <row r="117" spans="1:12" x14ac:dyDescent="0.25">
      <c r="A117" s="1">
        <v>41875</v>
      </c>
      <c r="B117">
        <v>0</v>
      </c>
      <c r="C117">
        <f t="shared" si="19"/>
        <v>2274353.8525724001</v>
      </c>
      <c r="D117">
        <f t="shared" si="10"/>
        <v>7</v>
      </c>
      <c r="E117">
        <f t="shared" si="11"/>
        <v>100000</v>
      </c>
      <c r="F117">
        <f t="shared" si="12"/>
        <v>2174353.8525724001</v>
      </c>
      <c r="G117">
        <f t="shared" si="13"/>
        <v>2152610.3140466763</v>
      </c>
      <c r="H117">
        <f t="shared" si="14"/>
        <v>0</v>
      </c>
      <c r="I117">
        <f t="shared" si="15"/>
        <v>2152610.3140466763</v>
      </c>
      <c r="J117">
        <f t="shared" si="16"/>
        <v>2152610.3140466763</v>
      </c>
      <c r="K117">
        <f t="shared" si="17"/>
        <v>0</v>
      </c>
      <c r="L117">
        <f t="shared" si="18"/>
        <v>0</v>
      </c>
    </row>
    <row r="118" spans="1:12" x14ac:dyDescent="0.25">
      <c r="A118" s="1">
        <v>41876</v>
      </c>
      <c r="B118">
        <v>0</v>
      </c>
      <c r="C118">
        <f t="shared" si="19"/>
        <v>2152610.3140466763</v>
      </c>
      <c r="D118">
        <f t="shared" si="10"/>
        <v>1</v>
      </c>
      <c r="E118">
        <f t="shared" si="11"/>
        <v>100000</v>
      </c>
      <c r="F118">
        <f t="shared" si="12"/>
        <v>2052610.3140466763</v>
      </c>
      <c r="G118">
        <f t="shared" si="13"/>
        <v>2032084.2109062094</v>
      </c>
      <c r="H118">
        <f t="shared" si="14"/>
        <v>0</v>
      </c>
      <c r="I118">
        <f t="shared" si="15"/>
        <v>2032084.2109062094</v>
      </c>
      <c r="J118">
        <f t="shared" si="16"/>
        <v>2032084.2109062094</v>
      </c>
      <c r="K118">
        <f t="shared" si="17"/>
        <v>0</v>
      </c>
      <c r="L118">
        <f t="shared" si="18"/>
        <v>0</v>
      </c>
    </row>
    <row r="119" spans="1:12" x14ac:dyDescent="0.25">
      <c r="A119" s="1">
        <v>41877</v>
      </c>
      <c r="B119">
        <v>0</v>
      </c>
      <c r="C119">
        <f t="shared" si="19"/>
        <v>2032084.2109062094</v>
      </c>
      <c r="D119">
        <f t="shared" si="10"/>
        <v>2</v>
      </c>
      <c r="E119">
        <f t="shared" si="11"/>
        <v>100000</v>
      </c>
      <c r="F119">
        <f t="shared" si="12"/>
        <v>1932084.2109062094</v>
      </c>
      <c r="G119">
        <f t="shared" si="13"/>
        <v>1912763.3687971474</v>
      </c>
      <c r="H119">
        <f t="shared" si="14"/>
        <v>0</v>
      </c>
      <c r="I119">
        <f t="shared" si="15"/>
        <v>1912763.3687971474</v>
      </c>
      <c r="J119">
        <f t="shared" si="16"/>
        <v>1912763.3687971474</v>
      </c>
      <c r="K119">
        <f t="shared" si="17"/>
        <v>0</v>
      </c>
      <c r="L119">
        <f t="shared" si="18"/>
        <v>0</v>
      </c>
    </row>
    <row r="120" spans="1:12" x14ac:dyDescent="0.25">
      <c r="A120" s="1">
        <v>41878</v>
      </c>
      <c r="B120">
        <v>0</v>
      </c>
      <c r="C120">
        <f t="shared" si="19"/>
        <v>1912763.3687971474</v>
      </c>
      <c r="D120">
        <f t="shared" si="10"/>
        <v>3</v>
      </c>
      <c r="E120">
        <f t="shared" si="11"/>
        <v>100000</v>
      </c>
      <c r="F120">
        <f t="shared" si="12"/>
        <v>1812763.3687971474</v>
      </c>
      <c r="G120">
        <f t="shared" si="13"/>
        <v>1794635.735109176</v>
      </c>
      <c r="H120">
        <f t="shared" si="14"/>
        <v>0</v>
      </c>
      <c r="I120">
        <f t="shared" si="15"/>
        <v>1794635.735109176</v>
      </c>
      <c r="J120">
        <f t="shared" si="16"/>
        <v>1794635.735109176</v>
      </c>
      <c r="K120">
        <f t="shared" si="17"/>
        <v>0</v>
      </c>
      <c r="L120">
        <f t="shared" si="18"/>
        <v>0</v>
      </c>
    </row>
    <row r="121" spans="1:12" x14ac:dyDescent="0.25">
      <c r="A121" s="1">
        <v>41879</v>
      </c>
      <c r="B121">
        <v>1</v>
      </c>
      <c r="C121">
        <f t="shared" si="19"/>
        <v>1794635.735109176</v>
      </c>
      <c r="D121">
        <f t="shared" si="10"/>
        <v>4</v>
      </c>
      <c r="E121">
        <f t="shared" si="11"/>
        <v>0</v>
      </c>
      <c r="F121">
        <f t="shared" si="12"/>
        <v>1794635.735109176</v>
      </c>
      <c r="G121">
        <f t="shared" si="13"/>
        <v>1848474.8071624513</v>
      </c>
      <c r="H121">
        <f t="shared" si="14"/>
        <v>0</v>
      </c>
      <c r="I121">
        <f t="shared" si="15"/>
        <v>1848474.8071624513</v>
      </c>
      <c r="J121">
        <f t="shared" si="16"/>
        <v>1848474.8071624513</v>
      </c>
      <c r="K121">
        <f t="shared" si="17"/>
        <v>0</v>
      </c>
      <c r="L121">
        <f t="shared" si="18"/>
        <v>0</v>
      </c>
    </row>
    <row r="122" spans="1:12" x14ac:dyDescent="0.25">
      <c r="A122" s="1">
        <v>41880</v>
      </c>
      <c r="B122">
        <v>0</v>
      </c>
      <c r="C122">
        <f t="shared" si="19"/>
        <v>1848474.8071624513</v>
      </c>
      <c r="D122">
        <f t="shared" si="10"/>
        <v>5</v>
      </c>
      <c r="E122">
        <f t="shared" si="11"/>
        <v>100000</v>
      </c>
      <c r="F122">
        <f t="shared" si="12"/>
        <v>1748474.8071624513</v>
      </c>
      <c r="G122">
        <f t="shared" si="13"/>
        <v>1730990.0590908269</v>
      </c>
      <c r="H122">
        <f t="shared" si="14"/>
        <v>0</v>
      </c>
      <c r="I122">
        <f t="shared" si="15"/>
        <v>1730990.0590908269</v>
      </c>
      <c r="J122">
        <f t="shared" si="16"/>
        <v>1730990.0590908269</v>
      </c>
      <c r="K122">
        <f t="shared" si="17"/>
        <v>0</v>
      </c>
      <c r="L122">
        <f t="shared" si="18"/>
        <v>0</v>
      </c>
    </row>
    <row r="123" spans="1:12" x14ac:dyDescent="0.25">
      <c r="A123" s="1">
        <v>41881</v>
      </c>
      <c r="B123">
        <v>0</v>
      </c>
      <c r="C123">
        <f t="shared" si="19"/>
        <v>1730990.0590908269</v>
      </c>
      <c r="D123">
        <f t="shared" si="10"/>
        <v>6</v>
      </c>
      <c r="E123">
        <f t="shared" si="11"/>
        <v>100000</v>
      </c>
      <c r="F123">
        <f t="shared" si="12"/>
        <v>1630990.0590908269</v>
      </c>
      <c r="G123">
        <f t="shared" si="13"/>
        <v>1614680.1584999186</v>
      </c>
      <c r="H123">
        <f t="shared" si="14"/>
        <v>0</v>
      </c>
      <c r="I123">
        <f t="shared" si="15"/>
        <v>1614680.1584999186</v>
      </c>
      <c r="J123">
        <f t="shared" si="16"/>
        <v>2114680.1584999189</v>
      </c>
      <c r="K123">
        <f t="shared" si="17"/>
        <v>500000.00000000023</v>
      </c>
      <c r="L123">
        <f t="shared" si="18"/>
        <v>0</v>
      </c>
    </row>
    <row r="124" spans="1:12" x14ac:dyDescent="0.25">
      <c r="A124" s="1">
        <v>41882</v>
      </c>
      <c r="B124">
        <v>1</v>
      </c>
      <c r="C124">
        <f t="shared" si="19"/>
        <v>2114680.1584999189</v>
      </c>
      <c r="D124">
        <f t="shared" si="10"/>
        <v>7</v>
      </c>
      <c r="E124">
        <f t="shared" si="11"/>
        <v>0</v>
      </c>
      <c r="F124">
        <f t="shared" si="12"/>
        <v>2114680.1584999189</v>
      </c>
      <c r="G124">
        <f t="shared" si="13"/>
        <v>2178120.5632549166</v>
      </c>
      <c r="H124">
        <f t="shared" si="14"/>
        <v>0</v>
      </c>
      <c r="I124">
        <f t="shared" si="15"/>
        <v>2178120.5632549166</v>
      </c>
      <c r="J124">
        <f t="shared" si="16"/>
        <v>2178120.5632549166</v>
      </c>
      <c r="K124">
        <f t="shared" si="17"/>
        <v>0</v>
      </c>
      <c r="L124">
        <f t="shared" si="18"/>
        <v>0</v>
      </c>
    </row>
    <row r="125" spans="1:12" x14ac:dyDescent="0.25">
      <c r="A125" s="1">
        <v>41883</v>
      </c>
      <c r="B125">
        <v>0</v>
      </c>
      <c r="C125">
        <f t="shared" si="19"/>
        <v>2178120.5632549166</v>
      </c>
      <c r="D125">
        <f t="shared" si="10"/>
        <v>1</v>
      </c>
      <c r="E125">
        <f t="shared" si="11"/>
        <v>100000</v>
      </c>
      <c r="F125">
        <f t="shared" si="12"/>
        <v>2078120.5632549166</v>
      </c>
      <c r="G125">
        <f t="shared" si="13"/>
        <v>2057339.3576223673</v>
      </c>
      <c r="H125">
        <f t="shared" si="14"/>
        <v>0</v>
      </c>
      <c r="I125">
        <f t="shared" si="15"/>
        <v>2057339.3576223673</v>
      </c>
      <c r="J125">
        <f t="shared" si="16"/>
        <v>2057339.3576223673</v>
      </c>
      <c r="K125">
        <f t="shared" si="17"/>
        <v>0</v>
      </c>
      <c r="L125">
        <f t="shared" si="18"/>
        <v>0</v>
      </c>
    </row>
    <row r="126" spans="1:12" x14ac:dyDescent="0.25">
      <c r="A126" s="1">
        <v>41884</v>
      </c>
      <c r="B126">
        <v>0</v>
      </c>
      <c r="C126">
        <f t="shared" si="19"/>
        <v>2057339.3576223673</v>
      </c>
      <c r="D126">
        <f t="shared" si="10"/>
        <v>2</v>
      </c>
      <c r="E126">
        <f t="shared" si="11"/>
        <v>100000</v>
      </c>
      <c r="F126">
        <f t="shared" si="12"/>
        <v>1957339.3576223673</v>
      </c>
      <c r="G126">
        <f t="shared" si="13"/>
        <v>1937765.9640461437</v>
      </c>
      <c r="H126">
        <f t="shared" si="14"/>
        <v>0</v>
      </c>
      <c r="I126">
        <f t="shared" si="15"/>
        <v>1937765.9640461437</v>
      </c>
      <c r="J126">
        <f t="shared" si="16"/>
        <v>1937765.9640461437</v>
      </c>
      <c r="K126">
        <f t="shared" si="17"/>
        <v>0</v>
      </c>
      <c r="L126">
        <f t="shared" si="18"/>
        <v>0</v>
      </c>
    </row>
    <row r="127" spans="1:12" x14ac:dyDescent="0.25">
      <c r="A127" s="1">
        <v>41885</v>
      </c>
      <c r="B127">
        <v>0</v>
      </c>
      <c r="C127">
        <f t="shared" si="19"/>
        <v>1937765.9640461437</v>
      </c>
      <c r="D127">
        <f t="shared" si="10"/>
        <v>3</v>
      </c>
      <c r="E127">
        <f t="shared" si="11"/>
        <v>100000</v>
      </c>
      <c r="F127">
        <f t="shared" si="12"/>
        <v>1837765.9640461437</v>
      </c>
      <c r="G127">
        <f t="shared" si="13"/>
        <v>1819388.3044056823</v>
      </c>
      <c r="H127">
        <f t="shared" si="14"/>
        <v>0</v>
      </c>
      <c r="I127">
        <f t="shared" si="15"/>
        <v>1819388.3044056823</v>
      </c>
      <c r="J127">
        <f t="shared" si="16"/>
        <v>1819388.3044056823</v>
      </c>
      <c r="K127">
        <f t="shared" si="17"/>
        <v>0</v>
      </c>
      <c r="L127">
        <f t="shared" si="18"/>
        <v>0</v>
      </c>
    </row>
    <row r="128" spans="1:12" x14ac:dyDescent="0.25">
      <c r="A128" s="1">
        <v>41886</v>
      </c>
      <c r="B128">
        <v>0</v>
      </c>
      <c r="C128">
        <f t="shared" si="19"/>
        <v>1819388.3044056823</v>
      </c>
      <c r="D128">
        <f t="shared" si="10"/>
        <v>4</v>
      </c>
      <c r="E128">
        <f t="shared" si="11"/>
        <v>100000</v>
      </c>
      <c r="F128">
        <f t="shared" si="12"/>
        <v>1719388.3044056823</v>
      </c>
      <c r="G128">
        <f t="shared" si="13"/>
        <v>1702194.4213616254</v>
      </c>
      <c r="H128">
        <f t="shared" si="14"/>
        <v>0</v>
      </c>
      <c r="I128">
        <f t="shared" si="15"/>
        <v>1702194.4213616254</v>
      </c>
      <c r="J128">
        <f t="shared" si="16"/>
        <v>1702194.4213616254</v>
      </c>
      <c r="K128">
        <f t="shared" si="17"/>
        <v>0</v>
      </c>
      <c r="L128">
        <f t="shared" si="18"/>
        <v>0</v>
      </c>
    </row>
    <row r="129" spans="1:12" x14ac:dyDescent="0.25">
      <c r="A129" s="1">
        <v>41887</v>
      </c>
      <c r="B129">
        <v>0</v>
      </c>
      <c r="C129">
        <f t="shared" si="19"/>
        <v>1702194.4213616254</v>
      </c>
      <c r="D129">
        <f t="shared" si="10"/>
        <v>5</v>
      </c>
      <c r="E129">
        <f t="shared" si="11"/>
        <v>100000</v>
      </c>
      <c r="F129">
        <f t="shared" si="12"/>
        <v>1602194.4213616254</v>
      </c>
      <c r="G129">
        <f t="shared" si="13"/>
        <v>1586172.4771480092</v>
      </c>
      <c r="H129">
        <f t="shared" si="14"/>
        <v>0</v>
      </c>
      <c r="I129">
        <f t="shared" si="15"/>
        <v>1586172.4771480092</v>
      </c>
      <c r="J129">
        <f t="shared" si="16"/>
        <v>1586172.4771480092</v>
      </c>
      <c r="K129">
        <f t="shared" si="17"/>
        <v>0</v>
      </c>
      <c r="L129">
        <f t="shared" si="18"/>
        <v>0</v>
      </c>
    </row>
    <row r="130" spans="1:12" x14ac:dyDescent="0.25">
      <c r="A130" s="1">
        <v>41888</v>
      </c>
      <c r="B130">
        <v>0</v>
      </c>
      <c r="C130">
        <f t="shared" si="19"/>
        <v>1586172.4771480092</v>
      </c>
      <c r="D130">
        <f t="shared" si="10"/>
        <v>6</v>
      </c>
      <c r="E130">
        <f t="shared" si="11"/>
        <v>100000</v>
      </c>
      <c r="F130">
        <f t="shared" si="12"/>
        <v>1486172.4771480092</v>
      </c>
      <c r="G130">
        <f t="shared" si="13"/>
        <v>1471310.7523765292</v>
      </c>
      <c r="H130">
        <f t="shared" si="14"/>
        <v>0</v>
      </c>
      <c r="I130">
        <f t="shared" si="15"/>
        <v>1471310.7523765292</v>
      </c>
      <c r="J130">
        <f t="shared" si="16"/>
        <v>1971310.7523765292</v>
      </c>
      <c r="K130">
        <f t="shared" si="17"/>
        <v>500000</v>
      </c>
      <c r="L130">
        <f t="shared" si="18"/>
        <v>0</v>
      </c>
    </row>
    <row r="131" spans="1:12" x14ac:dyDescent="0.25">
      <c r="A131" s="1">
        <v>41889</v>
      </c>
      <c r="B131">
        <v>0</v>
      </c>
      <c r="C131">
        <f t="shared" si="19"/>
        <v>1971310.7523765292</v>
      </c>
      <c r="D131">
        <f t="shared" ref="D131:D154" si="20">WEEKDAY(A131,2)</f>
        <v>7</v>
      </c>
      <c r="E131">
        <f t="shared" ref="E131:E154" si="21">IF(B131=0,2*$Q$1*$Q$2,0)</f>
        <v>100000</v>
      </c>
      <c r="F131">
        <f t="shared" ref="F131:F154" si="22">C131-E131</f>
        <v>1871310.7523765292</v>
      </c>
      <c r="G131">
        <f t="shared" ref="G131:G154" si="23">IF(B131=0,F131*0.99,F131*1.03)</f>
        <v>1852597.6448527637</v>
      </c>
      <c r="H131">
        <f t="shared" ref="H131:H154" si="24">IF(G131&gt;2500000,1,0)</f>
        <v>0</v>
      </c>
      <c r="I131">
        <f t="shared" ref="I131:I154" si="25">IF(H131=0,G131,2500000)</f>
        <v>1852597.6448527637</v>
      </c>
      <c r="J131">
        <f t="shared" ref="J131:J154" si="26">IF(D131=6,IF(I131+500000&gt;2500000,2500000,I131+500000),I131)</f>
        <v>1852597.6448527637</v>
      </c>
      <c r="K131">
        <f t="shared" ref="K131:K154" si="27">J131-I131</f>
        <v>0</v>
      </c>
      <c r="L131">
        <f t="shared" ref="L131:L154" si="28">IF(H131=1,G131-I131,0)</f>
        <v>0</v>
      </c>
    </row>
    <row r="132" spans="1:12" x14ac:dyDescent="0.25">
      <c r="A132" s="1">
        <v>41890</v>
      </c>
      <c r="B132">
        <v>1</v>
      </c>
      <c r="C132">
        <f t="shared" ref="C132:C154" si="29">J131</f>
        <v>1852597.6448527637</v>
      </c>
      <c r="D132">
        <f t="shared" si="20"/>
        <v>1</v>
      </c>
      <c r="E132">
        <f t="shared" si="21"/>
        <v>0</v>
      </c>
      <c r="F132">
        <f t="shared" si="22"/>
        <v>1852597.6448527637</v>
      </c>
      <c r="G132">
        <f t="shared" si="23"/>
        <v>1908175.5741983468</v>
      </c>
      <c r="H132">
        <f t="shared" si="24"/>
        <v>0</v>
      </c>
      <c r="I132">
        <f t="shared" si="25"/>
        <v>1908175.5741983468</v>
      </c>
      <c r="J132">
        <f t="shared" si="26"/>
        <v>1908175.5741983468</v>
      </c>
      <c r="K132">
        <f t="shared" si="27"/>
        <v>0</v>
      </c>
      <c r="L132">
        <f t="shared" si="28"/>
        <v>0</v>
      </c>
    </row>
    <row r="133" spans="1:12" x14ac:dyDescent="0.25">
      <c r="A133" s="1">
        <v>41891</v>
      </c>
      <c r="B133">
        <v>0</v>
      </c>
      <c r="C133">
        <f t="shared" si="29"/>
        <v>1908175.5741983468</v>
      </c>
      <c r="D133">
        <f t="shared" si="20"/>
        <v>2</v>
      </c>
      <c r="E133">
        <f t="shared" si="21"/>
        <v>100000</v>
      </c>
      <c r="F133">
        <f t="shared" si="22"/>
        <v>1808175.5741983468</v>
      </c>
      <c r="G133">
        <f t="shared" si="23"/>
        <v>1790093.8184563634</v>
      </c>
      <c r="H133">
        <f t="shared" si="24"/>
        <v>0</v>
      </c>
      <c r="I133">
        <f t="shared" si="25"/>
        <v>1790093.8184563634</v>
      </c>
      <c r="J133">
        <f t="shared" si="26"/>
        <v>1790093.8184563634</v>
      </c>
      <c r="K133">
        <f t="shared" si="27"/>
        <v>0</v>
      </c>
      <c r="L133">
        <f t="shared" si="28"/>
        <v>0</v>
      </c>
    </row>
    <row r="134" spans="1:12" x14ac:dyDescent="0.25">
      <c r="A134" s="1">
        <v>41892</v>
      </c>
      <c r="B134">
        <v>0</v>
      </c>
      <c r="C134">
        <f t="shared" si="29"/>
        <v>1790093.8184563634</v>
      </c>
      <c r="D134">
        <f t="shared" si="20"/>
        <v>3</v>
      </c>
      <c r="E134">
        <f t="shared" si="21"/>
        <v>100000</v>
      </c>
      <c r="F134">
        <f t="shared" si="22"/>
        <v>1690093.8184563634</v>
      </c>
      <c r="G134">
        <f t="shared" si="23"/>
        <v>1673192.8802717999</v>
      </c>
      <c r="H134">
        <f t="shared" si="24"/>
        <v>0</v>
      </c>
      <c r="I134">
        <f t="shared" si="25"/>
        <v>1673192.8802717999</v>
      </c>
      <c r="J134">
        <f t="shared" si="26"/>
        <v>1673192.8802717999</v>
      </c>
      <c r="K134">
        <f t="shared" si="27"/>
        <v>0</v>
      </c>
      <c r="L134">
        <f t="shared" si="28"/>
        <v>0</v>
      </c>
    </row>
    <row r="135" spans="1:12" x14ac:dyDescent="0.25">
      <c r="A135" s="1">
        <v>41893</v>
      </c>
      <c r="B135">
        <v>0</v>
      </c>
      <c r="C135">
        <f t="shared" si="29"/>
        <v>1673192.8802717999</v>
      </c>
      <c r="D135">
        <f t="shared" si="20"/>
        <v>4</v>
      </c>
      <c r="E135">
        <f t="shared" si="21"/>
        <v>100000</v>
      </c>
      <c r="F135">
        <f t="shared" si="22"/>
        <v>1573192.8802717999</v>
      </c>
      <c r="G135">
        <f t="shared" si="23"/>
        <v>1557460.9514690819</v>
      </c>
      <c r="H135">
        <f t="shared" si="24"/>
        <v>0</v>
      </c>
      <c r="I135">
        <f t="shared" si="25"/>
        <v>1557460.9514690819</v>
      </c>
      <c r="J135">
        <f t="shared" si="26"/>
        <v>1557460.9514690819</v>
      </c>
      <c r="K135">
        <f t="shared" si="27"/>
        <v>0</v>
      </c>
      <c r="L135">
        <f t="shared" si="28"/>
        <v>0</v>
      </c>
    </row>
    <row r="136" spans="1:12" x14ac:dyDescent="0.25">
      <c r="A136" s="1">
        <v>41894</v>
      </c>
      <c r="B136">
        <v>0</v>
      </c>
      <c r="C136">
        <f t="shared" si="29"/>
        <v>1557460.9514690819</v>
      </c>
      <c r="D136">
        <f t="shared" si="20"/>
        <v>5</v>
      </c>
      <c r="E136">
        <f t="shared" si="21"/>
        <v>100000</v>
      </c>
      <c r="F136">
        <f t="shared" si="22"/>
        <v>1457460.9514690819</v>
      </c>
      <c r="G136">
        <f t="shared" si="23"/>
        <v>1442886.341954391</v>
      </c>
      <c r="H136">
        <f t="shared" si="24"/>
        <v>0</v>
      </c>
      <c r="I136">
        <f t="shared" si="25"/>
        <v>1442886.341954391</v>
      </c>
      <c r="J136">
        <f t="shared" si="26"/>
        <v>1442886.341954391</v>
      </c>
      <c r="K136">
        <f t="shared" si="27"/>
        <v>0</v>
      </c>
      <c r="L136">
        <f t="shared" si="28"/>
        <v>0</v>
      </c>
    </row>
    <row r="137" spans="1:12" x14ac:dyDescent="0.25">
      <c r="A137" s="1">
        <v>41895</v>
      </c>
      <c r="B137">
        <v>0</v>
      </c>
      <c r="C137">
        <f t="shared" si="29"/>
        <v>1442886.341954391</v>
      </c>
      <c r="D137">
        <f t="shared" si="20"/>
        <v>6</v>
      </c>
      <c r="E137">
        <f t="shared" si="21"/>
        <v>100000</v>
      </c>
      <c r="F137">
        <f t="shared" si="22"/>
        <v>1342886.341954391</v>
      </c>
      <c r="G137">
        <f t="shared" si="23"/>
        <v>1329457.478534847</v>
      </c>
      <c r="H137">
        <f t="shared" si="24"/>
        <v>0</v>
      </c>
      <c r="I137">
        <f t="shared" si="25"/>
        <v>1329457.478534847</v>
      </c>
      <c r="J137">
        <f t="shared" si="26"/>
        <v>1829457.478534847</v>
      </c>
      <c r="K137">
        <f t="shared" si="27"/>
        <v>500000</v>
      </c>
      <c r="L137">
        <f t="shared" si="28"/>
        <v>0</v>
      </c>
    </row>
    <row r="138" spans="1:12" x14ac:dyDescent="0.25">
      <c r="A138" s="1">
        <v>41896</v>
      </c>
      <c r="B138">
        <v>0</v>
      </c>
      <c r="C138">
        <f t="shared" si="29"/>
        <v>1829457.478534847</v>
      </c>
      <c r="D138">
        <f t="shared" si="20"/>
        <v>7</v>
      </c>
      <c r="E138">
        <f t="shared" si="21"/>
        <v>100000</v>
      </c>
      <c r="F138">
        <f t="shared" si="22"/>
        <v>1729457.478534847</v>
      </c>
      <c r="G138">
        <f t="shared" si="23"/>
        <v>1712162.9037494985</v>
      </c>
      <c r="H138">
        <f t="shared" si="24"/>
        <v>0</v>
      </c>
      <c r="I138">
        <f t="shared" si="25"/>
        <v>1712162.9037494985</v>
      </c>
      <c r="J138">
        <f t="shared" si="26"/>
        <v>1712162.9037494985</v>
      </c>
      <c r="K138">
        <f t="shared" si="27"/>
        <v>0</v>
      </c>
      <c r="L138">
        <f t="shared" si="28"/>
        <v>0</v>
      </c>
    </row>
    <row r="139" spans="1:12" x14ac:dyDescent="0.25">
      <c r="A139" s="1">
        <v>41897</v>
      </c>
      <c r="B139">
        <v>1</v>
      </c>
      <c r="C139">
        <f t="shared" si="29"/>
        <v>1712162.9037494985</v>
      </c>
      <c r="D139">
        <f t="shared" si="20"/>
        <v>1</v>
      </c>
      <c r="E139">
        <f t="shared" si="21"/>
        <v>0</v>
      </c>
      <c r="F139">
        <f t="shared" si="22"/>
        <v>1712162.9037494985</v>
      </c>
      <c r="G139">
        <f t="shared" si="23"/>
        <v>1763527.7908619836</v>
      </c>
      <c r="H139">
        <f t="shared" si="24"/>
        <v>0</v>
      </c>
      <c r="I139">
        <f t="shared" si="25"/>
        <v>1763527.7908619836</v>
      </c>
      <c r="J139">
        <f t="shared" si="26"/>
        <v>1763527.7908619836</v>
      </c>
      <c r="K139">
        <f t="shared" si="27"/>
        <v>0</v>
      </c>
      <c r="L139">
        <f t="shared" si="28"/>
        <v>0</v>
      </c>
    </row>
    <row r="140" spans="1:12" x14ac:dyDescent="0.25">
      <c r="A140" s="1">
        <v>41898</v>
      </c>
      <c r="B140">
        <v>0</v>
      </c>
      <c r="C140">
        <f t="shared" si="29"/>
        <v>1763527.7908619836</v>
      </c>
      <c r="D140">
        <f t="shared" si="20"/>
        <v>2</v>
      </c>
      <c r="E140">
        <f t="shared" si="21"/>
        <v>100000</v>
      </c>
      <c r="F140">
        <f t="shared" si="22"/>
        <v>1663527.7908619836</v>
      </c>
      <c r="G140">
        <f t="shared" si="23"/>
        <v>1646892.5129533636</v>
      </c>
      <c r="H140">
        <f t="shared" si="24"/>
        <v>0</v>
      </c>
      <c r="I140">
        <f t="shared" si="25"/>
        <v>1646892.5129533636</v>
      </c>
      <c r="J140">
        <f t="shared" si="26"/>
        <v>1646892.5129533636</v>
      </c>
      <c r="K140">
        <f t="shared" si="27"/>
        <v>0</v>
      </c>
      <c r="L140">
        <f t="shared" si="28"/>
        <v>0</v>
      </c>
    </row>
    <row r="141" spans="1:12" x14ac:dyDescent="0.25">
      <c r="A141" s="1">
        <v>41899</v>
      </c>
      <c r="B141">
        <v>0</v>
      </c>
      <c r="C141">
        <f t="shared" si="29"/>
        <v>1646892.5129533636</v>
      </c>
      <c r="D141">
        <f t="shared" si="20"/>
        <v>3</v>
      </c>
      <c r="E141">
        <f t="shared" si="21"/>
        <v>100000</v>
      </c>
      <c r="F141">
        <f t="shared" si="22"/>
        <v>1546892.5129533636</v>
      </c>
      <c r="G141">
        <f t="shared" si="23"/>
        <v>1531423.5878238298</v>
      </c>
      <c r="H141">
        <f t="shared" si="24"/>
        <v>0</v>
      </c>
      <c r="I141">
        <f t="shared" si="25"/>
        <v>1531423.5878238298</v>
      </c>
      <c r="J141">
        <f t="shared" si="26"/>
        <v>1531423.5878238298</v>
      </c>
      <c r="K141">
        <f t="shared" si="27"/>
        <v>0</v>
      </c>
      <c r="L141">
        <f t="shared" si="28"/>
        <v>0</v>
      </c>
    </row>
    <row r="142" spans="1:12" x14ac:dyDescent="0.25">
      <c r="A142" s="1">
        <v>41900</v>
      </c>
      <c r="B142">
        <v>0</v>
      </c>
      <c r="C142">
        <f t="shared" si="29"/>
        <v>1531423.5878238298</v>
      </c>
      <c r="D142">
        <f t="shared" si="20"/>
        <v>4</v>
      </c>
      <c r="E142">
        <f t="shared" si="21"/>
        <v>100000</v>
      </c>
      <c r="F142">
        <f t="shared" si="22"/>
        <v>1431423.5878238298</v>
      </c>
      <c r="G142">
        <f t="shared" si="23"/>
        <v>1417109.3519455916</v>
      </c>
      <c r="H142">
        <f t="shared" si="24"/>
        <v>0</v>
      </c>
      <c r="I142">
        <f t="shared" si="25"/>
        <v>1417109.3519455916</v>
      </c>
      <c r="J142">
        <f t="shared" si="26"/>
        <v>1417109.3519455916</v>
      </c>
      <c r="K142">
        <f t="shared" si="27"/>
        <v>0</v>
      </c>
      <c r="L142">
        <f t="shared" si="28"/>
        <v>0</v>
      </c>
    </row>
    <row r="143" spans="1:12" x14ac:dyDescent="0.25">
      <c r="A143" s="1">
        <v>41901</v>
      </c>
      <c r="B143">
        <v>0</v>
      </c>
      <c r="C143">
        <f t="shared" si="29"/>
        <v>1417109.3519455916</v>
      </c>
      <c r="D143">
        <f t="shared" si="20"/>
        <v>5</v>
      </c>
      <c r="E143">
        <f t="shared" si="21"/>
        <v>100000</v>
      </c>
      <c r="F143">
        <f t="shared" si="22"/>
        <v>1317109.3519455916</v>
      </c>
      <c r="G143">
        <f t="shared" si="23"/>
        <v>1303938.2584261356</v>
      </c>
      <c r="H143">
        <f t="shared" si="24"/>
        <v>0</v>
      </c>
      <c r="I143">
        <f t="shared" si="25"/>
        <v>1303938.2584261356</v>
      </c>
      <c r="J143">
        <f t="shared" si="26"/>
        <v>1303938.2584261356</v>
      </c>
      <c r="K143">
        <f t="shared" si="27"/>
        <v>0</v>
      </c>
      <c r="L143">
        <f t="shared" si="28"/>
        <v>0</v>
      </c>
    </row>
    <row r="144" spans="1:12" x14ac:dyDescent="0.25">
      <c r="A144" s="1">
        <v>41902</v>
      </c>
      <c r="B144">
        <v>0</v>
      </c>
      <c r="C144">
        <f t="shared" si="29"/>
        <v>1303938.2584261356</v>
      </c>
      <c r="D144">
        <f t="shared" si="20"/>
        <v>6</v>
      </c>
      <c r="E144">
        <f t="shared" si="21"/>
        <v>100000</v>
      </c>
      <c r="F144">
        <f t="shared" si="22"/>
        <v>1203938.2584261356</v>
      </c>
      <c r="G144">
        <f t="shared" si="23"/>
        <v>1191898.8758418742</v>
      </c>
      <c r="H144">
        <f t="shared" si="24"/>
        <v>0</v>
      </c>
      <c r="I144">
        <f t="shared" si="25"/>
        <v>1191898.8758418742</v>
      </c>
      <c r="J144">
        <f t="shared" si="26"/>
        <v>1691898.8758418742</v>
      </c>
      <c r="K144">
        <f t="shared" si="27"/>
        <v>500000</v>
      </c>
      <c r="L144">
        <f t="shared" si="28"/>
        <v>0</v>
      </c>
    </row>
    <row r="145" spans="1:12" x14ac:dyDescent="0.25">
      <c r="A145" s="1">
        <v>41903</v>
      </c>
      <c r="B145">
        <v>0</v>
      </c>
      <c r="C145">
        <f t="shared" si="29"/>
        <v>1691898.8758418742</v>
      </c>
      <c r="D145">
        <f t="shared" si="20"/>
        <v>7</v>
      </c>
      <c r="E145">
        <f t="shared" si="21"/>
        <v>100000</v>
      </c>
      <c r="F145">
        <f t="shared" si="22"/>
        <v>1591898.8758418742</v>
      </c>
      <c r="G145">
        <f t="shared" si="23"/>
        <v>1575979.8870834555</v>
      </c>
      <c r="H145">
        <f t="shared" si="24"/>
        <v>0</v>
      </c>
      <c r="I145">
        <f t="shared" si="25"/>
        <v>1575979.8870834555</v>
      </c>
      <c r="J145">
        <f t="shared" si="26"/>
        <v>1575979.8870834555</v>
      </c>
      <c r="K145">
        <f t="shared" si="27"/>
        <v>0</v>
      </c>
      <c r="L145">
        <f t="shared" si="28"/>
        <v>0</v>
      </c>
    </row>
    <row r="146" spans="1:12" x14ac:dyDescent="0.25">
      <c r="A146" s="1">
        <v>41904</v>
      </c>
      <c r="B146">
        <v>0</v>
      </c>
      <c r="C146">
        <f t="shared" si="29"/>
        <v>1575979.8870834555</v>
      </c>
      <c r="D146">
        <f t="shared" si="20"/>
        <v>1</v>
      </c>
      <c r="E146">
        <f t="shared" si="21"/>
        <v>100000</v>
      </c>
      <c r="F146">
        <f t="shared" si="22"/>
        <v>1475979.8870834555</v>
      </c>
      <c r="G146">
        <f t="shared" si="23"/>
        <v>1461220.0882126209</v>
      </c>
      <c r="H146">
        <f t="shared" si="24"/>
        <v>0</v>
      </c>
      <c r="I146">
        <f t="shared" si="25"/>
        <v>1461220.0882126209</v>
      </c>
      <c r="J146">
        <f t="shared" si="26"/>
        <v>1461220.0882126209</v>
      </c>
      <c r="K146">
        <f t="shared" si="27"/>
        <v>0</v>
      </c>
      <c r="L146">
        <f t="shared" si="28"/>
        <v>0</v>
      </c>
    </row>
    <row r="147" spans="1:12" x14ac:dyDescent="0.25">
      <c r="A147" s="1">
        <v>41905</v>
      </c>
      <c r="B147">
        <v>1</v>
      </c>
      <c r="C147">
        <f t="shared" si="29"/>
        <v>1461220.0882126209</v>
      </c>
      <c r="D147">
        <f t="shared" si="20"/>
        <v>2</v>
      </c>
      <c r="E147">
        <f t="shared" si="21"/>
        <v>0</v>
      </c>
      <c r="F147">
        <f t="shared" si="22"/>
        <v>1461220.0882126209</v>
      </c>
      <c r="G147">
        <f t="shared" si="23"/>
        <v>1505056.6908589995</v>
      </c>
      <c r="H147">
        <f t="shared" si="24"/>
        <v>0</v>
      </c>
      <c r="I147">
        <f t="shared" si="25"/>
        <v>1505056.6908589995</v>
      </c>
      <c r="J147">
        <f t="shared" si="26"/>
        <v>1505056.6908589995</v>
      </c>
      <c r="K147">
        <f t="shared" si="27"/>
        <v>0</v>
      </c>
      <c r="L147">
        <f t="shared" si="28"/>
        <v>0</v>
      </c>
    </row>
    <row r="148" spans="1:12" x14ac:dyDescent="0.25">
      <c r="A148" s="1">
        <v>41906</v>
      </c>
      <c r="B148">
        <v>0</v>
      </c>
      <c r="C148">
        <f t="shared" si="29"/>
        <v>1505056.6908589995</v>
      </c>
      <c r="D148">
        <f t="shared" si="20"/>
        <v>3</v>
      </c>
      <c r="E148">
        <f t="shared" si="21"/>
        <v>100000</v>
      </c>
      <c r="F148">
        <f t="shared" si="22"/>
        <v>1405056.6908589995</v>
      </c>
      <c r="G148">
        <f t="shared" si="23"/>
        <v>1391006.1239504095</v>
      </c>
      <c r="H148">
        <f t="shared" si="24"/>
        <v>0</v>
      </c>
      <c r="I148">
        <f t="shared" si="25"/>
        <v>1391006.1239504095</v>
      </c>
      <c r="J148">
        <f t="shared" si="26"/>
        <v>1391006.1239504095</v>
      </c>
      <c r="K148">
        <f t="shared" si="27"/>
        <v>0</v>
      </c>
      <c r="L148">
        <f t="shared" si="28"/>
        <v>0</v>
      </c>
    </row>
    <row r="149" spans="1:12" x14ac:dyDescent="0.25">
      <c r="A149" s="1">
        <v>41907</v>
      </c>
      <c r="B149">
        <v>1</v>
      </c>
      <c r="C149">
        <f t="shared" si="29"/>
        <v>1391006.1239504095</v>
      </c>
      <c r="D149">
        <f t="shared" si="20"/>
        <v>4</v>
      </c>
      <c r="E149">
        <f t="shared" si="21"/>
        <v>0</v>
      </c>
      <c r="F149">
        <f t="shared" si="22"/>
        <v>1391006.1239504095</v>
      </c>
      <c r="G149">
        <f t="shared" si="23"/>
        <v>1432736.3076689218</v>
      </c>
      <c r="H149">
        <f t="shared" si="24"/>
        <v>0</v>
      </c>
      <c r="I149">
        <f t="shared" si="25"/>
        <v>1432736.3076689218</v>
      </c>
      <c r="J149">
        <f t="shared" si="26"/>
        <v>1432736.3076689218</v>
      </c>
      <c r="K149">
        <f t="shared" si="27"/>
        <v>0</v>
      </c>
      <c r="L149">
        <f t="shared" si="28"/>
        <v>0</v>
      </c>
    </row>
    <row r="150" spans="1:12" x14ac:dyDescent="0.25">
      <c r="A150" s="1">
        <v>41908</v>
      </c>
      <c r="B150">
        <v>0</v>
      </c>
      <c r="C150">
        <f t="shared" si="29"/>
        <v>1432736.3076689218</v>
      </c>
      <c r="D150">
        <f t="shared" si="20"/>
        <v>5</v>
      </c>
      <c r="E150">
        <f t="shared" si="21"/>
        <v>100000</v>
      </c>
      <c r="F150">
        <f t="shared" si="22"/>
        <v>1332736.3076689218</v>
      </c>
      <c r="G150">
        <f t="shared" si="23"/>
        <v>1319408.9445922326</v>
      </c>
      <c r="H150">
        <f t="shared" si="24"/>
        <v>0</v>
      </c>
      <c r="I150">
        <f t="shared" si="25"/>
        <v>1319408.9445922326</v>
      </c>
      <c r="J150">
        <f t="shared" si="26"/>
        <v>1319408.9445922326</v>
      </c>
      <c r="K150">
        <f t="shared" si="27"/>
        <v>0</v>
      </c>
      <c r="L150">
        <f t="shared" si="28"/>
        <v>0</v>
      </c>
    </row>
    <row r="151" spans="1:12" x14ac:dyDescent="0.25">
      <c r="A151" s="1">
        <v>41909</v>
      </c>
      <c r="B151">
        <v>0</v>
      </c>
      <c r="C151">
        <f t="shared" si="29"/>
        <v>1319408.9445922326</v>
      </c>
      <c r="D151">
        <f t="shared" si="20"/>
        <v>6</v>
      </c>
      <c r="E151">
        <f t="shared" si="21"/>
        <v>100000</v>
      </c>
      <c r="F151">
        <f t="shared" si="22"/>
        <v>1219408.9445922326</v>
      </c>
      <c r="G151">
        <f t="shared" si="23"/>
        <v>1207214.8551463103</v>
      </c>
      <c r="H151">
        <f t="shared" si="24"/>
        <v>0</v>
      </c>
      <c r="I151">
        <f t="shared" si="25"/>
        <v>1207214.8551463103</v>
      </c>
      <c r="J151">
        <f t="shared" si="26"/>
        <v>1707214.8551463103</v>
      </c>
      <c r="K151">
        <f t="shared" si="27"/>
        <v>500000</v>
      </c>
      <c r="L151">
        <f t="shared" si="28"/>
        <v>0</v>
      </c>
    </row>
    <row r="152" spans="1:12" x14ac:dyDescent="0.25">
      <c r="A152" s="1">
        <v>41910</v>
      </c>
      <c r="B152">
        <v>0</v>
      </c>
      <c r="C152">
        <f t="shared" si="29"/>
        <v>1707214.8551463103</v>
      </c>
      <c r="D152">
        <f t="shared" si="20"/>
        <v>7</v>
      </c>
      <c r="E152">
        <f t="shared" si="21"/>
        <v>100000</v>
      </c>
      <c r="F152">
        <f t="shared" si="22"/>
        <v>1607214.8551463103</v>
      </c>
      <c r="G152">
        <f t="shared" si="23"/>
        <v>1591142.7065948471</v>
      </c>
      <c r="H152">
        <f t="shared" si="24"/>
        <v>0</v>
      </c>
      <c r="I152">
        <f t="shared" si="25"/>
        <v>1591142.7065948471</v>
      </c>
      <c r="J152">
        <f t="shared" si="26"/>
        <v>1591142.7065948471</v>
      </c>
      <c r="K152">
        <f t="shared" si="27"/>
        <v>0</v>
      </c>
      <c r="L152">
        <f t="shared" si="28"/>
        <v>0</v>
      </c>
    </row>
    <row r="153" spans="1:12" x14ac:dyDescent="0.25">
      <c r="A153" s="1">
        <v>41911</v>
      </c>
      <c r="B153">
        <v>1</v>
      </c>
      <c r="C153">
        <f t="shared" si="29"/>
        <v>1591142.7065948471</v>
      </c>
      <c r="D153">
        <f t="shared" si="20"/>
        <v>1</v>
      </c>
      <c r="E153">
        <f t="shared" si="21"/>
        <v>0</v>
      </c>
      <c r="F153">
        <f t="shared" si="22"/>
        <v>1591142.7065948471</v>
      </c>
      <c r="G153">
        <f t="shared" si="23"/>
        <v>1638876.9877926926</v>
      </c>
      <c r="H153">
        <f t="shared" si="24"/>
        <v>0</v>
      </c>
      <c r="I153">
        <f t="shared" si="25"/>
        <v>1638876.9877926926</v>
      </c>
      <c r="J153">
        <f t="shared" si="26"/>
        <v>1638876.9877926926</v>
      </c>
      <c r="K153">
        <f t="shared" si="27"/>
        <v>0</v>
      </c>
      <c r="L153">
        <f t="shared" si="28"/>
        <v>0</v>
      </c>
    </row>
    <row r="154" spans="1:12" x14ac:dyDescent="0.25">
      <c r="A154" s="1">
        <v>41912</v>
      </c>
      <c r="B154">
        <v>1</v>
      </c>
      <c r="C154">
        <f t="shared" si="29"/>
        <v>1638876.9877926926</v>
      </c>
      <c r="D154">
        <f t="shared" si="20"/>
        <v>2</v>
      </c>
      <c r="E154">
        <f t="shared" si="21"/>
        <v>0</v>
      </c>
      <c r="F154">
        <f t="shared" si="22"/>
        <v>1638876.9877926926</v>
      </c>
      <c r="G154">
        <f t="shared" si="23"/>
        <v>1688043.2974264733</v>
      </c>
      <c r="H154">
        <f t="shared" si="24"/>
        <v>0</v>
      </c>
      <c r="I154">
        <f t="shared" si="25"/>
        <v>1688043.2974264733</v>
      </c>
      <c r="J154">
        <f t="shared" si="26"/>
        <v>1688043.2974264733</v>
      </c>
      <c r="K154">
        <f t="shared" si="27"/>
        <v>0</v>
      </c>
      <c r="L154">
        <f t="shared" si="28"/>
        <v>0</v>
      </c>
    </row>
  </sheetData>
  <conditionalFormatting sqref="C1:C1048576">
    <cfRule type="cellIs" dxfId="0" priority="5" operator="equal">
      <formula>1303938</formula>
    </cfRule>
    <cfRule type="cellIs" dxfId="1" priority="4" operator="equal">
      <formula>1303938</formula>
    </cfRule>
    <cfRule type="cellIs" dxfId="2" priority="3" operator="equal">
      <formula>1303938.258</formula>
    </cfRule>
    <cfRule type="cellIs" dxfId="3" priority="2" operator="equal">
      <formula>1303938.258</formula>
    </cfRule>
    <cfRule type="cellIs" dxfId="4" priority="1" operator="equal">
      <formula>1303938.25842614</formula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6</vt:lpstr>
      <vt:lpstr>'6'!deszcz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2026-05-01T12:44:53Z</dcterms:created>
  <dcterms:modified xsi:type="dcterms:W3CDTF">2026-05-01T13:13:48Z</dcterms:modified>
</cp:coreProperties>
</file>